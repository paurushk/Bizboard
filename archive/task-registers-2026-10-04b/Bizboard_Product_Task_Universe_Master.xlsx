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tables/table15.xml" ContentType="application/vnd.openxmlformats-officedocument.spreadsheetml.table+xml"/>
  <Override PartName="/xl/worksheets/sheet24.xml" ContentType="application/vnd.openxmlformats-officedocument.spreadsheetml.worksheet+xml"/>
  <Override PartName="/xl/tables/table16.xml" ContentType="application/vnd.openxmlformats-officedocument.spreadsheetml.table+xml"/>
  <Override PartName="/xl/worksheets/sheet25.xml" ContentType="application/vnd.openxmlformats-officedocument.spreadsheetml.worksheet+xml"/>
  <Override PartName="/xl/tables/table17.xml" ContentType="application/vnd.openxmlformats-officedocument.spreadsheetml.table+xml"/>
  <Override PartName="/xl/worksheets/sheet26.xml" ContentType="application/vnd.openxmlformats-officedocument.spreadsheetml.worksheet+xml"/>
  <Override PartName="/xl/tables/table18.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under view" sheetId="1" state="visible" r:id="rId1"/>
    <sheet name="Pilot readiness" sheetId="2" state="visible" r:id="rId2"/>
    <sheet name="P0 gap decisions" sheetId="3" state="visible" r:id="rId3"/>
    <sheet name="Weekly snapshot" sheetId="4" state="visible" r:id="rId4"/>
    <sheet name="How to read" sheetId="5" state="visible" r:id="rId5"/>
    <sheet name="Review findings" sheetId="6" state="visible" r:id="rId6"/>
    <sheet name="Review disposition" sheetId="7" state="visible" r:id="rId7"/>
    <sheet name="OS architecture" sheetId="8" state="visible" r:id="rId8"/>
    <sheet name="Business events" sheetId="9" state="visible" r:id="rId9"/>
    <sheet name="State machines" sheetId="10" state="visible" r:id="rId10"/>
    <sheet name="Business integrity" sheetId="11" state="visible" r:id="rId11"/>
    <sheet name="Failure and recovery" sheetId="12" state="visible" r:id="rId12"/>
    <sheet name="Concurrency" sheetId="13" state="visible" r:id="rId13"/>
    <sheet name="Security assurance" sheetId="14" state="visible" r:id="rId14"/>
    <sheet name="Integration reliability" sheetId="15" state="visible" r:id="rId15"/>
    <sheet name="Performance SLA" sheetId="16" state="visible" r:id="rId16"/>
    <sheet name="Customer evidence" sheetId="17" state="visible" r:id="rId17"/>
    <sheet name="Capability evidence" sheetId="18" state="visible" r:id="rId18"/>
    <sheet name="OS readiness" sheetId="19" state="visible" r:id="rId19"/>
    <sheet name="Coverage Dashboard" sheetId="20" state="visible" r:id="rId20"/>
    <sheet name="Task Register" sheetId="21" state="visible" r:id="rId21"/>
    <sheet name="Flows" sheetId="22" state="visible" r:id="rId22"/>
    <sheet name="Baseline tasks" sheetId="23" state="visible" r:id="rId23"/>
    <sheet name="Newly Added Tasks" sheetId="24" state="visible" r:id="rId24"/>
    <sheet name="Growth OS" sheetId="25" state="visible" r:id="rId25"/>
    <sheet name="Added flows" sheetId="26" state="visible" r:id="rId26"/>
    <sheet name="Persona Coverage" sheetId="27" state="visible" r:id="rId27"/>
    <sheet name="Scope inventory" sheetId="28" state="visible" r:id="rId28"/>
    <sheet name="Competitive" sheetId="29" state="visible" r:id="rId29"/>
    <sheet name="UX and recovery" sheetId="30" state="visible" r:id="rId30"/>
    <sheet name="Security and SaaS" sheetId="31" state="visible" r:id="rId31"/>
    <sheet name="Priority decisions" sheetId="32" state="visible" r:id="rId32"/>
  </sheets>
  <definedNames>
    <definedName name="_xlnm.Print_Titles" localSheetId="2">'P0 gap decisions'!$3:$3</definedName>
    <definedName name="_xlnm.Print_Titles" localSheetId="3">'Weekly snapshot'!$3:$3</definedName>
    <definedName name="_xlnm.Print_Titles" localSheetId="5">'Review findings'!$3:$3</definedName>
    <definedName name="_xlnm.Print_Titles" localSheetId="6">'Review disposition'!$3:$3</definedName>
    <definedName name="_xlnm.Print_Titles" localSheetId="8">'Business events'!$3:$3</definedName>
    <definedName name="_xlnm.Print_Titles" localSheetId="9">'State machines'!$3:$3</definedName>
    <definedName name="_xlnm.Print_Titles" localSheetId="10">'Business integrity'!$3:$3</definedName>
    <definedName name="_xlnm.Print_Titles" localSheetId="11">'Failure and recovery'!$3:$3</definedName>
    <definedName name="_xlnm.Print_Titles" localSheetId="12">'Concurrency'!$3:$3</definedName>
    <definedName name="_xlnm.Print_Titles" localSheetId="13">'Security assurance'!$3:$3</definedName>
    <definedName name="_xlnm.Print_Titles" localSheetId="14">'Integration reliability'!$3:$3</definedName>
    <definedName name="_xlnm.Print_Titles" localSheetId="15">'Performance SLA'!$3:$3</definedName>
    <definedName name="_xlnm.Print_Titles" localSheetId="16">'Customer evidence'!$3:$3</definedName>
    <definedName name="_xlnm.Print_Titles" localSheetId="17">'Capability evidence'!$3:$3</definedName>
    <definedName name="_xlnm.Print_Titles" localSheetId="20">'Task Register'!$1:$1</definedName>
    <definedName name="_xlnm._FilterDatabase" localSheetId="21" hidden="1">'Flows'!$A$3:$F$30</definedName>
    <definedName name="_xlnm.Print_Titles" localSheetId="21">'Flows'!$3:$3</definedName>
    <definedName name="_xlnm.Print_Titles" localSheetId="22">'Baseline tasks'!$1:$1</definedName>
    <definedName name="_xlnm.Print_Titles" localSheetId="23">'Newly Added Tasks'!$1:$1</definedName>
    <definedName name="_xlnm.Print_Titles" localSheetId="24">'Growth OS'!$1:$1</definedName>
    <definedName name="_xlnm.Print_Titles" localSheetId="25">'Added flows'!$1:$1</definedName>
    <definedName name="_xlnm._FilterDatabase" localSheetId="26" hidden="1">'Persona Coverage'!$A$3:$H$23</definedName>
    <definedName name="_xlnm.Print_Titles" localSheetId="26">'Persona Coverage'!$3:$3</definedName>
    <definedName name="_xlnm._FilterDatabase" localSheetId="27" hidden="1">'Scope inventory'!$A$3:$C$76</definedName>
    <definedName name="_xlnm.Print_Titles" localSheetId="27">'Scope inventory'!$3:$3</definedName>
    <definedName name="_xlnm._FilterDatabase" localSheetId="28" hidden="1">'Competitive'!$A$3:$F$15</definedName>
    <definedName name="_xlnm.Print_Titles" localSheetId="28">'Competitive'!$3:$3</definedName>
    <definedName name="_xlnm._FilterDatabase" localSheetId="29" hidden="1">'UX and recovery'!$A$3:$F$13</definedName>
    <definedName name="_xlnm.Print_Titles" localSheetId="29">'UX and recovery'!$3:$3</definedName>
    <definedName name="_xlnm._FilterDatabase" localSheetId="30" hidden="1">'Security and SaaS'!$A$3:$F$12</definedName>
    <definedName name="_xlnm.Print_Titles" localSheetId="30">'Security and SaaS'!$3:$3</definedName>
    <definedName name="_xlnm._FilterDatabase" localSheetId="31" hidden="1">'Priority decisions'!$A$3:$F$63</definedName>
    <definedName name="_xlnm.Print_Titles" localSheetId="31">'Priority decisions'!$3:$3</definedName>
  </definedNames>
  <calcPr calcId="124519" calcMode="auto"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sz val="10"/>
    </font>
    <font>
      <name val="Calibri"/>
      <b val="1"/>
      <sz val="10"/>
    </font>
    <font>
      <name val="Calibri"/>
      <b val="1"/>
      <color rgb="009B1C1C"/>
      <sz val="10"/>
    </font>
    <font>
      <name val="Calibri"/>
      <b val="1"/>
      <color rgb="008A5A00"/>
      <sz val="10"/>
    </font>
    <font>
      <name val="Calibri"/>
      <b val="1"/>
      <color rgb="000D47A1"/>
      <sz val="10"/>
    </font>
    <font>
      <name val="Calibri"/>
      <b val="1"/>
      <color rgb="001B5E20"/>
      <sz val="10"/>
    </font>
    <font>
      <name val="Calibri"/>
      <b val="1"/>
      <color rgb="00E65100"/>
      <sz val="10"/>
    </font>
    <font>
      <name val="Calibri"/>
      <b val="1"/>
      <color rgb="004A148C"/>
      <sz val="10"/>
    </font>
    <font>
      <name val="Calibri"/>
      <b val="1"/>
      <color rgb="001F497D"/>
      <sz val="16"/>
    </font>
    <font>
      <name val="Calibri"/>
      <i val="1"/>
      <color rgb="00546E7A"/>
      <sz val="10"/>
    </font>
  </fonts>
  <fills count="14">
    <fill>
      <patternFill/>
    </fill>
    <fill>
      <patternFill patternType="gray125"/>
    </fill>
    <fill>
      <patternFill patternType="solid">
        <fgColor rgb="001F497D"/>
        <bgColor rgb="001F497D"/>
      </patternFill>
    </fill>
    <fill>
      <patternFill patternType="solid">
        <fgColor rgb="00FDECEA"/>
        <bgColor rgb="00FDECEA"/>
      </patternFill>
    </fill>
    <fill>
      <patternFill patternType="solid">
        <fgColor rgb="00FFF6E0"/>
        <bgColor rgb="00FFF6E0"/>
      </patternFill>
    </fill>
    <fill>
      <patternFill patternType="solid">
        <fgColor rgb="00E3F2FD"/>
        <bgColor rgb="00E3F2FD"/>
      </patternFill>
    </fill>
    <fill>
      <patternFill patternType="solid">
        <fgColor rgb="00E7F6EE"/>
        <bgColor rgb="00E7F6EE"/>
      </patternFill>
    </fill>
    <fill>
      <patternFill patternType="solid">
        <fgColor rgb="00FFE8CC"/>
        <bgColor rgb="00FFE8CC"/>
      </patternFill>
    </fill>
    <fill>
      <patternFill patternType="solid">
        <fgColor rgb="00F3E8FF"/>
        <bgColor rgb="00F3E8FF"/>
      </patternFill>
    </fill>
    <fill>
      <patternFill patternType="solid">
        <fgColor rgb="00455A64"/>
        <bgColor rgb="00455A64"/>
      </patternFill>
    </fill>
    <fill>
      <patternFill patternType="solid">
        <fgColor rgb="000D47A1"/>
        <bgColor rgb="000D47A1"/>
      </patternFill>
    </fill>
    <fill>
      <patternFill patternType="solid">
        <fgColor rgb="000277BD"/>
        <bgColor rgb="000277BD"/>
      </patternFill>
    </fill>
    <fill>
      <patternFill patternType="solid">
        <fgColor rgb="0000695C"/>
        <bgColor rgb="0000695C"/>
      </patternFill>
    </fill>
    <fill>
      <patternFill patternType="solid">
        <fgColor rgb="0037474F"/>
        <bgColor rgb="003747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0" fillId="0" borderId="0" pivotButton="0" quotePrefix="0" xfId="0"/>
    <xf numFmtId="0" fontId="11" fillId="0" borderId="0" applyAlignment="1" pivotButton="0" quotePrefix="0" xfId="0">
      <alignment vertical="center" wrapText="1"/>
    </xf>
    <xf numFmtId="0" fontId="1" fillId="2" borderId="0"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horizontal="center" vertical="center" wrapText="1"/>
    </xf>
    <xf numFmtId="0" fontId="3" fillId="0" borderId="0" pivotButton="0" quotePrefix="0" xfId="0"/>
    <xf numFmtId="0" fontId="3" fillId="0" borderId="1" pivotButton="0" quotePrefix="0" xfId="0"/>
    <xf numFmtId="0" fontId="2" fillId="0" borderId="1" pivotButton="0" quotePrefix="0" xfId="0"/>
    <xf numFmtId="0" fontId="11" fillId="0" borderId="0" pivotButton="0" quotePrefix="0" xfId="0"/>
    <xf numFmtId="0" fontId="3" fillId="0" borderId="0" applyAlignment="1" pivotButton="0" quotePrefix="0" xfId="0">
      <alignment vertical="center" wrapText="1"/>
    </xf>
    <xf numFmtId="0" fontId="1" fillId="2" borderId="0" pivotButton="0" quotePrefix="0" xfId="0"/>
    <xf numFmtId="0" fontId="1" fillId="13"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13"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ables/table1.xml><?xml version="1.0" encoding="utf-8"?>
<table xmlns="http://schemas.openxmlformats.org/spreadsheetml/2006/main" id="1" name="P0GapDecisions" displayName="P0GapDecisions" ref="A3:G20" headerRowCount="1">
  <autoFilter ref="A3:G20"/>
  <tableColumns count="7">
    <tableColumn id="1" name="Task ID"/>
    <tableColumn id="2" name="Claim"/>
    <tableColumn id="3" name="Validation status"/>
    <tableColumn id="4" name="Recommended next step"/>
    <tableColumn id="5" name="Decision"/>
    <tableColumn id="6" name="Decision owner"/>
    <tableColumn id="7" name="Decision date"/>
  </tableColumns>
  <tableStyleInfo name="TableStyleMedium2" showRowStripes="0"/>
</table>
</file>

<file path=xl/tables/table2.xml><?xml version="1.0" encoding="utf-8"?>
<table xmlns="http://schemas.openxmlformats.org/spreadsheetml/2006/main" id="2" name="WeeklySnapshot" displayName="WeeklySnapshot" ref="A3:K4" headerRowCount="1">
  <autoFilter ref="A3:K4"/>
  <tableColumns count="11">
    <tableColumn id="1" name="Week"/>
    <tableColumn id="2" name="Tasks"/>
    <tableColumn id="3" name="MVP"/>
    <tableColumn id="4" name="Pilot"/>
    <tableColumn id="5" name="Later"/>
    <tableColumn id="6" name="Open gaps"/>
    <tableColumn id="7" name="Partial"/>
    <tableColumn id="8" name="MVP tests passing"/>
    <tableColumn id="9" name="No owner"/>
    <tableColumn id="10" name="No test id"/>
    <tableColumn id="11" name="OS ready"/>
  </tableColumns>
  <tableStyleInfo name="TableStyleMedium2" showRowStripes="0"/>
</table>
</file>

<file path=xl/tables/table3.xml><?xml version="1.0" encoding="utf-8"?>
<table xmlns="http://schemas.openxmlformats.org/spreadsheetml/2006/main" id="3" name="ReviewDisposition" displayName="ReviewDisposition" ref="A3:C20" headerRowCount="1">
  <autoFilter ref="A3:C20"/>
  <tableColumns count="3">
    <tableColumn id="1" name="Comment"/>
    <tableColumn id="2" name="Decision"/>
    <tableColumn id="3" name="Why"/>
  </tableColumns>
  <tableStyleInfo name="TableStyleMedium2" showRowStripes="0"/>
</table>
</file>

<file path=xl/tables/table4.xml><?xml version="1.0" encoding="utf-8"?>
<table xmlns="http://schemas.openxmlformats.org/spreadsheetml/2006/main" id="4" name="BusinessEvents" displayName="BusinessEvents" ref="A3:F19" headerRowCount="1">
  <autoFilter ref="A3:F19"/>
  <tableColumns count="6">
    <tableColumn id="1" name="Event"/>
    <tableColumn id="2" name="State change in code"/>
    <tableColumn id="3" name="Downstream effects expected"/>
    <tableColumn id="4" name="Reversal in code"/>
    <tableColumn id="5" name="Audit"/>
    <tableColumn id="6" name="Proven"/>
  </tableColumns>
  <tableStyleInfo name="TableStyleMedium2" showRowStripes="0"/>
</table>
</file>

<file path=xl/tables/table5.xml><?xml version="1.0" encoding="utf-8"?>
<table xmlns="http://schemas.openxmlformats.org/spreadsheetml/2006/main" id="5" name="StateMachines" displayName="StateMachines" ref="A3:F21" headerRowCount="1">
  <autoFilter ref="A3:F21"/>
  <tableColumns count="6">
    <tableColumn id="1" name="Entity"/>
    <tableColumn id="2" name="Statuses in code"/>
    <tableColumn id="3" name="Actor"/>
    <tableColumn id="4" name="Transition tests"/>
    <tableColumn id="5" name="Rollback"/>
    <tableColumn id="6" name="Proven"/>
  </tableColumns>
  <tableStyleInfo name="TableStyleMedium2" showRowStripes="0"/>
</table>
</file>

<file path=xl/tables/table6.xml><?xml version="1.0" encoding="utf-8"?>
<table xmlns="http://schemas.openxmlformats.org/spreadsheetml/2006/main" id="6" name="BusinessIntegrity" displayName="BusinessIntegrity" ref="A3:E13" headerRowCount="1">
  <autoFilter ref="A3:E13"/>
  <tableColumns count="5">
    <tableColumn id="1" name="Domain"/>
    <tableColumn id="2" name="Invariant"/>
    <tableColumn id="3" name="Known handle in code"/>
    <tableColumn id="4" name="Gate on every transaction"/>
    <tableColumn id="5" name="Proven"/>
  </tableColumns>
  <tableStyleInfo name="TableStyleMedium2" showRowStripes="0"/>
</table>
</file>

<file path=xl/tables/table7.xml><?xml version="1.0" encoding="utf-8"?>
<table xmlns="http://schemas.openxmlformats.org/spreadsheetml/2006/main" id="7" name="FailureRecovery" displayName="FailureRecovery" ref="A3:D11" headerRowCount="1">
  <autoFilter ref="A3:D11"/>
  <tableColumns count="4">
    <tableColumn id="1" name="Case"/>
    <tableColumn id="2" name="What must remain true"/>
    <tableColumn id="3" name="Evidence"/>
    <tableColumn id="4" name="Proven"/>
  </tableColumns>
  <tableStyleInfo name="TableStyleMedium2" showRowStripes="0"/>
</table>
</file>

<file path=xl/tables/table8.xml><?xml version="1.0" encoding="utf-8"?>
<table xmlns="http://schemas.openxmlformats.org/spreadsheetml/2006/main" id="8" name="ConcurrencyMatrix" displayName="ConcurrencyMatrix" ref="A3:D13" headerRowCount="1">
  <autoFilter ref="A3:D13"/>
  <tableColumns count="4">
    <tableColumn id="1" name="Race"/>
    <tableColumn id="2" name="Harm if lost"/>
    <tableColumn id="3" name="Evidence"/>
    <tableColumn id="4" name="Proven"/>
  </tableColumns>
  <tableStyleInfo name="TableStyleMedium2" showRowStripes="0"/>
</table>
</file>

<file path=xl/tables/table9.xml><?xml version="1.0" encoding="utf-8"?>
<table xmlns="http://schemas.openxmlformats.org/spreadsheetml/2006/main" id="9" name="SecurityAssurance" displayName="SecurityAssurance" ref="A3:D14" headerRowCount="1">
  <autoFilter ref="A3:D14"/>
  <tableColumns count="4">
    <tableColumn id="1" name="Control"/>
    <tableColumn id="2" name="What was found"/>
    <tableColumn id="3" name="Evidence"/>
    <tableColumn id="4" name="Assured"/>
  </tableColumns>
  <tableStyleInfo name="TableStyleMedium2" showRowStripes="0"/>
</table>
</file>

<file path=xl/tables/table10.xml><?xml version="1.0" encoding="utf-8"?>
<table xmlns="http://schemas.openxmlformats.org/spreadsheetml/2006/main" id="10" name="IntegrationReliability" displayName="IntegrationReliability" ref="A3:E13" headerRowCount="1">
  <autoFilter ref="A3:E13"/>
  <tableColumns count="5">
    <tableColumn id="1" name="Integration"/>
    <tableColumn id="2" name="Idempotent"/>
    <tableColumn id="3" name="Observable"/>
    <tableColumn id="4" name="Recoverable"/>
    <tableColumn id="5" name="Proven"/>
  </tableColumns>
  <tableStyleInfo name="TableStyleMedium2" showRowStripes="0"/>
</table>
</file>

<file path=xl/tables/table11.xml><?xml version="1.0" encoding="utf-8"?>
<table xmlns="http://schemas.openxmlformats.org/spreadsheetml/2006/main" id="11" name="PerformanceSla" displayName="PerformanceSla" ref="A3:H16" headerRowCount="1">
  <autoFilter ref="A3:H16"/>
  <tableColumns count="8">
    <tableColumn id="1" name="Scenario"/>
    <tableColumn id="2" name="Dataset size"/>
    <tableColumn id="3" name="Concurrent users"/>
    <tableColumn id="4" name="Target"/>
    <tableColumn id="5" name="Actual"/>
    <tableColumn id="6" name="P95"/>
    <tableColumn id="7" name="P99"/>
    <tableColumn id="8" name="Pass or fail"/>
  </tableColumns>
  <tableStyleInfo name="TableStyleMedium2" showRowStripes="0"/>
</table>
</file>

<file path=xl/tables/table12.xml><?xml version="1.0" encoding="utf-8"?>
<table xmlns="http://schemas.openxmlformats.org/spreadsheetml/2006/main" id="12" name="CustomerEvidence" displayName="CustomerEvidence" ref="A3:F13" headerRowCount="1">
  <autoFilter ref="A3:F13"/>
  <tableColumns count="6">
    <tableColumn id="1" name="Hypothesis"/>
    <tableColumn id="2" name="Baseline"/>
    <tableColumn id="3" name="Experiment"/>
    <tableColumn id="4" name="Measurement"/>
    <tableColumn id="5" name="Result"/>
    <tableColumn id="6" name="Evidence"/>
  </tableColumns>
  <tableStyleInfo name="TableStyleMedium2" showRowStripes="0"/>
</table>
</file>

<file path=xl/tables/table13.xml><?xml version="1.0" encoding="utf-8"?>
<table xmlns="http://schemas.openxmlformats.org/spreadsheetml/2006/main" id="13" name="CapabilityEvidence" displayName="CapabilityEvidence" ref="A3:E20" headerRowCount="1">
  <autoFilter ref="A3:E20"/>
  <tableColumns count="5">
    <tableColumn id="1" name="Task ID"/>
    <tableColumn id="2" name="Claim"/>
    <tableColumn id="3" name="Validation status"/>
    <tableColumn id="4" name="Code evidence"/>
    <tableColumn id="5" name="Action"/>
  </tableColumns>
  <tableStyleInfo name="TableStyleMedium2" showRowStripes="0"/>
</table>
</file>

<file path=xl/tables/table14.xml><?xml version="1.0" encoding="utf-8"?>
<table xmlns="http://schemas.openxmlformats.org/spreadsheetml/2006/main" id="14" name="TaskRegister" displayName="TaskRegister" ref="A1:AU771" headerRowCount="1">
  <autoFilter ref="A1:AU77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5.xml><?xml version="1.0" encoding="utf-8"?>
<table xmlns="http://schemas.openxmlformats.org/spreadsheetml/2006/main" id="15" name="Baselinetasks" displayName="Baselinetasks" ref="A1:AU561" headerRowCount="1">
  <autoFilter ref="A1:AU56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6.xml><?xml version="1.0" encoding="utf-8"?>
<table xmlns="http://schemas.openxmlformats.org/spreadsheetml/2006/main" id="16" name="NewlyAddedTasks" displayName="NewlyAddedTasks" ref="A1:AU156" headerRowCount="1">
  <autoFilter ref="A1:AU156"/>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7.xml><?xml version="1.0" encoding="utf-8"?>
<table xmlns="http://schemas.openxmlformats.org/spreadsheetml/2006/main" id="17" name="GrowthOS" displayName="GrowthOS" ref="A1:AU26" headerRowCount="1">
  <autoFilter ref="A1:AU26"/>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8.xml><?xml version="1.0" encoding="utf-8"?>
<table xmlns="http://schemas.openxmlformats.org/spreadsheetml/2006/main" id="18" name="Addedflows" displayName="Addedflows" ref="A1:AU31" headerRowCount="1">
  <autoFilter ref="A1:AU3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table" Target="/xl/tables/table6.xml" Id="rId1" /></Relationships>
</file>

<file path=xl/worksheets/_rels/sheet12.xml.rels><Relationships xmlns="http://schemas.openxmlformats.org/package/2006/relationships"><Relationship Type="http://schemas.openxmlformats.org/officeDocument/2006/relationships/table" Target="/xl/tables/table7.xml" Id="rId1" /></Relationships>
</file>

<file path=xl/worksheets/_rels/sheet13.xml.rels><Relationships xmlns="http://schemas.openxmlformats.org/package/2006/relationships"><Relationship Type="http://schemas.openxmlformats.org/officeDocument/2006/relationships/table" Target="/xl/tables/table8.xml" Id="rId1" /></Relationships>
</file>

<file path=xl/worksheets/_rels/sheet14.xml.rels><Relationships xmlns="http://schemas.openxmlformats.org/package/2006/relationships"><Relationship Type="http://schemas.openxmlformats.org/officeDocument/2006/relationships/table" Target="/xl/tables/table9.xml" Id="rId1" /></Relationships>
</file>

<file path=xl/worksheets/_rels/sheet15.xml.rels><Relationships xmlns="http://schemas.openxmlformats.org/package/2006/relationships"><Relationship Type="http://schemas.openxmlformats.org/officeDocument/2006/relationships/table" Target="/xl/tables/table10.xml" Id="rId1" /></Relationships>
</file>

<file path=xl/worksheets/_rels/sheet16.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21.xml.rels><Relationships xmlns="http://schemas.openxmlformats.org/package/2006/relationships"><Relationship Type="http://schemas.openxmlformats.org/officeDocument/2006/relationships/table" Target="/xl/tables/table14.xml" Id="rId1" /></Relationships>
</file>

<file path=xl/worksheets/_rels/sheet23.xml.rels><Relationships xmlns="http://schemas.openxmlformats.org/package/2006/relationships"><Relationship Type="http://schemas.openxmlformats.org/officeDocument/2006/relationships/table" Target="/xl/tables/table15.xml" Id="rId1" /></Relationships>
</file>

<file path=xl/worksheets/_rels/sheet24.xml.rels><Relationships xmlns="http://schemas.openxmlformats.org/package/2006/relationships"><Relationship Type="http://schemas.openxmlformats.org/officeDocument/2006/relationships/table" Target="/xl/tables/table16.xml" Id="rId1" /></Relationships>
</file>

<file path=xl/worksheets/_rels/sheet25.xml.rels><Relationships xmlns="http://schemas.openxmlformats.org/package/2006/relationships"><Relationship Type="http://schemas.openxmlformats.org/officeDocument/2006/relationships/table" Target="/xl/tables/table17.xml" Id="rId1" /></Relationships>
</file>

<file path=xl/worksheets/_rels/sheet26.xml.rels><Relationships xmlns="http://schemas.openxmlformats.org/package/2006/relationships"><Relationship Type="http://schemas.openxmlformats.org/officeDocument/2006/relationships/table" Target="/xl/tables/table18.xml" Id="rId1" /></Relationships>
</file>

<file path=xl/worksheets/sheet1.xml><?xml version="1.0" encoding="utf-8"?>
<worksheet xmlns="http://schemas.openxmlformats.org/spreadsheetml/2006/main">
  <sheetPr>
    <tabColor rgb="00C65911"/>
    <outlinePr summaryBelow="1" summaryRight="1"/>
    <pageSetUpPr fitToPage="1"/>
  </sheetPr>
  <dimension ref="A1:G27"/>
  <sheetViews>
    <sheetView showGridLines="0" workbookViewId="0">
      <selection activeCell="A1" sqref="A1"/>
    </sheetView>
  </sheetViews>
  <sheetFormatPr baseColWidth="8" defaultRowHeight="15" outlineLevelCol="0"/>
  <cols>
    <col width="36" customWidth="1" min="1" max="1"/>
    <col width="28" customWidth="1" min="2" max="2"/>
    <col width="78" customWidth="1" min="3" max="3"/>
  </cols>
  <sheetData>
    <row r="1" ht="28" customHeight="1">
      <c r="A1" s="1" t="inlineStr">
        <is>
          <t>Founder view</t>
        </is>
      </c>
    </row>
    <row r="2" ht="32" customHeight="1">
      <c r="A2" s="2" t="inlineStr">
        <is>
          <t>Live counts from the task register. A task is verified only when Verification result is Pass. That column is Not run until a test is linked. OS ready stays at zero until all five gates have evidence.</t>
        </is>
      </c>
    </row>
    <row r="3">
      <c r="A3" s="3" t="inlineStr">
        <is>
          <t>Question</t>
        </is>
      </c>
      <c r="B3" s="3" t="inlineStr">
        <is>
          <t>Count</t>
        </is>
      </c>
      <c r="C3" s="3" t="inlineStr">
        <is>
          <t>How to read it</t>
        </is>
      </c>
    </row>
    <row r="4" ht="32" customHeight="1">
      <c r="A4" s="4" t="inlineStr">
        <is>
          <t>Tasks</t>
        </is>
      </c>
      <c r="B4" s="4">
        <f>COUNTA(TaskRegister[Task ID])</f>
        <v/>
      </c>
      <c r="C4" s="5" t="inlineStr">
        <is>
          <t>The frozen universe.</t>
        </is>
      </c>
    </row>
    <row r="5" ht="32" customHeight="1">
      <c r="A5" s="4" t="inlineStr">
        <is>
          <t>MVP (current P0)</t>
        </is>
      </c>
      <c r="B5" s="4">
        <f>COUNTIF(TaskRegister[Release gate],"MVP")</f>
        <v/>
      </c>
      <c r="C5" s="5" t="inlineStr">
        <is>
          <t>Pilot scope to approve or cut. Release gate is not frozen until you sign it.</t>
        </is>
      </c>
    </row>
    <row r="6" ht="32" customHeight="1">
      <c r="A6" s="4" t="inlineStr">
        <is>
          <t>Pilot (core P1, RUN or CONTROL)</t>
        </is>
      </c>
      <c r="B6" s="4">
        <f>COUNTIF(TaskRegister[Release gate],"Pilot")</f>
        <v/>
      </c>
      <c r="C6" s="5" t="inlineStr">
        <is>
          <t>Comes after MVP. This is a rule, not a target of 290.</t>
        </is>
      </c>
    </row>
    <row r="7" ht="32" customHeight="1">
      <c r="A7" s="4" t="inlineStr">
        <is>
          <t>Later</t>
        </is>
      </c>
      <c r="B7" s="4">
        <f>COUNTIF(TaskRegister[Release gate],"Later")</f>
        <v/>
      </c>
      <c r="C7" s="5" t="inlineStr">
        <is>
          <t>Hidden from the pilot board. Still in the register.</t>
        </is>
      </c>
    </row>
    <row r="8" ht="32" customHeight="1">
      <c r="A8" s="4" t="inlineStr">
        <is>
          <t>MVP with a passing test</t>
        </is>
      </c>
      <c r="B8" s="4">
        <f>COUNTIFS(TaskRegister[Release gate],"MVP",TaskRegister[Verification result],"Pass")</f>
        <v/>
      </c>
      <c r="C8" s="5" t="inlineStr">
        <is>
          <t>Go / no-go numerator. Threshold is a decision, not a formula.</t>
        </is>
      </c>
    </row>
    <row r="9" ht="32" customHeight="1">
      <c r="A9" s="4" t="inlineStr">
        <is>
          <t>MVP with a test id</t>
        </is>
      </c>
      <c r="B9" s="4">
        <f>COUNTIFS(TaskRegister[Release gate],"MVP",TaskRegister[Test case ID],"&lt;&gt;")</f>
        <v/>
      </c>
      <c r="C9" s="5" t="inlineStr">
        <is>
          <t>Linked tests that have not been scored as a pass.</t>
        </is>
      </c>
    </row>
    <row r="10" ht="32" customHeight="1">
      <c r="A10" s="4" t="inlineStr">
        <is>
          <t>Open gaps</t>
        </is>
      </c>
      <c r="B10" s="4">
        <f>COUNTIF(TaskRegister[Work status],"Gap")</f>
        <v/>
      </c>
      <c r="C10" s="5" t="inlineStr">
        <is>
          <t>Mechanism not found. Do not claim these.</t>
        </is>
      </c>
    </row>
    <row r="11" ht="32" customHeight="1">
      <c r="A11" s="4" t="inlineStr">
        <is>
          <t>Built, only partly</t>
        </is>
      </c>
      <c r="B11" s="4">
        <f>COUNTIF(TaskRegister[Work status],"Built - partial")</f>
        <v/>
      </c>
      <c r="C11" s="5" t="inlineStr">
        <is>
          <t>The partial claims.</t>
        </is>
      </c>
    </row>
    <row r="12" ht="32" customHeight="1">
      <c r="A12" s="4" t="inlineStr">
        <is>
          <t>Tasks with no owner</t>
        </is>
      </c>
      <c r="B12" s="4">
        <f>COUNTBLANK(TaskRegister[Owner])</f>
        <v/>
      </c>
      <c r="C12" s="5" t="inlineStr">
        <is>
          <t>Fill owners on MVP rows first.</t>
        </is>
      </c>
    </row>
    <row r="13" ht="32" customHeight="1">
      <c r="A13" s="4" t="inlineStr">
        <is>
          <t>Tasks with no test id</t>
        </is>
      </c>
      <c r="B13" s="4">
        <f>COUNTBLANK(TaskRegister[Test case ID])</f>
        <v/>
      </c>
      <c r="C13" s="5" t="inlineStr">
        <is>
          <t>Validation status does not fill this.</t>
        </is>
      </c>
    </row>
    <row r="14" ht="32" customHeight="1">
      <c r="A14" s="4" t="inlineStr">
        <is>
          <t>Tasks marked OS ready</t>
        </is>
      </c>
      <c r="B14" s="4">
        <f>COUNTIF(TaskRegister[OS ready],"Yes")</f>
        <v/>
      </c>
      <c r="C14" s="5" t="inlineStr">
        <is>
          <t>Stays at zero until G1 to G5 each have evidence.</t>
        </is>
      </c>
    </row>
    <row r="16">
      <c r="A16" s="1" t="inlineStr">
        <is>
          <t>Four-week routine</t>
        </is>
      </c>
    </row>
    <row r="17" ht="32" customHeight="1">
      <c r="A17" s="6" t="inlineStr">
        <is>
          <t>Week 1. Fill Decision owner and Decision date on P0 gap decisions. Approve or edit Proposed priority, then treat Release gate as frozen.</t>
        </is>
      </c>
    </row>
    <row r="18" ht="32" customHeight="1">
      <c r="A18" s="6" t="inlineStr">
        <is>
          <t>Week 2. The compliance gaps stay open until someone builds them: admin second factor, a nightly invariant check with an alert, and an audit event test per posting action. This sheet does not mark them done.</t>
        </is>
      </c>
    </row>
    <row r="19" ht="32" customHeight="1">
      <c r="A19" s="6" t="inlineStr">
        <is>
          <t>Week 3. Add one Test case ID per MVP task, money and stock and tax first. Set Verification result to Pass only when that test passes. Re-run the Postgres concurrency tests; they are still Not verified.</t>
        </is>
      </c>
    </row>
    <row r="20" ht="32" customHeight="1">
      <c r="A20" s="6" t="inlineStr">
        <is>
          <t>Week 4. Fill Performance SLA actuals from a large-tenant seed, and Customer evidence from one pilot. Competitive targets stay hypotheses until then.</t>
        </is>
      </c>
    </row>
    <row r="22">
      <c r="A22" s="1" t="inlineStr">
        <is>
          <t>Day to day</t>
        </is>
      </c>
    </row>
    <row r="23" ht="28" customHeight="1">
      <c r="A23" s="4" t="inlineStr">
        <is>
          <t>Sprint planning</t>
        </is>
      </c>
      <c r="B23" s="5" t="inlineStr">
        <is>
          <t>Filter Task Register: Release gate = MVP, Work status = Gap or Built - unverified or Claimed - unverified, sort by Risk score.</t>
        </is>
      </c>
      <c r="C23" s="7" t="n"/>
    </row>
    <row r="24" ht="28" customHeight="1">
      <c r="A24" s="4" t="inlineStr">
        <is>
          <t>Pilot go / no-go</t>
        </is>
      </c>
      <c r="B24" s="5" t="inlineStr">
        <is>
          <t>MVP with a passing test, divided by MVP. Pick the threshold in the room. The sheet does not invent 90 percent.</t>
        </is>
      </c>
      <c r="C24" s="7" t="n"/>
    </row>
    <row r="25" ht="28" customHeight="1">
      <c r="A25" s="4" t="inlineStr">
        <is>
          <t>Due diligence</t>
        </is>
      </c>
      <c r="B25" s="5" t="inlineStr">
        <is>
          <t>Share P0 gap decisions, Security assurance, and Business integrity. The Not verified labels are the point.</t>
        </is>
      </c>
      <c r="C25" s="7" t="n"/>
    </row>
    <row r="26" ht="28" customHeight="1">
      <c r="A26" s="4" t="inlineStr">
        <is>
          <t>Hiring</t>
        </is>
      </c>
      <c r="B26" s="5" t="inlineStr">
        <is>
          <t>Role rollup on OS architecture names the area. Owner on the register names the person.</t>
        </is>
      </c>
      <c r="C26" s="7" t="n"/>
    </row>
    <row r="27" ht="28" customHeight="1">
      <c r="A27" s="4" t="inlineStr">
        <is>
          <t>Release notes</t>
        </is>
      </c>
      <c r="B27" s="5" t="inlineStr">
        <is>
          <t>Verification result = Pass. Validation status alone is an author or review label.</t>
        </is>
      </c>
      <c r="C27" s="7" t="n"/>
    </row>
  </sheetData>
  <mergeCells count="10">
    <mergeCell ref="B24:C24"/>
    <mergeCell ref="A19:C19"/>
    <mergeCell ref="B25:C25"/>
    <mergeCell ref="A17:C17"/>
    <mergeCell ref="A18:C18"/>
    <mergeCell ref="B23:C23"/>
    <mergeCell ref="A2:G2"/>
    <mergeCell ref="B26:C26"/>
    <mergeCell ref="B27:C27"/>
    <mergeCell ref="A20:C20"/>
  </mergeCells>
  <pageMargins left="0.75" right="0.75" top="1" bottom="1" header="0.5" footer="0.5"/>
  <pageSetup orientation="landscape" paperSize="9" fitToHeight="1" fitToWidth="1"/>
  <headerFooter>
    <oddHeader>&amp;LBizBoard founder view</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8"/>
  <sheetViews>
    <sheetView showGridLines="0" workbookViewId="0">
      <selection activeCell="A1" sqref="A1"/>
    </sheetView>
  </sheetViews>
  <sheetFormatPr baseColWidth="8" defaultRowHeight="15" outlineLevelCol="0"/>
  <cols>
    <col width="32" customWidth="1" min="1" max="1"/>
    <col width="28" customWidth="1" min="2" max="2"/>
    <col width="28" customWidth="1" min="3" max="3"/>
    <col width="28" customWidth="1" min="4" max="4"/>
    <col width="28" customWidth="1" min="5" max="5"/>
    <col width="28" customWidth="1" min="6" max="6"/>
  </cols>
  <sheetData>
    <row r="1" ht="28" customHeight="1">
      <c r="A1" s="1" t="inlineStr">
        <is>
          <t>Pilot readiness</t>
        </is>
      </c>
    </row>
    <row r="2" ht="32" customHeight="1">
      <c r="A2" s="2" t="inlineStr">
        <is>
          <t>Three personas only. A gate count is tasks with evidence, and there is no evidence yet, so the passed columns stay at zero. OS ready is not awarded here.</t>
        </is>
      </c>
    </row>
    <row r="3">
      <c r="A3" s="3" t="inlineStr">
        <is>
          <t>Persona</t>
        </is>
      </c>
      <c r="B3" s="3" t="inlineStr">
        <is>
          <t>Tasks</t>
        </is>
      </c>
      <c r="C3" s="3" t="inlineStr">
        <is>
          <t>MVP tasks</t>
        </is>
      </c>
      <c r="D3" s="3" t="inlineStr">
        <is>
          <t>G1 to G5 passed</t>
        </is>
      </c>
      <c r="E3" s="3" t="inlineStr">
        <is>
          <t>With a passing test</t>
        </is>
      </c>
      <c r="F3" s="3" t="inlineStr">
        <is>
          <t>OS ready</t>
        </is>
      </c>
    </row>
    <row r="4" ht="22" customHeight="1">
      <c r="A4" s="4" t="inlineStr">
        <is>
          <t>Kirana Shop Owner</t>
        </is>
      </c>
      <c r="B4" s="8">
        <f>COUNTIF(TaskRegister[Persona / Scope],A4)</f>
        <v/>
      </c>
      <c r="C4" s="8">
        <f>COUNTIFS(TaskRegister[Persona / Scope],A4,TaskRegister[Release gate],"MVP")</f>
        <v/>
      </c>
      <c r="D4" s="8" t="n">
        <v>0</v>
      </c>
      <c r="E4" s="8">
        <f>COUNTIFS(TaskRegister[Persona / Scope],A4,TaskRegister[Verification result],"Pass")</f>
        <v/>
      </c>
      <c r="F4" s="8">
        <f>COUNTIFS(TaskRegister[Persona / Scope],A4,TaskRegister[OS ready],"Yes")</f>
        <v/>
      </c>
    </row>
    <row r="5" ht="22" customHeight="1">
      <c r="A5" s="4" t="inlineStr">
        <is>
          <t>Distributor</t>
        </is>
      </c>
      <c r="B5" s="8">
        <f>COUNTIF(TaskRegister[Persona / Scope],A5)</f>
        <v/>
      </c>
      <c r="C5" s="8">
        <f>COUNTIFS(TaskRegister[Persona / Scope],A5,TaskRegister[Release gate],"MVP")</f>
        <v/>
      </c>
      <c r="D5" s="8" t="n">
        <v>0</v>
      </c>
      <c r="E5" s="8">
        <f>COUNTIFS(TaskRegister[Persona / Scope],A5,TaskRegister[Verification result],"Pass")</f>
        <v/>
      </c>
      <c r="F5" s="8">
        <f>COUNTIFS(TaskRegister[Persona / Scope],A5,TaskRegister[OS ready],"Yes")</f>
        <v/>
      </c>
    </row>
    <row r="6" ht="22" customHeight="1">
      <c r="A6" s="4" t="inlineStr">
        <is>
          <t>Accountant / GST Operator</t>
        </is>
      </c>
      <c r="B6" s="8">
        <f>COUNTIF(TaskRegister[Persona / Scope],A6)</f>
        <v/>
      </c>
      <c r="C6" s="8">
        <f>COUNTIFS(TaskRegister[Persona / Scope],A6,TaskRegister[Release gate],"MVP")</f>
        <v/>
      </c>
      <c r="D6" s="8" t="n">
        <v>0</v>
      </c>
      <c r="E6" s="8">
        <f>COUNTIFS(TaskRegister[Persona / Scope],A6,TaskRegister[Verification result],"Pass")</f>
        <v/>
      </c>
      <c r="F6" s="8">
        <f>COUNTIFS(TaskRegister[Persona / Scope],A6,TaskRegister[OS ready],"Yes")</f>
        <v/>
      </c>
    </row>
    <row r="8" ht="32" customHeight="1">
      <c r="A8" s="9" t="inlineStr">
        <is>
          <t>Why these three</t>
        </is>
      </c>
      <c r="B8" s="6" t="inlineStr">
        <is>
          <t>Kirana owner, distributor, and accountant are the first pilot desks. Other personas stay in the register and are not in this go / no-go.</t>
        </is>
      </c>
    </row>
  </sheetData>
  <mergeCells count="2">
    <mergeCell ref="A2:G2"/>
    <mergeCell ref="B8:F8"/>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55" customWidth="1" min="2" max="2"/>
    <col width="22" customWidth="1" min="3" max="3"/>
    <col width="55" customWidth="1" min="4" max="4"/>
    <col width="28" customWidth="1" min="5" max="5"/>
    <col width="22" customWidth="1" min="6" max="6"/>
    <col width="18" customWidth="1" min="7" max="7"/>
  </cols>
  <sheetData>
    <row r="1" ht="28" customHeight="1">
      <c r="A1" s="1" t="inlineStr">
        <is>
          <t>P0 gap decisions</t>
        </is>
      </c>
    </row>
    <row r="2" ht="32" customHeight="1">
      <c r="A2" s="2" t="inlineStr">
        <is>
          <t>Open claims only. Fill Decision, Decision owner, and Decision date in week 1. Blank means the decision is not made.</t>
        </is>
      </c>
    </row>
    <row r="3">
      <c r="A3" s="3" t="inlineStr">
        <is>
          <t>Task ID</t>
        </is>
      </c>
      <c r="B3" s="3" t="inlineStr">
        <is>
          <t>Claim</t>
        </is>
      </c>
      <c r="C3" s="3" t="inlineStr">
        <is>
          <t>Validation status</t>
        </is>
      </c>
      <c r="D3" s="3" t="inlineStr">
        <is>
          <t>Recommended next step</t>
        </is>
      </c>
      <c r="E3" s="3" t="inlineStr">
        <is>
          <t>Decision</t>
        </is>
      </c>
      <c r="F3" s="3" t="inlineStr">
        <is>
          <t>Decision owner</t>
        </is>
      </c>
      <c r="G3" s="3" t="inlineStr">
        <is>
          <t>Decision date</t>
        </is>
      </c>
    </row>
    <row r="4" ht="36" customHeight="1">
      <c r="A4" s="5" t="inlineStr">
        <is>
          <t>C-0603</t>
        </is>
      </c>
      <c r="B4" s="5" t="inlineStr">
        <is>
          <t>Section 16(4) time-barring automated alert and ITC exclusion engine</t>
        </is>
      </c>
      <c r="C4" s="5" t="inlineStr">
        <is>
          <t>Mechanism not found</t>
        </is>
      </c>
      <c r="D4" s="5" t="inlineStr">
        <is>
          <t>Leave it out of the pilot, or accept a build. Do not describe it as present.</t>
        </is>
      </c>
      <c r="E4" s="5" t="inlineStr"/>
      <c r="F4" s="5" t="inlineStr"/>
      <c r="G4" s="5" t="inlineStr"/>
    </row>
    <row r="5" ht="36" customHeight="1">
      <c r="A5" s="5" t="inlineStr">
        <is>
          <t>C-0614</t>
        </is>
      </c>
      <c r="B5" s="5" t="inlineStr">
        <is>
          <t>Section 206AB / 206CCA active compliance verification via Income Tax Department PAN utility</t>
        </is>
      </c>
      <c r="C5" s="5" t="inlineStr">
        <is>
          <t>Mechanism not found</t>
        </is>
      </c>
      <c r="D5" s="5" t="inlineStr">
        <is>
          <t>Leave it out of the pilot, or accept a build. Do not describe it as present.</t>
        </is>
      </c>
      <c r="E5" s="5" t="inlineStr"/>
      <c r="F5" s="5" t="inlineStr"/>
      <c r="G5" s="5" t="inlineStr"/>
    </row>
    <row r="6" ht="36" customHeight="1">
      <c r="A6" s="5" t="inlineStr">
        <is>
          <t>P-0115</t>
        </is>
      </c>
      <c r="B6" s="5" t="inlineStr">
        <is>
          <t>Maintain an audit trail</t>
        </is>
      </c>
      <c r="C6" s="5" t="inlineStr">
        <is>
          <t>Partial</t>
        </is>
      </c>
      <c r="D6" s="5" t="inlineStr">
        <is>
          <t>Keep the corrected limit in the pilot story. Build the missing piece only if you accept it into MVP.</t>
        </is>
      </c>
      <c r="E6" s="5" t="inlineStr"/>
      <c r="F6" s="5" t="inlineStr"/>
      <c r="G6" s="5" t="inlineStr"/>
    </row>
    <row r="7" ht="36" customHeight="1">
      <c r="A7" s="5" t="inlineStr">
        <is>
          <t>P-0507</t>
        </is>
      </c>
      <c r="B7" s="5" t="inlineStr">
        <is>
          <t>Audit MCA mandated immutable audit trail (Rule 11(g) Companies Audit Rules)</t>
        </is>
      </c>
      <c r="C7" s="5" t="inlineStr">
        <is>
          <t>Partial</t>
        </is>
      </c>
      <c r="D7" s="5" t="inlineStr">
        <is>
          <t>Keep the corrected limit in the pilot story. Build the missing piece only if you accept it into MVP.</t>
        </is>
      </c>
      <c r="E7" s="5" t="inlineStr"/>
      <c r="F7" s="5" t="inlineStr"/>
      <c r="G7" s="5" t="inlineStr"/>
    </row>
    <row r="8" ht="36" customHeight="1">
      <c r="A8" s="5" t="inlineStr">
        <is>
          <t>S-0561</t>
        </is>
      </c>
      <c r="B8" s="5" t="inlineStr">
        <is>
          <t>Automated background trial balance zero-sum verification worker</t>
        </is>
      </c>
      <c r="C8" s="5" t="inlineStr">
        <is>
          <t>Partial</t>
        </is>
      </c>
      <c r="D8" s="5" t="inlineStr">
        <is>
          <t>Trial balance exists. A nightly invariant check with an alert does not. Decide whether to build the check.</t>
        </is>
      </c>
      <c r="E8" s="5" t="inlineStr"/>
      <c r="F8" s="5" t="inlineStr"/>
      <c r="G8" s="5" t="inlineStr"/>
    </row>
    <row r="9" ht="36" customHeight="1">
      <c r="A9" s="5" t="inlineStr">
        <is>
          <t>S-0562</t>
        </is>
      </c>
      <c r="B9" s="5" t="inlineStr">
        <is>
          <t>Orphaned inventory allocation release worker on expired cart sessions</t>
        </is>
      </c>
      <c r="C9" s="5" t="inlineStr">
        <is>
          <t>Partial</t>
        </is>
      </c>
      <c r="D9" s="5" t="inlineStr">
        <is>
          <t>Keep the corrected limit in the pilot story. Build the missing piece only if you accept it into MVP.</t>
        </is>
      </c>
      <c r="E9" s="5" t="inlineStr"/>
      <c r="F9" s="5" t="inlineStr"/>
      <c r="G9" s="5" t="inlineStr"/>
    </row>
    <row r="10" ht="36" customHeight="1">
      <c r="A10" s="5" t="inlineStr">
        <is>
          <t>S-0574</t>
        </is>
      </c>
      <c r="B10" s="5" t="inlineStr">
        <is>
          <t>Threshold-based anomaly detector for unusual cash discounts or abnormal bill amounts</t>
        </is>
      </c>
      <c r="C10" s="5" t="inlineStr">
        <is>
          <t>Mechanism not found</t>
        </is>
      </c>
      <c r="D10" s="5" t="inlineStr">
        <is>
          <t>Leave it out of the pilot, or accept a build. Do not describe it as present.</t>
        </is>
      </c>
      <c r="E10" s="5" t="inlineStr"/>
      <c r="F10" s="5" t="inlineStr"/>
      <c r="G10" s="5" t="inlineStr"/>
    </row>
    <row r="11" ht="36" customHeight="1">
      <c r="A11" s="5" t="inlineStr">
        <is>
          <t>S-0579</t>
        </is>
      </c>
      <c r="B11" s="5" t="inlineStr">
        <is>
          <t>Tamper-evident cryptographic hash chaining on audit trail activity records</t>
        </is>
      </c>
      <c r="C11" s="5" t="inlineStr">
        <is>
          <t>Mechanism not found</t>
        </is>
      </c>
      <c r="D11" s="5" t="inlineStr">
        <is>
          <t>Leave it out of the pilot, or accept a build. Do not describe it as present.</t>
        </is>
      </c>
      <c r="E11" s="5" t="inlineStr"/>
      <c r="F11" s="5" t="inlineStr"/>
      <c r="G11" s="5" t="inlineStr"/>
    </row>
    <row r="12" ht="36" customHeight="1">
      <c r="A12" s="5" t="inlineStr">
        <is>
          <t>SEC-0624</t>
        </is>
      </c>
      <c r="B12" s="5" t="inlineStr">
        <is>
          <t>Time-based One-Time Password (TOTP) two-factor authentication (2FA) for admin roles</t>
        </is>
      </c>
      <c r="C12" s="5" t="inlineStr">
        <is>
          <t>Mechanism not found</t>
        </is>
      </c>
      <c r="D12" s="5" t="inlineStr">
        <is>
          <t>Admin second factor is not in the product. Decide whether MVP requires it before a bank or auditor review.</t>
        </is>
      </c>
      <c r="E12" s="5" t="inlineStr"/>
      <c r="F12" s="5" t="inlineStr"/>
      <c r="G12" s="5" t="inlineStr"/>
    </row>
    <row r="13" ht="36" customHeight="1">
      <c r="A13" s="5" t="inlineStr">
        <is>
          <t>UX-0581</t>
        </is>
      </c>
      <c r="B13" s="5" t="inlineStr">
        <is>
          <t>Full keyboard-only hotkey navigation across POS rapid checkout</t>
        </is>
      </c>
      <c r="C13" s="5" t="inlineStr">
        <is>
          <t>Partial</t>
        </is>
      </c>
      <c r="D13" s="5" t="inlineStr">
        <is>
          <t>Keep the corrected limit in the pilot story. Build the missing piece only if you accept it into MVP.</t>
        </is>
      </c>
      <c r="E13" s="5" t="inlineStr"/>
      <c r="F13" s="5" t="inlineStr"/>
      <c r="G13" s="5" t="inlineStr"/>
    </row>
    <row r="14" ht="36" customHeight="1">
      <c r="A14" s="5" t="inlineStr">
        <is>
          <t>UX-0582</t>
        </is>
      </c>
      <c r="B14" s="5" t="inlineStr">
        <is>
          <t>Multi-cart hold and recall tabs for interrupted counter checkout</t>
        </is>
      </c>
      <c r="C14" s="5" t="inlineStr">
        <is>
          <t>Partial</t>
        </is>
      </c>
      <c r="D14" s="5" t="inlineStr">
        <is>
          <t>Keep the corrected limit in the pilot story. Build the missing piece only if you accept it into MVP.</t>
        </is>
      </c>
      <c r="E14" s="5" t="inlineStr"/>
      <c r="F14" s="5" t="inlineStr"/>
      <c r="G14" s="5" t="inlineStr"/>
    </row>
    <row r="15" ht="36" customHeight="1">
      <c r="A15" s="5" t="inlineStr">
        <is>
          <t>UX-0586</t>
        </is>
      </c>
      <c r="B15" s="5" t="inlineStr">
        <is>
          <t>Global omnibar quick-search (Ctrl+K / Cmd+K) across commands, customers, and invoices</t>
        </is>
      </c>
      <c r="C15" s="5" t="inlineStr">
        <is>
          <t>Mechanism not found</t>
        </is>
      </c>
      <c r="D15" s="5" t="inlineStr">
        <is>
          <t>Leave it out of the pilot, or accept a build. Do not describe it as present.</t>
        </is>
      </c>
      <c r="E15" s="5" t="inlineStr"/>
      <c r="F15" s="5" t="inlineStr"/>
      <c r="G15" s="5" t="inlineStr"/>
    </row>
    <row r="16" ht="36" customHeight="1">
      <c r="A16" s="5" t="inlineStr">
        <is>
          <t>UX-0588</t>
        </is>
      </c>
      <c r="B16" s="5" t="inlineStr">
        <is>
          <t>Visual warehouse shelf/rack visual locator badge on stock search</t>
        </is>
      </c>
      <c r="C16" s="5" t="inlineStr">
        <is>
          <t>Mechanism not found</t>
        </is>
      </c>
      <c r="D16" s="5" t="inlineStr">
        <is>
          <t>Leave it out of the pilot, or accept a build. Do not describe it as present.</t>
        </is>
      </c>
      <c r="E16" s="5" t="inlineStr"/>
      <c r="F16" s="5" t="inlineStr"/>
      <c r="G16" s="5" t="inlineStr"/>
    </row>
    <row r="17" ht="36" customHeight="1">
      <c r="A17" s="5" t="inlineStr">
        <is>
          <t>UX-0590</t>
        </is>
      </c>
      <c r="B17" s="5" t="inlineStr">
        <is>
          <t>Deterministic progress bar with estimated time remaining on bulk CSV imports</t>
        </is>
      </c>
      <c r="C17" s="5" t="inlineStr">
        <is>
          <t>Mechanism not found</t>
        </is>
      </c>
      <c r="D17" s="5" t="inlineStr">
        <is>
          <t>Leave it out of the pilot, or accept a build. Do not describe it as present.</t>
        </is>
      </c>
      <c r="E17" s="5" t="inlineStr"/>
      <c r="F17" s="5" t="inlineStr"/>
      <c r="G17" s="5" t="inlineStr"/>
    </row>
    <row r="18" ht="36" customHeight="1">
      <c r="A18" s="5" t="inlineStr">
        <is>
          <t>UX-0591</t>
        </is>
      </c>
      <c r="B18" s="5" t="inlineStr">
        <is>
          <t>One-click 'Privacy Mask' toggle hiding rupee figures from bystander view</t>
        </is>
      </c>
      <c r="C18" s="5" t="inlineStr">
        <is>
          <t>Mechanism not found</t>
        </is>
      </c>
      <c r="D18" s="5" t="inlineStr">
        <is>
          <t>Leave it out of the pilot, or accept a build. Do not describe it as present.</t>
        </is>
      </c>
      <c r="E18" s="5" t="inlineStr"/>
      <c r="F18" s="5" t="inlineStr"/>
      <c r="G18" s="5" t="inlineStr"/>
    </row>
    <row r="19" ht="36" customHeight="1">
      <c r="A19" s="5" t="inlineStr">
        <is>
          <t>X-0432</t>
        </is>
      </c>
      <c r="B19" s="5" t="inlineStr">
        <is>
          <t>Critical transaction → immutable audit trail exists</t>
        </is>
      </c>
      <c r="C19" s="5" t="inlineStr">
        <is>
          <t>Partial</t>
        </is>
      </c>
      <c r="D19" s="5" t="inlineStr">
        <is>
          <t>Keep the corrected limit in the pilot story. Build the missing piece only if you accept it into MVP.</t>
        </is>
      </c>
      <c r="E19" s="5" t="inlineStr"/>
      <c r="F19" s="5" t="inlineStr"/>
      <c r="G19" s="5" t="inlineStr"/>
    </row>
    <row r="20" ht="36" customHeight="1">
      <c r="A20" s="5" t="inlineStr">
        <is>
          <t>X-0522</t>
        </is>
      </c>
      <c r="B20" s="5" t="inlineStr">
        <is>
          <t>Apply higher TDS/TCS penalty rates (5%) for non-filers under Section 206AB / Section 206CCA</t>
        </is>
      </c>
      <c r="C20" s="5" t="inlineStr">
        <is>
          <t>Mechanism not found</t>
        </is>
      </c>
      <c r="D20" s="5" t="inlineStr">
        <is>
          <t>Leave it out of the pilot, or accept a build. Do not describe it as present.</t>
        </is>
      </c>
      <c r="E20" s="5" t="inlineStr"/>
      <c r="F20" s="5" t="inlineStr"/>
      <c r="G20" s="5"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5"/>
  <sheetViews>
    <sheetView showGridLines="0" workbookViewId="0">
      <pane ySplit="3" topLeftCell="A4" activePane="bottomLeft" state="frozen"/>
      <selection pane="bottomLeft" activeCell="A1" sqref="A1"/>
    </sheetView>
  </sheetViews>
  <sheetFormatPr baseColWidth="8" defaultRowHeight="15" outlineLevelCol="0"/>
  <cols>
    <col width="16" customWidth="1" min="1" max="1"/>
    <col width="12" customWidth="1" min="2" max="2"/>
    <col width="12" customWidth="1" min="3" max="3"/>
    <col width="12" customWidth="1" min="4" max="4"/>
    <col width="12" customWidth="1" min="5" max="5"/>
    <col width="14" customWidth="1" min="6" max="6"/>
    <col width="12" customWidth="1" min="7" max="7"/>
    <col width="20" customWidth="1" min="8" max="8"/>
    <col width="14" customWidth="1" min="9" max="9"/>
    <col width="14" customWidth="1" min="10" max="10"/>
    <col width="12" customWidth="1" min="11" max="11"/>
  </cols>
  <sheetData>
    <row r="1" ht="28" customHeight="1">
      <c r="A1" s="1" t="inlineStr">
        <is>
          <t>Weekly snapshot</t>
        </is>
      </c>
    </row>
    <row r="2" ht="32" customHeight="1">
      <c r="A2" s="2" t="inlineStr">
        <is>
          <t>Copy the live row down when you want a trend. This file starts with one snapshot. History is not backfilled.</t>
        </is>
      </c>
    </row>
    <row r="3">
      <c r="A3" s="3" t="inlineStr">
        <is>
          <t>Week</t>
        </is>
      </c>
      <c r="B3" s="3" t="inlineStr">
        <is>
          <t>Tasks</t>
        </is>
      </c>
      <c r="C3" s="3" t="inlineStr">
        <is>
          <t>MVP</t>
        </is>
      </c>
      <c r="D3" s="3" t="inlineStr">
        <is>
          <t>Pilot</t>
        </is>
      </c>
      <c r="E3" s="3" t="inlineStr">
        <is>
          <t>Later</t>
        </is>
      </c>
      <c r="F3" s="3" t="inlineStr">
        <is>
          <t>Open gaps</t>
        </is>
      </c>
      <c r="G3" s="3" t="inlineStr">
        <is>
          <t>Partial</t>
        </is>
      </c>
      <c r="H3" s="3" t="inlineStr">
        <is>
          <t>MVP tests passing</t>
        </is>
      </c>
      <c r="I3" s="3" t="inlineStr">
        <is>
          <t>No owner</t>
        </is>
      </c>
      <c r="J3" s="3" t="inlineStr">
        <is>
          <t>No test id</t>
        </is>
      </c>
      <c r="K3" s="3" t="inlineStr">
        <is>
          <t>OS ready</t>
        </is>
      </c>
    </row>
    <row r="4" ht="36" customHeight="1">
      <c r="A4" s="5" t="inlineStr">
        <is>
          <t>2026-10-04</t>
        </is>
      </c>
      <c r="B4" s="5" t="n">
        <v>770</v>
      </c>
      <c r="C4" s="5" t="n">
        <v>116</v>
      </c>
      <c r="D4" s="5" t="n">
        <v>437</v>
      </c>
      <c r="E4" s="5" t="n">
        <v>217</v>
      </c>
      <c r="F4" s="5" t="n">
        <v>10</v>
      </c>
      <c r="G4" s="5" t="n">
        <v>7</v>
      </c>
      <c r="H4" s="5" t="n">
        <v>0</v>
      </c>
      <c r="I4" s="5" t="n">
        <v>770</v>
      </c>
      <c r="J4" s="5" t="n">
        <v>770</v>
      </c>
      <c r="K4" s="5" t="n">
        <v>0</v>
      </c>
    </row>
    <row r="5" ht="22" customHeight="1">
      <c r="A5" s="10" t="inlineStr">
        <is>
          <t>Live (updates when the workbook calculates)</t>
        </is>
      </c>
      <c r="B5" s="11">
        <f>COUNTA(TaskRegister[Task ID])</f>
        <v/>
      </c>
      <c r="C5" s="11">
        <f>COUNTIF(TaskRegister[Release gate],"MVP")</f>
        <v/>
      </c>
      <c r="D5" s="11">
        <f>COUNTIF(TaskRegister[Release gate],"Pilot")</f>
        <v/>
      </c>
      <c r="E5" s="11">
        <f>COUNTIF(TaskRegister[Release gate],"Later")</f>
        <v/>
      </c>
      <c r="F5" s="11">
        <f>COUNTIF(TaskRegister[Work status],"Gap")</f>
        <v/>
      </c>
      <c r="G5" s="11">
        <f>COUNTIF(TaskRegister[Work status],"Built - partial")</f>
        <v/>
      </c>
      <c r="H5" s="11">
        <f>COUNTIFS(TaskRegister[Release gate],"MVP",TaskRegister[Verification result],"Pass")</f>
        <v/>
      </c>
      <c r="I5" s="11">
        <f>COUNTBLANK(TaskRegister[Owner])</f>
        <v/>
      </c>
      <c r="J5" s="11">
        <f>COUNTBLANK(TaskRegister[Test case ID])</f>
        <v/>
      </c>
      <c r="K5" s="11">
        <f>COUNTIF(TaskRegister[OS ready],"Yes")</f>
        <v/>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outlineLevelCol="0"/>
  <cols>
    <col width="36" customWidth="1" min="1" max="1"/>
    <col width="28" customWidth="1" min="2" max="2"/>
    <col width="88" customWidth="1" min="3" max="3"/>
  </cols>
  <sheetData>
    <row r="1" ht="28" customHeight="1">
      <c r="A1" s="1" t="inlineStr">
        <is>
          <t>How to read this register</t>
        </is>
      </c>
    </row>
    <row r="2">
      <c r="A2" s="12" t="inlineStr">
        <is>
          <t>Feature list frozen at 770 tasks. Start at Founder view. Release gate splits MVP, Pilot, and Later. Evidence columns stay empty until a test passes. See Review disposition for comments that were not applied.</t>
        </is>
      </c>
    </row>
    <row r="4" ht="20" customHeight="1">
      <c r="A4" s="13" t="inlineStr">
        <is>
          <t>What changed</t>
        </is>
      </c>
    </row>
    <row r="5" ht="36" customHeight="1">
      <c r="A5" s="6" t="inlineStr">
        <is>
          <t>The previous file marked 715 rows Validated (Supported) and 25 rows Code Complete &amp; Verified, then the dashboard added those together and printed 740 validated tasks.</t>
        </is>
      </c>
    </row>
    <row r="6" ht="36" customHeight="1">
      <c r="A6" s="6" t="inlineStr">
        <is>
          <t>A keyword pass had raised 37 ordinary workflows to P0 because the note contained words such as atomic or credit limit, and had dropped 23 owner reports from P2 to P3.</t>
        </is>
      </c>
    </row>
    <row r="7" ht="36" customHeight="1">
      <c r="A7" s="6" t="inlineStr">
        <is>
          <t>Persona counts on the jobs-to-be-done sheet were copied from the 560-task register and renamed. They did not match Persona / Scope on this file. System engines were included in a count of 72 operational personas.</t>
        </is>
      </c>
    </row>
    <row r="8" ht="36" customHeight="1">
      <c r="A8" s="6" t="inlineStr">
        <is>
          <t>Several notes name mechanisms that are not in the product code. Those rows are now Partial or Mechanism not found. The original wording is in the audit note where it was replaced.</t>
        </is>
      </c>
    </row>
    <row r="9" ht="36" customHeight="1">
      <c r="A9" s="6" t="inlineStr">
        <is>
          <t>Numbering shares one sequence through GOS-0740. Added flows are F-0741 onward. Filter Flow ID on Task Register, or open the Flows sheet. Category rows are grouped into a flow as well, with a blank step.</t>
        </is>
      </c>
    </row>
    <row r="10" ht="36" customHeight="1">
      <c r="A10" s="6" t="inlineStr">
        <is>
          <t>New flows cover payroll, workshop jobs, manufacturing execution, project milestones, and insurance. Each note cites a model or function that is in the product, and the flow catalog states the module limit.</t>
        </is>
      </c>
    </row>
    <row r="12">
      <c r="A12" s="14" t="inlineStr">
        <is>
          <t>Status meanings</t>
        </is>
      </c>
    </row>
    <row r="13">
      <c r="A13" s="15" t="inlineStr">
        <is>
          <t>Status or outcome</t>
        </is>
      </c>
      <c r="B13" s="15" t="inlineStr">
        <is>
          <t>Kind</t>
        </is>
      </c>
      <c r="C13" s="15" t="inlineStr">
        <is>
          <t>Meaning</t>
        </is>
      </c>
    </row>
    <row r="14" ht="28" customHeight="1">
      <c r="A14" s="5" t="inlineStr">
        <is>
          <t>Validated (Supported)</t>
        </is>
      </c>
      <c r="B14" s="5" t="inlineStr">
        <is>
          <t>Author assertion</t>
        </is>
      </c>
      <c r="C14" s="5" t="inlineStr">
        <is>
          <t>The register author marked the row supported. A blank audit note means this review did not re-test it.</t>
        </is>
      </c>
    </row>
    <row r="15" ht="28" customHeight="1">
      <c r="A15" s="5" t="inlineStr">
        <is>
          <t>Code Complete &amp; Verified</t>
        </is>
      </c>
      <c r="B15" s="5" t="inlineStr">
        <is>
          <t>Growth OS claim</t>
        </is>
      </c>
      <c r="C15" s="5" t="inlineStr">
        <is>
          <t>Kept where the note's API name exists in product code. Still not a full functional test.</t>
        </is>
      </c>
    </row>
    <row r="16" ht="28" customHeight="1">
      <c r="A16" s="5" t="inlineStr">
        <is>
          <t>Code symbol found</t>
        </is>
      </c>
      <c r="B16" s="5" t="inlineStr">
        <is>
          <t>Review outcome</t>
        </is>
      </c>
      <c r="C16" s="5" t="inlineStr">
        <is>
          <t>A specific identifier in the note occurs in backend or web/src. That confirms the name, not the business outcome.</t>
        </is>
      </c>
    </row>
    <row r="17" ht="28" customHeight="1">
      <c r="A17" s="5" t="inlineStr">
        <is>
          <t>Partial</t>
        </is>
      </c>
      <c r="B17" s="5" t="inlineStr">
        <is>
          <t>Corrected</t>
        </is>
      </c>
      <c r="C17" s="5" t="inlineStr">
        <is>
          <t>Related behaviour exists, or the note named the wrong mechanism. Read the audit note.</t>
        </is>
      </c>
    </row>
    <row r="18" ht="28" customHeight="1">
      <c r="A18" s="5" t="inlineStr">
        <is>
          <t>Mechanism not found</t>
        </is>
      </c>
      <c r="B18" s="5" t="inlineStr">
        <is>
          <t>Corrected</t>
        </is>
      </c>
      <c r="C18" s="5" t="inlineStr">
        <is>
          <t>The note names a mechanism that is absent from product code.</t>
        </is>
      </c>
    </row>
    <row r="19" ht="28" customHeight="1">
      <c r="A19" s="5" t="inlineStr">
        <is>
          <t>Author assertion</t>
        </is>
      </c>
      <c r="B19" s="5" t="inlineStr">
        <is>
          <t>Review outcome</t>
        </is>
      </c>
      <c r="C19" s="5" t="inlineStr">
        <is>
          <t>The note has no specific code identifier. The status was left as the author wrote it.</t>
        </is>
      </c>
    </row>
    <row r="20" ht="28" customHeight="1">
      <c r="A20" s="5" t="inlineStr">
        <is>
          <t>In product</t>
        </is>
      </c>
      <c r="B20" s="5" t="inlineStr">
        <is>
          <t>Added flow</t>
        </is>
      </c>
      <c r="C20" s="5" t="inlineStr">
        <is>
          <t>The step exists in a module. Read the Flows sheet for what that module does not do.</t>
        </is>
      </c>
    </row>
    <row r="22">
      <c r="A22" s="14" t="inlineStr">
        <is>
          <t>Snapshot at this review</t>
        </is>
      </c>
    </row>
    <row r="23">
      <c r="A23" s="5" t="inlineStr">
        <is>
          <t>Tasks</t>
        </is>
      </c>
      <c r="B23" s="16" t="n">
        <v>770</v>
      </c>
    </row>
    <row r="24">
      <c r="A24" s="5" t="inlineStr">
        <is>
          <t>Baseline</t>
        </is>
      </c>
      <c r="B24" s="16" t="n">
        <v>560</v>
      </c>
    </row>
    <row r="25">
      <c r="A25" s="5" t="inlineStr">
        <is>
          <t>Strategic expansion</t>
        </is>
      </c>
      <c r="B25" s="16" t="n">
        <v>155</v>
      </c>
    </row>
    <row r="26">
      <c r="A26" s="5" t="inlineStr">
        <is>
          <t>Growth OS</t>
        </is>
      </c>
      <c r="B26" s="16" t="n">
        <v>25</v>
      </c>
    </row>
    <row r="27">
      <c r="A27" s="5" t="inlineStr">
        <is>
          <t>Added flows</t>
        </is>
      </c>
      <c r="B27" s="16" t="n">
        <v>30</v>
      </c>
    </row>
    <row r="28">
      <c r="A28" s="5" t="inlineStr">
        <is>
          <t>Validated (Supported)</t>
        </is>
      </c>
      <c r="B28" s="16" t="n">
        <v>698</v>
      </c>
    </row>
    <row r="29">
      <c r="A29" s="5" t="inlineStr">
        <is>
          <t>In product</t>
        </is>
      </c>
      <c r="B29" s="16" t="n">
        <v>30</v>
      </c>
    </row>
    <row r="30">
      <c r="A30" s="5" t="inlineStr">
        <is>
          <t>Code Complete &amp; Verified</t>
        </is>
      </c>
      <c r="B30" s="16" t="n">
        <v>25</v>
      </c>
    </row>
    <row r="31">
      <c r="A31" s="5" t="inlineStr">
        <is>
          <t>Mechanism not found</t>
        </is>
      </c>
      <c r="B31" s="16" t="n">
        <v>10</v>
      </c>
    </row>
    <row r="32">
      <c r="A32" s="5" t="inlineStr">
        <is>
          <t>Partial</t>
        </is>
      </c>
      <c r="B32" s="16" t="n">
        <v>7</v>
      </c>
    </row>
    <row r="33">
      <c r="A33" s="5" t="inlineStr">
        <is>
          <t>P0</t>
        </is>
      </c>
      <c r="B33" s="16" t="n">
        <v>116</v>
      </c>
    </row>
    <row r="34">
      <c r="A34" s="5" t="inlineStr">
        <is>
          <t>P1</t>
        </is>
      </c>
      <c r="B34" s="16" t="n">
        <v>588</v>
      </c>
    </row>
    <row r="35">
      <c r="A35" s="5" t="inlineStr">
        <is>
          <t>P2</t>
        </is>
      </c>
      <c r="B35" s="16" t="n">
        <v>48</v>
      </c>
    </row>
    <row r="36">
      <c r="A36" s="5" t="inlineStr">
        <is>
          <t>P3</t>
        </is>
      </c>
      <c r="B36" s="16" t="n">
        <v>18</v>
      </c>
    </row>
    <row r="37">
      <c r="A37" s="5" t="inlineStr">
        <is>
          <t>Scope: Cross-persona</t>
        </is>
      </c>
      <c r="B37" s="16" t="n">
        <v>369</v>
      </c>
    </row>
    <row r="38">
      <c r="A38" s="5" t="inlineStr">
        <is>
          <t>Scope: Operational role</t>
        </is>
      </c>
      <c r="B38" s="16" t="n">
        <v>231</v>
      </c>
    </row>
    <row r="39">
      <c r="A39" s="5" t="inlineStr">
        <is>
          <t>Scope: Platform or theme scope</t>
        </is>
      </c>
      <c r="B39" s="16" t="n">
        <v>108</v>
      </c>
    </row>
    <row r="40">
      <c r="A40" s="5" t="inlineStr">
        <is>
          <t>Scope: Growth role</t>
        </is>
      </c>
      <c r="B40" s="16" t="n">
        <v>25</v>
      </c>
    </row>
    <row r="41">
      <c r="A41" s="5" t="inlineStr">
        <is>
          <t>Scope: System engine</t>
        </is>
      </c>
      <c r="B41" s="16" t="n">
        <v>20</v>
      </c>
    </row>
    <row r="42">
      <c r="A42" s="5" t="inlineStr">
        <is>
          <t>Scope: Named role</t>
        </is>
      </c>
      <c r="B42" s="16" t="n">
        <v>17</v>
      </c>
    </row>
    <row r="43">
      <c r="A43" s="5" t="inlineStr">
        <is>
          <t>Priority decisions</t>
        </is>
      </c>
      <c r="B43" s="16" t="n">
        <v>82</v>
      </c>
    </row>
  </sheetData>
  <mergeCells count="10">
    <mergeCell ref="A10:C10"/>
    <mergeCell ref="A22:B22"/>
    <mergeCell ref="A5:C5"/>
    <mergeCell ref="A8:C8"/>
    <mergeCell ref="A6:C6"/>
    <mergeCell ref="A9:C9"/>
    <mergeCell ref="A7:C7"/>
    <mergeCell ref="A12:C12"/>
    <mergeCell ref="A4:C4"/>
    <mergeCell ref="A2:C2"/>
  </mergeCells>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9"/>
  <sheetViews>
    <sheetView showGridLines="0" workbookViewId="0">
      <pane ySplit="3" topLeftCell="A4" activePane="bottomLeft" state="frozen"/>
      <selection pane="bottomLeft" activeCell="A1" sqref="A1"/>
    </sheetView>
  </sheetViews>
  <sheetFormatPr baseColWidth="8" defaultRowHeight="15" outlineLevelCol="0"/>
  <cols>
    <col width="6" customWidth="1" min="1" max="1"/>
    <col width="28" customWidth="1" min="2" max="2"/>
    <col width="62" customWidth="1" min="3" max="3"/>
    <col width="62" customWidth="1" min="4" max="4"/>
  </cols>
  <sheetData>
    <row r="1" ht="28" customHeight="1">
      <c r="A1" s="1" t="inlineStr">
        <is>
          <t>Review findings</t>
        </is>
      </c>
    </row>
    <row r="3" ht="22" customHeight="1">
      <c r="A3" s="17" t="inlineStr">
        <is>
          <t>#</t>
        </is>
      </c>
      <c r="B3" s="17" t="inlineStr">
        <is>
          <t>Finding</t>
        </is>
      </c>
      <c r="C3" s="17" t="inlineStr">
        <is>
          <t>What was wrong</t>
        </is>
      </c>
      <c r="D3" s="17" t="inlineStr">
        <is>
          <t>Correction in this file</t>
        </is>
      </c>
    </row>
    <row r="4" ht="48" customHeight="1">
      <c r="A4" s="5" t="inlineStr">
        <is>
          <t>1</t>
        </is>
      </c>
      <c r="B4" s="5" t="inlineStr">
        <is>
          <t>Validated total</t>
        </is>
      </c>
      <c r="C4" s="5" t="inlineStr">
        <is>
          <t>The dashboard counted every status containing Validated or Verified as Validated (Supported), so 25 Code Complete rows were included and the total printed as 740.</t>
        </is>
      </c>
      <c r="D4" s="5" t="inlineStr">
        <is>
          <t>Status totals are separate. Validated (Supported) is labeled as an author assertion.</t>
        </is>
      </c>
    </row>
    <row r="5" ht="48" customHeight="1">
      <c r="A5" s="5" t="inlineStr">
        <is>
          <t>2</t>
        </is>
      </c>
      <c r="B5" s="5" t="inlineStr">
        <is>
          <t>Priority rebalance</t>
        </is>
      </c>
      <c r="C5" s="5" t="inlineStr">
        <is>
          <t>Scanning notes for atomic, credit limit, and similar words raised ordinary workflows to P0. A polish list dropped margin, valuation, dead stock, and store comparison from P2 to P3.</t>
        </is>
      </c>
      <c r="D5" s="5" t="inlineStr">
        <is>
          <t>Authored priorities were restored. P0 is applied only when the task action itself names a statutory or credit-limit control. P3 is limited to polish and speculative features.</t>
        </is>
      </c>
    </row>
    <row r="6" ht="48" customHeight="1">
      <c r="A6" s="5" t="inlineStr">
        <is>
          <t>3</t>
        </is>
      </c>
      <c r="B6" s="5" t="inlineStr">
        <is>
          <t>Persona counts</t>
        </is>
      </c>
      <c r="C6" s="5" t="inlineStr">
        <is>
          <t>Jobs-to-be-done counts were hardcoded from the 560-task register under different names. Medical Shop was titled Medical Shop Pharmacist. Business Owner's 13 tasks were titled Managing Proprietor. System engines inflated the persona total to 72.</t>
        </is>
      </c>
      <c r="D6" s="5" t="inlineStr">
        <is>
          <t>Each jobs-to-be-done row names the register persona it counts. Task counts are COUNTIF formulas. Scope class separates operational roles, named roles, growth roles, cross-persona work, platform scopes, and system engines.</t>
        </is>
      </c>
    </row>
    <row r="7" ht="48" customHeight="1">
      <c r="A7" s="5" t="inlineStr">
        <is>
          <t>4</t>
        </is>
      </c>
      <c r="B7" s="5" t="inlineStr">
        <is>
          <t>False mechanisms</t>
        </is>
      </c>
      <c r="C7" s="5" t="inlineStr">
        <is>
          <t>Notes asserted CartSession, an hourly trial-balance quarantine worker, pg_trgm search, Shift+P privacy mask, a Z-score detector, WebSocket import progress, Ctrl+K, type-to-confirm, TIME_BARRED ITC, Section 206AB, django-otp, and django-simple-history.</t>
        </is>
      </c>
      <c r="D7" s="5" t="inlineStr">
        <is>
          <t>Those rows are Partial or Mechanism not found. POS hold is documented as F8, not F6. F6 tenders UPI.</t>
        </is>
      </c>
    </row>
    <row r="8" ht="48" customHeight="1">
      <c r="A8" s="5" t="inlineStr">
        <is>
          <t>5</t>
        </is>
      </c>
      <c r="B8" s="5" t="inlineStr">
        <is>
          <t>Illustrated market claims</t>
        </is>
      </c>
      <c r="C8" s="5" t="inlineStr">
        <is>
          <t>Competitive, UX, and security sheets stated checkout throughput, conversion lifts, rupee savings, and a 99.9 percent SLA as if they were measured results.</t>
        </is>
      </c>
      <c r="D8" s="5" t="inlineStr">
        <is>
          <t>Each row now has a review column. Quantified outcomes are labeled illustrative targets.</t>
        </is>
      </c>
    </row>
    <row r="9" ht="48" customHeight="1">
      <c r="A9" s="5" t="inlineStr">
        <is>
          <t>6</t>
        </is>
      </c>
      <c r="B9" s="5" t="inlineStr">
        <is>
          <t>Duplicate workbook</t>
        </is>
      </c>
      <c r="C9" s="5" t="inlineStr">
        <is>
          <t>This file was identical to Bizboard_Product_Task_Universe_Master.xlsx.</t>
        </is>
      </c>
      <c r="D9" s="5" t="inlineStr">
        <is>
          <t>Both workbooks are written from this review so they do not diverge.</t>
        </is>
      </c>
    </row>
  </sheetData>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16" customWidth="1" min="2" max="2"/>
    <col width="78" customWidth="1" min="3" max="3"/>
  </cols>
  <sheetData>
    <row r="1" ht="28" customHeight="1">
      <c r="A1" s="1" t="inlineStr">
        <is>
          <t>Review disposition</t>
        </is>
      </c>
    </row>
    <row r="2" ht="32" customHeight="1">
      <c r="A2" s="2" t="inlineStr">
        <is>
          <t>Comments from the SMB OS gap plan. Accepted items are in the sheets that follow. Rejected items were not applied.</t>
        </is>
      </c>
    </row>
    <row r="3">
      <c r="A3" s="3" t="inlineStr">
        <is>
          <t>Comment</t>
        </is>
      </c>
      <c r="B3" s="3" t="inlineStr">
        <is>
          <t>Decision</t>
        </is>
      </c>
      <c r="C3" s="3" t="inlineStr">
        <is>
          <t>Why</t>
        </is>
      </c>
    </row>
    <row r="4" ht="36" customHeight="1">
      <c r="A4" s="5" t="inlineStr">
        <is>
          <t>Freeze feature expansion</t>
        </is>
      </c>
      <c r="B4" s="5" t="inlineStr">
        <is>
          <t>Accepted</t>
        </is>
      </c>
      <c r="C4" s="5" t="inlineStr">
        <is>
          <t>No new feature tasks were added. The register stays at 770.</t>
        </is>
      </c>
    </row>
    <row r="5" ht="36" customHeight="1">
      <c r="A5" s="5" t="inlineStr">
        <is>
          <t>OS layers RUN, CONTROL, GROW, and KERNEL</t>
        </is>
      </c>
      <c r="B5" s="5" t="inlineStr">
        <is>
          <t>Accepted</t>
        </is>
      </c>
      <c r="C5" s="5" t="inlineStr">
        <is>
          <t>Each task has an OS layer derived from its category.</t>
        </is>
      </c>
    </row>
    <row r="6" ht="36" customHeight="1">
      <c r="A6" s="5" t="inlineStr">
        <is>
          <t>Business event, state, integrity, failure, concurrency, security, integration, SLA, and customer-evidence sheets</t>
        </is>
      </c>
      <c r="B6" s="5" t="inlineStr">
        <is>
          <t>Accepted</t>
        </is>
      </c>
      <c r="C6" s="5" t="inlineStr">
        <is>
          <t>The matrices exist. Their proof columns are Not verified or Not measured.</t>
        </is>
      </c>
    </row>
    <row r="7" ht="36" customHeight="1">
      <c r="A7" s="5" t="inlineStr">
        <is>
          <t>Capability evidence register for Partial and Mechanism not found</t>
        </is>
      </c>
      <c r="B7" s="5" t="inlineStr">
        <is>
          <t>Accepted</t>
        </is>
      </c>
      <c r="C7" s="5" t="inlineStr">
        <is>
          <t>Built from the task rows. Open gaps stay open.</t>
        </is>
      </c>
    </row>
    <row r="8" ht="36" customHeight="1">
      <c r="A8" s="5" t="inlineStr">
        <is>
          <t>OS readiness gates G1 to G5</t>
        </is>
      </c>
      <c r="B8" s="5" t="inlineStr">
        <is>
          <t>Accepted</t>
        </is>
      </c>
      <c r="C8" s="5" t="inlineStr">
        <is>
          <t>Defined on OS readiness. No task is marked OS ready.</t>
        </is>
      </c>
    </row>
    <row r="9" ht="36" customHeight="1">
      <c r="A9" s="5" t="inlineStr">
        <is>
          <t>Extra priority dimensions</t>
        </is>
      </c>
      <c r="B9" s="5" t="inlineStr">
        <is>
          <t>Accepted</t>
        </is>
      </c>
      <c r="C9" s="5" t="inlineStr">
        <is>
          <t>Criticality, failure impact, compliance impact, and release gate sit beside Priority. Priority itself was not rewritten.</t>
        </is>
      </c>
    </row>
    <row r="10" ht="36" customHeight="1">
      <c r="A10" s="5" t="inlineStr">
        <is>
          <t>Canonical role</t>
        </is>
      </c>
      <c r="B10" s="5" t="inlineStr">
        <is>
          <t>Accepted</t>
        </is>
      </c>
      <c r="C10" s="5" t="inlineStr">
        <is>
          <t>A rollup column. Persona / Scope is unchanged, so kirana, distributor, and medical context remain.</t>
        </is>
      </c>
    </row>
    <row r="11" ht="36" customHeight="1">
      <c r="A11" s="5" t="inlineStr">
        <is>
          <t>Capability class for scope governance</t>
        </is>
      </c>
      <c r="B11" s="5" t="inlineStr">
        <is>
          <t>Accepted</t>
        </is>
      </c>
      <c r="C11" s="5" t="inlineStr">
        <is>
          <t>Core, vertical extension, differentiator, adjacent, or future. This is a label, not a roadmap decision.</t>
        </is>
      </c>
    </row>
    <row r="12" ht="36" customHeight="1">
      <c r="A12" s="5" t="inlineStr">
        <is>
          <t>Replace the single validation status</t>
        </is>
      </c>
      <c r="B12" s="5" t="inlineStr">
        <is>
          <t>Rejected</t>
        </is>
      </c>
      <c r="C12" s="5" t="inlineStr">
        <is>
          <t>Validation Status stays as the author and review label. Evidence columns sit beside it. Replacing it would hide the earlier correction.</t>
        </is>
      </c>
    </row>
    <row r="13" ht="36" customHeight="1">
      <c r="A13" s="5" t="inlineStr">
        <is>
          <t>Hide later work and merge cross-persona rows</t>
        </is>
      </c>
      <c r="B13" s="5" t="inlineStr">
        <is>
          <t>Rejected</t>
        </is>
      </c>
      <c r="C13" s="5" t="inlineStr">
        <is>
          <t>Later rows stay in the register. Founder view and Release gate separate them. Cross-persona rows were not merged.</t>
        </is>
      </c>
    </row>
    <row r="14" ht="36" customHeight="1">
      <c r="A14" s="5" t="inlineStr">
        <is>
          <t>Fill owners, dates, and test results</t>
        </is>
      </c>
      <c r="B14" s="5" t="inlineStr">
        <is>
          <t>Accepted as blanks</t>
        </is>
      </c>
      <c r="C14" s="5" t="inlineStr">
        <is>
          <t>Owner, target date, estimate, and test columns exist. They stay blank until a person or a passing test fills them.</t>
        </is>
      </c>
    </row>
    <row r="15" ht="36" customHeight="1">
      <c r="A15" s="5" t="inlineStr">
        <is>
          <t>Fill SLA actuals, P95, P99, and customer results</t>
        </is>
      </c>
      <c r="B15" s="5" t="inlineStr">
        <is>
          <t>Rejected</t>
        </is>
      </c>
      <c r="C15" s="5" t="inlineStr">
        <is>
          <t>Those figures were not measured. Illustrative numbers on the competitive sheet are not SLAs.</t>
        </is>
      </c>
    </row>
    <row r="16" ht="36" customHeight="1">
      <c r="A16" s="5" t="inlineStr">
        <is>
          <t>Mark capabilities OS ready</t>
        </is>
      </c>
      <c r="B16" s="5" t="inlineStr">
        <is>
          <t>Rejected</t>
        </is>
      </c>
      <c r="C16" s="5" t="inlineStr">
        <is>
          <t>OS ready is No on every row until the gates have evidence.</t>
        </is>
      </c>
    </row>
    <row r="17" ht="36" customHeight="1">
      <c r="A17" s="5" t="inlineStr">
        <is>
          <t>Implement the 10 missing mechanisms in this pass</t>
        </is>
      </c>
      <c r="B17" s="5" t="inlineStr">
        <is>
          <t>Rejected</t>
        </is>
      </c>
      <c r="C17" s="5" t="inlineStr">
        <is>
          <t>The plan also says to freeze features. The claims stay open in Capability evidence.</t>
        </is>
      </c>
    </row>
    <row r="18" ht="36" customHeight="1">
      <c r="A18" s="5" t="inlineStr">
        <is>
          <t>Delete or merge the 770 tasks as duplicates</t>
        </is>
      </c>
      <c r="B18" s="5" t="inlineStr">
        <is>
          <t>Rejected</t>
        </is>
      </c>
      <c r="C18" s="5" t="inlineStr">
        <is>
          <t>Cross-persona rows are workflow steps with their own IDs. Merging them without a case-by-case review would drop traceability.</t>
        </is>
      </c>
    </row>
    <row r="19" ht="36" customHeight="1">
      <c r="A19" s="5" t="inlineStr">
        <is>
          <t>Collapse owner personas into one role</t>
        </is>
      </c>
      <c r="B19" s="5" t="inlineStr">
        <is>
          <t>Rejected</t>
        </is>
      </c>
      <c r="C19" s="5" t="inlineStr">
        <is>
          <t>Canonical role groups them for counting. The operating context stays on the task.</t>
        </is>
      </c>
    </row>
    <row r="20" ht="36" customHeight="1">
      <c r="A20" s="5" t="inlineStr">
        <is>
          <t>Treat customer and supplier masters as document state machines</t>
        </is>
      </c>
      <c r="B20" s="5" t="inlineStr">
        <is>
          <t>Rejected</t>
        </is>
      </c>
      <c r="C20" s="5" t="inlineStr">
        <is>
          <t>They are master records. Credit control is a rule, not a DRAFT/COMPLETED status.</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0"/>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88" customWidth="1" min="2" max="2"/>
    <col width="14" customWidth="1" min="3" max="3"/>
  </cols>
  <sheetData>
    <row r="1" ht="28" customHeight="1">
      <c r="A1" s="1" t="inlineStr">
        <is>
          <t>OS architecture</t>
        </is>
      </c>
    </row>
    <row r="2" ht="32" customHeight="1">
      <c r="A2" s="2" t="inlineStr">
        <is>
          <t>RUN operates the business. CONTROL keeps the books and the rules. GROW finds and keeps customers. KERNEL is identity, masters, and platform. Counts are formulas.</t>
        </is>
      </c>
    </row>
    <row r="3">
      <c r="A3" s="3" t="inlineStr">
        <is>
          <t>Layer</t>
        </is>
      </c>
      <c r="B3" s="3" t="inlineStr">
        <is>
          <t>What it covers</t>
        </is>
      </c>
      <c r="C3" s="3" t="inlineStr">
        <is>
          <t>Tasks</t>
        </is>
      </c>
    </row>
    <row r="4" ht="32" customHeight="1">
      <c r="A4" s="4" t="inlineStr">
        <is>
          <t>RUN</t>
        </is>
      </c>
      <c r="B4" s="5" t="inlineStr">
        <is>
          <t>Sales, purchases, inventory, payments, workshop, manufacturing, delivery, project billing.</t>
        </is>
      </c>
      <c r="C4" s="4">
        <f>COUNTIF(TaskRegister[OS layer],A4)</f>
        <v/>
      </c>
    </row>
    <row r="5" ht="32" customHeight="1">
      <c r="A5" s="4" t="inlineStr">
        <is>
          <t>CONTROL</t>
        </is>
      </c>
      <c r="B5" s="5" t="inlineStr">
        <is>
          <t>GST, receivables and payables, payroll dues, reports, period close, fixed assets, security and recovery.</t>
        </is>
      </c>
      <c r="C5" s="4">
        <f>COUNTIF(TaskRegister[OS layer],A5)</f>
        <v/>
      </c>
    </row>
    <row r="6" ht="32" customHeight="1">
      <c r="A6" s="4" t="inlineStr">
        <is>
          <t>GROW</t>
        </is>
      </c>
      <c r="B6" s="5" t="inlineStr">
        <is>
          <t>CRM, campaigns, referrals, insurance distribution, customer intelligence.</t>
        </is>
      </c>
      <c r="C6" s="4">
        <f>COUNTIF(TaskRegister[OS layer],A6)</f>
        <v/>
      </c>
    </row>
    <row r="7" ht="32" customHeight="1">
      <c r="A7" s="4" t="inlineStr">
        <is>
          <t>KERNEL</t>
        </is>
      </c>
      <c r="B7" s="5" t="inlineStr">
        <is>
          <t>Master data, integrations, and platform scopes that are not themselves a business flow.</t>
        </is>
      </c>
      <c r="C7" s="4">
        <f>COUNTIF(TaskRegister[OS layer],A7)</f>
        <v/>
      </c>
    </row>
    <row r="9">
      <c r="A9" s="9" t="inlineStr">
        <is>
          <t>Kernel contents named in the plan</t>
        </is>
      </c>
    </row>
    <row r="10" ht="36" customHeight="1">
      <c r="A10" s="6" t="inlineStr">
        <is>
          <t>Identity, master data, business events, document state, ledger, rules, workflow, audit, notifications, automation, and intelligence. This sheet names them. It does not certify that they behave as one kernel.</t>
        </is>
      </c>
    </row>
  </sheetData>
  <mergeCells count="2">
    <mergeCell ref="A10:C10"/>
    <mergeCell ref="A2:G2"/>
  </mergeCells>
  <pageMargins left="0.75" right="0.75" top="1" bottom="1" header="0.5" footer="0.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G19"/>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55" customWidth="1" min="2" max="2"/>
    <col width="42" customWidth="1" min="3" max="3"/>
    <col width="36" customWidth="1" min="4" max="4"/>
    <col width="18" customWidth="1" min="5" max="5"/>
    <col width="12" customWidth="1" min="6" max="6"/>
  </cols>
  <sheetData>
    <row r="1" ht="28" customHeight="1">
      <c r="A1" s="1" t="inlineStr">
        <is>
          <t>Business event matrix</t>
        </is>
      </c>
    </row>
    <row r="2" ht="32" customHeight="1">
      <c r="A2" s="2" t="inlineStr">
        <is>
          <t>State names below are the document enums in code. Downstream effects and reversals are not certified. Proven is No until a cross-domain check exists.</t>
        </is>
      </c>
    </row>
    <row r="3">
      <c r="A3" s="3" t="inlineStr">
        <is>
          <t>Event</t>
        </is>
      </c>
      <c r="B3" s="3" t="inlineStr">
        <is>
          <t>State change in code</t>
        </is>
      </c>
      <c r="C3" s="3" t="inlineStr">
        <is>
          <t>Downstream effects expected</t>
        </is>
      </c>
      <c r="D3" s="3" t="inlineStr">
        <is>
          <t>Reversal in code</t>
        </is>
      </c>
      <c r="E3" s="3" t="inlineStr">
        <is>
          <t>Audit</t>
        </is>
      </c>
      <c r="F3" s="3" t="inlineStr">
        <is>
          <t>Proven</t>
        </is>
      </c>
    </row>
    <row r="4" ht="36" customHeight="1">
      <c r="A4" s="5" t="inlineStr">
        <is>
          <t>Sale / sales invoice</t>
        </is>
      </c>
      <c r="B4" s="5" t="inlineStr">
        <is>
          <t>SalesInvoice DRAFT → COMPLETED or CANCELLED</t>
        </is>
      </c>
      <c r="C4" s="5" t="inlineStr">
        <is>
          <t>Stock, receivable, tax, and ledger</t>
        </is>
      </c>
      <c r="D4" s="5" t="inlineStr">
        <is>
          <t>CANCELLED</t>
        </is>
      </c>
      <c r="E4" s="5" t="inlineStr">
        <is>
          <t>Not verified</t>
        </is>
      </c>
      <c r="F4" s="5" t="inlineStr">
        <is>
          <t>No</t>
        </is>
      </c>
    </row>
    <row r="5" ht="36" customHeight="1">
      <c r="A5" s="5" t="inlineStr">
        <is>
          <t>Purchase invoice</t>
        </is>
      </c>
      <c r="B5" s="5" t="inlineStr">
        <is>
          <t>PurchaseInvoice DRAFT → COMPLETED or CANCELLED</t>
        </is>
      </c>
      <c r="C5" s="5" t="inlineStr">
        <is>
          <t>Stock, payable, input tax, and ledger</t>
        </is>
      </c>
      <c r="D5" s="5" t="inlineStr">
        <is>
          <t>CANCELLED</t>
        </is>
      </c>
      <c r="E5" s="5" t="inlineStr">
        <is>
          <t>Not verified</t>
        </is>
      </c>
      <c r="F5" s="5" t="inlineStr">
        <is>
          <t>No</t>
        </is>
      </c>
    </row>
    <row r="6" ht="36" customHeight="1">
      <c r="A6" s="5" t="inlineStr">
        <is>
          <t>Goods receipt</t>
        </is>
      </c>
      <c r="B6" s="5" t="inlineStr">
        <is>
          <t>GoodsReceipt DRAFT → COMPLETED or CANCELLED</t>
        </is>
      </c>
      <c r="C6" s="5" t="inlineStr">
        <is>
          <t>Stock on hand</t>
        </is>
      </c>
      <c r="D6" s="5" t="inlineStr">
        <is>
          <t>CANCELLED</t>
        </is>
      </c>
      <c r="E6" s="5" t="inlineStr">
        <is>
          <t>Not verified</t>
        </is>
      </c>
      <c r="F6" s="5" t="inlineStr">
        <is>
          <t>No</t>
        </is>
      </c>
    </row>
    <row r="7" ht="36" customHeight="1">
      <c r="A7" s="5" t="inlineStr">
        <is>
          <t>Sales order</t>
        </is>
      </c>
      <c r="B7" s="5" t="inlineStr">
        <is>
          <t>SalesOrder DRAFT → CONFIRMED → CONVERTED or CANCELLED</t>
        </is>
      </c>
      <c r="C7" s="5" t="inlineStr">
        <is>
          <t>Reservation, then a draft invoice</t>
        </is>
      </c>
      <c r="D7" s="5" t="inlineStr">
        <is>
          <t>CANCELLED</t>
        </is>
      </c>
      <c r="E7" s="5" t="inlineStr">
        <is>
          <t>Not verified</t>
        </is>
      </c>
      <c r="F7" s="5" t="inlineStr">
        <is>
          <t>No</t>
        </is>
      </c>
    </row>
    <row r="8" ht="36" customHeight="1">
      <c r="A8" s="5" t="inlineStr">
        <is>
          <t>Purchase order</t>
        </is>
      </c>
      <c r="B8" s="5" t="inlineStr">
        <is>
          <t>PurchaseOrder DRAFT → CONVERTED or CANCELLED</t>
        </is>
      </c>
      <c r="C8" s="5" t="inlineStr">
        <is>
          <t>A draft purchase invoice</t>
        </is>
      </c>
      <c r="D8" s="5" t="inlineStr">
        <is>
          <t>CANCELLED</t>
        </is>
      </c>
      <c r="E8" s="5" t="inlineStr">
        <is>
          <t>Not verified</t>
        </is>
      </c>
      <c r="F8" s="5" t="inlineStr">
        <is>
          <t>No</t>
        </is>
      </c>
    </row>
    <row r="9" ht="36" customHeight="1">
      <c r="A9" s="5" t="inlineStr">
        <is>
          <t>Customer receipt</t>
        </is>
      </c>
      <c r="B9" s="5" t="inlineStr">
        <is>
          <t>Receipt POSTED, REFUNDED, or VOIDED</t>
        </is>
      </c>
      <c r="C9" s="5" t="inlineStr">
        <is>
          <t>Receivable and bank or cash</t>
        </is>
      </c>
      <c r="D9" s="5" t="inlineStr">
        <is>
          <t>VOIDED or REFUNDED</t>
        </is>
      </c>
      <c r="E9" s="5" t="inlineStr">
        <is>
          <t>Not verified</t>
        </is>
      </c>
      <c r="F9" s="5" t="inlineStr">
        <is>
          <t>No</t>
        </is>
      </c>
    </row>
    <row r="10" ht="36" customHeight="1">
      <c r="A10" s="5" t="inlineStr">
        <is>
          <t>Supplier payment</t>
        </is>
      </c>
      <c r="B10" s="5" t="inlineStr">
        <is>
          <t>Supplier payment POSTED or VOIDED</t>
        </is>
      </c>
      <c r="C10" s="5" t="inlineStr">
        <is>
          <t>Payable and bank or cash</t>
        </is>
      </c>
      <c r="D10" s="5" t="inlineStr">
        <is>
          <t>VOIDED</t>
        </is>
      </c>
      <c r="E10" s="5" t="inlineStr">
        <is>
          <t>Not verified</t>
        </is>
      </c>
      <c r="F10" s="5" t="inlineStr">
        <is>
          <t>No</t>
        </is>
      </c>
    </row>
    <row r="11" ht="36" customHeight="1">
      <c r="A11" s="5" t="inlineStr">
        <is>
          <t>Sales return</t>
        </is>
      </c>
      <c r="B11" s="5" t="inlineStr">
        <is>
          <t>SalesReturn DRAFT → COMPLETED or CANCELLED</t>
        </is>
      </c>
      <c r="C11" s="5" t="inlineStr">
        <is>
          <t>Stock and output tax</t>
        </is>
      </c>
      <c r="D11" s="5" t="inlineStr">
        <is>
          <t>CANCELLED</t>
        </is>
      </c>
      <c r="E11" s="5" t="inlineStr">
        <is>
          <t>Not verified</t>
        </is>
      </c>
      <c r="F11" s="5" t="inlineStr">
        <is>
          <t>No</t>
        </is>
      </c>
    </row>
    <row r="12" ht="36" customHeight="1">
      <c r="A12" s="5" t="inlineStr">
        <is>
          <t>Purchase return</t>
        </is>
      </c>
      <c r="B12" s="5" t="inlineStr">
        <is>
          <t>PurchaseReturn DRAFT → COMPLETED or CANCELLED</t>
        </is>
      </c>
      <c r="C12" s="5" t="inlineStr">
        <is>
          <t>Stock and input tax</t>
        </is>
      </c>
      <c r="D12" s="5" t="inlineStr">
        <is>
          <t>CANCELLED</t>
        </is>
      </c>
      <c r="E12" s="5" t="inlineStr">
        <is>
          <t>Not verified</t>
        </is>
      </c>
      <c r="F12" s="5" t="inlineStr">
        <is>
          <t>No</t>
        </is>
      </c>
    </row>
    <row r="13" ht="36" customHeight="1">
      <c r="A13" s="5" t="inlineStr">
        <is>
          <t>Sales credit note</t>
        </is>
      </c>
      <c r="B13" s="5" t="inlineStr">
        <is>
          <t>SalesCreditNote DRAFT → COMPLETED or CANCELLED</t>
        </is>
      </c>
      <c r="C13" s="5" t="inlineStr">
        <is>
          <t>Receivable and output tax</t>
        </is>
      </c>
      <c r="D13" s="5" t="inlineStr">
        <is>
          <t>CANCELLED</t>
        </is>
      </c>
      <c r="E13" s="5" t="inlineStr">
        <is>
          <t>Not verified</t>
        </is>
      </c>
      <c r="F13" s="5" t="inlineStr">
        <is>
          <t>No</t>
        </is>
      </c>
    </row>
    <row r="14" ht="36" customHeight="1">
      <c r="A14" s="5" t="inlineStr">
        <is>
          <t>Sales debit note</t>
        </is>
      </c>
      <c r="B14" s="5" t="inlineStr">
        <is>
          <t>SalesDebitNote DRAFT → COMPLETED or CANCELLED</t>
        </is>
      </c>
      <c r="C14" s="5" t="inlineStr">
        <is>
          <t>Receivable</t>
        </is>
      </c>
      <c r="D14" s="5" t="inlineStr">
        <is>
          <t>CANCELLED</t>
        </is>
      </c>
      <c r="E14" s="5" t="inlineStr">
        <is>
          <t>Not verified</t>
        </is>
      </c>
      <c r="F14" s="5" t="inlineStr">
        <is>
          <t>No</t>
        </is>
      </c>
    </row>
    <row r="15" ht="36" customHeight="1">
      <c r="A15" s="5" t="inlineStr">
        <is>
          <t>Purchase debit note</t>
        </is>
      </c>
      <c r="B15" s="5" t="inlineStr">
        <is>
          <t>PurchaseDebitNote DRAFT → COMPLETED or CANCELLED</t>
        </is>
      </c>
      <c r="C15" s="5" t="inlineStr">
        <is>
          <t>Payable and input tax</t>
        </is>
      </c>
      <c r="D15" s="5" t="inlineStr">
        <is>
          <t>CANCELLED</t>
        </is>
      </c>
      <c r="E15" s="5" t="inlineStr">
        <is>
          <t>Not verified</t>
        </is>
      </c>
      <c r="F15" s="5" t="inlineStr">
        <is>
          <t>No</t>
        </is>
      </c>
    </row>
    <row r="16" ht="36" customHeight="1">
      <c r="A16" s="5" t="inlineStr">
        <is>
          <t>Stock adjustment</t>
        </is>
      </c>
      <c r="B16" s="5" t="inlineStr">
        <is>
          <t>Stock movement, not a DRAFT/COMPLETED document</t>
        </is>
      </c>
      <c r="C16" s="5" t="inlineStr">
        <is>
          <t>On-hand quantity and value</t>
        </is>
      </c>
      <c r="D16" s="5" t="inlineStr">
        <is>
          <t>A reversing movement</t>
        </is>
      </c>
      <c r="E16" s="5" t="inlineStr">
        <is>
          <t>Not verified</t>
        </is>
      </c>
      <c r="F16" s="5" t="inlineStr">
        <is>
          <t>No</t>
        </is>
      </c>
    </row>
    <row r="17" ht="36" customHeight="1">
      <c r="A17" s="5" t="inlineStr">
        <is>
          <t>Stock transfer</t>
        </is>
      </c>
      <c r="B17" s="5" t="inlineStr">
        <is>
          <t>Transfer between warehouses</t>
        </is>
      </c>
      <c r="C17" s="5" t="inlineStr">
        <is>
          <t>Source and destination on-hand</t>
        </is>
      </c>
      <c r="D17" s="5" t="inlineStr">
        <is>
          <t>Cancel or reverse the transfer</t>
        </is>
      </c>
      <c r="E17" s="5" t="inlineStr">
        <is>
          <t>Not verified</t>
        </is>
      </c>
      <c r="F17" s="5" t="inlineStr">
        <is>
          <t>No</t>
        </is>
      </c>
    </row>
    <row r="18" ht="36" customHeight="1">
      <c r="A18" s="5" t="inlineStr">
        <is>
          <t>Journal</t>
        </is>
      </c>
      <c r="B18" s="5" t="inlineStr">
        <is>
          <t>JournalEntry exists. This matrix does not treat it as a document status machine.</t>
        </is>
      </c>
      <c r="C18" s="5" t="inlineStr">
        <is>
          <t>Ledger only</t>
        </is>
      </c>
      <c r="D18" s="5" t="inlineStr">
        <is>
          <t>A reversing journal</t>
        </is>
      </c>
      <c r="E18" s="5" t="inlineStr">
        <is>
          <t>Not verified</t>
        </is>
      </c>
      <c r="F18" s="5" t="inlineStr">
        <is>
          <t>No</t>
        </is>
      </c>
    </row>
    <row r="19" ht="36" customHeight="1">
      <c r="A19" s="5" t="inlineStr">
        <is>
          <t>Bank reconciliation</t>
        </is>
      </c>
      <c r="B19" s="5" t="inlineStr">
        <is>
          <t>BankReconSession OPEN or CLOSED</t>
        </is>
      </c>
      <c r="C19" s="5" t="inlineStr">
        <is>
          <t>Match of statement lines to ledger</t>
        </is>
      </c>
      <c r="D19" s="5" t="inlineStr">
        <is>
          <t>Session can stay open</t>
        </is>
      </c>
      <c r="E19" s="5" t="inlineStr">
        <is>
          <t>Not verified</t>
        </is>
      </c>
      <c r="F19"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21"/>
  <sheetViews>
    <sheetView showGridLines="0" workbookViewId="0">
      <pane ySplit="3" topLeftCell="A4" activePane="bottomLeft" state="frozen"/>
      <selection pane="bottomLeft" activeCell="A1" sqref="A1"/>
    </sheetView>
  </sheetViews>
  <sheetFormatPr baseColWidth="8" defaultRowHeight="15" outlineLevelCol="0"/>
  <cols>
    <col width="32" customWidth="1" min="1" max="1"/>
    <col width="62" customWidth="1" min="2" max="2"/>
    <col width="24" customWidth="1" min="3" max="3"/>
    <col width="20" customWidth="1" min="4" max="4"/>
    <col width="18" customWidth="1" min="5" max="5"/>
    <col width="12" customWidth="1" min="6" max="6"/>
  </cols>
  <sheetData>
    <row r="1" ht="28" customHeight="1">
      <c r="A1" s="1" t="inlineStr">
        <is>
          <t>State machine matrix</t>
        </is>
      </c>
    </row>
    <row r="2" ht="32" customHeight="1">
      <c r="A2" s="2" t="inlineStr">
        <is>
          <t>Statuses are copied from the model enums. Allowed, forbidden, rollback, and automated transition tests are not verified in this register.</t>
        </is>
      </c>
    </row>
    <row r="3">
      <c r="A3" s="3" t="inlineStr">
        <is>
          <t>Entity</t>
        </is>
      </c>
      <c r="B3" s="3" t="inlineStr">
        <is>
          <t>Statuses in code</t>
        </is>
      </c>
      <c r="C3" s="3" t="inlineStr">
        <is>
          <t>Actor</t>
        </is>
      </c>
      <c r="D3" s="3" t="inlineStr">
        <is>
          <t>Transition tests</t>
        </is>
      </c>
      <c r="E3" s="3" t="inlineStr">
        <is>
          <t>Rollback</t>
        </is>
      </c>
      <c r="F3" s="3" t="inlineStr">
        <is>
          <t>Proven</t>
        </is>
      </c>
    </row>
    <row r="4" ht="36" customHeight="1">
      <c r="A4" s="5" t="inlineStr">
        <is>
          <t>Sales invoice</t>
        </is>
      </c>
      <c r="B4" s="5" t="inlineStr">
        <is>
          <t>DRAFT, COMPLETED, CANCELLED</t>
        </is>
      </c>
      <c r="C4" s="5" t="inlineStr">
        <is>
          <t>Billing clerk</t>
        </is>
      </c>
      <c r="D4" s="5" t="inlineStr">
        <is>
          <t>Not verified</t>
        </is>
      </c>
      <c r="E4" s="5" t="inlineStr">
        <is>
          <t>Not verified</t>
        </is>
      </c>
      <c r="F4" s="5" t="inlineStr">
        <is>
          <t>No</t>
        </is>
      </c>
    </row>
    <row r="5" ht="36" customHeight="1">
      <c r="A5" s="5" t="inlineStr">
        <is>
          <t>Sales order</t>
        </is>
      </c>
      <c r="B5" s="5" t="inlineStr">
        <is>
          <t>DRAFT, CONFIRMED, CONVERTED, CANCELLED</t>
        </is>
      </c>
      <c r="C5" s="5" t="inlineStr">
        <is>
          <t>Salesperson</t>
        </is>
      </c>
      <c r="D5" s="5" t="inlineStr">
        <is>
          <t>Not verified</t>
        </is>
      </c>
      <c r="E5" s="5" t="inlineStr">
        <is>
          <t>Not verified</t>
        </is>
      </c>
      <c r="F5" s="5" t="inlineStr">
        <is>
          <t>No</t>
        </is>
      </c>
    </row>
    <row r="6" ht="36" customHeight="1">
      <c r="A6" s="5" t="inlineStr">
        <is>
          <t>Quotation</t>
        </is>
      </c>
      <c r="B6" s="5" t="inlineStr">
        <is>
          <t>DRAFT, CONVERTED, CANCELLED</t>
        </is>
      </c>
      <c r="C6" s="5" t="inlineStr">
        <is>
          <t>Salesperson</t>
        </is>
      </c>
      <c r="D6" s="5" t="inlineStr">
        <is>
          <t>Not verified</t>
        </is>
      </c>
      <c r="E6" s="5" t="inlineStr">
        <is>
          <t>Not verified</t>
        </is>
      </c>
      <c r="F6" s="5" t="inlineStr">
        <is>
          <t>No</t>
        </is>
      </c>
    </row>
    <row r="7" ht="36" customHeight="1">
      <c r="A7" s="5" t="inlineStr">
        <is>
          <t>Purchase order</t>
        </is>
      </c>
      <c r="B7" s="5" t="inlineStr">
        <is>
          <t>DRAFT, CONVERTED, CANCELLED</t>
        </is>
      </c>
      <c r="C7" s="5" t="inlineStr">
        <is>
          <t>Purchase manager</t>
        </is>
      </c>
      <c r="D7" s="5" t="inlineStr">
        <is>
          <t>Not verified</t>
        </is>
      </c>
      <c r="E7" s="5" t="inlineStr">
        <is>
          <t>Not verified</t>
        </is>
      </c>
      <c r="F7" s="5" t="inlineStr">
        <is>
          <t>No</t>
        </is>
      </c>
    </row>
    <row r="8" ht="36" customHeight="1">
      <c r="A8" s="5" t="inlineStr">
        <is>
          <t>Purchase invoice</t>
        </is>
      </c>
      <c r="B8" s="5" t="inlineStr">
        <is>
          <t>DRAFT, COMPLETED, CANCELLED</t>
        </is>
      </c>
      <c r="C8" s="5" t="inlineStr">
        <is>
          <t>Purchase manager</t>
        </is>
      </c>
      <c r="D8" s="5" t="inlineStr">
        <is>
          <t>Not verified</t>
        </is>
      </c>
      <c r="E8" s="5" t="inlineStr">
        <is>
          <t>Not verified</t>
        </is>
      </c>
      <c r="F8" s="5" t="inlineStr">
        <is>
          <t>No</t>
        </is>
      </c>
    </row>
    <row r="9" ht="36" customHeight="1">
      <c r="A9" s="5" t="inlineStr">
        <is>
          <t>Goods receipt</t>
        </is>
      </c>
      <c r="B9" s="5" t="inlineStr">
        <is>
          <t>DRAFT, COMPLETED, CANCELLED</t>
        </is>
      </c>
      <c r="C9" s="5" t="inlineStr">
        <is>
          <t>Stores</t>
        </is>
      </c>
      <c r="D9" s="5" t="inlineStr">
        <is>
          <t>Not verified</t>
        </is>
      </c>
      <c r="E9" s="5" t="inlineStr">
        <is>
          <t>Not verified</t>
        </is>
      </c>
      <c r="F9" s="5" t="inlineStr">
        <is>
          <t>No</t>
        </is>
      </c>
    </row>
    <row r="10" ht="36" customHeight="1">
      <c r="A10" s="5" t="inlineStr">
        <is>
          <t>Customer receipt</t>
        </is>
      </c>
      <c r="B10" s="5" t="inlineStr">
        <is>
          <t>POSTED, REFUNDED, VOIDED</t>
        </is>
      </c>
      <c r="C10" s="5" t="inlineStr">
        <is>
          <t>Cashier</t>
        </is>
      </c>
      <c r="D10" s="5" t="inlineStr">
        <is>
          <t>Not verified</t>
        </is>
      </c>
      <c r="E10" s="5" t="inlineStr">
        <is>
          <t>Not verified</t>
        </is>
      </c>
      <c r="F10" s="5" t="inlineStr">
        <is>
          <t>No</t>
        </is>
      </c>
    </row>
    <row r="11" ht="36" customHeight="1">
      <c r="A11" s="5" t="inlineStr">
        <is>
          <t>Supplier payment</t>
        </is>
      </c>
      <c r="B11" s="5" t="inlineStr">
        <is>
          <t>POSTED, VOIDED</t>
        </is>
      </c>
      <c r="C11" s="5" t="inlineStr">
        <is>
          <t>Accountant</t>
        </is>
      </c>
      <c r="D11" s="5" t="inlineStr">
        <is>
          <t>Not verified</t>
        </is>
      </c>
      <c r="E11" s="5" t="inlineStr">
        <is>
          <t>Not verified</t>
        </is>
      </c>
      <c r="F11" s="5" t="inlineStr">
        <is>
          <t>No</t>
        </is>
      </c>
    </row>
    <row r="12" ht="36" customHeight="1">
      <c r="A12" s="5" t="inlineStr">
        <is>
          <t>Sales return</t>
        </is>
      </c>
      <c r="B12" s="5" t="inlineStr">
        <is>
          <t>DRAFT, COMPLETED, CANCELLED</t>
        </is>
      </c>
      <c r="C12" s="5" t="inlineStr">
        <is>
          <t>Billing clerk</t>
        </is>
      </c>
      <c r="D12" s="5" t="inlineStr">
        <is>
          <t>Not verified</t>
        </is>
      </c>
      <c r="E12" s="5" t="inlineStr">
        <is>
          <t>Not verified</t>
        </is>
      </c>
      <c r="F12" s="5" t="inlineStr">
        <is>
          <t>No</t>
        </is>
      </c>
    </row>
    <row r="13" ht="36" customHeight="1">
      <c r="A13" s="5" t="inlineStr">
        <is>
          <t>Purchase return</t>
        </is>
      </c>
      <c r="B13" s="5" t="inlineStr">
        <is>
          <t>DRAFT, COMPLETED, CANCELLED</t>
        </is>
      </c>
      <c r="C13" s="5" t="inlineStr">
        <is>
          <t>Purchase manager</t>
        </is>
      </c>
      <c r="D13" s="5" t="inlineStr">
        <is>
          <t>Not verified</t>
        </is>
      </c>
      <c r="E13" s="5" t="inlineStr">
        <is>
          <t>Not verified</t>
        </is>
      </c>
      <c r="F13" s="5" t="inlineStr">
        <is>
          <t>No</t>
        </is>
      </c>
    </row>
    <row r="14" ht="36" customHeight="1">
      <c r="A14" s="5" t="inlineStr">
        <is>
          <t>Credit and debit notes</t>
        </is>
      </c>
      <c r="B14" s="5" t="inlineStr">
        <is>
          <t>DRAFT, COMPLETED, CANCELLED on the sales and purchase note models</t>
        </is>
      </c>
      <c r="C14" s="5" t="inlineStr">
        <is>
          <t>Accountant</t>
        </is>
      </c>
      <c r="D14" s="5" t="inlineStr">
        <is>
          <t>Not verified</t>
        </is>
      </c>
      <c r="E14" s="5" t="inlineStr">
        <is>
          <t>Not verified</t>
        </is>
      </c>
      <c r="F14" s="5" t="inlineStr">
        <is>
          <t>No</t>
        </is>
      </c>
    </row>
    <row r="15" ht="36" customHeight="1">
      <c r="A15" s="5" t="inlineStr">
        <is>
          <t>Delivery challan</t>
        </is>
      </c>
      <c r="B15" s="5" t="inlineStr">
        <is>
          <t>DRAFT, COMPLETED, CANCELLED</t>
        </is>
      </c>
      <c r="C15" s="5" t="inlineStr">
        <is>
          <t>Dispatcher</t>
        </is>
      </c>
      <c r="D15" s="5" t="inlineStr">
        <is>
          <t>Not verified</t>
        </is>
      </c>
      <c r="E15" s="5" t="inlineStr">
        <is>
          <t>Not verified</t>
        </is>
      </c>
      <c r="F15" s="5" t="inlineStr">
        <is>
          <t>No</t>
        </is>
      </c>
    </row>
    <row r="16" ht="36" customHeight="1">
      <c r="A16" s="5" t="inlineStr">
        <is>
          <t>Work order</t>
        </is>
      </c>
      <c r="B16" s="5" t="inlineStr">
        <is>
          <t>DRAFT, RELEASED, COMPLETED, CANCELLED</t>
        </is>
      </c>
      <c r="C16" s="5" t="inlineStr">
        <is>
          <t>Production supervisor</t>
        </is>
      </c>
      <c r="D16" s="5" t="inlineStr">
        <is>
          <t>Not verified</t>
        </is>
      </c>
      <c r="E16" s="5" t="inlineStr">
        <is>
          <t>Not verified</t>
        </is>
      </c>
      <c r="F16" s="5" t="inlineStr">
        <is>
          <t>No</t>
        </is>
      </c>
    </row>
    <row r="17" ht="36" customHeight="1">
      <c r="A17" s="5" t="inlineStr">
        <is>
          <t>Job card</t>
        </is>
      </c>
      <c r="B17" s="5" t="inlineStr">
        <is>
          <t>DRAFT, IN_PROGRESS, INVOICED, CANCELLED</t>
        </is>
      </c>
      <c r="C17" s="5" t="inlineStr">
        <is>
          <t>Service advisor</t>
        </is>
      </c>
      <c r="D17" s="5" t="inlineStr">
        <is>
          <t>Not verified</t>
        </is>
      </c>
      <c r="E17" s="5" t="inlineStr">
        <is>
          <t>Not verified</t>
        </is>
      </c>
      <c r="F17" s="5" t="inlineStr">
        <is>
          <t>No</t>
        </is>
      </c>
    </row>
    <row r="18" ht="36" customHeight="1">
      <c r="A18" s="5" t="inlineStr">
        <is>
          <t>Pay run</t>
        </is>
      </c>
      <c r="B18" s="5" t="inlineStr">
        <is>
          <t>DRAFT, COMPLETED</t>
        </is>
      </c>
      <c r="C18" s="5" t="inlineStr">
        <is>
          <t>Payroll clerk</t>
        </is>
      </c>
      <c r="D18" s="5" t="inlineStr">
        <is>
          <t>Not verified</t>
        </is>
      </c>
      <c r="E18" s="5" t="inlineStr">
        <is>
          <t>Not verified</t>
        </is>
      </c>
      <c r="F18" s="5" t="inlineStr">
        <is>
          <t>No</t>
        </is>
      </c>
    </row>
    <row r="19" ht="36" customHeight="1">
      <c r="A19" s="5" t="inlineStr">
        <is>
          <t>Stock balance</t>
        </is>
      </c>
      <c r="B19" s="5" t="inlineStr">
        <is>
          <t>Not a status enum. on_hand and reserved; available is on_hand minus reserved.</t>
        </is>
      </c>
      <c r="C19" s="5" t="inlineStr">
        <is>
          <t>Stores</t>
        </is>
      </c>
      <c r="D19" s="5" t="inlineStr">
        <is>
          <t>Not verified</t>
        </is>
      </c>
      <c r="E19" s="5" t="inlineStr">
        <is>
          <t>Not verified</t>
        </is>
      </c>
      <c r="F19" s="5" t="inlineStr">
        <is>
          <t>No</t>
        </is>
      </c>
    </row>
    <row r="20" ht="36" customHeight="1">
      <c r="A20" s="5" t="inlineStr">
        <is>
          <t>Customer and supplier</t>
        </is>
      </c>
      <c r="B20" s="5" t="inlineStr">
        <is>
          <t>Master records. Not a document status machine.</t>
        </is>
      </c>
      <c r="C20" s="5" t="inlineStr">
        <is>
          <t>Accountant</t>
        </is>
      </c>
      <c r="D20" s="5" t="inlineStr">
        <is>
          <t>Not applicable</t>
        </is>
      </c>
      <c r="E20" s="5" t="inlineStr">
        <is>
          <t>Not applicable</t>
        </is>
      </c>
      <c r="F20" s="5" t="inlineStr">
        <is>
          <t>No</t>
        </is>
      </c>
    </row>
    <row r="21" ht="36" customHeight="1">
      <c r="A21" s="5" t="inlineStr">
        <is>
          <t>GST e-invoice and e-way bill</t>
        </is>
      </c>
      <c r="B21" s="5" t="inlineStr">
        <is>
          <t>Product areas exist. The full portal status graph is not copied here.</t>
        </is>
      </c>
      <c r="C21" s="5" t="inlineStr">
        <is>
          <t>Accountant</t>
        </is>
      </c>
      <c r="D21" s="5" t="inlineStr">
        <is>
          <t>Not verified</t>
        </is>
      </c>
      <c r="E21" s="5" t="inlineStr">
        <is>
          <t>Not verified</t>
        </is>
      </c>
      <c r="F21"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16" customWidth="1" min="1" max="1"/>
    <col width="62" customWidth="1" min="2" max="2"/>
    <col width="55" customWidth="1" min="3" max="3"/>
    <col width="28" customWidth="1" min="4" max="4"/>
    <col width="12" customWidth="1" min="5" max="5"/>
  </cols>
  <sheetData>
    <row r="1" ht="28" customHeight="1">
      <c r="A1" s="1" t="inlineStr">
        <is>
          <t>Business integrity matrix</t>
        </is>
      </c>
    </row>
    <row r="2" ht="32" customHeight="1">
      <c r="A2" s="2" t="inlineStr">
        <is>
          <t>A trial-balance report exists and exposes trial_balance_balanced. That is not a gate on every transaction. No invariant below is marked proven.</t>
        </is>
      </c>
    </row>
    <row r="3">
      <c r="A3" s="3" t="inlineStr">
        <is>
          <t>Domain</t>
        </is>
      </c>
      <c r="B3" s="3" t="inlineStr">
        <is>
          <t>Invariant</t>
        </is>
      </c>
      <c r="C3" s="3" t="inlineStr">
        <is>
          <t>Known handle in code</t>
        </is>
      </c>
      <c r="D3" s="3" t="inlineStr">
        <is>
          <t>Gate on every transaction</t>
        </is>
      </c>
      <c r="E3" s="3" t="inlineStr">
        <is>
          <t>Proven</t>
        </is>
      </c>
    </row>
    <row r="4" ht="36" customHeight="1">
      <c r="A4" s="5" t="inlineStr">
        <is>
          <t>Financial</t>
        </is>
      </c>
      <c r="B4" s="5" t="inlineStr">
        <is>
          <t>Debits equal credits</t>
        </is>
      </c>
      <c r="C4" s="5" t="inlineStr">
        <is>
          <t>accounting.reports.trial_balance</t>
        </is>
      </c>
      <c r="D4" s="5" t="inlineStr">
        <is>
          <t>No</t>
        </is>
      </c>
      <c r="E4" s="5" t="inlineStr">
        <is>
          <t>No</t>
        </is>
      </c>
    </row>
    <row r="5" ht="36" customHeight="1">
      <c r="A5" s="5" t="inlineStr">
        <is>
          <t>Financial</t>
        </is>
      </c>
      <c r="B5" s="5" t="inlineStr">
        <is>
          <t>Customer balance equals invoices minus receipts minus credits</t>
        </is>
      </c>
      <c r="C5" s="5" t="inlineStr">
        <is>
          <t>Receipt and SalesInvoice</t>
        </is>
      </c>
      <c r="D5" s="5" t="inlineStr">
        <is>
          <t>No</t>
        </is>
      </c>
      <c r="E5" s="5" t="inlineStr">
        <is>
          <t>No</t>
        </is>
      </c>
    </row>
    <row r="6" ht="36" customHeight="1">
      <c r="A6" s="5" t="inlineStr">
        <is>
          <t>Financial</t>
        </is>
      </c>
      <c r="B6" s="5" t="inlineStr">
        <is>
          <t>Supplier balance equals purchases minus payments minus debits</t>
        </is>
      </c>
      <c r="C6" s="5" t="inlineStr">
        <is>
          <t>Supplier payment and PurchaseInvoice</t>
        </is>
      </c>
      <c r="D6" s="5" t="inlineStr">
        <is>
          <t>No</t>
        </is>
      </c>
      <c r="E6" s="5" t="inlineStr">
        <is>
          <t>No</t>
        </is>
      </c>
    </row>
    <row r="7" ht="36" customHeight="1">
      <c r="A7" s="5" t="inlineStr">
        <is>
          <t>Financial</t>
        </is>
      </c>
      <c r="B7" s="5" t="inlineStr">
        <is>
          <t>Receivable total ties to open invoices</t>
        </is>
      </c>
      <c r="C7" s="5" t="inlineStr">
        <is>
          <t>Not established as a gate</t>
        </is>
      </c>
      <c r="D7" s="5" t="inlineStr">
        <is>
          <t>No</t>
        </is>
      </c>
      <c r="E7" s="5" t="inlineStr">
        <is>
          <t>No</t>
        </is>
      </c>
    </row>
    <row r="8" ht="36" customHeight="1">
      <c r="A8" s="5" t="inlineStr">
        <is>
          <t>Financial</t>
        </is>
      </c>
      <c r="B8" s="5" t="inlineStr">
        <is>
          <t>Payable total ties to open purchases</t>
        </is>
      </c>
      <c r="C8" s="5" t="inlineStr">
        <is>
          <t>Not established as a gate</t>
        </is>
      </c>
      <c r="D8" s="5" t="inlineStr">
        <is>
          <t>No</t>
        </is>
      </c>
      <c r="E8" s="5" t="inlineStr">
        <is>
          <t>No</t>
        </is>
      </c>
    </row>
    <row r="9" ht="36" customHeight="1">
      <c r="A9" s="5" t="inlineStr">
        <is>
          <t>Inventory</t>
        </is>
      </c>
      <c r="B9" s="5" t="inlineStr">
        <is>
          <t>Opening plus receipts minus issues plus adjustments equals closing</t>
        </is>
      </c>
      <c r="C9" s="5" t="inlineStr">
        <is>
          <t>Stock movements</t>
        </is>
      </c>
      <c r="D9" s="5" t="inlineStr">
        <is>
          <t>No</t>
        </is>
      </c>
      <c r="E9" s="5" t="inlineStr">
        <is>
          <t>No</t>
        </is>
      </c>
    </row>
    <row r="10" ht="36" customHeight="1">
      <c r="A10" s="5" t="inlineStr">
        <is>
          <t>Inventory</t>
        </is>
      </c>
      <c r="B10" s="5" t="inlineStr">
        <is>
          <t>On-hand does not go negative unless the tenant allows it</t>
        </is>
      </c>
      <c r="C10" s="5" t="inlineStr">
        <is>
          <t>Negative-stock policy is described on existing tasks</t>
        </is>
      </c>
      <c r="D10" s="5" t="inlineStr">
        <is>
          <t>No</t>
        </is>
      </c>
      <c r="E10" s="5" t="inlineStr">
        <is>
          <t>No</t>
        </is>
      </c>
    </row>
    <row r="11" ht="36" customHeight="1">
      <c r="A11" s="5" t="inlineStr">
        <is>
          <t>Inventory</t>
        </is>
      </c>
      <c r="B11" s="5" t="inlineStr">
        <is>
          <t>Reserved plus available equals on-hand</t>
        </is>
      </c>
      <c r="C11" s="5" t="inlineStr">
        <is>
          <t>StockBalance.reserved; available is on_hand minus reserved</t>
        </is>
      </c>
      <c r="D11" s="5" t="inlineStr">
        <is>
          <t>No</t>
        </is>
      </c>
      <c r="E11" s="5" t="inlineStr">
        <is>
          <t>No</t>
        </is>
      </c>
    </row>
    <row r="12" ht="36" customHeight="1">
      <c r="A12" s="5" t="inlineStr">
        <is>
          <t>Inventory</t>
        </is>
      </c>
      <c r="B12" s="5" t="inlineStr">
        <is>
          <t>Batch and serial quantities tie to the balance</t>
        </is>
      </c>
      <c r="C12" s="5" t="inlineStr">
        <is>
          <t>Batch and serial models exist</t>
        </is>
      </c>
      <c r="D12" s="5" t="inlineStr">
        <is>
          <t>No</t>
        </is>
      </c>
      <c r="E12" s="5" t="inlineStr">
        <is>
          <t>No</t>
        </is>
      </c>
    </row>
    <row r="13" ht="36" customHeight="1">
      <c r="A13" s="5" t="inlineStr">
        <is>
          <t>Inventory</t>
        </is>
      </c>
      <c r="B13" s="5" t="inlineStr">
        <is>
          <t>Warehouse totals tie to the company total</t>
        </is>
      </c>
      <c r="C13" s="5" t="inlineStr">
        <is>
          <t>Not established as a gate</t>
        </is>
      </c>
      <c r="D13" s="5" t="inlineStr">
        <is>
          <t>No</t>
        </is>
      </c>
      <c r="E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outlineLevelCol="0"/>
  <cols>
    <col width="55" customWidth="1" min="1" max="1"/>
    <col width="55" customWidth="1" min="2" max="2"/>
    <col width="62" customWidth="1" min="3" max="3"/>
    <col width="12" customWidth="1" min="4" max="4"/>
  </cols>
  <sheetData>
    <row r="1" ht="28" customHeight="1">
      <c r="A1" s="1" t="inlineStr">
        <is>
          <t>Failure and recovery matrix</t>
        </is>
      </c>
    </row>
    <row r="2" ht="32" customHeight="1">
      <c r="A2" s="2" t="inlineStr">
        <is>
          <t>Refund posting uses an idempotency key on the gateway refund outbox. That single key does not prove the cases below.</t>
        </is>
      </c>
    </row>
    <row r="3">
      <c r="A3" s="3" t="inlineStr">
        <is>
          <t>Case</t>
        </is>
      </c>
      <c r="B3" s="3" t="inlineStr">
        <is>
          <t>What must remain true</t>
        </is>
      </c>
      <c r="C3" s="3" t="inlineStr">
        <is>
          <t>Evidence</t>
        </is>
      </c>
      <c r="D3" s="3" t="inlineStr">
        <is>
          <t>Proven</t>
        </is>
      </c>
    </row>
    <row r="4" ht="36" customHeight="1">
      <c r="A4" s="5" t="inlineStr">
        <is>
          <t>Create, post, update, cancel, return, reverse</t>
        </is>
      </c>
      <c r="B4" s="5" t="inlineStr">
        <is>
          <t>Cancel and reverse put stock, tax, and ledger back</t>
        </is>
      </c>
      <c r="C4" s="5" t="inlineStr">
        <is>
          <t>Not verified</t>
        </is>
      </c>
      <c r="D4" s="5" t="inlineStr">
        <is>
          <t>No</t>
        </is>
      </c>
    </row>
    <row r="5" ht="36" customHeight="1">
      <c r="A5" s="5" t="inlineStr">
        <is>
          <t>Retry and duplicate submit</t>
        </is>
      </c>
      <c r="B5" s="5" t="inlineStr">
        <is>
          <t>A second submit does not post twice</t>
        </is>
      </c>
      <c r="C5" s="5" t="inlineStr">
        <is>
          <t>uniq_refund_outbox_per_idempotency_key covers one refund path only</t>
        </is>
      </c>
      <c r="D5" s="5" t="inlineStr">
        <is>
          <t>No</t>
        </is>
      </c>
    </row>
    <row r="6" ht="36" customHeight="1">
      <c r="A6" s="5" t="inlineStr">
        <is>
          <t>Inventory updates and the ledger write fails</t>
        </is>
      </c>
      <c r="B6" s="5" t="inlineStr">
        <is>
          <t>Neither side is left posted alone</t>
        </is>
      </c>
      <c r="C6" s="5" t="inlineStr">
        <is>
          <t>Not verified</t>
        </is>
      </c>
      <c r="D6" s="5" t="inlineStr">
        <is>
          <t>No</t>
        </is>
      </c>
    </row>
    <row r="7" ht="36" customHeight="1">
      <c r="A7" s="5" t="inlineStr">
        <is>
          <t>Payment succeeds and the callback is late</t>
        </is>
      </c>
      <c r="B7" s="5" t="inlineStr">
        <is>
          <t>The receipt is not doubled when the callback arrives</t>
        </is>
      </c>
      <c r="C7" s="5" t="inlineStr">
        <is>
          <t>Not verified</t>
        </is>
      </c>
      <c r="D7" s="5" t="inlineStr">
        <is>
          <t>No</t>
        </is>
      </c>
    </row>
    <row r="8" ht="36" customHeight="1">
      <c r="A8" s="5" t="inlineStr">
        <is>
          <t>GST portal fails after the document is saved</t>
        </is>
      </c>
      <c r="B8" s="5" t="inlineStr">
        <is>
          <t>The local document shows the portal failure</t>
        </is>
      </c>
      <c r="C8" s="5" t="inlineStr">
        <is>
          <t>Not verified</t>
        </is>
      </c>
      <c r="D8" s="5" t="inlineStr">
        <is>
          <t>No</t>
        </is>
      </c>
    </row>
    <row r="9" ht="36" customHeight="1">
      <c r="A9" s="5" t="inlineStr">
        <is>
          <t>Webhook delivered twice</t>
        </is>
      </c>
      <c r="B9" s="5" t="inlineStr">
        <is>
          <t>The second delivery is a no-op</t>
        </is>
      </c>
      <c r="C9" s="5" t="inlineStr">
        <is>
          <t>Not verified</t>
        </is>
      </c>
      <c r="D9" s="5" t="inlineStr">
        <is>
          <t>No</t>
        </is>
      </c>
    </row>
    <row r="10" ht="36" customHeight="1">
      <c r="A10" s="5" t="inlineStr">
        <is>
          <t>Browser closes during checkout</t>
        </is>
      </c>
      <c r="B10" s="5" t="inlineStr">
        <is>
          <t>The draft or outbox can be recovered</t>
        </is>
      </c>
      <c r="C10" s="5" t="inlineStr">
        <is>
          <t>IndexedDB invoice draft cache exists. Recovery of a half-posted bill is not verified</t>
        </is>
      </c>
      <c r="D10" s="5" t="inlineStr">
        <is>
          <t>No</t>
        </is>
      </c>
    </row>
    <row r="11" ht="36" customHeight="1">
      <c r="A11" s="5" t="inlineStr">
        <is>
          <t>Background job stops halfway</t>
        </is>
      </c>
      <c r="B11" s="5" t="inlineStr">
        <is>
          <t>The job can be retried without a second posting</t>
        </is>
      </c>
      <c r="C11" s="5" t="inlineStr">
        <is>
          <t>Not verified</t>
        </is>
      </c>
      <c r="D11"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48" customWidth="1" min="1" max="1"/>
    <col width="55" customWidth="1" min="2" max="2"/>
    <col width="22" customWidth="1" min="3" max="3"/>
    <col width="12" customWidth="1" min="4" max="4"/>
  </cols>
  <sheetData>
    <row r="1" ht="28" customHeight="1">
      <c r="A1" s="1" t="inlineStr">
        <is>
          <t>Concurrency matrix</t>
        </is>
      </c>
    </row>
    <row r="2" ht="32" customHeight="1">
      <c r="A2" s="2" t="inlineStr">
        <is>
          <t>Some stock paths take a row lock. That is not a pass for these races. No scenario here is marked proven.</t>
        </is>
      </c>
    </row>
    <row r="3">
      <c r="A3" s="3" t="inlineStr">
        <is>
          <t>Race</t>
        </is>
      </c>
      <c r="B3" s="3" t="inlineStr">
        <is>
          <t>Harm if lost</t>
        </is>
      </c>
      <c r="C3" s="3" t="inlineStr">
        <is>
          <t>Evidence</t>
        </is>
      </c>
      <c r="D3" s="3" t="inlineStr">
        <is>
          <t>Proven</t>
        </is>
      </c>
    </row>
    <row r="4" ht="36" customHeight="1">
      <c r="A4" s="5" t="inlineStr">
        <is>
          <t>Two users sell the last unit</t>
        </is>
      </c>
      <c r="B4" s="5" t="inlineStr">
        <is>
          <t>Duplicate document or a balance that does not tie</t>
        </is>
      </c>
      <c r="C4" s="5" t="inlineStr">
        <is>
          <t>Not verified</t>
        </is>
      </c>
      <c r="D4" s="5" t="inlineStr">
        <is>
          <t>No</t>
        </is>
      </c>
    </row>
    <row r="5" ht="36" customHeight="1">
      <c r="A5" s="5" t="inlineStr">
        <is>
          <t>Two users edit the same invoice</t>
        </is>
      </c>
      <c r="B5" s="5" t="inlineStr">
        <is>
          <t>Duplicate document or a balance that does not tie</t>
        </is>
      </c>
      <c r="C5" s="5" t="inlineStr">
        <is>
          <t>Not verified</t>
        </is>
      </c>
      <c r="D5" s="5" t="inlineStr">
        <is>
          <t>No</t>
        </is>
      </c>
    </row>
    <row r="6" ht="36" customHeight="1">
      <c r="A6" s="5" t="inlineStr">
        <is>
          <t>Two users approve the same document</t>
        </is>
      </c>
      <c r="B6" s="5" t="inlineStr">
        <is>
          <t>Duplicate document or a balance that does not tie</t>
        </is>
      </c>
      <c r="C6" s="5" t="inlineStr">
        <is>
          <t>Not verified</t>
        </is>
      </c>
      <c r="D6" s="5" t="inlineStr">
        <is>
          <t>No</t>
        </is>
      </c>
    </row>
    <row r="7" ht="36" customHeight="1">
      <c r="A7" s="5" t="inlineStr">
        <is>
          <t>Two stock transfers of the same quantity</t>
        </is>
      </c>
      <c r="B7" s="5" t="inlineStr">
        <is>
          <t>Duplicate document or a balance that does not tie</t>
        </is>
      </c>
      <c r="C7" s="5" t="inlineStr">
        <is>
          <t>Not verified</t>
        </is>
      </c>
      <c r="D7" s="5" t="inlineStr">
        <is>
          <t>No</t>
        </is>
      </c>
    </row>
    <row r="8" ht="36" customHeight="1">
      <c r="A8" s="5" t="inlineStr">
        <is>
          <t>Duplicate payment submit</t>
        </is>
      </c>
      <c r="B8" s="5" t="inlineStr">
        <is>
          <t>Duplicate document or a balance that does not tie</t>
        </is>
      </c>
      <c r="C8" s="5" t="inlineStr">
        <is>
          <t>Not verified</t>
        </is>
      </c>
      <c r="D8" s="5" t="inlineStr">
        <is>
          <t>No</t>
        </is>
      </c>
    </row>
    <row r="9" ht="36" customHeight="1">
      <c r="A9" s="5" t="inlineStr">
        <is>
          <t>Duplicate webhook</t>
        </is>
      </c>
      <c r="B9" s="5" t="inlineStr">
        <is>
          <t>Duplicate document or a balance that does not tie</t>
        </is>
      </c>
      <c r="C9" s="5" t="inlineStr">
        <is>
          <t>Not verified</t>
        </is>
      </c>
      <c r="D9" s="5" t="inlineStr">
        <is>
          <t>No</t>
        </is>
      </c>
    </row>
    <row r="10" ht="36" customHeight="1">
      <c r="A10" s="5" t="inlineStr">
        <is>
          <t>Duplicate GST import</t>
        </is>
      </c>
      <c r="B10" s="5" t="inlineStr">
        <is>
          <t>Duplicate document or a balance that does not tie</t>
        </is>
      </c>
      <c r="C10" s="5" t="inlineStr">
        <is>
          <t>Not verified</t>
        </is>
      </c>
      <c r="D10" s="5" t="inlineStr">
        <is>
          <t>No</t>
        </is>
      </c>
    </row>
    <row r="11" ht="36" customHeight="1">
      <c r="A11" s="5" t="inlineStr">
        <is>
          <t>Two goods receipts for the same order</t>
        </is>
      </c>
      <c r="B11" s="5" t="inlineStr">
        <is>
          <t>Duplicate document or a balance that does not tie</t>
        </is>
      </c>
      <c r="C11" s="5" t="inlineStr">
        <is>
          <t>Not verified</t>
        </is>
      </c>
      <c r="D11" s="5" t="inlineStr">
        <is>
          <t>No</t>
        </is>
      </c>
    </row>
    <row r="12" ht="36" customHeight="1">
      <c r="A12" s="5" t="inlineStr">
        <is>
          <t>Two edits of the same customer</t>
        </is>
      </c>
      <c r="B12" s="5" t="inlineStr">
        <is>
          <t>Duplicate document or a balance that does not tie</t>
        </is>
      </c>
      <c r="C12" s="5" t="inlineStr">
        <is>
          <t>Not verified</t>
        </is>
      </c>
      <c r="D12" s="5" t="inlineStr">
        <is>
          <t>No</t>
        </is>
      </c>
    </row>
    <row r="13" ht="36" customHeight="1">
      <c r="A13" s="5" t="inlineStr">
        <is>
          <t>Two stock adjustments of the same item</t>
        </is>
      </c>
      <c r="B13" s="5" t="inlineStr">
        <is>
          <t>Duplicate document or a balance that does not tie</t>
        </is>
      </c>
      <c r="C13" s="5" t="inlineStr">
        <is>
          <t>Not verified</t>
        </is>
      </c>
      <c r="D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14"/>
  <sheetViews>
    <sheetView showGridLines="0" workbookViewId="0">
      <pane ySplit="3" topLeftCell="A4" activePane="bottomLeft" state="frozen"/>
      <selection pane="bottomLeft" activeCell="A1" sqref="A1"/>
    </sheetView>
  </sheetViews>
  <sheetFormatPr baseColWidth="8" defaultRowHeight="15" outlineLevelCol="0"/>
  <cols>
    <col width="32" customWidth="1" min="1" max="1"/>
    <col width="48" customWidth="1" min="2" max="2"/>
    <col width="62" customWidth="1" min="3" max="3"/>
    <col width="12" customWidth="1" min="4" max="4"/>
  </cols>
  <sheetData>
    <row r="1" ht="28" customHeight="1">
      <c r="A1" s="1" t="inlineStr">
        <is>
          <t>Security assurance matrix</t>
        </is>
      </c>
    </row>
    <row r="2" ht="32" customHeight="1">
      <c r="A2" s="2" t="inlineStr">
        <is>
          <t>Row-level security policies and the app.company_id setting exist. A control is not assured until the evidence column says so. TOTP remains absent.</t>
        </is>
      </c>
    </row>
    <row r="3">
      <c r="A3" s="3" t="inlineStr">
        <is>
          <t>Control</t>
        </is>
      </c>
      <c r="B3" s="3" t="inlineStr">
        <is>
          <t>What was found</t>
        </is>
      </c>
      <c r="C3" s="3" t="inlineStr">
        <is>
          <t>Evidence</t>
        </is>
      </c>
      <c r="D3" s="3" t="inlineStr">
        <is>
          <t>Assured</t>
        </is>
      </c>
    </row>
    <row r="4" ht="36" customHeight="1">
      <c r="A4" s="5" t="inlineStr">
        <is>
          <t>Tenant isolation</t>
        </is>
      </c>
      <c r="B4" s="5" t="inlineStr">
        <is>
          <t>Postgres RLS and app.company_id</t>
        </is>
      </c>
      <c r="C4" s="5" t="inlineStr">
        <is>
          <t>Policies exist. A cross-tenant test suite was not confirmed here</t>
        </is>
      </c>
      <c r="D4" s="5" t="inlineStr">
        <is>
          <t>No</t>
        </is>
      </c>
    </row>
    <row r="5" ht="36" customHeight="1">
      <c r="A5" s="5" t="inlineStr">
        <is>
          <t>RBAC</t>
        </is>
      </c>
      <c r="B5" s="5" t="inlineStr">
        <is>
          <t>Role permissions exist</t>
        </is>
      </c>
      <c r="C5" s="5" t="inlineStr">
        <is>
          <t>Not verified</t>
        </is>
      </c>
      <c r="D5" s="5" t="inlineStr">
        <is>
          <t>No</t>
        </is>
      </c>
    </row>
    <row r="6" ht="36" customHeight="1">
      <c r="A6" s="5" t="inlineStr">
        <is>
          <t>Object-level authorization</t>
        </is>
      </c>
      <c r="B6" s="5" t="inlineStr">
        <is>
          <t>Not re-tested</t>
        </is>
      </c>
      <c r="C6" s="5" t="inlineStr">
        <is>
          <t>Not verified</t>
        </is>
      </c>
      <c r="D6" s="5" t="inlineStr">
        <is>
          <t>No</t>
        </is>
      </c>
    </row>
    <row r="7" ht="36" customHeight="1">
      <c r="A7" s="5" t="inlineStr">
        <is>
          <t>Session and 2FA</t>
        </is>
      </c>
      <c r="B7" s="5" t="inlineStr">
        <is>
          <t>No TOTP implementation</t>
        </is>
      </c>
      <c r="C7" s="5" t="inlineStr">
        <is>
          <t>SEC-0624 remains Mechanism not found</t>
        </is>
      </c>
      <c r="D7" s="5" t="inlineStr">
        <is>
          <t>No</t>
        </is>
      </c>
    </row>
    <row r="8" ht="36" customHeight="1">
      <c r="A8" s="5" t="inlineStr">
        <is>
          <t>Audit trail</t>
        </is>
      </c>
      <c r="B8" s="5" t="inlineStr">
        <is>
          <t>django-simple-history is not the mechanism</t>
        </is>
      </c>
      <c r="C8" s="5" t="inlineStr">
        <is>
          <t>P-0115, X-0432, and P-0507 remain Partial</t>
        </is>
      </c>
      <c r="D8" s="5" t="inlineStr">
        <is>
          <t>No</t>
        </is>
      </c>
    </row>
    <row r="9" ht="36" customHeight="1">
      <c r="A9" s="5" t="inlineStr">
        <is>
          <t>Hash chain</t>
        </is>
      </c>
      <c r="B9" s="5" t="inlineStr">
        <is>
          <t>No audit hash chain</t>
        </is>
      </c>
      <c r="C9" s="5" t="inlineStr">
        <is>
          <t>S-0579 remains Mechanism not found</t>
        </is>
      </c>
      <c r="D9" s="5" t="inlineStr">
        <is>
          <t>No</t>
        </is>
      </c>
    </row>
    <row r="10" ht="36" customHeight="1">
      <c r="A10" s="5" t="inlineStr">
        <is>
          <t>Export permission</t>
        </is>
      </c>
      <c r="B10" s="5" t="inlineStr">
        <is>
          <t>Not re-tested</t>
        </is>
      </c>
      <c r="C10" s="5" t="inlineStr">
        <is>
          <t>Not verified</t>
        </is>
      </c>
      <c r="D10" s="5" t="inlineStr">
        <is>
          <t>No</t>
        </is>
      </c>
    </row>
    <row r="11" ht="36" customHeight="1">
      <c r="A11" s="5" t="inlineStr">
        <is>
          <t>Rate limit</t>
        </is>
      </c>
      <c r="B11" s="5" t="inlineStr">
        <is>
          <t>Not re-tested as a release gate</t>
        </is>
      </c>
      <c r="C11" s="5" t="inlineStr">
        <is>
          <t>Not verified</t>
        </is>
      </c>
      <c r="D11" s="5" t="inlineStr">
        <is>
          <t>No</t>
        </is>
      </c>
    </row>
    <row r="12" ht="36" customHeight="1">
      <c r="A12" s="5" t="inlineStr">
        <is>
          <t>Injection resistance</t>
        </is>
      </c>
      <c r="B12" s="5" t="inlineStr">
        <is>
          <t>Not re-tested</t>
        </is>
      </c>
      <c r="C12" s="5" t="inlineStr">
        <is>
          <t>Not verified</t>
        </is>
      </c>
      <c r="D12" s="5" t="inlineStr">
        <is>
          <t>No</t>
        </is>
      </c>
    </row>
    <row r="13" ht="36" customHeight="1">
      <c r="A13" s="5" t="inlineStr">
        <is>
          <t>Sensitive-data masking</t>
        </is>
      </c>
      <c r="B13" s="5" t="inlineStr">
        <is>
          <t>Shift+P privacy mask was not found</t>
        </is>
      </c>
      <c r="C13" s="5" t="inlineStr">
        <is>
          <t>UX-0591 remains Mechanism not found</t>
        </is>
      </c>
      <c r="D13" s="5" t="inlineStr">
        <is>
          <t>No</t>
        </is>
      </c>
    </row>
    <row r="14" ht="36" customHeight="1">
      <c r="A14" s="5" t="inlineStr">
        <is>
          <t>Backup security</t>
        </is>
      </c>
      <c r="B14" s="5" t="inlineStr">
        <is>
          <t>A shipped PITR control was not confirmed</t>
        </is>
      </c>
      <c r="C14" s="5" t="inlineStr">
        <is>
          <t>Not verified</t>
        </is>
      </c>
      <c r="D14"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36" customWidth="1" min="1" max="1"/>
    <col width="18" customWidth="1" min="2" max="2"/>
    <col width="18" customWidth="1" min="3" max="3"/>
    <col width="18" customWidth="1" min="4" max="4"/>
    <col width="12" customWidth="1" min="5" max="5"/>
  </cols>
  <sheetData>
    <row r="1" ht="28" customHeight="1">
      <c r="A1" s="1" t="inlineStr">
        <is>
          <t>Integration reliability matrix</t>
        </is>
      </c>
    </row>
    <row r="2" ht="32" customHeight="1">
      <c r="A2" s="2" t="inlineStr">
        <is>
          <t>Each integration must survive timeout, retry, duplicate, replay, out-of-order, partial, invalid, and unavailable responses. None of those cases are marked proven.</t>
        </is>
      </c>
    </row>
    <row r="3">
      <c r="A3" s="3" t="inlineStr">
        <is>
          <t>Integration</t>
        </is>
      </c>
      <c r="B3" s="3" t="inlineStr">
        <is>
          <t>Idempotent</t>
        </is>
      </c>
      <c r="C3" s="3" t="inlineStr">
        <is>
          <t>Observable</t>
        </is>
      </c>
      <c r="D3" s="3" t="inlineStr">
        <is>
          <t>Recoverable</t>
        </is>
      </c>
      <c r="E3" s="3" t="inlineStr">
        <is>
          <t>Proven</t>
        </is>
      </c>
    </row>
    <row r="4" ht="36" customHeight="1">
      <c r="A4" s="5" t="inlineStr">
        <is>
          <t>GST portal</t>
        </is>
      </c>
      <c r="B4" s="5" t="inlineStr">
        <is>
          <t>Not verified</t>
        </is>
      </c>
      <c r="C4" s="5" t="inlineStr">
        <is>
          <t>Not verified</t>
        </is>
      </c>
      <c r="D4" s="5" t="inlineStr">
        <is>
          <t>Not verified</t>
        </is>
      </c>
      <c r="E4" s="5" t="inlineStr">
        <is>
          <t>No</t>
        </is>
      </c>
    </row>
    <row r="5" ht="36" customHeight="1">
      <c r="A5" s="5" t="inlineStr">
        <is>
          <t>Razorpay</t>
        </is>
      </c>
      <c r="B5" s="5" t="inlineStr">
        <is>
          <t>Not verified</t>
        </is>
      </c>
      <c r="C5" s="5" t="inlineStr">
        <is>
          <t>Not verified</t>
        </is>
      </c>
      <c r="D5" s="5" t="inlineStr">
        <is>
          <t>Not verified</t>
        </is>
      </c>
      <c r="E5" s="5" t="inlineStr">
        <is>
          <t>No</t>
        </is>
      </c>
    </row>
    <row r="6" ht="36" customHeight="1">
      <c r="A6" s="5" t="inlineStr">
        <is>
          <t>WhatsApp</t>
        </is>
      </c>
      <c r="B6" s="5" t="inlineStr">
        <is>
          <t>Not verified</t>
        </is>
      </c>
      <c r="C6" s="5" t="inlineStr">
        <is>
          <t>Not verified</t>
        </is>
      </c>
      <c r="D6" s="5" t="inlineStr">
        <is>
          <t>Not verified</t>
        </is>
      </c>
      <c r="E6" s="5" t="inlineStr">
        <is>
          <t>No</t>
        </is>
      </c>
    </row>
    <row r="7" ht="36" customHeight="1">
      <c r="A7" s="5" t="inlineStr">
        <is>
          <t>SMS</t>
        </is>
      </c>
      <c r="B7" s="5" t="inlineStr">
        <is>
          <t>Not verified</t>
        </is>
      </c>
      <c r="C7" s="5" t="inlineStr">
        <is>
          <t>Not verified</t>
        </is>
      </c>
      <c r="D7" s="5" t="inlineStr">
        <is>
          <t>Not verified</t>
        </is>
      </c>
      <c r="E7" s="5" t="inlineStr">
        <is>
          <t>No</t>
        </is>
      </c>
    </row>
    <row r="8" ht="36" customHeight="1">
      <c r="A8" s="5" t="inlineStr">
        <is>
          <t>Email</t>
        </is>
      </c>
      <c r="B8" s="5" t="inlineStr">
        <is>
          <t>Not verified</t>
        </is>
      </c>
      <c r="C8" s="5" t="inlineStr">
        <is>
          <t>Not verified</t>
        </is>
      </c>
      <c r="D8" s="5" t="inlineStr">
        <is>
          <t>Not verified</t>
        </is>
      </c>
      <c r="E8" s="5" t="inlineStr">
        <is>
          <t>No</t>
        </is>
      </c>
    </row>
    <row r="9" ht="36" customHeight="1">
      <c r="A9" s="5" t="inlineStr">
        <is>
          <t>Tally</t>
        </is>
      </c>
      <c r="B9" s="5" t="inlineStr">
        <is>
          <t>Not verified</t>
        </is>
      </c>
      <c r="C9" s="5" t="inlineStr">
        <is>
          <t>Not verified</t>
        </is>
      </c>
      <c r="D9" s="5" t="inlineStr">
        <is>
          <t>Not verified</t>
        </is>
      </c>
      <c r="E9" s="5" t="inlineStr">
        <is>
          <t>No</t>
        </is>
      </c>
    </row>
    <row r="10" ht="36" customHeight="1">
      <c r="A10" s="5" t="inlineStr">
        <is>
          <t>Banking and account aggregator</t>
        </is>
      </c>
      <c r="B10" s="5" t="inlineStr">
        <is>
          <t>Not verified</t>
        </is>
      </c>
      <c r="C10" s="5" t="inlineStr">
        <is>
          <t>Not verified</t>
        </is>
      </c>
      <c r="D10" s="5" t="inlineStr">
        <is>
          <t>Not verified</t>
        </is>
      </c>
      <c r="E10" s="5" t="inlineStr">
        <is>
          <t>No</t>
        </is>
      </c>
    </row>
    <row r="11" ht="36" customHeight="1">
      <c r="A11" s="5" t="inlineStr">
        <is>
          <t>E-invoice</t>
        </is>
      </c>
      <c r="B11" s="5" t="inlineStr">
        <is>
          <t>Not verified</t>
        </is>
      </c>
      <c r="C11" s="5" t="inlineStr">
        <is>
          <t>Not verified</t>
        </is>
      </c>
      <c r="D11" s="5" t="inlineStr">
        <is>
          <t>Not verified</t>
        </is>
      </c>
      <c r="E11" s="5" t="inlineStr">
        <is>
          <t>No</t>
        </is>
      </c>
    </row>
    <row r="12" ht="36" customHeight="1">
      <c r="A12" s="5" t="inlineStr">
        <is>
          <t>E-way bill</t>
        </is>
      </c>
      <c r="B12" s="5" t="inlineStr">
        <is>
          <t>Not verified</t>
        </is>
      </c>
      <c r="C12" s="5" t="inlineStr">
        <is>
          <t>Not verified</t>
        </is>
      </c>
      <c r="D12" s="5" t="inlineStr">
        <is>
          <t>Not verified</t>
        </is>
      </c>
      <c r="E12" s="5" t="inlineStr">
        <is>
          <t>No</t>
        </is>
      </c>
    </row>
    <row r="13" ht="36" customHeight="1">
      <c r="A13" s="5" t="inlineStr">
        <is>
          <t>Inbound webhooks</t>
        </is>
      </c>
      <c r="B13" s="5" t="inlineStr">
        <is>
          <t>Not verified</t>
        </is>
      </c>
      <c r="C13" s="5" t="inlineStr">
        <is>
          <t>Not verified</t>
        </is>
      </c>
      <c r="D13" s="5" t="inlineStr">
        <is>
          <t>Not verified</t>
        </is>
      </c>
      <c r="E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16" customWidth="1" min="2" max="2"/>
    <col width="20" customWidth="1" min="3" max="3"/>
    <col width="14" customWidth="1" min="4" max="4"/>
    <col width="14" customWidth="1" min="5" max="5"/>
    <col width="12" customWidth="1" min="6" max="6"/>
    <col width="12" customWidth="1" min="7" max="7"/>
    <col width="16" customWidth="1" min="8" max="8"/>
  </cols>
  <sheetData>
    <row r="1" ht="28" customHeight="1">
      <c r="A1" s="1" t="inlineStr">
        <is>
          <t>Performance SLA matrix</t>
        </is>
      </c>
    </row>
    <row r="2" ht="32" customHeight="1">
      <c r="A2" s="2" t="inlineStr">
        <is>
          <t>Target, actual, P95, and P99 are blank on purpose. Figures on the competitive sheet are illustrative and are not measurements.</t>
        </is>
      </c>
    </row>
    <row r="3">
      <c r="A3" s="3" t="inlineStr">
        <is>
          <t>Scenario</t>
        </is>
      </c>
      <c r="B3" s="3" t="inlineStr">
        <is>
          <t>Dataset size</t>
        </is>
      </c>
      <c r="C3" s="3" t="inlineStr">
        <is>
          <t>Concurrent users</t>
        </is>
      </c>
      <c r="D3" s="3" t="inlineStr">
        <is>
          <t>Target</t>
        </is>
      </c>
      <c r="E3" s="3" t="inlineStr">
        <is>
          <t>Actual</t>
        </is>
      </c>
      <c r="F3" s="3" t="inlineStr">
        <is>
          <t>P95</t>
        </is>
      </c>
      <c r="G3" s="3" t="inlineStr">
        <is>
          <t>P99</t>
        </is>
      </c>
      <c r="H3" s="3" t="inlineStr">
        <is>
          <t>Pass or fail</t>
        </is>
      </c>
    </row>
    <row r="4" ht="36" customHeight="1">
      <c r="A4" s="5" t="inlineStr">
        <is>
          <t>Login</t>
        </is>
      </c>
      <c r="B4" s="5" t="inlineStr"/>
      <c r="C4" s="5" t="inlineStr"/>
      <c r="D4" s="5" t="inlineStr"/>
      <c r="E4" s="5" t="inlineStr"/>
      <c r="F4" s="5" t="inlineStr"/>
      <c r="G4" s="5" t="inlineStr"/>
      <c r="H4" s="5" t="inlineStr">
        <is>
          <t>Not measured</t>
        </is>
      </c>
    </row>
    <row r="5" ht="36" customHeight="1">
      <c r="A5" s="5" t="inlineStr">
        <is>
          <t>Dashboard</t>
        </is>
      </c>
      <c r="B5" s="5" t="inlineStr"/>
      <c r="C5" s="5" t="inlineStr"/>
      <c r="D5" s="5" t="inlineStr"/>
      <c r="E5" s="5" t="inlineStr"/>
      <c r="F5" s="5" t="inlineStr"/>
      <c r="G5" s="5" t="inlineStr"/>
      <c r="H5" s="5" t="inlineStr">
        <is>
          <t>Not measured</t>
        </is>
      </c>
    </row>
    <row r="6" ht="36" customHeight="1">
      <c r="A6" s="5" t="inlineStr">
        <is>
          <t>Search</t>
        </is>
      </c>
      <c r="B6" s="5" t="inlineStr"/>
      <c r="C6" s="5" t="inlineStr"/>
      <c r="D6" s="5" t="inlineStr"/>
      <c r="E6" s="5" t="inlineStr"/>
      <c r="F6" s="5" t="inlineStr"/>
      <c r="G6" s="5" t="inlineStr"/>
      <c r="H6" s="5" t="inlineStr">
        <is>
          <t>Not measured</t>
        </is>
      </c>
    </row>
    <row r="7" ht="36" customHeight="1">
      <c r="A7" s="5" t="inlineStr">
        <is>
          <t>Invoice creation</t>
        </is>
      </c>
      <c r="B7" s="5" t="inlineStr"/>
      <c r="C7" s="5" t="inlineStr"/>
      <c r="D7" s="5" t="inlineStr"/>
      <c r="E7" s="5" t="inlineStr"/>
      <c r="F7" s="5" t="inlineStr"/>
      <c r="G7" s="5" t="inlineStr"/>
      <c r="H7" s="5" t="inlineStr">
        <is>
          <t>Not measured</t>
        </is>
      </c>
    </row>
    <row r="8" ht="36" customHeight="1">
      <c r="A8" s="5" t="inlineStr">
        <is>
          <t>POS checkout</t>
        </is>
      </c>
      <c r="B8" s="5" t="inlineStr"/>
      <c r="C8" s="5" t="inlineStr"/>
      <c r="D8" s="5" t="inlineStr"/>
      <c r="E8" s="5" t="inlineStr"/>
      <c r="F8" s="5" t="inlineStr"/>
      <c r="G8" s="5" t="inlineStr"/>
      <c r="H8" s="5" t="inlineStr">
        <is>
          <t>Not measured</t>
        </is>
      </c>
    </row>
    <row r="9" ht="36" customHeight="1">
      <c r="A9" s="5" t="inlineStr">
        <is>
          <t>Stock update</t>
        </is>
      </c>
      <c r="B9" s="5" t="inlineStr"/>
      <c r="C9" s="5" t="inlineStr"/>
      <c r="D9" s="5" t="inlineStr"/>
      <c r="E9" s="5" t="inlineStr"/>
      <c r="F9" s="5" t="inlineStr"/>
      <c r="G9" s="5" t="inlineStr"/>
      <c r="H9" s="5" t="inlineStr">
        <is>
          <t>Not measured</t>
        </is>
      </c>
    </row>
    <row r="10" ht="36" customHeight="1">
      <c r="A10" s="5" t="inlineStr">
        <is>
          <t>Purchase posting</t>
        </is>
      </c>
      <c r="B10" s="5" t="inlineStr"/>
      <c r="C10" s="5" t="inlineStr"/>
      <c r="D10" s="5" t="inlineStr"/>
      <c r="E10" s="5" t="inlineStr"/>
      <c r="F10" s="5" t="inlineStr"/>
      <c r="G10" s="5" t="inlineStr"/>
      <c r="H10" s="5" t="inlineStr">
        <is>
          <t>Not measured</t>
        </is>
      </c>
    </row>
    <row r="11" ht="36" customHeight="1">
      <c r="A11" s="5" t="inlineStr">
        <is>
          <t>Payment posting</t>
        </is>
      </c>
      <c r="B11" s="5" t="inlineStr"/>
      <c r="C11" s="5" t="inlineStr"/>
      <c r="D11" s="5" t="inlineStr"/>
      <c r="E11" s="5" t="inlineStr"/>
      <c r="F11" s="5" t="inlineStr"/>
      <c r="G11" s="5" t="inlineStr"/>
      <c r="H11" s="5" t="inlineStr">
        <is>
          <t>Not measured</t>
        </is>
      </c>
    </row>
    <row r="12" ht="36" customHeight="1">
      <c r="A12" s="5" t="inlineStr">
        <is>
          <t>GST import</t>
        </is>
      </c>
      <c r="B12" s="5" t="inlineStr"/>
      <c r="C12" s="5" t="inlineStr"/>
      <c r="D12" s="5" t="inlineStr"/>
      <c r="E12" s="5" t="inlineStr"/>
      <c r="F12" s="5" t="inlineStr"/>
      <c r="G12" s="5" t="inlineStr"/>
      <c r="H12" s="5" t="inlineStr">
        <is>
          <t>Not measured</t>
        </is>
      </c>
    </row>
    <row r="13" ht="36" customHeight="1">
      <c r="A13" s="5" t="inlineStr">
        <is>
          <t>Report generation</t>
        </is>
      </c>
      <c r="B13" s="5" t="inlineStr"/>
      <c r="C13" s="5" t="inlineStr"/>
      <c r="D13" s="5" t="inlineStr"/>
      <c r="E13" s="5" t="inlineStr"/>
      <c r="F13" s="5" t="inlineStr"/>
      <c r="G13" s="5" t="inlineStr"/>
      <c r="H13" s="5" t="inlineStr">
        <is>
          <t>Not measured</t>
        </is>
      </c>
    </row>
    <row r="14" ht="36" customHeight="1">
      <c r="A14" s="5" t="inlineStr">
        <is>
          <t>Bulk import or export</t>
        </is>
      </c>
      <c r="B14" s="5" t="inlineStr"/>
      <c r="C14" s="5" t="inlineStr"/>
      <c r="D14" s="5" t="inlineStr"/>
      <c r="E14" s="5" t="inlineStr"/>
      <c r="F14" s="5" t="inlineStr"/>
      <c r="G14" s="5" t="inlineStr"/>
      <c r="H14" s="5" t="inlineStr">
        <is>
          <t>Not measured</t>
        </is>
      </c>
    </row>
    <row r="15" ht="36" customHeight="1">
      <c r="A15" s="5" t="inlineStr">
        <is>
          <t>API response</t>
        </is>
      </c>
      <c r="B15" s="5" t="inlineStr"/>
      <c r="C15" s="5" t="inlineStr"/>
      <c r="D15" s="5" t="inlineStr"/>
      <c r="E15" s="5" t="inlineStr"/>
      <c r="F15" s="5" t="inlineStr"/>
      <c r="G15" s="5" t="inlineStr"/>
      <c r="H15" s="5" t="inlineStr">
        <is>
          <t>Not measured</t>
        </is>
      </c>
    </row>
    <row r="16" ht="36" customHeight="1">
      <c r="A16" s="5" t="inlineStr">
        <is>
          <t>Background job</t>
        </is>
      </c>
      <c r="B16" s="5" t="inlineStr"/>
      <c r="C16" s="5" t="inlineStr"/>
      <c r="D16" s="5" t="inlineStr"/>
      <c r="E16" s="5" t="inlineStr"/>
      <c r="F16" s="5" t="inlineStr"/>
      <c r="G16" s="5" t="inlineStr"/>
      <c r="H16" s="5" t="inlineStr">
        <is>
          <t>Not measured</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outlineLevelCol="0"/>
  <cols>
    <col width="40" customWidth="1" min="1" max="1"/>
    <col width="16" customWidth="1" min="2" max="2"/>
    <col width="18" customWidth="1" min="3" max="3"/>
    <col width="18" customWidth="1" min="4" max="4"/>
    <col width="18" customWidth="1" min="5" max="5"/>
    <col width="18" customWidth="1" min="6" max="6"/>
  </cols>
  <sheetData>
    <row r="1" ht="28" customHeight="1">
      <c r="A1" s="1" t="inlineStr">
        <is>
          <t>Customer evidence matrix</t>
        </is>
      </c>
    </row>
    <row r="2" ht="32" customHeight="1">
      <c r="A2" s="2" t="inlineStr">
        <is>
          <t>These are hypotheses. Invoice timestamps, debtor days, and ticket counts are the sources to instrument. Baseline, experiment, and result stay empty until a pilot measures them.</t>
        </is>
      </c>
    </row>
    <row r="3">
      <c r="A3" s="3" t="inlineStr">
        <is>
          <t>Hypothesis</t>
        </is>
      </c>
      <c r="B3" s="3" t="inlineStr">
        <is>
          <t>Baseline</t>
        </is>
      </c>
      <c r="C3" s="3" t="inlineStr">
        <is>
          <t>Experiment</t>
        </is>
      </c>
      <c r="D3" s="3" t="inlineStr">
        <is>
          <t>Measurement</t>
        </is>
      </c>
      <c r="E3" s="3" t="inlineStr">
        <is>
          <t>Result</t>
        </is>
      </c>
      <c r="F3" s="3" t="inlineStr">
        <is>
          <t>Evidence</t>
        </is>
      </c>
    </row>
    <row r="4" ht="36" customHeight="1">
      <c r="A4" s="5" t="inlineStr">
        <is>
          <t>Invoice creation time falls</t>
        </is>
      </c>
      <c r="B4" s="5" t="inlineStr"/>
      <c r="C4" s="5" t="inlineStr"/>
      <c r="D4" s="5" t="inlineStr"/>
      <c r="E4" s="5" t="inlineStr">
        <is>
          <t>Not measured</t>
        </is>
      </c>
      <c r="F4" s="5" t="inlineStr"/>
    </row>
    <row r="5" ht="36" customHeight="1">
      <c r="A5" s="5" t="inlineStr">
        <is>
          <t>Reconciliation time falls</t>
        </is>
      </c>
      <c r="B5" s="5" t="inlineStr"/>
      <c r="C5" s="5" t="inlineStr"/>
      <c r="D5" s="5" t="inlineStr"/>
      <c r="E5" s="5" t="inlineStr">
        <is>
          <t>Not measured</t>
        </is>
      </c>
      <c r="F5" s="5" t="inlineStr"/>
    </row>
    <row r="6" ht="36" customHeight="1">
      <c r="A6" s="5" t="inlineStr">
        <is>
          <t>Collection cycle shortens</t>
        </is>
      </c>
      <c r="B6" s="5" t="inlineStr"/>
      <c r="C6" s="5" t="inlineStr"/>
      <c r="D6" s="5" t="inlineStr"/>
      <c r="E6" s="5" t="inlineStr">
        <is>
          <t>Not measured</t>
        </is>
      </c>
      <c r="F6" s="5" t="inlineStr"/>
    </row>
    <row r="7" ht="36" customHeight="1">
      <c r="A7" s="5" t="inlineStr">
        <is>
          <t>Stock accuracy rises</t>
        </is>
      </c>
      <c r="B7" s="5" t="inlineStr"/>
      <c r="C7" s="5" t="inlineStr"/>
      <c r="D7" s="5" t="inlineStr"/>
      <c r="E7" s="5" t="inlineStr">
        <is>
          <t>Not measured</t>
        </is>
      </c>
      <c r="F7" s="5" t="inlineStr"/>
    </row>
    <row r="8" ht="36" customHeight="1">
      <c r="A8" s="5" t="inlineStr">
        <is>
          <t>Dead stock falls</t>
        </is>
      </c>
      <c r="B8" s="5" t="inlineStr"/>
      <c r="C8" s="5" t="inlineStr"/>
      <c r="D8" s="5" t="inlineStr"/>
      <c r="E8" s="5" t="inlineStr">
        <is>
          <t>Not measured</t>
        </is>
      </c>
      <c r="F8" s="5" t="inlineStr"/>
    </row>
    <row r="9" ht="36" customHeight="1">
      <c r="A9" s="5" t="inlineStr">
        <is>
          <t>GST reconciliation effort falls</t>
        </is>
      </c>
      <c r="B9" s="5" t="inlineStr"/>
      <c r="C9" s="5" t="inlineStr"/>
      <c r="D9" s="5" t="inlineStr"/>
      <c r="E9" s="5" t="inlineStr">
        <is>
          <t>Not measured</t>
        </is>
      </c>
      <c r="F9" s="5" t="inlineStr"/>
    </row>
    <row r="10" ht="36" customHeight="1">
      <c r="A10" s="5" t="inlineStr">
        <is>
          <t>User error rate falls</t>
        </is>
      </c>
      <c r="B10" s="5" t="inlineStr"/>
      <c r="C10" s="5" t="inlineStr"/>
      <c r="D10" s="5" t="inlineStr"/>
      <c r="E10" s="5" t="inlineStr">
        <is>
          <t>Not measured</t>
        </is>
      </c>
      <c r="F10" s="5" t="inlineStr"/>
    </row>
    <row r="11" ht="36" customHeight="1">
      <c r="A11" s="5" t="inlineStr">
        <is>
          <t>Support tickets fall</t>
        </is>
      </c>
      <c r="B11" s="5" t="inlineStr"/>
      <c r="C11" s="5" t="inlineStr"/>
      <c r="D11" s="5" t="inlineStr"/>
      <c r="E11" s="5" t="inlineStr">
        <is>
          <t>Not measured</t>
        </is>
      </c>
      <c r="F11" s="5" t="inlineStr"/>
    </row>
    <row r="12" ht="36" customHeight="1">
      <c r="A12" s="5" t="inlineStr">
        <is>
          <t>Repeat usage rises</t>
        </is>
      </c>
      <c r="B12" s="5" t="inlineStr"/>
      <c r="C12" s="5" t="inlineStr"/>
      <c r="D12" s="5" t="inlineStr"/>
      <c r="E12" s="5" t="inlineStr">
        <is>
          <t>Not measured</t>
        </is>
      </c>
      <c r="F12" s="5" t="inlineStr"/>
    </row>
    <row r="13" ht="36" customHeight="1">
      <c r="A13" s="5" t="inlineStr">
        <is>
          <t>Customer retention rises</t>
        </is>
      </c>
      <c r="B13" s="5" t="inlineStr"/>
      <c r="C13" s="5" t="inlineStr"/>
      <c r="D13" s="5" t="inlineStr"/>
      <c r="E13" s="5" t="inlineStr">
        <is>
          <t>Not measured</t>
        </is>
      </c>
      <c r="F13" s="5"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55" customWidth="1" min="2" max="2"/>
    <col width="24" customWidth="1" min="3" max="3"/>
    <col width="22" customWidth="1" min="4" max="4"/>
    <col width="55" customWidth="1" min="5" max="5"/>
  </cols>
  <sheetData>
    <row r="1" ht="28" customHeight="1">
      <c r="A1" s="1" t="inlineStr">
        <is>
          <t>Capability evidence register</t>
        </is>
      </c>
    </row>
    <row r="2" ht="32" customHeight="1">
      <c r="A2" s="2" t="inlineStr">
        <is>
          <t>Open claims from the task register. Action is to keep the corrected label. They are not relabeled as supported, and they are not scheduled as new features by this sheet.</t>
        </is>
      </c>
    </row>
    <row r="3">
      <c r="A3" s="3" t="inlineStr">
        <is>
          <t>Task ID</t>
        </is>
      </c>
      <c r="B3" s="3" t="inlineStr">
        <is>
          <t>Claim</t>
        </is>
      </c>
      <c r="C3" s="3" t="inlineStr">
        <is>
          <t>Validation status</t>
        </is>
      </c>
      <c r="D3" s="3" t="inlineStr">
        <is>
          <t>Code evidence</t>
        </is>
      </c>
      <c r="E3" s="3" t="inlineStr">
        <is>
          <t>Action</t>
        </is>
      </c>
    </row>
    <row r="4" ht="36" customHeight="1">
      <c r="A4" s="5" t="inlineStr">
        <is>
          <t>C-0603</t>
        </is>
      </c>
      <c r="B4" s="5" t="inlineStr">
        <is>
          <t>Section 16(4) time-barring automated alert and ITC exclusion engine</t>
        </is>
      </c>
      <c r="C4" s="5" t="inlineStr">
        <is>
          <t>Mechanism not found</t>
        </is>
      </c>
      <c r="D4" s="5" t="inlineStr">
        <is>
          <t>Not in code</t>
        </is>
      </c>
      <c r="E4" s="5" t="inlineStr">
        <is>
          <t>Keep it as not found. Do not implement it under the feature freeze.</t>
        </is>
      </c>
    </row>
    <row r="5" ht="36" customHeight="1">
      <c r="A5" s="5" t="inlineStr">
        <is>
          <t>C-0614</t>
        </is>
      </c>
      <c r="B5" s="5" t="inlineStr">
        <is>
          <t>Section 206AB / 206CCA active compliance verification via Income Tax Department PAN utility</t>
        </is>
      </c>
      <c r="C5" s="5" t="inlineStr">
        <is>
          <t>Mechanism not found</t>
        </is>
      </c>
      <c r="D5" s="5" t="inlineStr">
        <is>
          <t>Not in code</t>
        </is>
      </c>
      <c r="E5" s="5" t="inlineStr">
        <is>
          <t>Keep it as not found. Do not implement it under the feature freeze.</t>
        </is>
      </c>
    </row>
    <row r="6" ht="36" customHeight="1">
      <c r="A6" s="5" t="inlineStr">
        <is>
          <t>P-0115</t>
        </is>
      </c>
      <c r="B6" s="5" t="inlineStr">
        <is>
          <t>Maintain an audit trail</t>
        </is>
      </c>
      <c r="C6" s="5" t="inlineStr">
        <is>
          <t>Partial</t>
        </is>
      </c>
      <c r="D6" s="5" t="inlineStr">
        <is>
          <t>Partial</t>
        </is>
      </c>
      <c r="E6" s="5" t="inlineStr">
        <is>
          <t>Keep the corrected note. Do not mark it supported.</t>
        </is>
      </c>
    </row>
    <row r="7" ht="36" customHeight="1">
      <c r="A7" s="5" t="inlineStr">
        <is>
          <t>P-0507</t>
        </is>
      </c>
      <c r="B7" s="5" t="inlineStr">
        <is>
          <t>Audit MCA mandated immutable audit trail (Rule 11(g) Companies Audit Rules)</t>
        </is>
      </c>
      <c r="C7" s="5" t="inlineStr">
        <is>
          <t>Partial</t>
        </is>
      </c>
      <c r="D7" s="5" t="inlineStr">
        <is>
          <t>Partial</t>
        </is>
      </c>
      <c r="E7" s="5" t="inlineStr">
        <is>
          <t>Keep the corrected note. Do not mark it supported.</t>
        </is>
      </c>
    </row>
    <row r="8" ht="36" customHeight="1">
      <c r="A8" s="5" t="inlineStr">
        <is>
          <t>S-0561</t>
        </is>
      </c>
      <c r="B8" s="5" t="inlineStr">
        <is>
          <t>Automated background trial balance zero-sum verification worker</t>
        </is>
      </c>
      <c r="C8" s="5" t="inlineStr">
        <is>
          <t>Partial</t>
        </is>
      </c>
      <c r="D8" s="5" t="inlineStr">
        <is>
          <t>Partial</t>
        </is>
      </c>
      <c r="E8" s="5" t="inlineStr">
        <is>
          <t>Keep the corrected note. Do not mark it supported.</t>
        </is>
      </c>
    </row>
    <row r="9" ht="36" customHeight="1">
      <c r="A9" s="5" t="inlineStr">
        <is>
          <t>S-0562</t>
        </is>
      </c>
      <c r="B9" s="5" t="inlineStr">
        <is>
          <t>Orphaned inventory allocation release worker on expired cart sessions</t>
        </is>
      </c>
      <c r="C9" s="5" t="inlineStr">
        <is>
          <t>Partial</t>
        </is>
      </c>
      <c r="D9" s="5" t="inlineStr">
        <is>
          <t>Partial</t>
        </is>
      </c>
      <c r="E9" s="5" t="inlineStr">
        <is>
          <t>Keep the corrected note. Do not mark it supported.</t>
        </is>
      </c>
    </row>
    <row r="10" ht="36" customHeight="1">
      <c r="A10" s="5" t="inlineStr">
        <is>
          <t>S-0574</t>
        </is>
      </c>
      <c r="B10" s="5" t="inlineStr">
        <is>
          <t>Threshold-based anomaly detector for unusual cash discounts or abnormal bill amounts</t>
        </is>
      </c>
      <c r="C10" s="5" t="inlineStr">
        <is>
          <t>Mechanism not found</t>
        </is>
      </c>
      <c r="D10" s="5" t="inlineStr">
        <is>
          <t>Not in code</t>
        </is>
      </c>
      <c r="E10" s="5" t="inlineStr">
        <is>
          <t>Keep it as not found. Do not implement it under the feature freeze.</t>
        </is>
      </c>
    </row>
    <row r="11" ht="36" customHeight="1">
      <c r="A11" s="5" t="inlineStr">
        <is>
          <t>S-0579</t>
        </is>
      </c>
      <c r="B11" s="5" t="inlineStr">
        <is>
          <t>Tamper-evident cryptographic hash chaining on audit trail activity records</t>
        </is>
      </c>
      <c r="C11" s="5" t="inlineStr">
        <is>
          <t>Mechanism not found</t>
        </is>
      </c>
      <c r="D11" s="5" t="inlineStr">
        <is>
          <t>Not in code</t>
        </is>
      </c>
      <c r="E11" s="5" t="inlineStr">
        <is>
          <t>Keep it as not found. Do not implement it under the feature freeze.</t>
        </is>
      </c>
    </row>
    <row r="12" ht="36" customHeight="1">
      <c r="A12" s="5" t="inlineStr">
        <is>
          <t>SEC-0624</t>
        </is>
      </c>
      <c r="B12" s="5" t="inlineStr">
        <is>
          <t>Time-based One-Time Password (TOTP) two-factor authentication (2FA) for admin roles</t>
        </is>
      </c>
      <c r="C12" s="5" t="inlineStr">
        <is>
          <t>Mechanism not found</t>
        </is>
      </c>
      <c r="D12" s="5" t="inlineStr">
        <is>
          <t>Not in code</t>
        </is>
      </c>
      <c r="E12" s="5" t="inlineStr">
        <is>
          <t>Keep it as not found. Do not implement it under the feature freeze.</t>
        </is>
      </c>
    </row>
    <row r="13" ht="36" customHeight="1">
      <c r="A13" s="5" t="inlineStr">
        <is>
          <t>UX-0581</t>
        </is>
      </c>
      <c r="B13" s="5" t="inlineStr">
        <is>
          <t>Full keyboard-only hotkey navigation across POS rapid checkout</t>
        </is>
      </c>
      <c r="C13" s="5" t="inlineStr">
        <is>
          <t>Partial</t>
        </is>
      </c>
      <c r="D13" s="5" t="inlineStr">
        <is>
          <t>Partial</t>
        </is>
      </c>
      <c r="E13" s="5" t="inlineStr">
        <is>
          <t>Keep the corrected note. Do not mark it supported.</t>
        </is>
      </c>
    </row>
    <row r="14" ht="36" customHeight="1">
      <c r="A14" s="5" t="inlineStr">
        <is>
          <t>UX-0582</t>
        </is>
      </c>
      <c r="B14" s="5" t="inlineStr">
        <is>
          <t>Multi-cart hold and recall tabs for interrupted counter checkout</t>
        </is>
      </c>
      <c r="C14" s="5" t="inlineStr">
        <is>
          <t>Partial</t>
        </is>
      </c>
      <c r="D14" s="5" t="inlineStr">
        <is>
          <t>Partial</t>
        </is>
      </c>
      <c r="E14" s="5" t="inlineStr">
        <is>
          <t>Keep the corrected note. Do not mark it supported.</t>
        </is>
      </c>
    </row>
    <row r="15" ht="36" customHeight="1">
      <c r="A15" s="5" t="inlineStr">
        <is>
          <t>UX-0586</t>
        </is>
      </c>
      <c r="B15" s="5" t="inlineStr">
        <is>
          <t>Global omnibar quick-search (Ctrl+K / Cmd+K) across commands, customers, and invoices</t>
        </is>
      </c>
      <c r="C15" s="5" t="inlineStr">
        <is>
          <t>Mechanism not found</t>
        </is>
      </c>
      <c r="D15" s="5" t="inlineStr">
        <is>
          <t>Not in code</t>
        </is>
      </c>
      <c r="E15" s="5" t="inlineStr">
        <is>
          <t>Keep it as not found. Do not implement it under the feature freeze.</t>
        </is>
      </c>
    </row>
    <row r="16" ht="36" customHeight="1">
      <c r="A16" s="5" t="inlineStr">
        <is>
          <t>UX-0588</t>
        </is>
      </c>
      <c r="B16" s="5" t="inlineStr">
        <is>
          <t>Visual warehouse shelf/rack visual locator badge on stock search</t>
        </is>
      </c>
      <c r="C16" s="5" t="inlineStr">
        <is>
          <t>Mechanism not found</t>
        </is>
      </c>
      <c r="D16" s="5" t="inlineStr">
        <is>
          <t>Not in code</t>
        </is>
      </c>
      <c r="E16" s="5" t="inlineStr">
        <is>
          <t>Keep it as not found. Do not implement it under the feature freeze.</t>
        </is>
      </c>
    </row>
    <row r="17" ht="36" customHeight="1">
      <c r="A17" s="5" t="inlineStr">
        <is>
          <t>UX-0590</t>
        </is>
      </c>
      <c r="B17" s="5" t="inlineStr">
        <is>
          <t>Deterministic progress bar with estimated time remaining on bulk CSV imports</t>
        </is>
      </c>
      <c r="C17" s="5" t="inlineStr">
        <is>
          <t>Mechanism not found</t>
        </is>
      </c>
      <c r="D17" s="5" t="inlineStr">
        <is>
          <t>Not in code</t>
        </is>
      </c>
      <c r="E17" s="5" t="inlineStr">
        <is>
          <t>Keep it as not found. Do not implement it under the feature freeze.</t>
        </is>
      </c>
    </row>
    <row r="18" ht="36" customHeight="1">
      <c r="A18" s="5" t="inlineStr">
        <is>
          <t>UX-0591</t>
        </is>
      </c>
      <c r="B18" s="5" t="inlineStr">
        <is>
          <t>One-click 'Privacy Mask' toggle hiding rupee figures from bystander view</t>
        </is>
      </c>
      <c r="C18" s="5" t="inlineStr">
        <is>
          <t>Mechanism not found</t>
        </is>
      </c>
      <c r="D18" s="5" t="inlineStr">
        <is>
          <t>Not in code</t>
        </is>
      </c>
      <c r="E18" s="5" t="inlineStr">
        <is>
          <t>Keep it as not found. Do not implement it under the feature freeze.</t>
        </is>
      </c>
    </row>
    <row r="19" ht="36" customHeight="1">
      <c r="A19" s="5" t="inlineStr">
        <is>
          <t>X-0432</t>
        </is>
      </c>
      <c r="B19" s="5" t="inlineStr">
        <is>
          <t>Critical transaction → immutable audit trail exists</t>
        </is>
      </c>
      <c r="C19" s="5" t="inlineStr">
        <is>
          <t>Partial</t>
        </is>
      </c>
      <c r="D19" s="5" t="inlineStr">
        <is>
          <t>Partial</t>
        </is>
      </c>
      <c r="E19" s="5" t="inlineStr">
        <is>
          <t>Keep the corrected note. Do not mark it supported.</t>
        </is>
      </c>
    </row>
    <row r="20" ht="36" customHeight="1">
      <c r="A20" s="5" t="inlineStr">
        <is>
          <t>X-0522</t>
        </is>
      </c>
      <c r="B20" s="5" t="inlineStr">
        <is>
          <t>Apply higher TDS/TCS penalty rates (5%) for non-filers under Section 206AB / Section 206CCA</t>
        </is>
      </c>
      <c r="C20" s="5" t="inlineStr">
        <is>
          <t>Mechanism not found</t>
        </is>
      </c>
      <c r="D20" s="5" t="inlineStr">
        <is>
          <t>Not in code</t>
        </is>
      </c>
      <c r="E20" s="5" t="inlineStr">
        <is>
          <t>Keep it as not found. Do not implement it under the feature freeze.</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G11"/>
  <sheetViews>
    <sheetView showGridLines="0" workbookViewId="0">
      <selection activeCell="A1" sqref="A1"/>
    </sheetView>
  </sheetViews>
  <sheetFormatPr baseColWidth="8" defaultRowHeight="15" outlineLevelCol="0"/>
  <cols>
    <col width="36" customWidth="1" min="1" max="1"/>
    <col width="78" customWidth="1" min="2" max="2"/>
    <col width="18" customWidth="1" min="3" max="3"/>
  </cols>
  <sheetData>
    <row r="1" ht="28" customHeight="1">
      <c r="A1" s="1" t="inlineStr">
        <is>
          <t>OS readiness gate</t>
        </is>
      </c>
    </row>
    <row r="2" ht="32" customHeight="1">
      <c r="A2" s="2" t="inlineStr">
        <is>
          <t>A task is OS ready only when every applicable gate has evidence. The register does not award that status. The count below should stay at zero until it does.</t>
        </is>
      </c>
    </row>
    <row r="3">
      <c r="A3" s="3" t="inlineStr">
        <is>
          <t>Gate</t>
        </is>
      </c>
      <c r="B3" s="3" t="inlineStr">
        <is>
          <t>Question</t>
        </is>
      </c>
      <c r="C3" s="3" t="inlineStr">
        <is>
          <t>Tasks passed</t>
        </is>
      </c>
    </row>
    <row r="4" ht="28" customHeight="1">
      <c r="A4" s="4" t="inlineStr">
        <is>
          <t>G1 Functional</t>
        </is>
      </c>
      <c r="B4" s="5" t="inlineStr">
        <is>
          <t>Can the intended user finish the task?</t>
        </is>
      </c>
      <c r="C4" s="5" t="inlineStr">
        <is>
          <t>Not entered</t>
        </is>
      </c>
    </row>
    <row r="5" ht="28" customHeight="1">
      <c r="A5" s="4" t="inlineStr">
        <is>
          <t>G2 Business integrity</t>
        </is>
      </c>
      <c r="B5" s="5" t="inlineStr">
        <is>
          <t>Are the downstream stock, tax, and ledger effects right?</t>
        </is>
      </c>
      <c r="C5" s="5" t="inlineStr">
        <is>
          <t>Not entered</t>
        </is>
      </c>
    </row>
    <row r="6" ht="28" customHeight="1">
      <c r="A6" s="4" t="inlineStr">
        <is>
          <t>G3 Resilience and security</t>
        </is>
      </c>
      <c r="B6" s="5" t="inlineStr">
        <is>
          <t>Does it survive failure, races, and a user without permission?</t>
        </is>
      </c>
      <c r="C6" s="5" t="inlineStr">
        <is>
          <t>Not entered</t>
        </is>
      </c>
    </row>
    <row r="7" ht="28" customHeight="1">
      <c r="A7" s="4" t="inlineStr">
        <is>
          <t>G4 User validation</t>
        </is>
      </c>
      <c r="B7" s="5" t="inlineStr">
        <is>
          <t>Has the SMB persona completed the workflow?</t>
        </is>
      </c>
      <c r="C7" s="5" t="inlineStr">
        <is>
          <t>Not entered</t>
        </is>
      </c>
    </row>
    <row r="8" ht="28" customHeight="1">
      <c r="A8" s="4" t="inlineStr">
        <is>
          <t>G5 Business outcome</t>
        </is>
      </c>
      <c r="B8" s="5" t="inlineStr">
        <is>
          <t>Is there a measured customer result?</t>
        </is>
      </c>
      <c r="C8" s="5" t="inlineStr">
        <is>
          <t>Not entered</t>
        </is>
      </c>
    </row>
    <row r="10">
      <c r="A10" s="4" t="inlineStr">
        <is>
          <t>Tasks marked OS ready</t>
        </is>
      </c>
      <c r="B10" s="4">
        <f>COUNTIF(TaskRegister[OS ready],"Yes")</f>
        <v/>
      </c>
    </row>
    <row r="11">
      <c r="A11" s="5" t="inlineStr">
        <is>
          <t>Tasks still not OS ready</t>
        </is>
      </c>
      <c r="B11" s="4">
        <f>COUNTIF(TaskRegister[OS ready],"No")</f>
        <v/>
      </c>
    </row>
  </sheetData>
  <mergeCells count="1">
    <mergeCell ref="A2:G2"/>
  </mergeCells>
  <pageMargins left="0.75" right="0.75" top="1" bottom="1" header="0.5" footer="0.5"/>
  <pageSetup orientation="landscape" fitToHeight="1" fitToWidth="1"/>
</worksheet>
</file>

<file path=xl/worksheets/sheet20.xml><?xml version="1.0" encoding="utf-8"?>
<worksheet xmlns="http://schemas.openxmlformats.org/spreadsheetml/2006/main">
  <sheetPr>
    <outlinePr summaryBelow="1" summaryRight="1"/>
    <pageSetUpPr fitToPage="1"/>
  </sheetPr>
  <dimension ref="A1:E52"/>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16" customWidth="1" min="2" max="2"/>
    <col width="4" customWidth="1" min="3" max="3"/>
    <col width="42" customWidth="1" min="4" max="4"/>
    <col width="14" customWidth="1" min="5" max="5"/>
  </cols>
  <sheetData>
    <row r="1" ht="28" customHeight="1">
      <c r="A1" s="1" t="inlineStr">
        <is>
          <t>BizBoard task register - coverage dashboard</t>
        </is>
      </c>
    </row>
    <row r="2">
      <c r="A2" s="12" t="inlineStr">
        <is>
          <t>Live counts use formulas on Task Register. The snapshot on How to read is the figure set from this review.</t>
        </is>
      </c>
    </row>
    <row r="4">
      <c r="A4" s="14" t="inlineStr">
        <is>
          <t>Register size</t>
        </is>
      </c>
      <c r="B4" s="14" t="inlineStr">
        <is>
          <t>Count</t>
        </is>
      </c>
      <c r="D4" s="18" t="inlineStr">
        <is>
          <t>Scope class</t>
        </is>
      </c>
      <c r="E4" s="18" t="inlineStr">
        <is>
          <t>Tasks</t>
        </is>
      </c>
    </row>
    <row r="5">
      <c r="A5" s="5" t="inlineStr">
        <is>
          <t>Tasks</t>
        </is>
      </c>
      <c r="B5" s="16">
        <f>COUNTA(TaskRegister[Task ID])</f>
        <v/>
      </c>
      <c r="D5" s="5" t="inlineStr">
        <is>
          <t>Operational role</t>
        </is>
      </c>
      <c r="E5" s="16">
        <f>COUNTIF(TaskRegister[Scope class],"Operational role")</f>
        <v/>
      </c>
    </row>
    <row r="6">
      <c r="A6" s="5" t="inlineStr">
        <is>
          <t>Baseline</t>
        </is>
      </c>
      <c r="B6" s="16">
        <f>COUNTIF(TaskRegister[Register slice],"Baseline")</f>
        <v/>
      </c>
      <c r="D6" s="5" t="inlineStr">
        <is>
          <t>Named role</t>
        </is>
      </c>
      <c r="E6" s="16">
        <f>COUNTIF(TaskRegister[Scope class],"Named role")</f>
        <v/>
      </c>
    </row>
    <row r="7">
      <c r="A7" s="5" t="inlineStr">
        <is>
          <t>Strategic expansion</t>
        </is>
      </c>
      <c r="B7" s="16">
        <f>COUNTIF(TaskRegister[Register slice],"Strategic expansion")</f>
        <v/>
      </c>
      <c r="D7" s="5" t="inlineStr">
        <is>
          <t>Growth role</t>
        </is>
      </c>
      <c r="E7" s="16">
        <f>COUNTIF(TaskRegister[Scope class],"Growth role")</f>
        <v/>
      </c>
    </row>
    <row r="8">
      <c r="A8" s="5" t="inlineStr">
        <is>
          <t>Growth OS</t>
        </is>
      </c>
      <c r="B8" s="16">
        <f>COUNTIF(TaskRegister[Register slice],"Growth OS")</f>
        <v/>
      </c>
      <c r="D8" s="5" t="inlineStr">
        <is>
          <t>Cross-persona</t>
        </is>
      </c>
      <c r="E8" s="16">
        <f>COUNTIF(TaskRegister[Scope class],"Cross-persona")</f>
        <v/>
      </c>
    </row>
    <row r="9">
      <c r="A9" s="5" t="inlineStr">
        <is>
          <t>Added flows</t>
        </is>
      </c>
      <c r="B9" s="16">
        <f>COUNTIF(TaskRegister[Register slice],"Added flows")</f>
        <v/>
      </c>
      <c r="D9" s="5" t="inlineStr">
        <is>
          <t>Platform or theme scope</t>
        </is>
      </c>
      <c r="E9" s="16">
        <f>COUNTIF(TaskRegister[Scope class],"Platform or theme scope")</f>
        <v/>
      </c>
    </row>
    <row r="10">
      <c r="A10" s="14" t="inlineStr">
        <is>
          <t>Validation status</t>
        </is>
      </c>
      <c r="B10" s="14" t="inlineStr">
        <is>
          <t>Count</t>
        </is>
      </c>
      <c r="D10" s="5" t="inlineStr">
        <is>
          <t>System engine</t>
        </is>
      </c>
      <c r="E10" s="16">
        <f>COUNTIF(TaskRegister[Scope class],"System engine")</f>
        <v/>
      </c>
    </row>
    <row r="11">
      <c r="A11" s="5" t="inlineStr">
        <is>
          <t>Validated (Supported)</t>
        </is>
      </c>
      <c r="B11" s="16">
        <f>COUNTIF(TaskRegister[Validation Status],"Validated (Supported)")</f>
        <v/>
      </c>
    </row>
    <row r="12">
      <c r="A12" s="5" t="inlineStr">
        <is>
          <t>Code Complete &amp; Verified</t>
        </is>
      </c>
      <c r="B12" s="16">
        <f>COUNTIF(TaskRegister[Validation Status],"Code Complete &amp; Verified")</f>
        <v/>
      </c>
    </row>
    <row r="13">
      <c r="A13" s="5" t="inlineStr">
        <is>
          <t>Partial</t>
        </is>
      </c>
      <c r="B13" s="16">
        <f>COUNTIF(TaskRegister[Validation Status],"Partial")</f>
        <v/>
      </c>
    </row>
    <row r="14">
      <c r="A14" s="5" t="inlineStr">
        <is>
          <t>Mechanism not found</t>
        </is>
      </c>
      <c r="B14" s="16">
        <f>COUNTIF(TaskRegister[Validation Status],"Mechanism not found")</f>
        <v/>
      </c>
    </row>
    <row r="15">
      <c r="A15" s="5" t="inlineStr">
        <is>
          <t>In product</t>
        </is>
      </c>
      <c r="B15" s="16">
        <f>COUNTIF(TaskRegister[Validation Status],"In product")</f>
        <v/>
      </c>
    </row>
    <row r="16" ht="32" customHeight="1">
      <c r="A16" s="12" t="inlineStr">
        <is>
          <t>Validated (Supported) is the author's claim. In product means the flow step exists in a module. Neither status is a full functional test.</t>
        </is>
      </c>
    </row>
    <row r="17">
      <c r="A17" s="18" t="inlineStr">
        <is>
          <t>Priority</t>
        </is>
      </c>
      <c r="B17" s="18" t="inlineStr">
        <is>
          <t>Count</t>
        </is>
      </c>
      <c r="D17" s="14" t="inlineStr">
        <is>
          <t>Task type</t>
        </is>
      </c>
      <c r="E17" s="14" t="inlineStr">
        <is>
          <t>Tasks</t>
        </is>
      </c>
    </row>
    <row r="18">
      <c r="A18" s="5" t="inlineStr">
        <is>
          <t>P0</t>
        </is>
      </c>
      <c r="B18" s="16">
        <f>COUNTIF(TaskRegister[Priority],"P0")</f>
        <v/>
      </c>
      <c r="D18" s="11" t="inlineStr">
        <is>
          <t>P - persona task</t>
        </is>
      </c>
      <c r="E18" s="16">
        <f>COUNTIF(TaskRegister[Task Type],"P")</f>
        <v/>
      </c>
    </row>
    <row r="19">
      <c r="A19" s="5" t="inlineStr">
        <is>
          <t>P1</t>
        </is>
      </c>
      <c r="B19" s="16">
        <f>COUNTIF(TaskRegister[Priority],"P1")</f>
        <v/>
      </c>
      <c r="D19" s="11" t="inlineStr">
        <is>
          <t>X - cross-persona workflow</t>
        </is>
      </c>
      <c r="E19" s="16">
        <f>COUNTIF(TaskRegister[Task Type],"X")</f>
        <v/>
      </c>
    </row>
    <row r="20">
      <c r="A20" s="5" t="inlineStr">
        <is>
          <t>P2</t>
        </is>
      </c>
      <c r="B20" s="16">
        <f>COUNTIF(TaskRegister[Priority],"P2")</f>
        <v/>
      </c>
      <c r="D20" s="11" t="inlineStr">
        <is>
          <t>G-OS - growth and service</t>
        </is>
      </c>
      <c r="E20" s="16">
        <f>COUNTIF(TaskRegister[Task Type],"G-OS")</f>
        <v/>
      </c>
    </row>
    <row r="21">
      <c r="A21" s="5" t="inlineStr">
        <is>
          <t>P3</t>
        </is>
      </c>
      <c r="B21" s="16">
        <f>COUNTIF(TaskRegister[Priority],"P3")</f>
        <v/>
      </c>
      <c r="D21" s="11" t="inlineStr">
        <is>
          <t>S - system engine</t>
        </is>
      </c>
      <c r="E21" s="16">
        <f>COUNTIF(TaskRegister[Task Type],"S")</f>
        <v/>
      </c>
    </row>
    <row r="22">
      <c r="D22" s="11" t="inlineStr">
        <is>
          <t>UX - ergonomics</t>
        </is>
      </c>
      <c r="E22" s="16">
        <f>COUNTIF(TaskRegister[Task Type],"UX")</f>
        <v/>
      </c>
    </row>
    <row r="23">
      <c r="D23" s="11" t="inlineStr">
        <is>
          <t>C - statutory control</t>
        </is>
      </c>
      <c r="E23" s="16">
        <f>COUNTIF(TaskRegister[Task Type],"C")</f>
        <v/>
      </c>
    </row>
    <row r="24">
      <c r="A24" s="14" t="inlineStr">
        <is>
          <t>Category</t>
        </is>
      </c>
      <c r="B24" s="14" t="inlineStr">
        <is>
          <t>Tasks</t>
        </is>
      </c>
      <c r="D24" s="11" t="inlineStr">
        <is>
          <t>D - differentiation</t>
        </is>
      </c>
      <c r="E24" s="16">
        <f>COUNTIF(TaskRegister[Task Type],"D")</f>
        <v/>
      </c>
    </row>
    <row r="25">
      <c r="A25" s="5" t="inlineStr">
        <is>
          <t>GST / Tax / Compliance</t>
        </is>
      </c>
      <c r="B25" s="16">
        <f>COUNTIF(TaskRegister[Category],"GST / Tax / Compliance")</f>
        <v/>
      </c>
      <c r="D25" s="11" t="inlineStr">
        <is>
          <t>SEC - security</t>
        </is>
      </c>
      <c r="E25" s="16">
        <f>COUNTIF(TaskRegister[Task Type],"SEC")</f>
        <v/>
      </c>
    </row>
    <row r="26">
      <c r="A26" s="5" t="inlineStr">
        <is>
          <t>Security / Exception / Recovery</t>
        </is>
      </c>
      <c r="B26" s="16">
        <f>COUNTIF(TaskRegister[Category],"Security / Exception / Recovery")</f>
        <v/>
      </c>
      <c r="D26" s="11" t="inlineStr">
        <is>
          <t>R - reliability</t>
        </is>
      </c>
      <c r="E26" s="16">
        <f>COUNTIF(TaskRegister[Task Type],"R")</f>
        <v/>
      </c>
    </row>
    <row r="27">
      <c r="A27" s="5" t="inlineStr">
        <is>
          <t>Inventory Lifecycle</t>
        </is>
      </c>
      <c r="B27" s="16">
        <f>COUNTIF(TaskRegister[Category],"Inventory Lifecycle")</f>
        <v/>
      </c>
      <c r="D27" s="11" t="inlineStr">
        <is>
          <t>I - hardware and integrations</t>
        </is>
      </c>
      <c r="E27" s="16">
        <f>COUNTIF(TaskRegister[Task Type],"I")</f>
        <v/>
      </c>
    </row>
    <row r="28">
      <c r="A28" s="5" t="inlineStr">
        <is>
          <t>Reporting &amp; Business Intelligence</t>
        </is>
      </c>
      <c r="B28" s="16">
        <f>COUNTIF(TaskRegister[Category],"Reporting &amp; Business Intelligence")</f>
        <v/>
      </c>
      <c r="D28" s="11" t="inlineStr">
        <is>
          <t>SaaS - tenancy and subscription</t>
        </is>
      </c>
      <c r="E28" s="16">
        <f>COUNTIF(TaskRegister[Task Type],"SaaS")</f>
        <v/>
      </c>
    </row>
    <row r="29">
      <c r="A29" s="5" t="inlineStr">
        <is>
          <t>Customer-to-Cash</t>
        </is>
      </c>
      <c r="B29" s="16">
        <f>COUNTIF(TaskRegister[Category],"Customer-to-Cash")</f>
        <v/>
      </c>
    </row>
    <row r="30">
      <c r="A30" s="5" t="inlineStr">
        <is>
          <t>Receivables &amp; Payables</t>
        </is>
      </c>
      <c r="B30" s="16">
        <f>COUNTIF(TaskRegister[Category],"Receivables &amp; Payables")</f>
        <v/>
      </c>
    </row>
    <row r="31">
      <c r="A31" s="5" t="inlineStr">
        <is>
          <t>Procure-to-Pay</t>
        </is>
      </c>
      <c r="B31" s="16">
        <f>COUNTIF(TaskRegister[Category],"Procure-to-Pay")</f>
        <v/>
      </c>
    </row>
    <row r="32">
      <c r="A32" s="5" t="inlineStr">
        <is>
          <t>Import / Export / Period Close</t>
        </is>
      </c>
      <c r="B32" s="16">
        <f>COUNTIF(TaskRegister[Category],"Import / Export / Period Close")</f>
        <v/>
      </c>
    </row>
    <row r="33">
      <c r="A33" s="5" t="inlineStr">
        <is>
          <t>Payments &amp; Reconciliation</t>
        </is>
      </c>
      <c r="B33" s="16">
        <f>COUNTIF(TaskRegister[Category],"Payments &amp; Reconciliation")</f>
        <v/>
      </c>
    </row>
    <row r="34">
      <c r="A34" s="5" t="inlineStr">
        <is>
          <t>Master Data &amp; Authorization</t>
        </is>
      </c>
      <c r="B34" s="16">
        <f>COUNTIF(TaskRegister[Category],"Master Data &amp; Authorization")</f>
        <v/>
      </c>
    </row>
    <row r="35">
      <c r="A35" s="5" t="inlineStr">
        <is>
          <t>Multi-Godown / Multi-Store</t>
        </is>
      </c>
      <c r="B35" s="16">
        <f>COUNTIF(TaskRegister[Category],"Multi-Godown / Multi-Store")</f>
        <v/>
      </c>
    </row>
    <row r="36">
      <c r="A36" s="5" t="inlineStr">
        <is>
          <t>Communication &amp; Integrations</t>
        </is>
      </c>
      <c r="B36" s="16">
        <f>COUNTIF(TaskRegister[Category],"Communication &amp; Integrations")</f>
        <v/>
      </c>
    </row>
    <row r="37">
      <c r="A37" s="5" t="inlineStr">
        <is>
          <t>Returns / Complaints / After-Sales</t>
        </is>
      </c>
      <c r="B37" s="16">
        <f>COUNTIF(TaskRegister[Category],"Returns / Complaints / After-Sales")</f>
        <v/>
      </c>
    </row>
    <row r="38">
      <c r="A38" s="5" t="inlineStr">
        <is>
          <t>Sales / CRM / Customer Lifecycle</t>
        </is>
      </c>
      <c r="B38" s="16">
        <f>COUNTIF(TaskRegister[Category],"Sales / CRM / Customer Lifecycle")</f>
        <v/>
      </c>
    </row>
    <row r="39">
      <c r="A39" s="5" t="inlineStr">
        <is>
          <t>Operations, Fleet &amp; Delivery</t>
        </is>
      </c>
      <c r="B39" s="16">
        <f>COUNTIF(TaskRegister[Category],"Operations, Fleet &amp; Delivery")</f>
        <v/>
      </c>
    </row>
    <row r="40">
      <c r="A40" s="5" t="inlineStr">
        <is>
          <t>Insurance Distribution</t>
        </is>
      </c>
      <c r="B40" s="16">
        <f>COUNTIF(TaskRegister[Category],"Insurance Distribution")</f>
        <v/>
      </c>
    </row>
    <row r="41">
      <c r="A41" s="5" t="inlineStr">
        <is>
          <t>Payroll &amp; Statutory Dues</t>
        </is>
      </c>
      <c r="B41" s="16">
        <f>COUNTIF(TaskRegister[Category],"Payroll &amp; Statutory Dues")</f>
        <v/>
      </c>
    </row>
    <row r="42">
      <c r="A42" s="5" t="inlineStr">
        <is>
          <t>Finance &amp; Fixed Assets</t>
        </is>
      </c>
      <c r="B42" s="16">
        <f>COUNTIF(TaskRegister[Category],"Finance &amp; Fixed Assets")</f>
        <v/>
      </c>
    </row>
    <row r="43">
      <c r="A43" s="5" t="inlineStr">
        <is>
          <t>Workshop Job</t>
        </is>
      </c>
      <c r="B43" s="16">
        <f>COUNTIF(TaskRegister[Category],"Workshop Job")</f>
        <v/>
      </c>
    </row>
    <row r="44">
      <c r="A44" s="5" t="inlineStr">
        <is>
          <t>Project Billing</t>
        </is>
      </c>
      <c r="B44" s="16">
        <f>COUNTIF(TaskRegister[Category],"Project Billing")</f>
        <v/>
      </c>
    </row>
    <row r="45">
      <c r="A45" s="5" t="inlineStr">
        <is>
          <t>Growth OS - Campaigns &amp; Marketing</t>
        </is>
      </c>
      <c r="B45" s="16">
        <f>COUNTIF(TaskRegister[Category],"Growth OS - Campaigns &amp; Marketing")</f>
        <v/>
      </c>
    </row>
    <row r="46">
      <c r="A46" s="5" t="inlineStr">
        <is>
          <t>Growth OS - Lead Ingestion &amp; Pipeline</t>
        </is>
      </c>
      <c r="B46" s="16">
        <f>COUNTIF(TaskRegister[Category],"Growth OS - Lead Ingestion &amp; Pipeline")</f>
        <v/>
      </c>
    </row>
    <row r="47">
      <c r="A47" s="5" t="inlineStr">
        <is>
          <t>Growth OS - Opportunity Management</t>
        </is>
      </c>
      <c r="B47" s="16">
        <f>COUNTIF(TaskRegister[Category],"Growth OS - Opportunity Management")</f>
        <v/>
      </c>
    </row>
    <row r="48">
      <c r="A48" s="5" t="inlineStr">
        <is>
          <t>Growth OS - Referral &amp; Advocate Engine</t>
        </is>
      </c>
      <c r="B48" s="16">
        <f>COUNTIF(TaskRegister[Category],"Growth OS - Referral &amp; Advocate Engine")</f>
        <v/>
      </c>
    </row>
    <row r="49">
      <c r="A49" s="5" t="inlineStr">
        <is>
          <t>Growth OS - Service Contracts &amp; AMC</t>
        </is>
      </c>
      <c r="B49" s="16">
        <f>COUNTIF(TaskRegister[Category],"Growth OS - Service Contracts &amp; AMC")</f>
        <v/>
      </c>
    </row>
    <row r="50">
      <c r="A50" s="5" t="inlineStr">
        <is>
          <t>Growth OS - Customer Care &amp; Dispute Loop</t>
        </is>
      </c>
      <c r="B50" s="16">
        <f>COUNTIF(TaskRegister[Category],"Growth OS - Customer Care &amp; Dispute Loop")</f>
        <v/>
      </c>
    </row>
    <row r="51">
      <c r="A51" s="5" t="inlineStr">
        <is>
          <t>Manufacturing</t>
        </is>
      </c>
      <c r="B51" s="16">
        <f>COUNTIF(TaskRegister[Category],"Manufacturing")</f>
        <v/>
      </c>
    </row>
    <row r="52">
      <c r="A52" s="5" t="inlineStr">
        <is>
          <t>Growth OS - Customer Intelligence</t>
        </is>
      </c>
      <c r="B52" s="16">
        <f>COUNTIF(TaskRegister[Category],"Growth OS - Customer Intelligence")</f>
        <v/>
      </c>
    </row>
  </sheetData>
  <mergeCells count="2">
    <mergeCell ref="A2:E2"/>
    <mergeCell ref="A16:E16"/>
  </mergeCells>
  <pageMargins left="0.75" right="0.75" top="1" bottom="1" header="0.5" footer="0.5"/>
  <pageSetup orientation="landscape" fitToHeight="1" fitToWidth="1"/>
  <headerFooter>
    <oddHeader>&amp;LCoverage dashboard</oddHeader>
    <oddFooter/>
    <evenHeader/>
    <evenFooter/>
    <firstHeader/>
    <firstFooter/>
  </headerFooter>
</worksheet>
</file>

<file path=xl/worksheets/sheet21.xml><?xml version="1.0" encoding="utf-8"?>
<worksheet xmlns="http://schemas.openxmlformats.org/spreadsheetml/2006/main">
  <sheetPr>
    <tabColor rgb="001F497D"/>
    <outlinePr summaryBelow="1" summaryRight="1"/>
    <pageSetUpPr fitToPage="1"/>
  </sheetPr>
  <dimension ref="A1:AU77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3" t="inlineStr">
        <is>
          <t>Task ID</t>
        </is>
      </c>
      <c r="B1" s="3" t="inlineStr">
        <is>
          <t>Task Type</t>
        </is>
      </c>
      <c r="C1" s="3" t="inlineStr">
        <is>
          <t>Persona / Scope</t>
        </is>
      </c>
      <c r="D1" s="3" t="inlineStr">
        <is>
          <t>Category</t>
        </is>
      </c>
      <c r="E1" s="3" t="inlineStr">
        <is>
          <t>Task / Business Action</t>
        </is>
      </c>
      <c r="F1" s="3" t="inlineStr">
        <is>
          <t>Primary Actor</t>
        </is>
      </c>
      <c r="G1" s="3" t="inlineStr">
        <is>
          <t>Supporting Persona(s)</t>
        </is>
      </c>
      <c r="H1" s="3" t="inlineStr">
        <is>
          <t>Business Outcome</t>
        </is>
      </c>
      <c r="I1" s="3" t="inlineStr">
        <is>
          <t>Downstream Impact</t>
        </is>
      </c>
      <c r="J1" s="3" t="inlineStr">
        <is>
          <t>Priority</t>
        </is>
      </c>
      <c r="K1" s="3" t="inlineStr">
        <is>
          <t>Validation Status</t>
        </is>
      </c>
      <c r="L1" s="3" t="inlineStr">
        <is>
          <t>Notes</t>
        </is>
      </c>
      <c r="M1" s="3" t="inlineStr">
        <is>
          <t>Register slice</t>
        </is>
      </c>
      <c r="N1" s="3" t="inlineStr">
        <is>
          <t>Scope class</t>
        </is>
      </c>
      <c r="O1" s="3" t="inlineStr">
        <is>
          <t>Authored priority</t>
        </is>
      </c>
      <c r="P1" s="3" t="inlineStr">
        <is>
          <t>Priority decision</t>
        </is>
      </c>
      <c r="Q1" s="3" t="inlineStr">
        <is>
          <t>Review outcome</t>
        </is>
      </c>
      <c r="R1" s="3" t="inlineStr">
        <is>
          <t>Audit note</t>
        </is>
      </c>
      <c r="S1" s="3" t="inlineStr">
        <is>
          <t>Flow ID</t>
        </is>
      </c>
      <c r="T1" s="3" t="inlineStr">
        <is>
          <t>Flow name</t>
        </is>
      </c>
      <c r="U1" s="3" t="inlineStr">
        <is>
          <t>Flow step</t>
        </is>
      </c>
      <c r="V1" s="3" t="inlineStr">
        <is>
          <t>Module</t>
        </is>
      </c>
      <c r="W1" s="3" t="inlineStr">
        <is>
          <t>OS layer</t>
        </is>
      </c>
      <c r="X1" s="3" t="inlineStr">
        <is>
          <t>Capability class</t>
        </is>
      </c>
      <c r="Y1" s="3" t="inlineStr">
        <is>
          <t>Canonical role</t>
        </is>
      </c>
      <c r="Z1" s="3" t="inlineStr">
        <is>
          <t>Business criticality</t>
        </is>
      </c>
      <c r="AA1" s="3" t="inlineStr">
        <is>
          <t>Failure impact</t>
        </is>
      </c>
      <c r="AB1" s="3" t="inlineStr">
        <is>
          <t>Compliance impact</t>
        </is>
      </c>
      <c r="AC1" s="3" t="inlineStr">
        <is>
          <t>Release gate</t>
        </is>
      </c>
      <c r="AD1" s="3" t="inlineStr">
        <is>
          <t>Code evidence</t>
        </is>
      </c>
      <c r="AE1" s="3" t="inlineStr">
        <is>
          <t>Integrity evidence</t>
        </is>
      </c>
      <c r="AF1" s="3" t="inlineStr">
        <is>
          <t>Recovery evidence</t>
        </is>
      </c>
      <c r="AG1" s="3" t="inlineStr">
        <is>
          <t>Security evidence</t>
        </is>
      </c>
      <c r="AH1" s="3" t="inlineStr">
        <is>
          <t>Concurrency evidence</t>
        </is>
      </c>
      <c r="AI1" s="3" t="inlineStr">
        <is>
          <t>OS ready</t>
        </is>
      </c>
      <c r="AJ1" s="3" t="inlineStr">
        <is>
          <t>Work status</t>
        </is>
      </c>
      <c r="AK1" s="3" t="inlineStr">
        <is>
          <t>Proposed priority</t>
        </is>
      </c>
      <c r="AL1" s="3" t="inlineStr">
        <is>
          <t>Risk score</t>
        </is>
      </c>
      <c r="AM1" s="3" t="inlineStr">
        <is>
          <t>Owner</t>
        </is>
      </c>
      <c r="AN1" s="3" t="inlineStr">
        <is>
          <t>Target date</t>
        </is>
      </c>
      <c r="AO1" s="3" t="inlineStr">
        <is>
          <t>Estimate days</t>
        </is>
      </c>
      <c r="AP1" s="3" t="inlineStr">
        <is>
          <t>Depends on</t>
        </is>
      </c>
      <c r="AQ1" s="3" t="inlineStr">
        <is>
          <t>Blocked by</t>
        </is>
      </c>
      <c r="AR1" s="3" t="inlineStr">
        <is>
          <t>Test case ID</t>
        </is>
      </c>
      <c r="AS1" s="3" t="inlineStr">
        <is>
          <t>Last verified</t>
        </is>
      </c>
      <c r="AT1" s="3" t="inlineStr">
        <is>
          <t>Verified by</t>
        </is>
      </c>
      <c r="AU1" s="3" t="inlineStr">
        <is>
          <t>Verification result</t>
        </is>
      </c>
    </row>
    <row r="2" ht="32" customHeight="1">
      <c r="A2" s="16" t="inlineStr">
        <is>
          <t>P-0001</t>
        </is>
      </c>
      <c r="B2" s="8" t="inlineStr">
        <is>
          <t>P</t>
        </is>
      </c>
      <c r="C2" s="5" t="inlineStr">
        <is>
          <t>Gully Vendor / Small Retailer</t>
        </is>
      </c>
      <c r="D2" s="5" t="inlineStr">
        <is>
          <t>Customer-to-Cash</t>
        </is>
      </c>
      <c r="E2" s="5" t="inlineStr">
        <is>
          <t>Create a quick bill for a walk-in customer</t>
        </is>
      </c>
      <c r="F2" s="5" t="inlineStr">
        <is>
          <t>Counter Billing Clerk</t>
        </is>
      </c>
      <c r="G2" s="5" t="inlineStr">
        <is>
          <t>Walk-in Customer</t>
        </is>
      </c>
      <c r="H2" s="5" t="inlineStr">
        <is>
          <t>Instant checkout within 15 seconds; printed or digital receipt handed over; minimal queue delay</t>
        </is>
      </c>
      <c r="I2" s="5" t="inlineStr">
        <is>
          <t>Stock decremented atomically in inventory ledger; cash drawer balance increased; sales voucher posted to GL</t>
        </is>
      </c>
      <c r="J2" s="19" t="inlineStr">
        <is>
          <t>P0</t>
        </is>
      </c>
      <c r="K2" s="20" t="inlineStr">
        <is>
          <t>Validated (Supported)</t>
        </is>
      </c>
      <c r="L2" s="5" t="inlineStr">
        <is>
          <t>Supported via /pos rapid checkout. Barcode/touch selection, instant cash tender, thermal slip print.</t>
        </is>
      </c>
      <c r="M2" s="8" t="inlineStr">
        <is>
          <t>Baseline</t>
        </is>
      </c>
      <c r="N2" s="8" t="inlineStr">
        <is>
          <t>Operational role</t>
        </is>
      </c>
      <c r="O2" s="8" t="inlineStr">
        <is>
          <t>P0</t>
        </is>
      </c>
      <c r="P2" s="5" t="inlineStr">
        <is>
          <t>Unchanged</t>
        </is>
      </c>
      <c r="Q2" s="20" t="inlineStr">
        <is>
          <t>Author assertion</t>
        </is>
      </c>
      <c r="R2" s="5" t="inlineStr"/>
      <c r="S2" s="8" t="inlineStr">
        <is>
          <t>C2C</t>
        </is>
      </c>
      <c r="T2" s="5" t="inlineStr">
        <is>
          <t>Customer to cash</t>
        </is>
      </c>
      <c r="U2" s="8" t="inlineStr"/>
      <c r="V2" s="8" t="inlineStr">
        <is>
          <t>sales</t>
        </is>
      </c>
      <c r="W2" s="8" t="inlineStr">
        <is>
          <t>RUN</t>
        </is>
      </c>
      <c r="X2" s="5" t="inlineStr">
        <is>
          <t>Core</t>
        </is>
      </c>
      <c r="Y2" s="5" t="inlineStr">
        <is>
          <t>Owner</t>
        </is>
      </c>
      <c r="Z2" s="5" t="inlineStr">
        <is>
          <t>Medium</t>
        </is>
      </c>
      <c r="AA2" s="5" t="inlineStr">
        <is>
          <t>Medium</t>
        </is>
      </c>
      <c r="AB2" s="8" t="inlineStr">
        <is>
          <t>Low</t>
        </is>
      </c>
      <c r="AC2" s="8" t="inlineStr">
        <is>
          <t>MVP</t>
        </is>
      </c>
      <c r="AD2" s="5" t="inlineStr">
        <is>
          <t>Not independently checked</t>
        </is>
      </c>
      <c r="AE2" s="5" t="inlineStr">
        <is>
          <t>Not verified</t>
        </is>
      </c>
      <c r="AF2" s="5" t="inlineStr">
        <is>
          <t>Not verified</t>
        </is>
      </c>
      <c r="AG2" s="5" t="inlineStr">
        <is>
          <t>Not verified</t>
        </is>
      </c>
      <c r="AH2" s="5" t="inlineStr">
        <is>
          <t>Not verified</t>
        </is>
      </c>
      <c r="AI2" s="8" t="inlineStr">
        <is>
          <t>No</t>
        </is>
      </c>
      <c r="AJ2" s="8" t="inlineStr">
        <is>
          <t>Claimed - unverified</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P-0002</t>
        </is>
      </c>
      <c r="B3" s="8" t="inlineStr">
        <is>
          <t>P</t>
        </is>
      </c>
      <c r="C3" s="5" t="inlineStr">
        <is>
          <t>Gully Vendor / Small Retailer</t>
        </is>
      </c>
      <c r="D3" s="5" t="inlineStr">
        <is>
          <t>Payments &amp; Reconciliation</t>
        </is>
      </c>
      <c r="E3" s="5" t="inlineStr">
        <is>
          <t>Record a cash sale</t>
        </is>
      </c>
      <c r="F3" s="5" t="inlineStr">
        <is>
          <t>Counter Billing Clerk</t>
        </is>
      </c>
      <c r="G3" s="5" t="inlineStr">
        <is>
          <t>Walk-in Customer</t>
        </is>
      </c>
      <c r="H3" s="5" t="inlineStr">
        <is>
          <t>Immediate cash payment accepted and registered in the daily till</t>
        </is>
      </c>
      <c r="I3" s="5" t="inlineStr">
        <is>
          <t>Debit Cash-in-Hand ledger account, credit Sales Revenue account; updates physical till balance</t>
        </is>
      </c>
      <c r="J3" s="19" t="inlineStr">
        <is>
          <t>P0</t>
        </is>
      </c>
      <c r="K3" s="20" t="inlineStr">
        <is>
          <t>Validated (Supported)</t>
        </is>
      </c>
      <c r="L3" s="5" t="inlineStr">
        <is>
          <t>Supported via Payment model (payment_mode='CASH') linked directly to completed SalesInvoice.</t>
        </is>
      </c>
      <c r="M3" s="8" t="inlineStr">
        <is>
          <t>Baseline</t>
        </is>
      </c>
      <c r="N3" s="8" t="inlineStr">
        <is>
          <t>Operational role</t>
        </is>
      </c>
      <c r="O3" s="8" t="inlineStr">
        <is>
          <t>P0</t>
        </is>
      </c>
      <c r="P3" s="5" t="inlineStr">
        <is>
          <t>Unchanged</t>
        </is>
      </c>
      <c r="Q3" s="21" t="inlineStr">
        <is>
          <t>Code symbol found</t>
        </is>
      </c>
      <c r="R3" s="5" t="inlineStr">
        <is>
          <t>Matched SalesInvoice in product code. This is not a functional test.</t>
        </is>
      </c>
      <c r="S3" s="8" t="inlineStr">
        <is>
          <t>PAYREC</t>
        </is>
      </c>
      <c r="T3" s="5" t="inlineStr">
        <is>
          <t>Payments and reconciliation</t>
        </is>
      </c>
      <c r="U3" s="8" t="inlineStr"/>
      <c r="V3" s="8" t="inlineStr">
        <is>
          <t>payments</t>
        </is>
      </c>
      <c r="W3" s="8" t="inlineStr">
        <is>
          <t>RUN</t>
        </is>
      </c>
      <c r="X3" s="5" t="inlineStr">
        <is>
          <t>Core</t>
        </is>
      </c>
      <c r="Y3" s="5" t="inlineStr">
        <is>
          <t>Owner</t>
        </is>
      </c>
      <c r="Z3" s="5" t="inlineStr">
        <is>
          <t>High</t>
        </is>
      </c>
      <c r="AA3" s="5" t="inlineStr">
        <is>
          <t>High</t>
        </is>
      </c>
      <c r="AB3" s="8" t="inlineStr">
        <is>
          <t>Low</t>
        </is>
      </c>
      <c r="AC3" s="8" t="inlineStr">
        <is>
          <t>MVP</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P0</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P-0003</t>
        </is>
      </c>
      <c r="B4" s="8" t="inlineStr">
        <is>
          <t>P</t>
        </is>
      </c>
      <c r="C4" s="5" t="inlineStr">
        <is>
          <t>Gully Vendor / Small Retailer</t>
        </is>
      </c>
      <c r="D4" s="5" t="inlineStr">
        <is>
          <t>Payments &amp; Reconciliation</t>
        </is>
      </c>
      <c r="E4" s="5" t="inlineStr">
        <is>
          <t>Record a UPI/digital payment</t>
        </is>
      </c>
      <c r="F4" s="5" t="inlineStr">
        <is>
          <t>Counter Billing Clerk</t>
        </is>
      </c>
      <c r="G4" s="5" t="inlineStr">
        <is>
          <t>Walk-in Customer</t>
        </is>
      </c>
      <c r="H4" s="5" t="inlineStr">
        <is>
          <t>Instant settlement via dynamic BharatPe/UPI QR code scanning</t>
        </is>
      </c>
      <c r="I4" s="5" t="inlineStr">
        <is>
          <t>Debit Bank/UPI Settlement clearing account, credit Sales Revenue account; records transaction UTR/ref</t>
        </is>
      </c>
      <c r="J4" s="19" t="inlineStr">
        <is>
          <t>P0</t>
        </is>
      </c>
      <c r="K4" s="20" t="inlineStr">
        <is>
          <t>Validated (Supported)</t>
        </is>
      </c>
      <c r="L4" s="5" t="inlineStr">
        <is>
          <t>Supported via POS screen dynamic UPI QR generator. Stores transaction UTR reference on payment record.</t>
        </is>
      </c>
      <c r="M4" s="8" t="inlineStr">
        <is>
          <t>Baseline</t>
        </is>
      </c>
      <c r="N4" s="8" t="inlineStr">
        <is>
          <t>Operational role</t>
        </is>
      </c>
      <c r="O4" s="8" t="inlineStr">
        <is>
          <t>P0</t>
        </is>
      </c>
      <c r="P4" s="5" t="inlineStr">
        <is>
          <t>Unchanged</t>
        </is>
      </c>
      <c r="Q4" s="20" t="inlineStr">
        <is>
          <t>Author assertion</t>
        </is>
      </c>
      <c r="R4" s="5" t="inlineStr"/>
      <c r="S4" s="8" t="inlineStr">
        <is>
          <t>PAYREC</t>
        </is>
      </c>
      <c r="T4" s="5" t="inlineStr">
        <is>
          <t>Payments and reconciliation</t>
        </is>
      </c>
      <c r="U4" s="8" t="inlineStr"/>
      <c r="V4" s="8" t="inlineStr">
        <is>
          <t>payments</t>
        </is>
      </c>
      <c r="W4" s="8" t="inlineStr">
        <is>
          <t>RUN</t>
        </is>
      </c>
      <c r="X4" s="5" t="inlineStr">
        <is>
          <t>Core</t>
        </is>
      </c>
      <c r="Y4" s="5" t="inlineStr">
        <is>
          <t>Owner</t>
        </is>
      </c>
      <c r="Z4" s="5" t="inlineStr">
        <is>
          <t>High</t>
        </is>
      </c>
      <c r="AA4" s="5" t="inlineStr">
        <is>
          <t>High</t>
        </is>
      </c>
      <c r="AB4" s="8" t="inlineStr">
        <is>
          <t>Low</t>
        </is>
      </c>
      <c r="AC4" s="8" t="inlineStr">
        <is>
          <t>MVP</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P0</t>
        </is>
      </c>
      <c r="AL4" s="8" t="n">
        <v>9</v>
      </c>
      <c r="AM4" s="5" t="inlineStr"/>
      <c r="AN4" s="5" t="inlineStr"/>
      <c r="AO4" s="5" t="inlineStr"/>
      <c r="AP4" s="5" t="inlineStr"/>
      <c r="AQ4" s="5" t="inlineStr"/>
      <c r="AR4" s="5" t="inlineStr"/>
      <c r="AS4" s="5" t="inlineStr"/>
      <c r="AT4" s="5" t="inlineStr"/>
      <c r="AU4" s="8" t="inlineStr">
        <is>
          <t>Not run</t>
        </is>
      </c>
    </row>
    <row r="5" ht="32" customHeight="1">
      <c r="A5" s="16" t="inlineStr">
        <is>
          <t>P-0004</t>
        </is>
      </c>
      <c r="B5" s="8" t="inlineStr">
        <is>
          <t>P</t>
        </is>
      </c>
      <c r="C5" s="5" t="inlineStr">
        <is>
          <t>Gully Vendor / Small Retailer</t>
        </is>
      </c>
      <c r="D5" s="5" t="inlineStr">
        <is>
          <t>Customer-to-Cash</t>
        </is>
      </c>
      <c r="E5" s="5" t="inlineStr">
        <is>
          <t>Find an item's price instantly</t>
        </is>
      </c>
      <c r="F5" s="5" t="inlineStr">
        <is>
          <t>Counter Billing Clerk</t>
        </is>
      </c>
      <c r="G5" s="5" t="inlineStr">
        <is>
          <t>None</t>
        </is>
      </c>
      <c r="H5" s="5" t="inlineStr">
        <is>
          <t>Zero-latency SKU and price lookup without interrupting active billing</t>
        </is>
      </c>
      <c r="I5" s="5" t="inlineStr">
        <is>
          <t>Queries indexed catalog cache; returns selling price, MRP, and real-time available stock</t>
        </is>
      </c>
      <c r="J5" s="20" t="inlineStr">
        <is>
          <t>P1</t>
        </is>
      </c>
      <c r="K5" s="20" t="inlineStr">
        <is>
          <t>Validated (Supported)</t>
        </is>
      </c>
      <c r="L5" s="5" t="inlineStr">
        <is>
          <t>Supported via client-side indexedDB catalog search with &lt;50ms keystroke debounce.</t>
        </is>
      </c>
      <c r="M5" s="8" t="inlineStr">
        <is>
          <t>Baseline</t>
        </is>
      </c>
      <c r="N5" s="8" t="inlineStr">
        <is>
          <t>Operational role</t>
        </is>
      </c>
      <c r="O5" s="8" t="inlineStr">
        <is>
          <t>P1</t>
        </is>
      </c>
      <c r="P5" s="5" t="inlineStr">
        <is>
          <t>Unchanged</t>
        </is>
      </c>
      <c r="Q5" s="21" t="inlineStr">
        <is>
          <t>Code symbol found</t>
        </is>
      </c>
      <c r="R5" s="5" t="inlineStr">
        <is>
          <t>Matched indexedDB in product code. This is not a functional test.</t>
        </is>
      </c>
      <c r="S5" s="8" t="inlineStr">
        <is>
          <t>C2C</t>
        </is>
      </c>
      <c r="T5" s="5" t="inlineStr">
        <is>
          <t>Customer to cash</t>
        </is>
      </c>
      <c r="U5" s="8" t="inlineStr"/>
      <c r="V5" s="8" t="inlineStr">
        <is>
          <t>sales</t>
        </is>
      </c>
      <c r="W5" s="8" t="inlineStr">
        <is>
          <t>RUN</t>
        </is>
      </c>
      <c r="X5" s="5" t="inlineStr">
        <is>
          <t>Core</t>
        </is>
      </c>
      <c r="Y5" s="5" t="inlineStr">
        <is>
          <t>Owner</t>
        </is>
      </c>
      <c r="Z5" s="5" t="inlineStr">
        <is>
          <t>Medium</t>
        </is>
      </c>
      <c r="AA5" s="5" t="inlineStr">
        <is>
          <t>Medium</t>
        </is>
      </c>
      <c r="AB5" s="8" t="inlineStr">
        <is>
          <t>Low</t>
        </is>
      </c>
      <c r="AC5" s="8" t="inlineStr">
        <is>
          <t>Pilot</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P-0005</t>
        </is>
      </c>
      <c r="B6" s="8" t="inlineStr">
        <is>
          <t>P</t>
        </is>
      </c>
      <c r="C6" s="5" t="inlineStr">
        <is>
          <t>Gully Vendor / Small Retailer</t>
        </is>
      </c>
      <c r="D6" s="5" t="inlineStr">
        <is>
          <t>Reporting &amp; Business Intelligence</t>
        </is>
      </c>
      <c r="E6" s="5" t="inlineStr">
        <is>
          <t>Check today's total sales</t>
        </is>
      </c>
      <c r="F6" s="5" t="inlineStr">
        <is>
          <t>Small Retailer / Owner</t>
        </is>
      </c>
      <c r="G6" s="5" t="inlineStr">
        <is>
          <t>Counter Billing Clerk</t>
        </is>
      </c>
      <c r="H6" s="5" t="inlineStr">
        <is>
          <t>Real-time visibility into total daily gross revenue and bill count</t>
        </is>
      </c>
      <c r="I6" s="5" t="inlineStr">
        <is>
          <t>Aggregates completed SalesInvoices for current calendar day; displays gross, discounts, and net sales</t>
        </is>
      </c>
      <c r="J6" s="20" t="inlineStr">
        <is>
          <t>P1</t>
        </is>
      </c>
      <c r="K6" s="20" t="inlineStr">
        <is>
          <t>Validated (Supported)</t>
        </is>
      </c>
      <c r="L6" s="5" t="inlineStr">
        <is>
          <t>Supported via DailyBusinessSummary snapshot and POS shift summary modal (/api/v1/pos/shift-summary/).</t>
        </is>
      </c>
      <c r="M6" s="8" t="inlineStr">
        <is>
          <t>Baseline</t>
        </is>
      </c>
      <c r="N6" s="8" t="inlineStr">
        <is>
          <t>Operational role</t>
        </is>
      </c>
      <c r="O6" s="8" t="inlineStr">
        <is>
          <t>P1</t>
        </is>
      </c>
      <c r="P6" s="5" t="inlineStr">
        <is>
          <t>Unchanged</t>
        </is>
      </c>
      <c r="Q6" s="21" t="inlineStr">
        <is>
          <t>Code symbol found</t>
        </is>
      </c>
      <c r="R6" s="5" t="inlineStr">
        <is>
          <t>Matched DailyBusinessSummary in product code. This is not a functional test.</t>
        </is>
      </c>
      <c r="S6" s="8" t="inlineStr">
        <is>
          <t>RPT</t>
        </is>
      </c>
      <c r="T6" s="5" t="inlineStr">
        <is>
          <t>Reporting and business intelligence</t>
        </is>
      </c>
      <c r="U6" s="8" t="inlineStr"/>
      <c r="V6" s="8" t="inlineStr">
        <is>
          <t>reporting</t>
        </is>
      </c>
      <c r="W6" s="8" t="inlineStr">
        <is>
          <t>CONTROL</t>
        </is>
      </c>
      <c r="X6" s="5" t="inlineStr">
        <is>
          <t>Core</t>
        </is>
      </c>
      <c r="Y6" s="5" t="inlineStr">
        <is>
          <t>Owner</t>
        </is>
      </c>
      <c r="Z6" s="5" t="inlineStr">
        <is>
          <t>Medium</t>
        </is>
      </c>
      <c r="AA6" s="5" t="inlineStr">
        <is>
          <t>Medium</t>
        </is>
      </c>
      <c r="AB6" s="8" t="inlineStr">
        <is>
          <t>Low</t>
        </is>
      </c>
      <c r="AC6" s="8" t="inlineStr">
        <is>
          <t>Pilot</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P-0006</t>
        </is>
      </c>
      <c r="B7" s="8" t="inlineStr">
        <is>
          <t>P</t>
        </is>
      </c>
      <c r="C7" s="5" t="inlineStr">
        <is>
          <t>Gully Vendor / Small Retailer</t>
        </is>
      </c>
      <c r="D7" s="5" t="inlineStr">
        <is>
          <t>Payments &amp; Reconciliation</t>
        </is>
      </c>
      <c r="E7" s="5" t="inlineStr">
        <is>
          <t>Check cash/UPI collected</t>
        </is>
      </c>
      <c r="F7" s="5" t="inlineStr">
        <is>
          <t>Small Retailer / Owner</t>
        </is>
      </c>
      <c r="G7" s="5" t="inlineStr">
        <is>
          <t>Counter Billing Clerk</t>
        </is>
      </c>
      <c r="H7" s="5" t="inlineStr">
        <is>
          <t>Exact breakdown of drawer cash vs digital UPI collections for end-of-day reconciliation</t>
        </is>
      </c>
      <c r="I7" s="5" t="inlineStr">
        <is>
          <t>Aggregates Payment records by payment_mode; enables physical drawer verification against system till</t>
        </is>
      </c>
      <c r="J7" s="20" t="inlineStr">
        <is>
          <t>P1</t>
        </is>
      </c>
      <c r="K7" s="20" t="inlineStr">
        <is>
          <t>Validated (Supported)</t>
        </is>
      </c>
      <c r="L7" s="5" t="inlineStr">
        <is>
          <t>Supported via /pos/shift-close endpoint with expected cash vs actual physical cash variance logging.</t>
        </is>
      </c>
      <c r="M7" s="8" t="inlineStr">
        <is>
          <t>Baseline</t>
        </is>
      </c>
      <c r="N7" s="8" t="inlineStr">
        <is>
          <t>Operational role</t>
        </is>
      </c>
      <c r="O7" s="8" t="inlineStr">
        <is>
          <t>P1</t>
        </is>
      </c>
      <c r="P7" s="5" t="inlineStr">
        <is>
          <t>Unchanged</t>
        </is>
      </c>
      <c r="Q7" s="20" t="inlineStr">
        <is>
          <t>Author assertion</t>
        </is>
      </c>
      <c r="R7" s="5" t="inlineStr"/>
      <c r="S7" s="8" t="inlineStr">
        <is>
          <t>PAYREC</t>
        </is>
      </c>
      <c r="T7" s="5" t="inlineStr">
        <is>
          <t>Payments and reconciliation</t>
        </is>
      </c>
      <c r="U7" s="8" t="inlineStr"/>
      <c r="V7" s="8" t="inlineStr">
        <is>
          <t>payments</t>
        </is>
      </c>
      <c r="W7" s="8" t="inlineStr">
        <is>
          <t>RUN</t>
        </is>
      </c>
      <c r="X7" s="5" t="inlineStr">
        <is>
          <t>Core</t>
        </is>
      </c>
      <c r="Y7" s="5" t="inlineStr">
        <is>
          <t>Owner</t>
        </is>
      </c>
      <c r="Z7" s="5" t="inlineStr">
        <is>
          <t>High</t>
        </is>
      </c>
      <c r="AA7" s="5" t="inlineStr">
        <is>
          <t>High</t>
        </is>
      </c>
      <c r="AB7" s="8" t="inlineStr">
        <is>
          <t>Low</t>
        </is>
      </c>
      <c r="AC7" s="8" t="inlineStr">
        <is>
          <t>Pilot</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9</v>
      </c>
      <c r="AM7" s="5" t="inlineStr"/>
      <c r="AN7" s="5" t="inlineStr"/>
      <c r="AO7" s="5" t="inlineStr"/>
      <c r="AP7" s="5" t="inlineStr"/>
      <c r="AQ7" s="5" t="inlineStr"/>
      <c r="AR7" s="5" t="inlineStr"/>
      <c r="AS7" s="5" t="inlineStr"/>
      <c r="AT7" s="5" t="inlineStr"/>
      <c r="AU7" s="8" t="inlineStr">
        <is>
          <t>Not run</t>
        </is>
      </c>
    </row>
    <row r="8" ht="32" customHeight="1">
      <c r="A8" s="16" t="inlineStr">
        <is>
          <t>P-0007</t>
        </is>
      </c>
      <c r="B8" s="8" t="inlineStr">
        <is>
          <t>P</t>
        </is>
      </c>
      <c r="C8" s="5" t="inlineStr">
        <is>
          <t>Gully Vendor / Small Retailer</t>
        </is>
      </c>
      <c r="D8" s="5" t="inlineStr">
        <is>
          <t>Inventory Lifecycle</t>
        </is>
      </c>
      <c r="E8" s="5" t="inlineStr">
        <is>
          <t>See low-stock items</t>
        </is>
      </c>
      <c r="F8" s="5" t="inlineStr">
        <is>
          <t>Small Retailer / Owner</t>
        </is>
      </c>
      <c r="G8" s="5" t="inlineStr">
        <is>
          <t>Distributor / Supplier</t>
        </is>
      </c>
      <c r="H8" s="5" t="inlineStr">
        <is>
          <t>Early warning of fast-moving products reaching reorder threshold to prevent stockouts</t>
        </is>
      </c>
      <c r="I8" s="5" t="inlineStr">
        <is>
          <t>Filters StockBalance where quantity &lt;= reorder_level; surfaces replenishment alert cards</t>
        </is>
      </c>
      <c r="J8" s="20" t="inlineStr">
        <is>
          <t>P1</t>
        </is>
      </c>
      <c r="K8" s="20" t="inlineStr">
        <is>
          <t>Validated (Supported)</t>
        </is>
      </c>
      <c r="L8" s="5" t="inlineStr">
        <is>
          <t>Supported in /inventory dashboard with visual low-stock badges and filtered export.</t>
        </is>
      </c>
      <c r="M8" s="8" t="inlineStr">
        <is>
          <t>Baseline</t>
        </is>
      </c>
      <c r="N8" s="8" t="inlineStr">
        <is>
          <t>Operational role</t>
        </is>
      </c>
      <c r="O8" s="8" t="inlineStr">
        <is>
          <t>P1</t>
        </is>
      </c>
      <c r="P8" s="5" t="inlineStr">
        <is>
          <t>Unchanged</t>
        </is>
      </c>
      <c r="Q8" s="20" t="inlineStr">
        <is>
          <t>Author assertion</t>
        </is>
      </c>
      <c r="R8" s="5" t="inlineStr"/>
      <c r="S8" s="8" t="inlineStr">
        <is>
          <t>INV</t>
        </is>
      </c>
      <c r="T8" s="5" t="inlineStr">
        <is>
          <t>Inventory lifecycle</t>
        </is>
      </c>
      <c r="U8" s="8" t="inlineStr"/>
      <c r="V8" s="8" t="inlineStr">
        <is>
          <t>inventory</t>
        </is>
      </c>
      <c r="W8" s="8" t="inlineStr">
        <is>
          <t>RUN</t>
        </is>
      </c>
      <c r="X8" s="5" t="inlineStr">
        <is>
          <t>Core</t>
        </is>
      </c>
      <c r="Y8" s="5" t="inlineStr">
        <is>
          <t>Owner</t>
        </is>
      </c>
      <c r="Z8" s="5" t="inlineStr">
        <is>
          <t>High</t>
        </is>
      </c>
      <c r="AA8" s="5" t="inlineStr">
        <is>
          <t>High</t>
        </is>
      </c>
      <c r="AB8" s="8" t="inlineStr">
        <is>
          <t>Low</t>
        </is>
      </c>
      <c r="AC8" s="8" t="inlineStr">
        <is>
          <t>Pilot</t>
        </is>
      </c>
      <c r="AD8" s="5" t="inlineStr">
        <is>
          <t>Not independently checked</t>
        </is>
      </c>
      <c r="AE8" s="5" t="inlineStr">
        <is>
          <t>Not verified</t>
        </is>
      </c>
      <c r="AF8" s="5" t="inlineStr">
        <is>
          <t>Not verified</t>
        </is>
      </c>
      <c r="AG8" s="5" t="inlineStr">
        <is>
          <t>Not verified</t>
        </is>
      </c>
      <c r="AH8" s="5" t="inlineStr">
        <is>
          <t>Not verified</t>
        </is>
      </c>
      <c r="AI8" s="8" t="inlineStr">
        <is>
          <t>No</t>
        </is>
      </c>
      <c r="AJ8" s="8" t="inlineStr">
        <is>
          <t>Claimed - unverified</t>
        </is>
      </c>
      <c r="AK8" s="8" t="inlineStr">
        <is>
          <t>P1</t>
        </is>
      </c>
      <c r="AL8" s="8" t="n">
        <v>9</v>
      </c>
      <c r="AM8" s="5" t="inlineStr"/>
      <c r="AN8" s="5" t="inlineStr"/>
      <c r="AO8" s="5" t="inlineStr"/>
      <c r="AP8" s="5" t="inlineStr"/>
      <c r="AQ8" s="5" t="inlineStr"/>
      <c r="AR8" s="5" t="inlineStr"/>
      <c r="AS8" s="5" t="inlineStr"/>
      <c r="AT8" s="5" t="inlineStr"/>
      <c r="AU8" s="8" t="inlineStr">
        <is>
          <t>Not run</t>
        </is>
      </c>
    </row>
    <row r="9" ht="32" customHeight="1">
      <c r="A9" s="16" t="inlineStr">
        <is>
          <t>P-0008</t>
        </is>
      </c>
      <c r="B9" s="8" t="inlineStr">
        <is>
          <t>P</t>
        </is>
      </c>
      <c r="C9" s="5" t="inlineStr">
        <is>
          <t>Gully Vendor / Small Retailer</t>
        </is>
      </c>
      <c r="D9" s="5" t="inlineStr">
        <is>
          <t>Master Data &amp; Authorization</t>
        </is>
      </c>
      <c r="E9" s="5" t="inlineStr">
        <is>
          <t>Add a new item while making a sale</t>
        </is>
      </c>
      <c r="F9" s="5" t="inlineStr">
        <is>
          <t>Counter Billing Clerk</t>
        </is>
      </c>
      <c r="G9" s="5" t="inlineStr">
        <is>
          <t>Small Retailer / Owner</t>
        </is>
      </c>
      <c r="H9" s="5" t="inlineStr">
        <is>
          <t>Non-blocking cart workflow allowing uncataloged product entry without losing customer session</t>
        </is>
      </c>
      <c r="I9" s="5" t="inlineStr">
        <is>
          <t>Creates Product master row on-the-fly, initializes opening stock layer, and appends line to active cart</t>
        </is>
      </c>
      <c r="J9" s="22" t="inlineStr">
        <is>
          <t>P2</t>
        </is>
      </c>
      <c r="K9" s="20" t="inlineStr">
        <is>
          <t>Validated (Supported)</t>
        </is>
      </c>
      <c r="L9" s="5" t="inlineStr">
        <is>
          <t>Supported via POS 'Quick Add Product' modal (/api/v1/masters/products/quick-create/).</t>
        </is>
      </c>
      <c r="M9" s="8" t="inlineStr">
        <is>
          <t>Baseline</t>
        </is>
      </c>
      <c r="N9" s="8" t="inlineStr">
        <is>
          <t>Operational role</t>
        </is>
      </c>
      <c r="O9" s="8" t="inlineStr">
        <is>
          <t>P2</t>
        </is>
      </c>
      <c r="P9" s="5" t="inlineStr">
        <is>
          <t>Unchanged</t>
        </is>
      </c>
      <c r="Q9" s="20" t="inlineStr">
        <is>
          <t>Author assertion</t>
        </is>
      </c>
      <c r="R9" s="5" t="inlineStr"/>
      <c r="S9" s="8" t="inlineStr">
        <is>
          <t>MASTER</t>
        </is>
      </c>
      <c r="T9" s="5" t="inlineStr">
        <is>
          <t>Master data and authorization</t>
        </is>
      </c>
      <c r="U9" s="8" t="inlineStr"/>
      <c r="V9" s="8" t="inlineStr">
        <is>
          <t>masters</t>
        </is>
      </c>
      <c r="W9" s="8" t="inlineStr">
        <is>
          <t>KERNEL</t>
        </is>
      </c>
      <c r="X9" s="5" t="inlineStr">
        <is>
          <t>Core</t>
        </is>
      </c>
      <c r="Y9" s="5" t="inlineStr">
        <is>
          <t>Owner</t>
        </is>
      </c>
      <c r="Z9" s="5" t="inlineStr">
        <is>
          <t>Medium</t>
        </is>
      </c>
      <c r="AA9" s="5" t="inlineStr">
        <is>
          <t>Medium</t>
        </is>
      </c>
      <c r="AB9" s="8" t="inlineStr">
        <is>
          <t>Low</t>
        </is>
      </c>
      <c r="AC9" s="8" t="inlineStr">
        <is>
          <t>Later</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P2</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P-0009</t>
        </is>
      </c>
      <c r="B10" s="8" t="inlineStr">
        <is>
          <t>P</t>
        </is>
      </c>
      <c r="C10" s="5" t="inlineStr">
        <is>
          <t>Gully Vendor / Small Retailer</t>
        </is>
      </c>
      <c r="D10" s="5" t="inlineStr">
        <is>
          <t>Receivables &amp; Payables</t>
        </is>
      </c>
      <c r="E10" s="5" t="inlineStr">
        <is>
          <t>Record a customer credit sale</t>
        </is>
      </c>
      <c r="F10" s="5" t="inlineStr">
        <is>
          <t>Counter Billing Clerk</t>
        </is>
      </c>
      <c r="G10" s="5" t="inlineStr">
        <is>
          <t>Local Credit Customer (Khata)</t>
        </is>
      </c>
      <c r="H10" s="5" t="inlineStr">
        <is>
          <t>Goods issued on credit (Khata) to trusted neighborhood customer</t>
        </is>
      </c>
      <c r="I10" s="5" t="inlineStr">
        <is>
          <t>Completes invoice with payment_status='UNPAID', creates debit entry in Customer AR ledger</t>
        </is>
      </c>
      <c r="J10" s="20" t="inlineStr">
        <is>
          <t>P1</t>
        </is>
      </c>
      <c r="K10" s="20" t="inlineStr">
        <is>
          <t>Validated (Supported)</t>
        </is>
      </c>
      <c r="L10" s="5" t="inlineStr">
        <is>
          <t>Supported via B2C/B2B Khata credit toggle on POS checkout; enforces optional credit limit check.</t>
        </is>
      </c>
      <c r="M10" s="8" t="inlineStr">
        <is>
          <t>Baseline</t>
        </is>
      </c>
      <c r="N10" s="8" t="inlineStr">
        <is>
          <t>Operational role</t>
        </is>
      </c>
      <c r="O10" s="8" t="inlineStr">
        <is>
          <t>P1</t>
        </is>
      </c>
      <c r="P10" s="5" t="inlineStr">
        <is>
          <t>Restored to authored P1. The previous workbook had P0 after a keyword rebalance.</t>
        </is>
      </c>
      <c r="Q10" s="20" t="inlineStr">
        <is>
          <t>Author assertion</t>
        </is>
      </c>
      <c r="R10" s="5" t="inlineStr">
        <is>
          <t>Restored to authored P1. The previous workbook had P0 after a keyword rebalance.</t>
        </is>
      </c>
      <c r="S10" s="8" t="inlineStr">
        <is>
          <t>ARAP</t>
        </is>
      </c>
      <c r="T10" s="5" t="inlineStr">
        <is>
          <t>Receivables and payables</t>
        </is>
      </c>
      <c r="U10" s="8" t="inlineStr"/>
      <c r="V10" s="8" t="inlineStr">
        <is>
          <t>ledgers</t>
        </is>
      </c>
      <c r="W10" s="8" t="inlineStr">
        <is>
          <t>CONTROL</t>
        </is>
      </c>
      <c r="X10" s="5" t="inlineStr">
        <is>
          <t>Core</t>
        </is>
      </c>
      <c r="Y10" s="5" t="inlineStr">
        <is>
          <t>Owner</t>
        </is>
      </c>
      <c r="Z10" s="5" t="inlineStr">
        <is>
          <t>Critical</t>
        </is>
      </c>
      <c r="AA10" s="5" t="inlineStr">
        <is>
          <t>High</t>
        </is>
      </c>
      <c r="AB10" s="8" t="inlineStr">
        <is>
          <t>Medium</t>
        </is>
      </c>
      <c r="AC10" s="8" t="inlineStr">
        <is>
          <t>Pilot</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P1</t>
        </is>
      </c>
      <c r="AL10" s="8" t="n">
        <v>18</v>
      </c>
      <c r="AM10" s="5" t="inlineStr"/>
      <c r="AN10" s="5" t="inlineStr"/>
      <c r="AO10" s="5" t="inlineStr"/>
      <c r="AP10" s="5" t="inlineStr"/>
      <c r="AQ10" s="5" t="inlineStr"/>
      <c r="AR10" s="5" t="inlineStr"/>
      <c r="AS10" s="5" t="inlineStr"/>
      <c r="AT10" s="5" t="inlineStr"/>
      <c r="AU10" s="8" t="inlineStr">
        <is>
          <t>Not run</t>
        </is>
      </c>
    </row>
    <row r="11" ht="32" customHeight="1">
      <c r="A11" s="16" t="inlineStr">
        <is>
          <t>P-0010</t>
        </is>
      </c>
      <c r="B11" s="8" t="inlineStr">
        <is>
          <t>P</t>
        </is>
      </c>
      <c r="C11" s="5" t="inlineStr">
        <is>
          <t>Gully Vendor / Small Retailer</t>
        </is>
      </c>
      <c r="D11" s="5" t="inlineStr">
        <is>
          <t>Receivables &amp; Payables</t>
        </is>
      </c>
      <c r="E11" s="5" t="inlineStr">
        <is>
          <t>Record payment from a customer</t>
        </is>
      </c>
      <c r="F11" s="5" t="inlineStr">
        <is>
          <t>Small Retailer / Owner</t>
        </is>
      </c>
      <c r="G11" s="5" t="inlineStr">
        <is>
          <t>Credit Customer</t>
        </is>
      </c>
      <c r="H11" s="5" t="inlineStr">
        <is>
          <t>Receives partial or full payment settling previous outstanding credit balance</t>
        </is>
      </c>
      <c r="I11" s="5" t="inlineStr">
        <is>
          <t>Creates Payment record, allocates credit across oldest open invoices (FIFO), decreases customer AR</t>
        </is>
      </c>
      <c r="J11" s="20" t="inlineStr">
        <is>
          <t>P1</t>
        </is>
      </c>
      <c r="K11" s="20" t="inlineStr">
        <is>
          <t>Validated (Supported)</t>
        </is>
      </c>
      <c r="L11" s="5" t="inlineStr">
        <is>
          <t>Supported via /api/v1/payments/allocation/ with auto-allocation to oldest unpaid invoices.</t>
        </is>
      </c>
      <c r="M11" s="8" t="inlineStr">
        <is>
          <t>Baseline</t>
        </is>
      </c>
      <c r="N11" s="8" t="inlineStr">
        <is>
          <t>Operational role</t>
        </is>
      </c>
      <c r="O11" s="8" t="inlineStr">
        <is>
          <t>P1</t>
        </is>
      </c>
      <c r="P11" s="5" t="inlineStr">
        <is>
          <t>Unchanged</t>
        </is>
      </c>
      <c r="Q11" s="20" t="inlineStr">
        <is>
          <t>Author assertion</t>
        </is>
      </c>
      <c r="R11" s="5" t="inlineStr"/>
      <c r="S11" s="8" t="inlineStr">
        <is>
          <t>ARAP</t>
        </is>
      </c>
      <c r="T11" s="5" t="inlineStr">
        <is>
          <t>Receivables and payables</t>
        </is>
      </c>
      <c r="U11" s="8" t="inlineStr"/>
      <c r="V11" s="8" t="inlineStr">
        <is>
          <t>ledgers</t>
        </is>
      </c>
      <c r="W11" s="8" t="inlineStr">
        <is>
          <t>CONTROL</t>
        </is>
      </c>
      <c r="X11" s="5" t="inlineStr">
        <is>
          <t>Core</t>
        </is>
      </c>
      <c r="Y11" s="5" t="inlineStr">
        <is>
          <t>Owner</t>
        </is>
      </c>
      <c r="Z11" s="5" t="inlineStr">
        <is>
          <t>Critical</t>
        </is>
      </c>
      <c r="AA11" s="5" t="inlineStr">
        <is>
          <t>High</t>
        </is>
      </c>
      <c r="AB11" s="8" t="inlineStr">
        <is>
          <t>Medium</t>
        </is>
      </c>
      <c r="AC11" s="8" t="inlineStr">
        <is>
          <t>Pilot</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P1</t>
        </is>
      </c>
      <c r="AL11" s="8" t="n">
        <v>18</v>
      </c>
      <c r="AM11" s="5" t="inlineStr"/>
      <c r="AN11" s="5" t="inlineStr"/>
      <c r="AO11" s="5" t="inlineStr"/>
      <c r="AP11" s="5" t="inlineStr"/>
      <c r="AQ11" s="5" t="inlineStr"/>
      <c r="AR11" s="5" t="inlineStr"/>
      <c r="AS11" s="5" t="inlineStr"/>
      <c r="AT11" s="5" t="inlineStr"/>
      <c r="AU11" s="8" t="inlineStr">
        <is>
          <t>Not run</t>
        </is>
      </c>
    </row>
    <row r="12" ht="32" customHeight="1">
      <c r="A12" s="16" t="inlineStr">
        <is>
          <t>P-0011</t>
        </is>
      </c>
      <c r="B12" s="8" t="inlineStr">
        <is>
          <t>P</t>
        </is>
      </c>
      <c r="C12" s="5" t="inlineStr">
        <is>
          <t>Gully Vendor / Small Retailer</t>
        </is>
      </c>
      <c r="D12" s="5" t="inlineStr">
        <is>
          <t>Receivables &amp; Payables</t>
        </is>
      </c>
      <c r="E12" s="5" t="inlineStr">
        <is>
          <t>See outstanding customer dues</t>
        </is>
      </c>
      <c r="F12" s="5" t="inlineStr">
        <is>
          <t>Small Retailer / Owner</t>
        </is>
      </c>
      <c r="G12" s="5" t="inlineStr">
        <is>
          <t>Credit Customer</t>
        </is>
      </c>
      <c r="H12" s="5" t="inlineStr">
        <is>
          <t>Instant summary of total unpaid market receivables and customer-wise balance list</t>
        </is>
      </c>
      <c r="I12" s="5" t="inlineStr">
        <is>
          <t>Calculates net derived balance per customer from completed invoices minus payments and credit notes</t>
        </is>
      </c>
      <c r="J12" s="20" t="inlineStr">
        <is>
          <t>P1</t>
        </is>
      </c>
      <c r="K12" s="20" t="inlineStr">
        <is>
          <t>Validated (Supported)</t>
        </is>
      </c>
      <c r="L12" s="5" t="inlineStr">
        <is>
          <t>Supported via /sales/customers Khata receivables view with aging breakdown.</t>
        </is>
      </c>
      <c r="M12" s="8" t="inlineStr">
        <is>
          <t>Baseline</t>
        </is>
      </c>
      <c r="N12" s="8" t="inlineStr">
        <is>
          <t>Operational role</t>
        </is>
      </c>
      <c r="O12" s="8" t="inlineStr">
        <is>
          <t>P1</t>
        </is>
      </c>
      <c r="P12" s="5" t="inlineStr">
        <is>
          <t>Unchanged</t>
        </is>
      </c>
      <c r="Q12" s="20" t="inlineStr">
        <is>
          <t>Author assertion</t>
        </is>
      </c>
      <c r="R12" s="5" t="inlineStr"/>
      <c r="S12" s="8" t="inlineStr">
        <is>
          <t>ARAP</t>
        </is>
      </c>
      <c r="T12" s="5" t="inlineStr">
        <is>
          <t>Receivables and payables</t>
        </is>
      </c>
      <c r="U12" s="8" t="inlineStr"/>
      <c r="V12" s="8" t="inlineStr">
        <is>
          <t>ledgers</t>
        </is>
      </c>
      <c r="W12" s="8" t="inlineStr">
        <is>
          <t>CONTROL</t>
        </is>
      </c>
      <c r="X12" s="5" t="inlineStr">
        <is>
          <t>Core</t>
        </is>
      </c>
      <c r="Y12" s="5" t="inlineStr">
        <is>
          <t>Owner</t>
        </is>
      </c>
      <c r="Z12" s="5" t="inlineStr">
        <is>
          <t>Critical</t>
        </is>
      </c>
      <c r="AA12" s="5" t="inlineStr">
        <is>
          <t>High</t>
        </is>
      </c>
      <c r="AB12" s="8" t="inlineStr">
        <is>
          <t>Medium</t>
        </is>
      </c>
      <c r="AC12" s="8" t="inlineStr">
        <is>
          <t>Pilot</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P1</t>
        </is>
      </c>
      <c r="AL12" s="8" t="n">
        <v>18</v>
      </c>
      <c r="AM12" s="5" t="inlineStr"/>
      <c r="AN12" s="5" t="inlineStr"/>
      <c r="AO12" s="5" t="inlineStr"/>
      <c r="AP12" s="5" t="inlineStr"/>
      <c r="AQ12" s="5" t="inlineStr"/>
      <c r="AR12" s="5" t="inlineStr"/>
      <c r="AS12" s="5" t="inlineStr"/>
      <c r="AT12" s="5" t="inlineStr"/>
      <c r="AU12" s="8" t="inlineStr">
        <is>
          <t>Not run</t>
        </is>
      </c>
    </row>
    <row r="13" ht="32" customHeight="1">
      <c r="A13" s="16" t="inlineStr">
        <is>
          <t>P-0012</t>
        </is>
      </c>
      <c r="B13" s="8" t="inlineStr">
        <is>
          <t>P</t>
        </is>
      </c>
      <c r="C13" s="5" t="inlineStr">
        <is>
          <t>Gully Vendor / Small Retailer</t>
        </is>
      </c>
      <c r="D13" s="5" t="inlineStr">
        <is>
          <t>Communication &amp; Integrations</t>
        </is>
      </c>
      <c r="E13" s="5" t="inlineStr">
        <is>
          <t>Send invoice/receipt</t>
        </is>
      </c>
      <c r="F13" s="5" t="inlineStr">
        <is>
          <t>Counter Billing Clerk</t>
        </is>
      </c>
      <c r="G13" s="5" t="inlineStr">
        <is>
          <t>Customer</t>
        </is>
      </c>
      <c r="H13" s="5" t="inlineStr">
        <is>
          <t>Paperless receipt delivered directly to customer via WhatsApp or SMS link</t>
        </is>
      </c>
      <c r="I13" s="5" t="inlineStr">
        <is>
          <t>Generates short URL for digital invoice preview; saves paper and thermal printer consumables</t>
        </is>
      </c>
      <c r="J13" s="20" t="inlineStr">
        <is>
          <t>P1</t>
        </is>
      </c>
      <c r="K13" s="20" t="inlineStr">
        <is>
          <t>Validated (Supported)</t>
        </is>
      </c>
      <c r="L13" s="5" t="inlineStr">
        <is>
          <t>Supported via WhatsApp click-to-chat API URL scheme and thermal print fallback.</t>
        </is>
      </c>
      <c r="M13" s="8" t="inlineStr">
        <is>
          <t>Baseline</t>
        </is>
      </c>
      <c r="N13" s="8" t="inlineStr">
        <is>
          <t>Operational role</t>
        </is>
      </c>
      <c r="O13" s="8" t="inlineStr">
        <is>
          <t>P1</t>
        </is>
      </c>
      <c r="P13" s="5" t="inlineStr">
        <is>
          <t>Unchanged</t>
        </is>
      </c>
      <c r="Q13" s="21" t="inlineStr">
        <is>
          <t>Code symbol found</t>
        </is>
      </c>
      <c r="R13" s="5" t="inlineStr">
        <is>
          <t>Matched WhatsApp in product code. This is not a functional test.</t>
        </is>
      </c>
      <c r="S13" s="8" t="inlineStr">
        <is>
          <t>INT</t>
        </is>
      </c>
      <c r="T13" s="5" t="inlineStr">
        <is>
          <t>Communication and integrations</t>
        </is>
      </c>
      <c r="U13" s="8" t="inlineStr"/>
      <c r="V13" s="8" t="inlineStr">
        <is>
          <t>integrations</t>
        </is>
      </c>
      <c r="W13" s="8" t="inlineStr">
        <is>
          <t>KERNEL</t>
        </is>
      </c>
      <c r="X13" s="5" t="inlineStr">
        <is>
          <t>Core</t>
        </is>
      </c>
      <c r="Y13" s="5" t="inlineStr">
        <is>
          <t>Owner</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P1</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P-0013</t>
        </is>
      </c>
      <c r="B14" s="8" t="inlineStr">
        <is>
          <t>P</t>
        </is>
      </c>
      <c r="C14" s="5" t="inlineStr">
        <is>
          <t>Gully Vendor / Small Retailer</t>
        </is>
      </c>
      <c r="D14" s="5" t="inlineStr">
        <is>
          <t>Security / Exception / Recovery</t>
        </is>
      </c>
      <c r="E14" s="5" t="inlineStr">
        <is>
          <t>Cancel or correct a wrongly created bill</t>
        </is>
      </c>
      <c r="F14" s="5" t="inlineStr">
        <is>
          <t>Small Retailer / Owner</t>
        </is>
      </c>
      <c r="G14" s="5" t="inlineStr">
        <is>
          <t>Counter Billing Clerk</t>
        </is>
      </c>
      <c r="H14" s="5" t="inlineStr">
        <is>
          <t>Safe cancellation of erroneous receipt with complete audit trail</t>
        </is>
      </c>
      <c r="I14" s="5" t="inlineStr">
        <is>
          <t>Reverses stock movements (RETURN_INWARD), posts reversal accounting voucher, voids tax entry</t>
        </is>
      </c>
      <c r="J14" s="20" t="inlineStr">
        <is>
          <t>P1</t>
        </is>
      </c>
      <c r="K14" s="20" t="inlineStr">
        <is>
          <t>Validated (Supported)</t>
        </is>
      </c>
      <c r="L14" s="5" t="inlineStr">
        <is>
          <t>Supported via SalesInvoice cancel endpoint; requires cancellation reason and manager role.</t>
        </is>
      </c>
      <c r="M14" s="8" t="inlineStr">
        <is>
          <t>Baseline</t>
        </is>
      </c>
      <c r="N14" s="8" t="inlineStr">
        <is>
          <t>Operational role</t>
        </is>
      </c>
      <c r="O14" s="8" t="inlineStr">
        <is>
          <t>P1</t>
        </is>
      </c>
      <c r="P14" s="5" t="inlineStr">
        <is>
          <t>Unchanged</t>
        </is>
      </c>
      <c r="Q14" s="21" t="inlineStr">
        <is>
          <t>Code symbol found</t>
        </is>
      </c>
      <c r="R14" s="5" t="inlineStr">
        <is>
          <t>Matched SalesInvoice in product code. This is not a functional test.</t>
        </is>
      </c>
      <c r="S14" s="8" t="inlineStr">
        <is>
          <t>OTHER</t>
        </is>
      </c>
      <c r="T14" s="5" t="inlineStr">
        <is>
          <t>Security / Exception / Recovery</t>
        </is>
      </c>
      <c r="U14" s="8" t="inlineStr"/>
      <c r="V14" s="8" t="inlineStr"/>
      <c r="W14" s="8" t="inlineStr">
        <is>
          <t>CONTROL</t>
        </is>
      </c>
      <c r="X14" s="5" t="inlineStr">
        <is>
          <t>Core</t>
        </is>
      </c>
      <c r="Y14" s="5" t="inlineStr">
        <is>
          <t>Owner</t>
        </is>
      </c>
      <c r="Z14" s="5" t="inlineStr">
        <is>
          <t>High</t>
        </is>
      </c>
      <c r="AA14" s="5" t="inlineStr">
        <is>
          <t>Medium</t>
        </is>
      </c>
      <c r="AB14" s="8" t="inlineStr">
        <is>
          <t>Medium</t>
        </is>
      </c>
      <c r="AC14" s="8" t="inlineStr">
        <is>
          <t>Pilot</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12</v>
      </c>
      <c r="AM14" s="5" t="inlineStr"/>
      <c r="AN14" s="5" t="inlineStr"/>
      <c r="AO14" s="5" t="inlineStr"/>
      <c r="AP14" s="5" t="inlineStr"/>
      <c r="AQ14" s="5" t="inlineStr"/>
      <c r="AR14" s="5" t="inlineStr"/>
      <c r="AS14" s="5" t="inlineStr"/>
      <c r="AT14" s="5" t="inlineStr"/>
      <c r="AU14" s="8" t="inlineStr">
        <is>
          <t>Not run</t>
        </is>
      </c>
    </row>
    <row r="15" ht="32" customHeight="1">
      <c r="A15" s="16" t="inlineStr">
        <is>
          <t>P-0014</t>
        </is>
      </c>
      <c r="B15" s="8" t="inlineStr">
        <is>
          <t>P</t>
        </is>
      </c>
      <c r="C15" s="5" t="inlineStr">
        <is>
          <t>Gully Vendor / Small Retailer</t>
        </is>
      </c>
      <c r="D15" s="5" t="inlineStr">
        <is>
          <t>Returns / Complaints / After-Sales</t>
        </is>
      </c>
      <c r="E15" s="5" t="inlineStr">
        <is>
          <t>Process a sales return</t>
        </is>
      </c>
      <c r="F15" s="5" t="inlineStr">
        <is>
          <t>Counter Billing Clerk</t>
        </is>
      </c>
      <c r="G15" s="5" t="inlineStr">
        <is>
          <t>Walk-in Customer</t>
        </is>
      </c>
      <c r="H15" s="5" t="inlineStr">
        <is>
          <t>Customer returns defective or unwanted items; stock returned to shelf and refund/credit issued</t>
        </is>
      </c>
      <c r="I15" s="5" t="inlineStr">
        <is>
          <t>Creates SalesReturn document, increments saleable stock, issues credit note or cash refund</t>
        </is>
      </c>
      <c r="J15" s="20" t="inlineStr">
        <is>
          <t>P1</t>
        </is>
      </c>
      <c r="K15" s="20" t="inlineStr">
        <is>
          <t>Validated (Supported)</t>
        </is>
      </c>
      <c r="L15" s="5" t="inlineStr">
        <is>
          <t>Supported via /sales/returns/ with line-item return reasons and auto credit note generation.</t>
        </is>
      </c>
      <c r="M15" s="8" t="inlineStr">
        <is>
          <t>Baseline</t>
        </is>
      </c>
      <c r="N15" s="8" t="inlineStr">
        <is>
          <t>Operational role</t>
        </is>
      </c>
      <c r="O15" s="8" t="inlineStr">
        <is>
          <t>P1</t>
        </is>
      </c>
      <c r="P15" s="5" t="inlineStr">
        <is>
          <t>Unchanged</t>
        </is>
      </c>
      <c r="Q15" s="20" t="inlineStr">
        <is>
          <t>Author assertion</t>
        </is>
      </c>
      <c r="R15" s="5" t="inlineStr"/>
      <c r="S15" s="8" t="inlineStr">
        <is>
          <t>RET</t>
        </is>
      </c>
      <c r="T15" s="5" t="inlineStr">
        <is>
          <t>Returns, complaints, and after-sales</t>
        </is>
      </c>
      <c r="U15" s="8" t="inlineStr"/>
      <c r="V15" s="8" t="inlineStr">
        <is>
          <t>sales</t>
        </is>
      </c>
      <c r="W15" s="8" t="inlineStr">
        <is>
          <t>RUN</t>
        </is>
      </c>
      <c r="X15" s="5" t="inlineStr">
        <is>
          <t>Core</t>
        </is>
      </c>
      <c r="Y15" s="5" t="inlineStr">
        <is>
          <t>Owner</t>
        </is>
      </c>
      <c r="Z15" s="5" t="inlineStr">
        <is>
          <t>Medium</t>
        </is>
      </c>
      <c r="AA15" s="5" t="inlineStr">
        <is>
          <t>Medium</t>
        </is>
      </c>
      <c r="AB15" s="8" t="inlineStr">
        <is>
          <t>Low</t>
        </is>
      </c>
      <c r="AC15" s="8" t="inlineStr">
        <is>
          <t>Pilot</t>
        </is>
      </c>
      <c r="AD15" s="5" t="inlineStr">
        <is>
          <t>Not independently checked</t>
        </is>
      </c>
      <c r="AE15" s="5" t="inlineStr">
        <is>
          <t>Not verified</t>
        </is>
      </c>
      <c r="AF15" s="5" t="inlineStr">
        <is>
          <t>Not verified</t>
        </is>
      </c>
      <c r="AG15" s="5" t="inlineStr">
        <is>
          <t>Not verified</t>
        </is>
      </c>
      <c r="AH15" s="5" t="inlineStr">
        <is>
          <t>Not verified</t>
        </is>
      </c>
      <c r="AI15" s="8" t="inlineStr">
        <is>
          <t>No</t>
        </is>
      </c>
      <c r="AJ15" s="8" t="inlineStr">
        <is>
          <t>Claimed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P-0015</t>
        </is>
      </c>
      <c r="B16" s="8" t="inlineStr">
        <is>
          <t>P</t>
        </is>
      </c>
      <c r="C16" s="5" t="inlineStr">
        <is>
          <t>Gully Vendor / Small Retailer</t>
        </is>
      </c>
      <c r="D16" s="5" t="inlineStr">
        <is>
          <t>Reporting &amp; Business Intelligence</t>
        </is>
      </c>
      <c r="E16" s="5" t="inlineStr">
        <is>
          <t>Check today's profit/margin</t>
        </is>
      </c>
      <c r="F16" s="5" t="inlineStr">
        <is>
          <t>Small Retailer / Owner</t>
        </is>
      </c>
      <c r="G16" s="5" t="inlineStr">
        <is>
          <t>None</t>
        </is>
      </c>
      <c r="H16" s="5" t="inlineStr">
        <is>
          <t>Immediate feedback on gross profit earned from today's completed transactions</t>
        </is>
      </c>
      <c r="I16" s="5" t="inlineStr">
        <is>
          <t>Calculates realized gross margin: SUM(Line Selling Price - Line FIFO Cost) across completed sales</t>
        </is>
      </c>
      <c r="J16" s="22" t="inlineStr">
        <is>
          <t>P2</t>
        </is>
      </c>
      <c r="K16" s="20" t="inlineStr">
        <is>
          <t>Validated (Supported)</t>
        </is>
      </c>
      <c r="L16" s="5" t="inlineStr">
        <is>
          <t>Supported via Owner Executive Dashboard; masked from billing clerks via role permission.</t>
        </is>
      </c>
      <c r="M16" s="8" t="inlineStr">
        <is>
          <t>Baseline</t>
        </is>
      </c>
      <c r="N16" s="8" t="inlineStr">
        <is>
          <t>Operational role</t>
        </is>
      </c>
      <c r="O16" s="8" t="inlineStr">
        <is>
          <t>P2</t>
        </is>
      </c>
      <c r="P16" s="5" t="inlineStr">
        <is>
          <t>Unchanged</t>
        </is>
      </c>
      <c r="Q16" s="20" t="inlineStr">
        <is>
          <t>Author assertion</t>
        </is>
      </c>
      <c r="R16" s="5" t="inlineStr"/>
      <c r="S16" s="8" t="inlineStr">
        <is>
          <t>RPT</t>
        </is>
      </c>
      <c r="T16" s="5" t="inlineStr">
        <is>
          <t>Reporting and business intelligence</t>
        </is>
      </c>
      <c r="U16" s="8" t="inlineStr"/>
      <c r="V16" s="8" t="inlineStr">
        <is>
          <t>reporting</t>
        </is>
      </c>
      <c r="W16" s="8" t="inlineStr">
        <is>
          <t>CONTROL</t>
        </is>
      </c>
      <c r="X16" s="5" t="inlineStr">
        <is>
          <t>Core</t>
        </is>
      </c>
      <c r="Y16" s="5" t="inlineStr">
        <is>
          <t>Owner</t>
        </is>
      </c>
      <c r="Z16" s="5" t="inlineStr">
        <is>
          <t>Medium</t>
        </is>
      </c>
      <c r="AA16" s="5" t="inlineStr">
        <is>
          <t>Medium</t>
        </is>
      </c>
      <c r="AB16" s="8" t="inlineStr">
        <is>
          <t>Low</t>
        </is>
      </c>
      <c r="AC16" s="8" t="inlineStr">
        <is>
          <t>Later</t>
        </is>
      </c>
      <c r="AD16" s="5" t="inlineStr">
        <is>
          <t>Not independently checked</t>
        </is>
      </c>
      <c r="AE16" s="5" t="inlineStr">
        <is>
          <t>Not verified</t>
        </is>
      </c>
      <c r="AF16" s="5" t="inlineStr">
        <is>
          <t>Not verified</t>
        </is>
      </c>
      <c r="AG16" s="5" t="inlineStr">
        <is>
          <t>Not verified</t>
        </is>
      </c>
      <c r="AH16" s="5" t="inlineStr">
        <is>
          <t>Not verified</t>
        </is>
      </c>
      <c r="AI16" s="8" t="inlineStr">
        <is>
          <t>No</t>
        </is>
      </c>
      <c r="AJ16" s="8" t="inlineStr">
        <is>
          <t>Claimed - unverified</t>
        </is>
      </c>
      <c r="AK16" s="8" t="inlineStr">
        <is>
          <t>P2</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P-0016</t>
        </is>
      </c>
      <c r="B17" s="8" t="inlineStr">
        <is>
          <t>P</t>
        </is>
      </c>
      <c r="C17" s="5" t="inlineStr">
        <is>
          <t>Gully Vendor / Small Retailer</t>
        </is>
      </c>
      <c r="D17" s="5" t="inlineStr">
        <is>
          <t>GST / Tax / Compliance</t>
        </is>
      </c>
      <c r="E17" s="5" t="inlineStr">
        <is>
          <t>See GST collected</t>
        </is>
      </c>
      <c r="F17" s="5" t="inlineStr">
        <is>
          <t>Small Retailer / Owner</t>
        </is>
      </c>
      <c r="G17" s="5" t="inlineStr">
        <is>
          <t>Accountant / External CA</t>
        </is>
      </c>
      <c r="H17" s="5" t="inlineStr">
        <is>
          <t>Clear visibility into cumulative CGST, SGST, and Cess tax collected for statutory compliance</t>
        </is>
      </c>
      <c r="I17" s="5" t="inlineStr">
        <is>
          <t>Aggregates output tax ledger balances for the period; provides baseline for monthly return filing</t>
        </is>
      </c>
      <c r="J17" s="22" t="inlineStr">
        <is>
          <t>P2</t>
        </is>
      </c>
      <c r="K17" s="20" t="inlineStr">
        <is>
          <t>Validated (Supported)</t>
        </is>
      </c>
      <c r="L17" s="5" t="inlineStr">
        <is>
          <t>Supported via Tax Summary card and GSTR-1 outward tax liability worksheet.</t>
        </is>
      </c>
      <c r="M17" s="8" t="inlineStr">
        <is>
          <t>Baseline</t>
        </is>
      </c>
      <c r="N17" s="8" t="inlineStr">
        <is>
          <t>Operational role</t>
        </is>
      </c>
      <c r="O17" s="8" t="inlineStr">
        <is>
          <t>P2</t>
        </is>
      </c>
      <c r="P17" s="5" t="inlineStr">
        <is>
          <t>Unchanged</t>
        </is>
      </c>
      <c r="Q17" s="20" t="inlineStr">
        <is>
          <t>Author assertion</t>
        </is>
      </c>
      <c r="R17" s="5" t="inlineStr"/>
      <c r="S17" s="8" t="inlineStr">
        <is>
          <t>GST</t>
        </is>
      </c>
      <c r="T17" s="5" t="inlineStr">
        <is>
          <t>GST and tax compliance</t>
        </is>
      </c>
      <c r="U17" s="8" t="inlineStr"/>
      <c r="V17" s="8" t="inlineStr">
        <is>
          <t>accounting</t>
        </is>
      </c>
      <c r="W17" s="8" t="inlineStr">
        <is>
          <t>CONTROL</t>
        </is>
      </c>
      <c r="X17" s="5" t="inlineStr">
        <is>
          <t>Core</t>
        </is>
      </c>
      <c r="Y17" s="5" t="inlineStr">
        <is>
          <t>Owner</t>
        </is>
      </c>
      <c r="Z17" s="5" t="inlineStr">
        <is>
          <t>Critical</t>
        </is>
      </c>
      <c r="AA17" s="5" t="inlineStr">
        <is>
          <t>High</t>
        </is>
      </c>
      <c r="AB17" s="8" t="inlineStr">
        <is>
          <t>High</t>
        </is>
      </c>
      <c r="AC17" s="8" t="inlineStr">
        <is>
          <t>Later</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P2</t>
        </is>
      </c>
      <c r="AL17" s="8" t="n">
        <v>27</v>
      </c>
      <c r="AM17" s="5" t="inlineStr"/>
      <c r="AN17" s="5" t="inlineStr"/>
      <c r="AO17" s="5" t="inlineStr"/>
      <c r="AP17" s="5" t="inlineStr"/>
      <c r="AQ17" s="5" t="inlineStr"/>
      <c r="AR17" s="5" t="inlineStr"/>
      <c r="AS17" s="5" t="inlineStr"/>
      <c r="AT17" s="5" t="inlineStr"/>
      <c r="AU17" s="8" t="inlineStr">
        <is>
          <t>Not run</t>
        </is>
      </c>
    </row>
    <row r="18" ht="32" customHeight="1">
      <c r="A18" s="16" t="inlineStr">
        <is>
          <t>P-0017</t>
        </is>
      </c>
      <c r="B18" s="8" t="inlineStr">
        <is>
          <t>P</t>
        </is>
      </c>
      <c r="C18" s="5" t="inlineStr">
        <is>
          <t>Gully Vendor / Small Retailer</t>
        </is>
      </c>
      <c r="D18" s="5" t="inlineStr">
        <is>
          <t>Import / Export / Period Close</t>
        </is>
      </c>
      <c r="E18" s="5" t="inlineStr">
        <is>
          <t>Close the day's business</t>
        </is>
      </c>
      <c r="F18" s="5" t="inlineStr">
        <is>
          <t>Small Retailer / Owner</t>
        </is>
      </c>
      <c r="G18" s="5" t="inlineStr">
        <is>
          <t>Counter Billing Clerk</t>
        </is>
      </c>
      <c r="H18" s="5" t="inlineStr">
        <is>
          <t>Formal closing of daily register, reconciling cash in drawer, UPI, and total bill count</t>
        </is>
      </c>
      <c r="I18" s="5" t="inlineStr">
        <is>
          <t>Locks daily cash till shift, records overage/shortage variance, archives daily snapshot</t>
        </is>
      </c>
      <c r="J18" s="20" t="inlineStr">
        <is>
          <t>P1</t>
        </is>
      </c>
      <c r="K18" s="20" t="inlineStr">
        <is>
          <t>Validated (Supported)</t>
        </is>
      </c>
      <c r="L18" s="5" t="inlineStr">
        <is>
          <t>Supported via /pos/shift-close workflow; produces immutable daily cash closing statement.</t>
        </is>
      </c>
      <c r="M18" s="8" t="inlineStr">
        <is>
          <t>Baseline</t>
        </is>
      </c>
      <c r="N18" s="8" t="inlineStr">
        <is>
          <t>Operational role</t>
        </is>
      </c>
      <c r="O18" s="8" t="inlineStr">
        <is>
          <t>P1</t>
        </is>
      </c>
      <c r="P18" s="5" t="inlineStr">
        <is>
          <t>Unchanged</t>
        </is>
      </c>
      <c r="Q18" s="20" t="inlineStr">
        <is>
          <t>Author assertion</t>
        </is>
      </c>
      <c r="R18" s="5" t="inlineStr"/>
      <c r="S18" s="8" t="inlineStr">
        <is>
          <t>CLOSE</t>
        </is>
      </c>
      <c r="T18" s="5" t="inlineStr">
        <is>
          <t>Import, export, and period close</t>
        </is>
      </c>
      <c r="U18" s="8" t="inlineStr"/>
      <c r="V18" s="8" t="inlineStr">
        <is>
          <t>accounting</t>
        </is>
      </c>
      <c r="W18" s="8" t="inlineStr">
        <is>
          <t>CONTROL</t>
        </is>
      </c>
      <c r="X18" s="5" t="inlineStr">
        <is>
          <t>Core</t>
        </is>
      </c>
      <c r="Y18" s="5" t="inlineStr">
        <is>
          <t>Owner</t>
        </is>
      </c>
      <c r="Z18" s="5" t="inlineStr">
        <is>
          <t>Medium</t>
        </is>
      </c>
      <c r="AA18" s="5" t="inlineStr">
        <is>
          <t>Medium</t>
        </is>
      </c>
      <c r="AB18" s="8" t="inlineStr">
        <is>
          <t>Low</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P-0018</t>
        </is>
      </c>
      <c r="B19" s="8" t="inlineStr">
        <is>
          <t>P</t>
        </is>
      </c>
      <c r="C19" s="5" t="inlineStr">
        <is>
          <t>Kirana Shop Owner</t>
        </is>
      </c>
      <c r="D19" s="5" t="inlineStr">
        <is>
          <t>Customer-to-Cash</t>
        </is>
      </c>
      <c r="E19" s="5" t="inlineStr">
        <is>
          <t>Create a customer invoice</t>
        </is>
      </c>
      <c r="F19" s="5" t="inlineStr">
        <is>
          <t>Kirana Shop Owner</t>
        </is>
      </c>
      <c r="G19" s="5" t="inlineStr">
        <is>
          <t>Walk-in / Neighborhood Customer</t>
        </is>
      </c>
      <c r="H19" s="5" t="inlineStr">
        <is>
          <t>Compliant retail invoice issued with itemized rates, discounts, and payment terms</t>
        </is>
      </c>
      <c r="I19" s="5" t="inlineStr">
        <is>
          <t>Stock decremented, customer ledger updated (if credit), sales revenue posted to GL</t>
        </is>
      </c>
      <c r="J19" s="19" t="inlineStr">
        <is>
          <t>P0</t>
        </is>
      </c>
      <c r="K19" s="20" t="inlineStr">
        <is>
          <t>Validated (Supported)</t>
        </is>
      </c>
      <c r="L19" s="5" t="inlineStr">
        <is>
          <t>Supported via /sales/invoices/create and /pos rapid checkout.</t>
        </is>
      </c>
      <c r="M19" s="8" t="inlineStr">
        <is>
          <t>Baseline</t>
        </is>
      </c>
      <c r="N19" s="8" t="inlineStr">
        <is>
          <t>Operational role</t>
        </is>
      </c>
      <c r="O19" s="8" t="inlineStr">
        <is>
          <t>P0</t>
        </is>
      </c>
      <c r="P19" s="5" t="inlineStr">
        <is>
          <t>Unchanged</t>
        </is>
      </c>
      <c r="Q19" s="20" t="inlineStr">
        <is>
          <t>Author assertion</t>
        </is>
      </c>
      <c r="R19" s="5" t="inlineStr"/>
      <c r="S19" s="8" t="inlineStr">
        <is>
          <t>C2C</t>
        </is>
      </c>
      <c r="T19" s="5" t="inlineStr">
        <is>
          <t>Customer to cash</t>
        </is>
      </c>
      <c r="U19" s="8" t="inlineStr"/>
      <c r="V19" s="8" t="inlineStr">
        <is>
          <t>sales</t>
        </is>
      </c>
      <c r="W19" s="8" t="inlineStr">
        <is>
          <t>RUN</t>
        </is>
      </c>
      <c r="X19" s="5" t="inlineStr">
        <is>
          <t>Core</t>
        </is>
      </c>
      <c r="Y19" s="5" t="inlineStr">
        <is>
          <t>Owner</t>
        </is>
      </c>
      <c r="Z19" s="5" t="inlineStr">
        <is>
          <t>Medium</t>
        </is>
      </c>
      <c r="AA19" s="5" t="inlineStr">
        <is>
          <t>Medium</t>
        </is>
      </c>
      <c r="AB19" s="8" t="inlineStr">
        <is>
          <t>Low</t>
        </is>
      </c>
      <c r="AC19" s="8" t="inlineStr">
        <is>
          <t>MVP</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P0</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P-0019</t>
        </is>
      </c>
      <c r="B20" s="8" t="inlineStr">
        <is>
          <t>P</t>
        </is>
      </c>
      <c r="C20" s="5" t="inlineStr">
        <is>
          <t>Kirana Shop Owner</t>
        </is>
      </c>
      <c r="D20" s="5" t="inlineStr">
        <is>
          <t>Procure-to-Pay</t>
        </is>
      </c>
      <c r="E20" s="5" t="inlineStr">
        <is>
          <t>Create a supplier purchase entry</t>
        </is>
      </c>
      <c r="F20" s="5" t="inlineStr">
        <is>
          <t>Kirana Shop Owner</t>
        </is>
      </c>
      <c r="G20" s="5" t="inlineStr">
        <is>
          <t>FMCG / Grain Distributor</t>
        </is>
      </c>
      <c r="H20" s="5" t="inlineStr">
        <is>
          <t>Record inward purchase bill received from wholesaler or distributor</t>
        </is>
      </c>
      <c r="I20" s="5" t="inlineStr">
        <is>
          <t>Increments stock balance via StockMovement (INWARD_PURCHASE), credits Accounts Payable (AP)</t>
        </is>
      </c>
      <c r="J20" s="20" t="inlineStr">
        <is>
          <t>P1</t>
        </is>
      </c>
      <c r="K20" s="20" t="inlineStr">
        <is>
          <t>Validated (Supported)</t>
        </is>
      </c>
      <c r="L20" s="5" t="inlineStr">
        <is>
          <t>Supported via /purchases/invoices/create; atomic stock and AP creation.</t>
        </is>
      </c>
      <c r="M20" s="8" t="inlineStr">
        <is>
          <t>Baseline</t>
        </is>
      </c>
      <c r="N20" s="8" t="inlineStr">
        <is>
          <t>Operational role</t>
        </is>
      </c>
      <c r="O20" s="8" t="inlineStr">
        <is>
          <t>P1</t>
        </is>
      </c>
      <c r="P20" s="5" t="inlineStr">
        <is>
          <t>Restored to authored P1. The previous workbook had P0 after a keyword rebalance.</t>
        </is>
      </c>
      <c r="Q20" s="20" t="inlineStr">
        <is>
          <t>Author assertion</t>
        </is>
      </c>
      <c r="R20" s="5" t="inlineStr">
        <is>
          <t>Restored to authored P1. The previous workbook had P0 after a keyword rebalance.</t>
        </is>
      </c>
      <c r="S20" s="8" t="inlineStr">
        <is>
          <t>P2P</t>
        </is>
      </c>
      <c r="T20" s="5" t="inlineStr">
        <is>
          <t>Procure to pay</t>
        </is>
      </c>
      <c r="U20" s="8" t="inlineStr"/>
      <c r="V20" s="8" t="inlineStr">
        <is>
          <t>purchases</t>
        </is>
      </c>
      <c r="W20" s="8" t="inlineStr">
        <is>
          <t>RUN</t>
        </is>
      </c>
      <c r="X20" s="5" t="inlineStr">
        <is>
          <t>Core</t>
        </is>
      </c>
      <c r="Y20" s="5" t="inlineStr">
        <is>
          <t>Owner</t>
        </is>
      </c>
      <c r="Z20" s="5" t="inlineStr">
        <is>
          <t>Medium</t>
        </is>
      </c>
      <c r="AA20" s="5" t="inlineStr">
        <is>
          <t>Medium</t>
        </is>
      </c>
      <c r="AB20" s="8" t="inlineStr">
        <is>
          <t>Low</t>
        </is>
      </c>
      <c r="AC20" s="8" t="inlineStr">
        <is>
          <t>Pilot</t>
        </is>
      </c>
      <c r="AD20" s="5" t="inlineStr">
        <is>
          <t>Not independently checked</t>
        </is>
      </c>
      <c r="AE20" s="5" t="inlineStr">
        <is>
          <t>Not verified</t>
        </is>
      </c>
      <c r="AF20" s="5" t="inlineStr">
        <is>
          <t>Not verified</t>
        </is>
      </c>
      <c r="AG20" s="5" t="inlineStr">
        <is>
          <t>Not verified</t>
        </is>
      </c>
      <c r="AH20" s="5" t="inlineStr">
        <is>
          <t>Not verified</t>
        </is>
      </c>
      <c r="AI20" s="8" t="inlineStr">
        <is>
          <t>No</t>
        </is>
      </c>
      <c r="AJ20" s="8" t="inlineStr">
        <is>
          <t>Claimed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P-0020</t>
        </is>
      </c>
      <c r="B21" s="8" t="inlineStr">
        <is>
          <t>P</t>
        </is>
      </c>
      <c r="C21" s="5" t="inlineStr">
        <is>
          <t>Kirana Shop Owner</t>
        </is>
      </c>
      <c r="D21" s="5" t="inlineStr">
        <is>
          <t>Procure-to-Pay</t>
        </is>
      </c>
      <c r="E21" s="5" t="inlineStr">
        <is>
          <t>Receive purchased goods</t>
        </is>
      </c>
      <c r="F21" s="5" t="inlineStr">
        <is>
          <t>Kirana Shop Owner</t>
        </is>
      </c>
      <c r="G21" s="5" t="inlineStr">
        <is>
          <t>Distributor Delivery Staff</t>
        </is>
      </c>
      <c r="H21" s="5" t="inlineStr">
        <is>
          <t>Physical verification and intake of received goods against supplier invoice</t>
        </is>
      </c>
      <c r="I21" s="5" t="inlineStr">
        <is>
          <t>Updates physical inventory counts, records batch numbers and manufacturing/expiry dates</t>
        </is>
      </c>
      <c r="J21" s="20" t="inlineStr">
        <is>
          <t>P1</t>
        </is>
      </c>
      <c r="K21" s="20" t="inlineStr">
        <is>
          <t>Validated (Supported)</t>
        </is>
      </c>
      <c r="L21" s="5" t="inlineStr">
        <is>
          <t>Supported in Purchase Invoice complete flow; auto-generates inward stock ledger entries.</t>
        </is>
      </c>
      <c r="M21" s="8" t="inlineStr">
        <is>
          <t>Baseline</t>
        </is>
      </c>
      <c r="N21" s="8" t="inlineStr">
        <is>
          <t>Operational role</t>
        </is>
      </c>
      <c r="O21" s="8" t="inlineStr">
        <is>
          <t>P1</t>
        </is>
      </c>
      <c r="P21" s="5" t="inlineStr">
        <is>
          <t>Unchanged</t>
        </is>
      </c>
      <c r="Q21" s="20" t="inlineStr">
        <is>
          <t>Author assertion</t>
        </is>
      </c>
      <c r="R21" s="5" t="inlineStr"/>
      <c r="S21" s="8" t="inlineStr">
        <is>
          <t>P2P</t>
        </is>
      </c>
      <c r="T21" s="5" t="inlineStr">
        <is>
          <t>Procure to pay</t>
        </is>
      </c>
      <c r="U21" s="8" t="inlineStr"/>
      <c r="V21" s="8" t="inlineStr">
        <is>
          <t>purchases</t>
        </is>
      </c>
      <c r="W21" s="8" t="inlineStr">
        <is>
          <t>RUN</t>
        </is>
      </c>
      <c r="X21" s="5" t="inlineStr">
        <is>
          <t>Core</t>
        </is>
      </c>
      <c r="Y21" s="5" t="inlineStr">
        <is>
          <t>Owner</t>
        </is>
      </c>
      <c r="Z21" s="5" t="inlineStr">
        <is>
          <t>Medium</t>
        </is>
      </c>
      <c r="AA21" s="5" t="inlineStr">
        <is>
          <t>Medium</t>
        </is>
      </c>
      <c r="AB21" s="8" t="inlineStr">
        <is>
          <t>Low</t>
        </is>
      </c>
      <c r="AC21" s="8" t="inlineStr">
        <is>
          <t>Pilot</t>
        </is>
      </c>
      <c r="AD21" s="5" t="inlineStr">
        <is>
          <t>Not independently checked</t>
        </is>
      </c>
      <c r="AE21" s="5" t="inlineStr">
        <is>
          <t>Not verified</t>
        </is>
      </c>
      <c r="AF21" s="5" t="inlineStr">
        <is>
          <t>Not verified</t>
        </is>
      </c>
      <c r="AG21" s="5" t="inlineStr">
        <is>
          <t>Not verified</t>
        </is>
      </c>
      <c r="AH21" s="5" t="inlineStr">
        <is>
          <t>Not verified</t>
        </is>
      </c>
      <c r="AI21" s="8" t="inlineStr">
        <is>
          <t>No</t>
        </is>
      </c>
      <c r="AJ21" s="8" t="inlineStr">
        <is>
          <t>Claimed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P-0021</t>
        </is>
      </c>
      <c r="B22" s="8" t="inlineStr">
        <is>
          <t>P</t>
        </is>
      </c>
      <c r="C22" s="5" t="inlineStr">
        <is>
          <t>Kirana Shop Owner</t>
        </is>
      </c>
      <c r="D22" s="5" t="inlineStr">
        <is>
          <t>Master Data &amp; Authorization</t>
        </is>
      </c>
      <c r="E22" s="5" t="inlineStr">
        <is>
          <t>Update purchase and selling prices</t>
        </is>
      </c>
      <c r="F22" s="5" t="inlineStr">
        <is>
          <t>Kirana Shop Owner</t>
        </is>
      </c>
      <c r="G22" s="5" t="inlineStr">
        <is>
          <t>None</t>
        </is>
      </c>
      <c r="H22" s="5" t="inlineStr">
        <is>
          <t>Maintain accurate profit margins when wholesale purchase prices fluctuate</t>
        </is>
      </c>
      <c r="I22" s="5" t="inlineStr">
        <is>
          <t>Updates Product master purchase_price and default selling_price; updates price list slabs</t>
        </is>
      </c>
      <c r="J22" s="20" t="inlineStr">
        <is>
          <t>P1</t>
        </is>
      </c>
      <c r="K22" s="20" t="inlineStr">
        <is>
          <t>Validated (Supported)</t>
        </is>
      </c>
      <c r="L22" s="5" t="inlineStr">
        <is>
          <t>Supported via Product Edit screen and inline quick-edit on purchase bill intake.</t>
        </is>
      </c>
      <c r="M22" s="8" t="inlineStr">
        <is>
          <t>Baseline</t>
        </is>
      </c>
      <c r="N22" s="8" t="inlineStr">
        <is>
          <t>Operational role</t>
        </is>
      </c>
      <c r="O22" s="8" t="inlineStr">
        <is>
          <t>P1</t>
        </is>
      </c>
      <c r="P22" s="5" t="inlineStr">
        <is>
          <t>Unchanged</t>
        </is>
      </c>
      <c r="Q22" s="20" t="inlineStr">
        <is>
          <t>Author assertion</t>
        </is>
      </c>
      <c r="R22" s="5" t="inlineStr"/>
      <c r="S22" s="8" t="inlineStr">
        <is>
          <t>MASTER</t>
        </is>
      </c>
      <c r="T22" s="5" t="inlineStr">
        <is>
          <t>Master data and authorization</t>
        </is>
      </c>
      <c r="U22" s="8" t="inlineStr"/>
      <c r="V22" s="8" t="inlineStr">
        <is>
          <t>masters</t>
        </is>
      </c>
      <c r="W22" s="8" t="inlineStr">
        <is>
          <t>KERNEL</t>
        </is>
      </c>
      <c r="X22" s="5" t="inlineStr">
        <is>
          <t>Core</t>
        </is>
      </c>
      <c r="Y22" s="5" t="inlineStr">
        <is>
          <t>Owner</t>
        </is>
      </c>
      <c r="Z22" s="5" t="inlineStr">
        <is>
          <t>Medium</t>
        </is>
      </c>
      <c r="AA22" s="5" t="inlineStr">
        <is>
          <t>Medium</t>
        </is>
      </c>
      <c r="AB22" s="8" t="inlineStr">
        <is>
          <t>Low</t>
        </is>
      </c>
      <c r="AC22" s="8" t="inlineStr">
        <is>
          <t>Later</t>
        </is>
      </c>
      <c r="AD22" s="5" t="inlineStr">
        <is>
          <t>Not independently checked</t>
        </is>
      </c>
      <c r="AE22" s="5" t="inlineStr">
        <is>
          <t>Not verified</t>
        </is>
      </c>
      <c r="AF22" s="5" t="inlineStr">
        <is>
          <t>Not verified</t>
        </is>
      </c>
      <c r="AG22" s="5" t="inlineStr">
        <is>
          <t>Not verified</t>
        </is>
      </c>
      <c r="AH22" s="5" t="inlineStr">
        <is>
          <t>Not verified</t>
        </is>
      </c>
      <c r="AI22" s="8" t="inlineStr">
        <is>
          <t>No</t>
        </is>
      </c>
      <c r="AJ22" s="8" t="inlineStr">
        <is>
          <t>Claimed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P-0022</t>
        </is>
      </c>
      <c r="B23" s="8" t="inlineStr">
        <is>
          <t>P</t>
        </is>
      </c>
      <c r="C23" s="5" t="inlineStr">
        <is>
          <t>Kirana Shop Owner</t>
        </is>
      </c>
      <c r="D23" s="5" t="inlineStr">
        <is>
          <t>Inventory Lifecycle</t>
        </is>
      </c>
      <c r="E23" s="5" t="inlineStr">
        <is>
          <t>Track stock quantity</t>
        </is>
      </c>
      <c r="F23" s="5" t="inlineStr">
        <is>
          <t>Kirana Shop Owner</t>
        </is>
      </c>
      <c r="G23" s="5" t="inlineStr">
        <is>
          <t>Counter Clerk</t>
        </is>
      </c>
      <c r="H23" s="5" t="inlineStr">
        <is>
          <t>Real-time accurate stock counts to prevent over-selling and identify inventory leakage</t>
        </is>
      </c>
      <c r="I23" s="5" t="inlineStr">
        <is>
          <t>Maintains append-only StockMovement ledger; dynamically derives StockBalance per warehouse</t>
        </is>
      </c>
      <c r="J23" s="19" t="inlineStr">
        <is>
          <t>P0</t>
        </is>
      </c>
      <c r="K23" s="20" t="inlineStr">
        <is>
          <t>Validated (Supported)</t>
        </is>
      </c>
      <c r="L23" s="5" t="inlineStr">
        <is>
          <t>Core system invariant: negative stock strictly blocked unless explicitly permitted by tenant policy.</t>
        </is>
      </c>
      <c r="M23" s="8" t="inlineStr">
        <is>
          <t>Baseline</t>
        </is>
      </c>
      <c r="N23" s="8" t="inlineStr">
        <is>
          <t>Operational role</t>
        </is>
      </c>
      <c r="O23" s="8" t="inlineStr">
        <is>
          <t>P0</t>
        </is>
      </c>
      <c r="P23" s="5" t="inlineStr">
        <is>
          <t>Unchanged</t>
        </is>
      </c>
      <c r="Q23" s="20" t="inlineStr">
        <is>
          <t>Author assertion</t>
        </is>
      </c>
      <c r="R23" s="5" t="inlineStr"/>
      <c r="S23" s="8" t="inlineStr">
        <is>
          <t>INV</t>
        </is>
      </c>
      <c r="T23" s="5" t="inlineStr">
        <is>
          <t>Inventory lifecycle</t>
        </is>
      </c>
      <c r="U23" s="8" t="inlineStr"/>
      <c r="V23" s="8" t="inlineStr">
        <is>
          <t>inventory</t>
        </is>
      </c>
      <c r="W23" s="8" t="inlineStr">
        <is>
          <t>RUN</t>
        </is>
      </c>
      <c r="X23" s="5" t="inlineStr">
        <is>
          <t>Core</t>
        </is>
      </c>
      <c r="Y23" s="5" t="inlineStr">
        <is>
          <t>Owner</t>
        </is>
      </c>
      <c r="Z23" s="5" t="inlineStr">
        <is>
          <t>High</t>
        </is>
      </c>
      <c r="AA23" s="5" t="inlineStr">
        <is>
          <t>High</t>
        </is>
      </c>
      <c r="AB23" s="8" t="inlineStr">
        <is>
          <t>Low</t>
        </is>
      </c>
      <c r="AC23" s="8" t="inlineStr">
        <is>
          <t>MVP</t>
        </is>
      </c>
      <c r="AD23" s="5" t="inlineStr">
        <is>
          <t>Not independently checked</t>
        </is>
      </c>
      <c r="AE23" s="5" t="inlineStr">
        <is>
          <t>Not verified</t>
        </is>
      </c>
      <c r="AF23" s="5" t="inlineStr">
        <is>
          <t>Not verified</t>
        </is>
      </c>
      <c r="AG23" s="5" t="inlineStr">
        <is>
          <t>Not verified</t>
        </is>
      </c>
      <c r="AH23" s="5" t="inlineStr">
        <is>
          <t>Not verified</t>
        </is>
      </c>
      <c r="AI23" s="8" t="inlineStr">
        <is>
          <t>No</t>
        </is>
      </c>
      <c r="AJ23" s="8" t="inlineStr">
        <is>
          <t>Claimed - unverified</t>
        </is>
      </c>
      <c r="AK23" s="8" t="inlineStr">
        <is>
          <t>P0</t>
        </is>
      </c>
      <c r="AL23" s="8" t="n">
        <v>9</v>
      </c>
      <c r="AM23" s="5" t="inlineStr"/>
      <c r="AN23" s="5" t="inlineStr"/>
      <c r="AO23" s="5" t="inlineStr"/>
      <c r="AP23" s="5" t="inlineStr"/>
      <c r="AQ23" s="5" t="inlineStr"/>
      <c r="AR23" s="5" t="inlineStr"/>
      <c r="AS23" s="5" t="inlineStr"/>
      <c r="AT23" s="5" t="inlineStr"/>
      <c r="AU23" s="8" t="inlineStr">
        <is>
          <t>Not run</t>
        </is>
      </c>
    </row>
    <row r="24" ht="32" customHeight="1">
      <c r="A24" s="16" t="inlineStr">
        <is>
          <t>P-0023</t>
        </is>
      </c>
      <c r="B24" s="8" t="inlineStr">
        <is>
          <t>P</t>
        </is>
      </c>
      <c r="C24" s="5" t="inlineStr">
        <is>
          <t>Kirana Shop Owner</t>
        </is>
      </c>
      <c r="D24" s="5" t="inlineStr">
        <is>
          <t>Inventory Lifecycle</t>
        </is>
      </c>
      <c r="E24" s="5" t="inlineStr">
        <is>
          <t>Identify low-stock items</t>
        </is>
      </c>
      <c r="F24" s="5" t="inlineStr">
        <is>
          <t>Kirana Shop Owner</t>
        </is>
      </c>
      <c r="G24" s="5" t="inlineStr">
        <is>
          <t>Supplier</t>
        </is>
      </c>
      <c r="H24" s="5" t="inlineStr">
        <is>
          <t>Proactive replenishment alerts for daily grocery staples (flour, oil, pulses)</t>
        </is>
      </c>
      <c r="I24" s="5" t="inlineStr">
        <is>
          <t>Filters inventory where StockBalance &lt;= Product.reorder_level; flags replenishment order draft</t>
        </is>
      </c>
      <c r="J24" s="20" t="inlineStr">
        <is>
          <t>P1</t>
        </is>
      </c>
      <c r="K24" s="20" t="inlineStr">
        <is>
          <t>Validated (Supported)</t>
        </is>
      </c>
      <c r="L24" s="5" t="inlineStr">
        <is>
          <t>Supported in /inventory/alerts/ with WhatsApp reorder draft generation.</t>
        </is>
      </c>
      <c r="M24" s="8" t="inlineStr">
        <is>
          <t>Baseline</t>
        </is>
      </c>
      <c r="N24" s="8" t="inlineStr">
        <is>
          <t>Operational role</t>
        </is>
      </c>
      <c r="O24" s="8" t="inlineStr">
        <is>
          <t>P1</t>
        </is>
      </c>
      <c r="P24" s="5" t="inlineStr">
        <is>
          <t>Unchanged</t>
        </is>
      </c>
      <c r="Q24" s="21" t="inlineStr">
        <is>
          <t>Code symbol found</t>
        </is>
      </c>
      <c r="R24" s="5" t="inlineStr">
        <is>
          <t>Matched WhatsApp in product code. This is not a functional test.</t>
        </is>
      </c>
      <c r="S24" s="8" t="inlineStr">
        <is>
          <t>INV</t>
        </is>
      </c>
      <c r="T24" s="5" t="inlineStr">
        <is>
          <t>Inventory lifecycle</t>
        </is>
      </c>
      <c r="U24" s="8" t="inlineStr"/>
      <c r="V24" s="8" t="inlineStr">
        <is>
          <t>inventory</t>
        </is>
      </c>
      <c r="W24" s="8" t="inlineStr">
        <is>
          <t>RUN</t>
        </is>
      </c>
      <c r="X24" s="5" t="inlineStr">
        <is>
          <t>Core</t>
        </is>
      </c>
      <c r="Y24" s="5" t="inlineStr">
        <is>
          <t>Owner</t>
        </is>
      </c>
      <c r="Z24" s="5" t="inlineStr">
        <is>
          <t>High</t>
        </is>
      </c>
      <c r="AA24" s="5" t="inlineStr">
        <is>
          <t>High</t>
        </is>
      </c>
      <c r="AB24" s="8" t="inlineStr">
        <is>
          <t>Low</t>
        </is>
      </c>
      <c r="AC24" s="8" t="inlineStr">
        <is>
          <t>Pilot</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9</v>
      </c>
      <c r="AM24" s="5" t="inlineStr"/>
      <c r="AN24" s="5" t="inlineStr"/>
      <c r="AO24" s="5" t="inlineStr"/>
      <c r="AP24" s="5" t="inlineStr"/>
      <c r="AQ24" s="5" t="inlineStr"/>
      <c r="AR24" s="5" t="inlineStr"/>
      <c r="AS24" s="5" t="inlineStr"/>
      <c r="AT24" s="5" t="inlineStr"/>
      <c r="AU24" s="8" t="inlineStr">
        <is>
          <t>Not run</t>
        </is>
      </c>
    </row>
    <row r="25" ht="32" customHeight="1">
      <c r="A25" s="16" t="inlineStr">
        <is>
          <t>P-0024</t>
        </is>
      </c>
      <c r="B25" s="8" t="inlineStr">
        <is>
          <t>P</t>
        </is>
      </c>
      <c r="C25" s="5" t="inlineStr">
        <is>
          <t>Kirana Shop Owner</t>
        </is>
      </c>
      <c r="D25" s="5" t="inlineStr">
        <is>
          <t>Reporting &amp; Business Intelligence</t>
        </is>
      </c>
      <c r="E25" s="5" t="inlineStr">
        <is>
          <t>Identify fast-moving items</t>
        </is>
      </c>
      <c r="F25" s="5" t="inlineStr">
        <is>
          <t>Kirana Shop Owner</t>
        </is>
      </c>
      <c r="G25" s="5" t="inlineStr">
        <is>
          <t>None</t>
        </is>
      </c>
      <c r="H25" s="5" t="inlineStr">
        <is>
          <t>Identifies top revenue and velocity SKUs to optimize store shelf space and working capital</t>
        </is>
      </c>
      <c r="I25" s="5" t="inlineStr">
        <is>
          <t>Analyzes sales frequency and turnover ratio over selected date range</t>
        </is>
      </c>
      <c r="J25" s="22" t="inlineStr">
        <is>
          <t>P2</t>
        </is>
      </c>
      <c r="K25" s="20" t="inlineStr">
        <is>
          <t>Validated (Supported)</t>
        </is>
      </c>
      <c r="L25" s="5" t="inlineStr">
        <is>
          <t>Supported via /reports/inventory-velocity/ report.</t>
        </is>
      </c>
      <c r="M25" s="8" t="inlineStr">
        <is>
          <t>Baseline</t>
        </is>
      </c>
      <c r="N25" s="8" t="inlineStr">
        <is>
          <t>Operational role</t>
        </is>
      </c>
      <c r="O25" s="8" t="inlineStr">
        <is>
          <t>P2</t>
        </is>
      </c>
      <c r="P25" s="5" t="inlineStr">
        <is>
          <t>Unchanged</t>
        </is>
      </c>
      <c r="Q25" s="20" t="inlineStr">
        <is>
          <t>Author assertion</t>
        </is>
      </c>
      <c r="R25" s="5" t="inlineStr"/>
      <c r="S25" s="8" t="inlineStr">
        <is>
          <t>RPT</t>
        </is>
      </c>
      <c r="T25" s="5" t="inlineStr">
        <is>
          <t>Reporting and business intelligence</t>
        </is>
      </c>
      <c r="U25" s="8" t="inlineStr"/>
      <c r="V25" s="8" t="inlineStr">
        <is>
          <t>reporting</t>
        </is>
      </c>
      <c r="W25" s="8" t="inlineStr">
        <is>
          <t>CONTROL</t>
        </is>
      </c>
      <c r="X25" s="5" t="inlineStr">
        <is>
          <t>Core</t>
        </is>
      </c>
      <c r="Y25" s="5" t="inlineStr">
        <is>
          <t>Owner</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P2</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P-0025</t>
        </is>
      </c>
      <c r="B26" s="8" t="inlineStr">
        <is>
          <t>P</t>
        </is>
      </c>
      <c r="C26" s="5" t="inlineStr">
        <is>
          <t>Kirana Shop Owner</t>
        </is>
      </c>
      <c r="D26" s="5" t="inlineStr">
        <is>
          <t>Reporting &amp; Business Intelligence</t>
        </is>
      </c>
      <c r="E26" s="5" t="inlineStr">
        <is>
          <t>Identify slow-moving/dead stock</t>
        </is>
      </c>
      <c r="F26" s="5" t="inlineStr">
        <is>
          <t>Kirana Shop Owner</t>
        </is>
      </c>
      <c r="G26" s="5" t="inlineStr">
        <is>
          <t>None</t>
        </is>
      </c>
      <c r="H26" s="5" t="inlineStr">
        <is>
          <t>Detects capital tied up in unsold inventory to trigger promotional bundling or vendor return</t>
        </is>
      </c>
      <c r="I26" s="5" t="inlineStr">
        <is>
          <t>Identifies SKUs with zero movement over 30/60/90 days; calculates tied-up capital valuation</t>
        </is>
      </c>
      <c r="J26" s="22" t="inlineStr">
        <is>
          <t>P2</t>
        </is>
      </c>
      <c r="K26" s="20" t="inlineStr">
        <is>
          <t>Validated (Supported)</t>
        </is>
      </c>
      <c r="L26" s="5" t="inlineStr">
        <is>
          <t>Supported in Inventory Aging &amp; Dead Stock Report (/reports/inventory-aging/).</t>
        </is>
      </c>
      <c r="M26" s="8" t="inlineStr">
        <is>
          <t>Baseline</t>
        </is>
      </c>
      <c r="N26" s="8" t="inlineStr">
        <is>
          <t>Operational role</t>
        </is>
      </c>
      <c r="O26" s="8" t="inlineStr">
        <is>
          <t>P2</t>
        </is>
      </c>
      <c r="P26" s="5" t="inlineStr">
        <is>
          <t>Restored to authored P2. The previous workbook had P3 after a keyword rebalance.</t>
        </is>
      </c>
      <c r="Q26" s="20" t="inlineStr">
        <is>
          <t>Author assertion</t>
        </is>
      </c>
      <c r="R26" s="5" t="inlineStr">
        <is>
          <t>Restored to authored P2. The previous workbook had P3 after a keyword rebalance.</t>
        </is>
      </c>
      <c r="S26" s="8" t="inlineStr">
        <is>
          <t>RPT</t>
        </is>
      </c>
      <c r="T26" s="5" t="inlineStr">
        <is>
          <t>Reporting and business intelligence</t>
        </is>
      </c>
      <c r="U26" s="8" t="inlineStr"/>
      <c r="V26" s="8" t="inlineStr">
        <is>
          <t>reporting</t>
        </is>
      </c>
      <c r="W26" s="8" t="inlineStr">
        <is>
          <t>CONTROL</t>
        </is>
      </c>
      <c r="X26" s="5" t="inlineStr">
        <is>
          <t>Core</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P2</t>
        </is>
      </c>
      <c r="AL26" s="8" t="n">
        <v>6</v>
      </c>
      <c r="AM26" s="5" t="inlineStr"/>
      <c r="AN26" s="5" t="inlineStr"/>
      <c r="AO26" s="5" t="inlineStr"/>
      <c r="AP26" s="5" t="inlineStr"/>
      <c r="AQ26" s="5" t="inlineStr"/>
      <c r="AR26" s="5" t="inlineStr"/>
      <c r="AS26" s="5" t="inlineStr"/>
      <c r="AT26" s="5" t="inlineStr"/>
      <c r="AU26" s="8" t="inlineStr">
        <is>
          <t>Not run</t>
        </is>
      </c>
    </row>
    <row r="27" ht="32" customHeight="1">
      <c r="A27" s="16" t="inlineStr">
        <is>
          <t>P-0026</t>
        </is>
      </c>
      <c r="B27" s="8" t="inlineStr">
        <is>
          <t>P</t>
        </is>
      </c>
      <c r="C27" s="5" t="inlineStr">
        <is>
          <t>Kirana Shop Owner</t>
        </is>
      </c>
      <c r="D27" s="5" t="inlineStr">
        <is>
          <t>Receivables &amp; Payables</t>
        </is>
      </c>
      <c r="E27" s="5" t="inlineStr">
        <is>
          <t>Track customer credit</t>
        </is>
      </c>
      <c r="F27" s="5" t="inlineStr">
        <is>
          <t>Kirana Shop Owner</t>
        </is>
      </c>
      <c r="G27" s="5" t="inlineStr">
        <is>
          <t>Khata Customer</t>
        </is>
      </c>
      <c r="H27" s="5" t="inlineStr">
        <is>
          <t>Comprehensive digital Khata tracking each neighborhood family's running credit balance</t>
        </is>
      </c>
      <c r="I27" s="5" t="inlineStr">
        <is>
          <t>Aggregates debit and credit ledger transactions; computes net balance and aging days</t>
        </is>
      </c>
      <c r="J27" s="20" t="inlineStr">
        <is>
          <t>P1</t>
        </is>
      </c>
      <c r="K27" s="20" t="inlineStr">
        <is>
          <t>Validated (Supported)</t>
        </is>
      </c>
      <c r="L27" s="5" t="inlineStr">
        <is>
          <t>Supported via /sales/customers/khata/ with individual customer statement export.</t>
        </is>
      </c>
      <c r="M27" s="8" t="inlineStr">
        <is>
          <t>Baseline</t>
        </is>
      </c>
      <c r="N27" s="8" t="inlineStr">
        <is>
          <t>Operational role</t>
        </is>
      </c>
      <c r="O27" s="8" t="inlineStr">
        <is>
          <t>P1</t>
        </is>
      </c>
      <c r="P27" s="5" t="inlineStr">
        <is>
          <t>Unchanged</t>
        </is>
      </c>
      <c r="Q27" s="20" t="inlineStr">
        <is>
          <t>Author assertion</t>
        </is>
      </c>
      <c r="R27" s="5" t="inlineStr"/>
      <c r="S27" s="8" t="inlineStr">
        <is>
          <t>ARAP</t>
        </is>
      </c>
      <c r="T27" s="5" t="inlineStr">
        <is>
          <t>Receivables and payables</t>
        </is>
      </c>
      <c r="U27" s="8" t="inlineStr"/>
      <c r="V27" s="8" t="inlineStr">
        <is>
          <t>ledgers</t>
        </is>
      </c>
      <c r="W27" s="8" t="inlineStr">
        <is>
          <t>CONTROL</t>
        </is>
      </c>
      <c r="X27" s="5" t="inlineStr">
        <is>
          <t>Core</t>
        </is>
      </c>
      <c r="Y27" s="5" t="inlineStr">
        <is>
          <t>Owner</t>
        </is>
      </c>
      <c r="Z27" s="5" t="inlineStr">
        <is>
          <t>Critical</t>
        </is>
      </c>
      <c r="AA27" s="5" t="inlineStr">
        <is>
          <t>High</t>
        </is>
      </c>
      <c r="AB27" s="8" t="inlineStr">
        <is>
          <t>Medium</t>
        </is>
      </c>
      <c r="AC27" s="8" t="inlineStr">
        <is>
          <t>Pilot</t>
        </is>
      </c>
      <c r="AD27" s="5" t="inlineStr">
        <is>
          <t>Not independently checked</t>
        </is>
      </c>
      <c r="AE27" s="5" t="inlineStr">
        <is>
          <t>Not verified</t>
        </is>
      </c>
      <c r="AF27" s="5" t="inlineStr">
        <is>
          <t>Not verified</t>
        </is>
      </c>
      <c r="AG27" s="5" t="inlineStr">
        <is>
          <t>Not verified</t>
        </is>
      </c>
      <c r="AH27" s="5" t="inlineStr">
        <is>
          <t>Not verified</t>
        </is>
      </c>
      <c r="AI27" s="8" t="inlineStr">
        <is>
          <t>No</t>
        </is>
      </c>
      <c r="AJ27" s="8" t="inlineStr">
        <is>
          <t>Claimed - unverified</t>
        </is>
      </c>
      <c r="AK27" s="8" t="inlineStr">
        <is>
          <t>P1</t>
        </is>
      </c>
      <c r="AL27" s="8" t="n">
        <v>18</v>
      </c>
      <c r="AM27" s="5" t="inlineStr"/>
      <c r="AN27" s="5" t="inlineStr"/>
      <c r="AO27" s="5" t="inlineStr"/>
      <c r="AP27" s="5" t="inlineStr"/>
      <c r="AQ27" s="5" t="inlineStr"/>
      <c r="AR27" s="5" t="inlineStr"/>
      <c r="AS27" s="5" t="inlineStr"/>
      <c r="AT27" s="5" t="inlineStr"/>
      <c r="AU27" s="8" t="inlineStr">
        <is>
          <t>Not run</t>
        </is>
      </c>
    </row>
    <row r="28" ht="32" customHeight="1">
      <c r="A28" s="16" t="inlineStr">
        <is>
          <t>P-0027</t>
        </is>
      </c>
      <c r="B28" s="8" t="inlineStr">
        <is>
          <t>P</t>
        </is>
      </c>
      <c r="C28" s="5" t="inlineStr">
        <is>
          <t>Kirana Shop Owner</t>
        </is>
      </c>
      <c r="D28" s="5" t="inlineStr">
        <is>
          <t>Receivables &amp; Payables</t>
        </is>
      </c>
      <c r="E28" s="5" t="inlineStr">
        <is>
          <t>Collect customer payments</t>
        </is>
      </c>
      <c r="F28" s="5" t="inlineStr">
        <is>
          <t>Kirana Shop Owner</t>
        </is>
      </c>
      <c r="G28" s="5" t="inlineStr">
        <is>
          <t>Customer</t>
        </is>
      </c>
      <c r="H28" s="5" t="inlineStr">
        <is>
          <t>Record cash/UPI collections settling outstanding customer khata accounts</t>
        </is>
      </c>
      <c r="I28" s="5" t="inlineStr">
        <is>
          <t>Applies payment against unpaid customer invoices; updates receivables ledger and cash balance</t>
        </is>
      </c>
      <c r="J28" s="20" t="inlineStr">
        <is>
          <t>P1</t>
        </is>
      </c>
      <c r="K28" s="20" t="inlineStr">
        <is>
          <t>Validated (Supported)</t>
        </is>
      </c>
      <c r="L28" s="5" t="inlineStr">
        <is>
          <t>Supported via Payment entry screen with automated FIFO invoice reconciliation.</t>
        </is>
      </c>
      <c r="M28" s="8" t="inlineStr">
        <is>
          <t>Baseline</t>
        </is>
      </c>
      <c r="N28" s="8" t="inlineStr">
        <is>
          <t>Operational role</t>
        </is>
      </c>
      <c r="O28" s="8" t="inlineStr">
        <is>
          <t>P1</t>
        </is>
      </c>
      <c r="P28" s="5" t="inlineStr">
        <is>
          <t>Unchanged</t>
        </is>
      </c>
      <c r="Q28" s="20" t="inlineStr">
        <is>
          <t>Author assertion</t>
        </is>
      </c>
      <c r="R28" s="5" t="inlineStr"/>
      <c r="S28" s="8" t="inlineStr">
        <is>
          <t>ARAP</t>
        </is>
      </c>
      <c r="T28" s="5" t="inlineStr">
        <is>
          <t>Receivables and payables</t>
        </is>
      </c>
      <c r="U28" s="8" t="inlineStr"/>
      <c r="V28" s="8" t="inlineStr">
        <is>
          <t>ledgers</t>
        </is>
      </c>
      <c r="W28" s="8" t="inlineStr">
        <is>
          <t>CONTROL</t>
        </is>
      </c>
      <c r="X28" s="5" t="inlineStr">
        <is>
          <t>Core</t>
        </is>
      </c>
      <c r="Y28" s="5" t="inlineStr">
        <is>
          <t>Owner</t>
        </is>
      </c>
      <c r="Z28" s="5" t="inlineStr">
        <is>
          <t>Critical</t>
        </is>
      </c>
      <c r="AA28" s="5" t="inlineStr">
        <is>
          <t>High</t>
        </is>
      </c>
      <c r="AB28" s="8" t="inlineStr">
        <is>
          <t>Medium</t>
        </is>
      </c>
      <c r="AC28" s="8" t="inlineStr">
        <is>
          <t>Pilot</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18</v>
      </c>
      <c r="AM28" s="5" t="inlineStr"/>
      <c r="AN28" s="5" t="inlineStr"/>
      <c r="AO28" s="5" t="inlineStr"/>
      <c r="AP28" s="5" t="inlineStr"/>
      <c r="AQ28" s="5" t="inlineStr"/>
      <c r="AR28" s="5" t="inlineStr"/>
      <c r="AS28" s="5" t="inlineStr"/>
      <c r="AT28" s="5" t="inlineStr"/>
      <c r="AU28" s="8" t="inlineStr">
        <is>
          <t>Not run</t>
        </is>
      </c>
    </row>
    <row r="29" ht="32" customHeight="1">
      <c r="A29" s="16" t="inlineStr">
        <is>
          <t>P-0028</t>
        </is>
      </c>
      <c r="B29" s="8" t="inlineStr">
        <is>
          <t>P</t>
        </is>
      </c>
      <c r="C29" s="5" t="inlineStr">
        <is>
          <t>Kirana Shop Owner</t>
        </is>
      </c>
      <c r="D29" s="5" t="inlineStr">
        <is>
          <t>Receivables &amp; Payables</t>
        </is>
      </c>
      <c r="E29" s="5" t="inlineStr">
        <is>
          <t>Track supplier outstanding</t>
        </is>
      </c>
      <c r="F29" s="5" t="inlineStr">
        <is>
          <t>Kirana Shop Owner</t>
        </is>
      </c>
      <c r="G29" s="5" t="inlineStr">
        <is>
          <t>Distributor / Supplier</t>
        </is>
      </c>
      <c r="H29" s="5" t="inlineStr">
        <is>
          <t>Monitor dues payable to FMCG distributors to plan weekly vendor payments</t>
        </is>
      </c>
      <c r="I29" s="5" t="inlineStr">
        <is>
          <t>Computes net Accounts Payable from completed purchase bills minus payments and debit notes</t>
        </is>
      </c>
      <c r="J29" s="20" t="inlineStr">
        <is>
          <t>P1</t>
        </is>
      </c>
      <c r="K29" s="20" t="inlineStr">
        <is>
          <t>Validated (Supported)</t>
        </is>
      </c>
      <c r="L29" s="5" t="inlineStr">
        <is>
          <t>Supported via /purchases/suppliers/ payables aging dashboard.</t>
        </is>
      </c>
      <c r="M29" s="8" t="inlineStr">
        <is>
          <t>Baseline</t>
        </is>
      </c>
      <c r="N29" s="8" t="inlineStr">
        <is>
          <t>Operational role</t>
        </is>
      </c>
      <c r="O29" s="8" t="inlineStr">
        <is>
          <t>P1</t>
        </is>
      </c>
      <c r="P29" s="5" t="inlineStr">
        <is>
          <t>Unchanged</t>
        </is>
      </c>
      <c r="Q29" s="20" t="inlineStr">
        <is>
          <t>Author assertion</t>
        </is>
      </c>
      <c r="R29" s="5" t="inlineStr"/>
      <c r="S29" s="8" t="inlineStr">
        <is>
          <t>ARAP</t>
        </is>
      </c>
      <c r="T29" s="5" t="inlineStr">
        <is>
          <t>Receivables and payables</t>
        </is>
      </c>
      <c r="U29" s="8" t="inlineStr"/>
      <c r="V29" s="8" t="inlineStr">
        <is>
          <t>ledgers</t>
        </is>
      </c>
      <c r="W29" s="8" t="inlineStr">
        <is>
          <t>CONTROL</t>
        </is>
      </c>
      <c r="X29" s="5" t="inlineStr">
        <is>
          <t>Core</t>
        </is>
      </c>
      <c r="Y29" s="5" t="inlineStr">
        <is>
          <t>Owner</t>
        </is>
      </c>
      <c r="Z29" s="5" t="inlineStr">
        <is>
          <t>Critical</t>
        </is>
      </c>
      <c r="AA29" s="5" t="inlineStr">
        <is>
          <t>High</t>
        </is>
      </c>
      <c r="AB29" s="8" t="inlineStr">
        <is>
          <t>Medium</t>
        </is>
      </c>
      <c r="AC29" s="8" t="inlineStr">
        <is>
          <t>Pilot</t>
        </is>
      </c>
      <c r="AD29" s="5" t="inlineStr">
        <is>
          <t>Not independently checked</t>
        </is>
      </c>
      <c r="AE29" s="5" t="inlineStr">
        <is>
          <t>Not verified</t>
        </is>
      </c>
      <c r="AF29" s="5" t="inlineStr">
        <is>
          <t>Not verified</t>
        </is>
      </c>
      <c r="AG29" s="5" t="inlineStr">
        <is>
          <t>Not verified</t>
        </is>
      </c>
      <c r="AH29" s="5" t="inlineStr">
        <is>
          <t>Not verified</t>
        </is>
      </c>
      <c r="AI29" s="8" t="inlineStr">
        <is>
          <t>No</t>
        </is>
      </c>
      <c r="AJ29" s="8" t="inlineStr">
        <is>
          <t>Claimed - unverified</t>
        </is>
      </c>
      <c r="AK29" s="8" t="inlineStr">
        <is>
          <t>P1</t>
        </is>
      </c>
      <c r="AL29" s="8" t="n">
        <v>18</v>
      </c>
      <c r="AM29" s="5" t="inlineStr"/>
      <c r="AN29" s="5" t="inlineStr"/>
      <c r="AO29" s="5" t="inlineStr"/>
      <c r="AP29" s="5" t="inlineStr"/>
      <c r="AQ29" s="5" t="inlineStr"/>
      <c r="AR29" s="5" t="inlineStr"/>
      <c r="AS29" s="5" t="inlineStr"/>
      <c r="AT29" s="5" t="inlineStr"/>
      <c r="AU29" s="8" t="inlineStr">
        <is>
          <t>Not run</t>
        </is>
      </c>
    </row>
    <row r="30" ht="32" customHeight="1">
      <c r="A30" s="16" t="inlineStr">
        <is>
          <t>P-0029</t>
        </is>
      </c>
      <c r="B30" s="8" t="inlineStr">
        <is>
          <t>P</t>
        </is>
      </c>
      <c r="C30" s="5" t="inlineStr">
        <is>
          <t>Kirana Shop Owner</t>
        </is>
      </c>
      <c r="D30" s="5" t="inlineStr">
        <is>
          <t>Receivables &amp; Payables</t>
        </is>
      </c>
      <c r="E30" s="5" t="inlineStr">
        <is>
          <t>Record supplier payment</t>
        </is>
      </c>
      <c r="F30" s="5" t="inlineStr">
        <is>
          <t>Kirana Shop Owner</t>
        </is>
      </c>
      <c r="G30" s="5" t="inlineStr">
        <is>
          <t>Supplier</t>
        </is>
      </c>
      <c r="H30" s="5" t="inlineStr">
        <is>
          <t>Disburse payments to vendors via cash, cheque, or NEFT/IMPS bank transfer</t>
        </is>
      </c>
      <c r="I30" s="5" t="inlineStr">
        <is>
          <t>Debits Accounts Payable ledger, credits Bank/Cash account; matches supplier invoices</t>
        </is>
      </c>
      <c r="J30" s="20" t="inlineStr">
        <is>
          <t>P1</t>
        </is>
      </c>
      <c r="K30" s="20" t="inlineStr">
        <is>
          <t>Validated (Supported)</t>
        </is>
      </c>
      <c r="L30" s="5" t="inlineStr">
        <is>
          <t>Supported via /purchases/payments/create with multi-invoice payment matching.</t>
        </is>
      </c>
      <c r="M30" s="8" t="inlineStr">
        <is>
          <t>Baseline</t>
        </is>
      </c>
      <c r="N30" s="8" t="inlineStr">
        <is>
          <t>Operational role</t>
        </is>
      </c>
      <c r="O30" s="8" t="inlineStr">
        <is>
          <t>P1</t>
        </is>
      </c>
      <c r="P30" s="5" t="inlineStr">
        <is>
          <t>Unchanged</t>
        </is>
      </c>
      <c r="Q30" s="20" t="inlineStr">
        <is>
          <t>Author assertion</t>
        </is>
      </c>
      <c r="R30" s="5" t="inlineStr"/>
      <c r="S30" s="8" t="inlineStr">
        <is>
          <t>ARAP</t>
        </is>
      </c>
      <c r="T30" s="5" t="inlineStr">
        <is>
          <t>Receivables and payables</t>
        </is>
      </c>
      <c r="U30" s="8" t="inlineStr"/>
      <c r="V30" s="8" t="inlineStr">
        <is>
          <t>ledgers</t>
        </is>
      </c>
      <c r="W30" s="8" t="inlineStr">
        <is>
          <t>CONTROL</t>
        </is>
      </c>
      <c r="X30" s="5" t="inlineStr">
        <is>
          <t>Core</t>
        </is>
      </c>
      <c r="Y30" s="5" t="inlineStr">
        <is>
          <t>Owner</t>
        </is>
      </c>
      <c r="Z30" s="5" t="inlineStr">
        <is>
          <t>Critical</t>
        </is>
      </c>
      <c r="AA30" s="5" t="inlineStr">
        <is>
          <t>High</t>
        </is>
      </c>
      <c r="AB30" s="8" t="inlineStr">
        <is>
          <t>Medium</t>
        </is>
      </c>
      <c r="AC30" s="8" t="inlineStr">
        <is>
          <t>Pilot</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18</v>
      </c>
      <c r="AM30" s="5" t="inlineStr"/>
      <c r="AN30" s="5" t="inlineStr"/>
      <c r="AO30" s="5" t="inlineStr"/>
      <c r="AP30" s="5" t="inlineStr"/>
      <c r="AQ30" s="5" t="inlineStr"/>
      <c r="AR30" s="5" t="inlineStr"/>
      <c r="AS30" s="5" t="inlineStr"/>
      <c r="AT30" s="5" t="inlineStr"/>
      <c r="AU30" s="8" t="inlineStr">
        <is>
          <t>Not run</t>
        </is>
      </c>
    </row>
    <row r="31" ht="32" customHeight="1">
      <c r="A31" s="16" t="inlineStr">
        <is>
          <t>P-0030</t>
        </is>
      </c>
      <c r="B31" s="8" t="inlineStr">
        <is>
          <t>P</t>
        </is>
      </c>
      <c r="C31" s="5" t="inlineStr">
        <is>
          <t>Kirana Shop Owner</t>
        </is>
      </c>
      <c r="D31" s="5" t="inlineStr">
        <is>
          <t>Returns / Complaints / After-Sales</t>
        </is>
      </c>
      <c r="E31" s="5" t="inlineStr">
        <is>
          <t>Process sales returns</t>
        </is>
      </c>
      <c r="F31" s="5" t="inlineStr">
        <is>
          <t>Kirana Shop Owner</t>
        </is>
      </c>
      <c r="G31" s="5" t="inlineStr">
        <is>
          <t>Customer</t>
        </is>
      </c>
      <c r="H31" s="5" t="inlineStr">
        <is>
          <t>Accept damaged or rejected goods returned by retail customer and issue refund/credit</t>
        </is>
      </c>
      <c r="I31" s="5" t="inlineStr">
        <is>
          <t>Restores stock to inventory ledger (or damaged bin) and adjusts customer balance/credit note</t>
        </is>
      </c>
      <c r="J31" s="20" t="inlineStr">
        <is>
          <t>P1</t>
        </is>
      </c>
      <c r="K31" s="20" t="inlineStr">
        <is>
          <t>Validated (Supported)</t>
        </is>
      </c>
      <c r="L31" s="5" t="inlineStr">
        <is>
          <t>Supported via /sales/returns/ with Credit Note generation.</t>
        </is>
      </c>
      <c r="M31" s="8" t="inlineStr">
        <is>
          <t>Baseline</t>
        </is>
      </c>
      <c r="N31" s="8" t="inlineStr">
        <is>
          <t>Operational role</t>
        </is>
      </c>
      <c r="O31" s="8" t="inlineStr">
        <is>
          <t>P1</t>
        </is>
      </c>
      <c r="P31" s="5" t="inlineStr">
        <is>
          <t>Unchanged</t>
        </is>
      </c>
      <c r="Q31" s="20" t="inlineStr">
        <is>
          <t>Author assertion</t>
        </is>
      </c>
      <c r="R31" s="5" t="inlineStr"/>
      <c r="S31" s="8" t="inlineStr">
        <is>
          <t>RET</t>
        </is>
      </c>
      <c r="T31" s="5" t="inlineStr">
        <is>
          <t>Returns, complaints, and after-sales</t>
        </is>
      </c>
      <c r="U31" s="8" t="inlineStr"/>
      <c r="V31" s="8" t="inlineStr">
        <is>
          <t>sales</t>
        </is>
      </c>
      <c r="W31" s="8" t="inlineStr">
        <is>
          <t>RUN</t>
        </is>
      </c>
      <c r="X31" s="5" t="inlineStr">
        <is>
          <t>Core</t>
        </is>
      </c>
      <c r="Y31" s="5" t="inlineStr">
        <is>
          <t>Owner</t>
        </is>
      </c>
      <c r="Z31" s="5" t="inlineStr">
        <is>
          <t>Medium</t>
        </is>
      </c>
      <c r="AA31" s="5" t="inlineStr">
        <is>
          <t>Medium</t>
        </is>
      </c>
      <c r="AB31" s="8" t="inlineStr">
        <is>
          <t>Low</t>
        </is>
      </c>
      <c r="AC31" s="8" t="inlineStr">
        <is>
          <t>Pilot</t>
        </is>
      </c>
      <c r="AD31" s="5" t="inlineStr">
        <is>
          <t>Not independently checked</t>
        </is>
      </c>
      <c r="AE31" s="5" t="inlineStr">
        <is>
          <t>Not verified</t>
        </is>
      </c>
      <c r="AF31" s="5" t="inlineStr">
        <is>
          <t>Not verified</t>
        </is>
      </c>
      <c r="AG31" s="5" t="inlineStr">
        <is>
          <t>Not verified</t>
        </is>
      </c>
      <c r="AH31" s="5" t="inlineStr">
        <is>
          <t>Not verified</t>
        </is>
      </c>
      <c r="AI31" s="8" t="inlineStr">
        <is>
          <t>No</t>
        </is>
      </c>
      <c r="AJ31" s="8" t="inlineStr">
        <is>
          <t>Claimed - unverified</t>
        </is>
      </c>
      <c r="AK31" s="8" t="inlineStr">
        <is>
          <t>P1</t>
        </is>
      </c>
      <c r="AL31" s="8" t="n">
        <v>6</v>
      </c>
      <c r="AM31" s="5" t="inlineStr"/>
      <c r="AN31" s="5" t="inlineStr"/>
      <c r="AO31" s="5" t="inlineStr"/>
      <c r="AP31" s="5" t="inlineStr"/>
      <c r="AQ31" s="5" t="inlineStr"/>
      <c r="AR31" s="5" t="inlineStr"/>
      <c r="AS31" s="5" t="inlineStr"/>
      <c r="AT31" s="5" t="inlineStr"/>
      <c r="AU31" s="8" t="inlineStr">
        <is>
          <t>Not run</t>
        </is>
      </c>
    </row>
    <row r="32" ht="32" customHeight="1">
      <c r="A32" s="16" t="inlineStr">
        <is>
          <t>P-0031</t>
        </is>
      </c>
      <c r="B32" s="8" t="inlineStr">
        <is>
          <t>P</t>
        </is>
      </c>
      <c r="C32" s="5" t="inlineStr">
        <is>
          <t>Kirana Shop Owner</t>
        </is>
      </c>
      <c r="D32" s="5" t="inlineStr">
        <is>
          <t>Returns / Complaints / After-Sales</t>
        </is>
      </c>
      <c r="E32" s="5" t="inlineStr">
        <is>
          <t>Process purchase returns</t>
        </is>
      </c>
      <c r="F32" s="5" t="inlineStr">
        <is>
          <t>Kirana Shop Owner</t>
        </is>
      </c>
      <c r="G32" s="5" t="inlineStr">
        <is>
          <t>Distributor</t>
        </is>
      </c>
      <c r="H32" s="5" t="inlineStr">
        <is>
          <t>Return damaged, expired, or near-expiry goods to distributor for debit credit note</t>
        </is>
      </c>
      <c r="I32" s="5" t="inlineStr">
        <is>
          <t>Decrements warehouse stock (RETURN_OUTWARD) and generates supplier PurchaseDebitNote</t>
        </is>
      </c>
      <c r="J32" s="20" t="inlineStr">
        <is>
          <t>P1</t>
        </is>
      </c>
      <c r="K32" s="20" t="inlineStr">
        <is>
          <t>Validated (Supported)</t>
        </is>
      </c>
      <c r="L32" s="5" t="inlineStr">
        <is>
          <t>Supported via /purchases/returns/ with Debit Note generation.</t>
        </is>
      </c>
      <c r="M32" s="8" t="inlineStr">
        <is>
          <t>Baseline</t>
        </is>
      </c>
      <c r="N32" s="8" t="inlineStr">
        <is>
          <t>Operational role</t>
        </is>
      </c>
      <c r="O32" s="8" t="inlineStr">
        <is>
          <t>P1</t>
        </is>
      </c>
      <c r="P32" s="5" t="inlineStr">
        <is>
          <t>Unchanged</t>
        </is>
      </c>
      <c r="Q32" s="20" t="inlineStr">
        <is>
          <t>Author assertion</t>
        </is>
      </c>
      <c r="R32" s="5" t="inlineStr"/>
      <c r="S32" s="8" t="inlineStr">
        <is>
          <t>RET</t>
        </is>
      </c>
      <c r="T32" s="5" t="inlineStr">
        <is>
          <t>Returns, complaints, and after-sales</t>
        </is>
      </c>
      <c r="U32" s="8" t="inlineStr"/>
      <c r="V32" s="8" t="inlineStr">
        <is>
          <t>sales</t>
        </is>
      </c>
      <c r="W32" s="8" t="inlineStr">
        <is>
          <t>RUN</t>
        </is>
      </c>
      <c r="X32" s="5" t="inlineStr">
        <is>
          <t>Core</t>
        </is>
      </c>
      <c r="Y32" s="5" t="inlineStr">
        <is>
          <t>Owner</t>
        </is>
      </c>
      <c r="Z32" s="5" t="inlineStr">
        <is>
          <t>Medium</t>
        </is>
      </c>
      <c r="AA32" s="5" t="inlineStr">
        <is>
          <t>Medium</t>
        </is>
      </c>
      <c r="AB32" s="8" t="inlineStr">
        <is>
          <t>Low</t>
        </is>
      </c>
      <c r="AC32" s="8" t="inlineStr">
        <is>
          <t>Pilot</t>
        </is>
      </c>
      <c r="AD32" s="5" t="inlineStr">
        <is>
          <t>Not independently checked</t>
        </is>
      </c>
      <c r="AE32" s="5" t="inlineStr">
        <is>
          <t>Not verified</t>
        </is>
      </c>
      <c r="AF32" s="5" t="inlineStr">
        <is>
          <t>Not verified</t>
        </is>
      </c>
      <c r="AG32" s="5" t="inlineStr">
        <is>
          <t>Not verified</t>
        </is>
      </c>
      <c r="AH32" s="5" t="inlineStr">
        <is>
          <t>Not verified</t>
        </is>
      </c>
      <c r="AI32" s="8" t="inlineStr">
        <is>
          <t>No</t>
        </is>
      </c>
      <c r="AJ32" s="8" t="inlineStr">
        <is>
          <t>Claimed - unverified</t>
        </is>
      </c>
      <c r="AK32" s="8" t="inlineStr">
        <is>
          <t>P1</t>
        </is>
      </c>
      <c r="AL32" s="8" t="n">
        <v>6</v>
      </c>
      <c r="AM32" s="5" t="inlineStr"/>
      <c r="AN32" s="5" t="inlineStr"/>
      <c r="AO32" s="5" t="inlineStr"/>
      <c r="AP32" s="5" t="inlineStr"/>
      <c r="AQ32" s="5" t="inlineStr"/>
      <c r="AR32" s="5" t="inlineStr"/>
      <c r="AS32" s="5" t="inlineStr"/>
      <c r="AT32" s="5" t="inlineStr"/>
      <c r="AU32" s="8" t="inlineStr">
        <is>
          <t>Not run</t>
        </is>
      </c>
    </row>
    <row r="33" ht="32" customHeight="1">
      <c r="A33" s="16" t="inlineStr">
        <is>
          <t>P-0032</t>
        </is>
      </c>
      <c r="B33" s="8" t="inlineStr">
        <is>
          <t>P</t>
        </is>
      </c>
      <c r="C33" s="5" t="inlineStr">
        <is>
          <t>Kirana Shop Owner</t>
        </is>
      </c>
      <c r="D33" s="5" t="inlineStr">
        <is>
          <t>Customer-to-Cash</t>
        </is>
      </c>
      <c r="E33" s="5" t="inlineStr">
        <is>
          <t>Apply discounts correctly</t>
        </is>
      </c>
      <c r="F33" s="5" t="inlineStr">
        <is>
          <t>Kirana Shop Owner</t>
        </is>
      </c>
      <c r="G33" s="5" t="inlineStr">
        <is>
          <t>Counter Clerk</t>
        </is>
      </c>
      <c r="H33" s="5" t="inlineStr">
        <is>
          <t>Accurate application of promotional percentage, flat discounts, or bill-level concessions</t>
        </is>
      </c>
      <c r="I33" s="5" t="inlineStr">
        <is>
          <t>Computes taxable value net of discount; applies GST on discounted base price per statutory rules</t>
        </is>
      </c>
      <c r="J33" s="22" t="inlineStr">
        <is>
          <t>P2</t>
        </is>
      </c>
      <c r="K33" s="20" t="inlineStr">
        <is>
          <t>Validated (Supported)</t>
        </is>
      </c>
      <c r="L33" s="5" t="inlineStr">
        <is>
          <t>Supported on sales line and invoice-level; complies with Section 15 GST valuation rules.</t>
        </is>
      </c>
      <c r="M33" s="8" t="inlineStr">
        <is>
          <t>Baseline</t>
        </is>
      </c>
      <c r="N33" s="8" t="inlineStr">
        <is>
          <t>Operational role</t>
        </is>
      </c>
      <c r="O33" s="8" t="inlineStr">
        <is>
          <t>P2</t>
        </is>
      </c>
      <c r="P33" s="5" t="inlineStr">
        <is>
          <t>Unchanged</t>
        </is>
      </c>
      <c r="Q33" s="20" t="inlineStr">
        <is>
          <t>Author assertion</t>
        </is>
      </c>
      <c r="R33" s="5" t="inlineStr"/>
      <c r="S33" s="8" t="inlineStr">
        <is>
          <t>C2C</t>
        </is>
      </c>
      <c r="T33" s="5" t="inlineStr">
        <is>
          <t>Customer to cash</t>
        </is>
      </c>
      <c r="U33" s="8" t="inlineStr"/>
      <c r="V33" s="8" t="inlineStr">
        <is>
          <t>sales</t>
        </is>
      </c>
      <c r="W33" s="8" t="inlineStr">
        <is>
          <t>RUN</t>
        </is>
      </c>
      <c r="X33" s="5" t="inlineStr">
        <is>
          <t>Core</t>
        </is>
      </c>
      <c r="Y33" s="5" t="inlineStr">
        <is>
          <t>Owner</t>
        </is>
      </c>
      <c r="Z33" s="5" t="inlineStr">
        <is>
          <t>Medium</t>
        </is>
      </c>
      <c r="AA33" s="5" t="inlineStr">
        <is>
          <t>Medium</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P2</t>
        </is>
      </c>
      <c r="AL33" s="8" t="n">
        <v>6</v>
      </c>
      <c r="AM33" s="5" t="inlineStr"/>
      <c r="AN33" s="5" t="inlineStr"/>
      <c r="AO33" s="5" t="inlineStr"/>
      <c r="AP33" s="5" t="inlineStr"/>
      <c r="AQ33" s="5" t="inlineStr"/>
      <c r="AR33" s="5" t="inlineStr"/>
      <c r="AS33" s="5" t="inlineStr"/>
      <c r="AT33" s="5" t="inlineStr"/>
      <c r="AU33" s="8" t="inlineStr">
        <is>
          <t>Not run</t>
        </is>
      </c>
    </row>
    <row r="34" ht="32" customHeight="1">
      <c r="A34" s="16" t="inlineStr">
        <is>
          <t>P-0033</t>
        </is>
      </c>
      <c r="B34" s="8" t="inlineStr">
        <is>
          <t>P</t>
        </is>
      </c>
      <c r="C34" s="5" t="inlineStr">
        <is>
          <t>Kirana Shop Owner</t>
        </is>
      </c>
      <c r="D34" s="5" t="inlineStr">
        <is>
          <t>GST / Tax / Compliance</t>
        </is>
      </c>
      <c r="E34" s="5" t="inlineStr">
        <is>
          <t>Manage GST rates/HSN</t>
        </is>
      </c>
      <c r="F34" s="5" t="inlineStr">
        <is>
          <t>Kirana Shop Owner</t>
        </is>
      </c>
      <c r="G34" s="5" t="inlineStr">
        <is>
          <t>Accountant</t>
        </is>
      </c>
      <c r="H34" s="5" t="inlineStr">
        <is>
          <t>Proper classification of grocery SKUs under correct 0%, 5%, 12%, 18% GST brackets and HSN codes</t>
        </is>
      </c>
      <c r="I34" s="5" t="inlineStr">
        <is>
          <t>Stores HSN/SAC codes and GST tax rates on Product master; used for automated tax calculation</t>
        </is>
      </c>
      <c r="J34" s="20" t="inlineStr">
        <is>
          <t>P1</t>
        </is>
      </c>
      <c r="K34" s="20" t="inlineStr">
        <is>
          <t>Validated (Supported)</t>
        </is>
      </c>
      <c r="L34" s="5" t="inlineStr">
        <is>
          <t>Supported via Product master taxonomy with built-in HSN search helper.</t>
        </is>
      </c>
      <c r="M34" s="8" t="inlineStr">
        <is>
          <t>Baseline</t>
        </is>
      </c>
      <c r="N34" s="8" t="inlineStr">
        <is>
          <t>Operational role</t>
        </is>
      </c>
      <c r="O34" s="8" t="inlineStr">
        <is>
          <t>P1</t>
        </is>
      </c>
      <c r="P34" s="5" t="inlineStr">
        <is>
          <t>Unchanged</t>
        </is>
      </c>
      <c r="Q34" s="20" t="inlineStr">
        <is>
          <t>Author assertion</t>
        </is>
      </c>
      <c r="R34" s="5" t="inlineStr"/>
      <c r="S34" s="8" t="inlineStr">
        <is>
          <t>GST</t>
        </is>
      </c>
      <c r="T34" s="5" t="inlineStr">
        <is>
          <t>GST and tax compliance</t>
        </is>
      </c>
      <c r="U34" s="8" t="inlineStr"/>
      <c r="V34" s="8" t="inlineStr">
        <is>
          <t>accounting</t>
        </is>
      </c>
      <c r="W34" s="8" t="inlineStr">
        <is>
          <t>CONTROL</t>
        </is>
      </c>
      <c r="X34" s="5" t="inlineStr">
        <is>
          <t>Core</t>
        </is>
      </c>
      <c r="Y34" s="5" t="inlineStr">
        <is>
          <t>Owner</t>
        </is>
      </c>
      <c r="Z34" s="5" t="inlineStr">
        <is>
          <t>Critical</t>
        </is>
      </c>
      <c r="AA34" s="5" t="inlineStr">
        <is>
          <t>High</t>
        </is>
      </c>
      <c r="AB34" s="8" t="inlineStr">
        <is>
          <t>High</t>
        </is>
      </c>
      <c r="AC34" s="8" t="inlineStr">
        <is>
          <t>Pilot</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P1</t>
        </is>
      </c>
      <c r="AL34" s="8" t="n">
        <v>27</v>
      </c>
      <c r="AM34" s="5" t="inlineStr"/>
      <c r="AN34" s="5" t="inlineStr"/>
      <c r="AO34" s="5" t="inlineStr"/>
      <c r="AP34" s="5" t="inlineStr"/>
      <c r="AQ34" s="5" t="inlineStr"/>
      <c r="AR34" s="5" t="inlineStr"/>
      <c r="AS34" s="5" t="inlineStr"/>
      <c r="AT34" s="5" t="inlineStr"/>
      <c r="AU34" s="8" t="inlineStr">
        <is>
          <t>Not run</t>
        </is>
      </c>
    </row>
    <row r="35" ht="32" customHeight="1">
      <c r="A35" s="16" t="inlineStr">
        <is>
          <t>P-0034</t>
        </is>
      </c>
      <c r="B35" s="8" t="inlineStr">
        <is>
          <t>P</t>
        </is>
      </c>
      <c r="C35" s="5" t="inlineStr">
        <is>
          <t>Kirana Shop Owner</t>
        </is>
      </c>
      <c r="D35" s="5" t="inlineStr">
        <is>
          <t>GST / Tax / Compliance</t>
        </is>
      </c>
      <c r="E35" s="5" t="inlineStr">
        <is>
          <t>Generate GST-compliant invoices</t>
        </is>
      </c>
      <c r="F35" s="5" t="inlineStr">
        <is>
          <t>Kirana Shop Owner</t>
        </is>
      </c>
      <c r="G35" s="5" t="inlineStr">
        <is>
          <t>Registered B2B Customer</t>
        </is>
      </c>
      <c r="H35" s="5" t="inlineStr">
        <is>
          <t>Issue legally compliant B2B tax invoices showing seller/buyer GSTIN, HSN breakdown, and tax splits</t>
        </is>
      </c>
      <c r="I35" s="5" t="inlineStr">
        <is>
          <t>Formats document per Rule 46 of CGST Rules; populates B2B section of GSTR-1 worksheet</t>
        </is>
      </c>
      <c r="J35" s="19" t="inlineStr">
        <is>
          <t>P0</t>
        </is>
      </c>
      <c r="K35" s="20" t="inlineStr">
        <is>
          <t>Validated (Supported)</t>
        </is>
      </c>
      <c r="L35" s="5" t="inlineStr">
        <is>
          <t>Supported via standard invoice PDF template meeting all Indian GST Rule 46 requirements.</t>
        </is>
      </c>
      <c r="M35" s="8" t="inlineStr">
        <is>
          <t>Baseline</t>
        </is>
      </c>
      <c r="N35" s="8" t="inlineStr">
        <is>
          <t>Operational role</t>
        </is>
      </c>
      <c r="O35" s="8" t="inlineStr">
        <is>
          <t>P0</t>
        </is>
      </c>
      <c r="P35" s="5" t="inlineStr">
        <is>
          <t>Unchanged</t>
        </is>
      </c>
      <c r="Q35" s="20" t="inlineStr">
        <is>
          <t>Author assertion</t>
        </is>
      </c>
      <c r="R35" s="5" t="inlineStr"/>
      <c r="S35" s="8" t="inlineStr">
        <is>
          <t>GST</t>
        </is>
      </c>
      <c r="T35" s="5" t="inlineStr">
        <is>
          <t>GST and tax compliance</t>
        </is>
      </c>
      <c r="U35" s="8" t="inlineStr"/>
      <c r="V35" s="8" t="inlineStr">
        <is>
          <t>accounting</t>
        </is>
      </c>
      <c r="W35" s="8" t="inlineStr">
        <is>
          <t>CONTROL</t>
        </is>
      </c>
      <c r="X35" s="5" t="inlineStr">
        <is>
          <t>Core</t>
        </is>
      </c>
      <c r="Y35" s="5" t="inlineStr">
        <is>
          <t>Owner</t>
        </is>
      </c>
      <c r="Z35" s="5" t="inlineStr">
        <is>
          <t>Critical</t>
        </is>
      </c>
      <c r="AA35" s="5" t="inlineStr">
        <is>
          <t>High</t>
        </is>
      </c>
      <c r="AB35" s="8" t="inlineStr">
        <is>
          <t>High</t>
        </is>
      </c>
      <c r="AC35" s="8" t="inlineStr">
        <is>
          <t>MVP</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P0</t>
        </is>
      </c>
      <c r="AL35" s="8" t="n">
        <v>27</v>
      </c>
      <c r="AM35" s="5" t="inlineStr"/>
      <c r="AN35" s="5" t="inlineStr"/>
      <c r="AO35" s="5" t="inlineStr"/>
      <c r="AP35" s="5" t="inlineStr"/>
      <c r="AQ35" s="5" t="inlineStr"/>
      <c r="AR35" s="5" t="inlineStr"/>
      <c r="AS35" s="5" t="inlineStr"/>
      <c r="AT35" s="5" t="inlineStr"/>
      <c r="AU35" s="8" t="inlineStr">
        <is>
          <t>Not run</t>
        </is>
      </c>
    </row>
    <row r="36" ht="32" customHeight="1">
      <c r="A36" s="16" t="inlineStr">
        <is>
          <t>P-0035</t>
        </is>
      </c>
      <c r="B36" s="8" t="inlineStr">
        <is>
          <t>P</t>
        </is>
      </c>
      <c r="C36" s="5" t="inlineStr">
        <is>
          <t>Kirana Shop Owner</t>
        </is>
      </c>
      <c r="D36" s="5" t="inlineStr">
        <is>
          <t>Reporting &amp; Business Intelligence</t>
        </is>
      </c>
      <c r="E36" s="5" t="inlineStr">
        <is>
          <t>Review sales</t>
        </is>
      </c>
      <c r="F36" s="5" t="inlineStr">
        <is>
          <t>Kirana Shop Owner</t>
        </is>
      </c>
      <c r="G36" s="5" t="inlineStr">
        <is>
          <t>None</t>
        </is>
      </c>
      <c r="H36" s="5" t="inlineStr">
        <is>
          <t>Analyze daily, weekly, and monthly sales trends across categories and customer types</t>
        </is>
      </c>
      <c r="I36" s="5" t="inlineStr">
        <is>
          <t>Generates sales register reports filtered by date, payment mode, customer, and category</t>
        </is>
      </c>
      <c r="J36" s="20" t="inlineStr">
        <is>
          <t>P1</t>
        </is>
      </c>
      <c r="K36" s="20" t="inlineStr">
        <is>
          <t>Validated (Supported)</t>
        </is>
      </c>
      <c r="L36" s="5" t="inlineStr">
        <is>
          <t>Supported via /reports/sales-register/ with CSV and Excel export.</t>
        </is>
      </c>
      <c r="M36" s="8" t="inlineStr">
        <is>
          <t>Baseline</t>
        </is>
      </c>
      <c r="N36" s="8" t="inlineStr">
        <is>
          <t>Operational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Core</t>
        </is>
      </c>
      <c r="Y36" s="5" t="inlineStr">
        <is>
          <t>Owner</t>
        </is>
      </c>
      <c r="Z36" s="5" t="inlineStr">
        <is>
          <t>Medium</t>
        </is>
      </c>
      <c r="AA36" s="5" t="inlineStr">
        <is>
          <t>Medium</t>
        </is>
      </c>
      <c r="AB36" s="8" t="inlineStr">
        <is>
          <t>Low</t>
        </is>
      </c>
      <c r="AC36" s="8" t="inlineStr">
        <is>
          <t>Pilot</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6</v>
      </c>
      <c r="AM36" s="5" t="inlineStr"/>
      <c r="AN36" s="5" t="inlineStr"/>
      <c r="AO36" s="5" t="inlineStr"/>
      <c r="AP36" s="5" t="inlineStr"/>
      <c r="AQ36" s="5" t="inlineStr"/>
      <c r="AR36" s="5" t="inlineStr"/>
      <c r="AS36" s="5" t="inlineStr"/>
      <c r="AT36" s="5" t="inlineStr"/>
      <c r="AU36" s="8" t="inlineStr">
        <is>
          <t>Not run</t>
        </is>
      </c>
    </row>
    <row r="37" ht="32" customHeight="1">
      <c r="A37" s="16" t="inlineStr">
        <is>
          <t>P-0036</t>
        </is>
      </c>
      <c r="B37" s="8" t="inlineStr">
        <is>
          <t>P</t>
        </is>
      </c>
      <c r="C37" s="5" t="inlineStr">
        <is>
          <t>Kirana Shop Owner</t>
        </is>
      </c>
      <c r="D37" s="5" t="inlineStr">
        <is>
          <t>Reporting &amp; Business Intelligence</t>
        </is>
      </c>
      <c r="E37" s="5" t="inlineStr">
        <is>
          <t>Review gross margin</t>
        </is>
      </c>
      <c r="F37" s="5" t="inlineStr">
        <is>
          <t>Kirana Shop Owner</t>
        </is>
      </c>
      <c r="G37" s="5" t="inlineStr">
        <is>
          <t>None</t>
        </is>
      </c>
      <c r="H37" s="5" t="inlineStr">
        <is>
          <t>Track product profitability to ensure wholesale markup covers store operating overheads</t>
        </is>
      </c>
      <c r="I37" s="5" t="inlineStr">
        <is>
          <t>Calculates line-by-line gross profit margin (Selling Price - Purchase Cost) / Selling Price</t>
        </is>
      </c>
      <c r="J37" s="22" t="inlineStr">
        <is>
          <t>P2</t>
        </is>
      </c>
      <c r="K37" s="20" t="inlineStr">
        <is>
          <t>Validated (Supported)</t>
        </is>
      </c>
      <c r="L37" s="5" t="inlineStr">
        <is>
          <t>Supported via /reports/profitability/ with category and brand drill-downs.</t>
        </is>
      </c>
      <c r="M37" s="8" t="inlineStr">
        <is>
          <t>Baseline</t>
        </is>
      </c>
      <c r="N37" s="8" t="inlineStr">
        <is>
          <t>Operational role</t>
        </is>
      </c>
      <c r="O37" s="8" t="inlineStr">
        <is>
          <t>P2</t>
        </is>
      </c>
      <c r="P37" s="5" t="inlineStr">
        <is>
          <t>Restored to authored P2. The previous workbook had P3 after a keyword rebalance.</t>
        </is>
      </c>
      <c r="Q37" s="20" t="inlineStr">
        <is>
          <t>Author assertion</t>
        </is>
      </c>
      <c r="R37" s="5" t="inlineStr">
        <is>
          <t>Restored to authored P2. The previous workbook had P3 after a keyword rebalance.</t>
        </is>
      </c>
      <c r="S37" s="8" t="inlineStr">
        <is>
          <t>RPT</t>
        </is>
      </c>
      <c r="T37" s="5" t="inlineStr">
        <is>
          <t>Reporting and business intelligence</t>
        </is>
      </c>
      <c r="U37" s="8" t="inlineStr"/>
      <c r="V37" s="8" t="inlineStr">
        <is>
          <t>reporting</t>
        </is>
      </c>
      <c r="W37" s="8" t="inlineStr">
        <is>
          <t>CONTROL</t>
        </is>
      </c>
      <c r="X37" s="5" t="inlineStr">
        <is>
          <t>Core</t>
        </is>
      </c>
      <c r="Y37" s="5" t="inlineStr">
        <is>
          <t>Owner</t>
        </is>
      </c>
      <c r="Z37" s="5" t="inlineStr">
        <is>
          <t>Medium</t>
        </is>
      </c>
      <c r="AA37" s="5" t="inlineStr">
        <is>
          <t>Medium</t>
        </is>
      </c>
      <c r="AB37" s="8" t="inlineStr">
        <is>
          <t>Low</t>
        </is>
      </c>
      <c r="AC37" s="8" t="inlineStr">
        <is>
          <t>Later</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P2</t>
        </is>
      </c>
      <c r="AL37" s="8" t="n">
        <v>6</v>
      </c>
      <c r="AM37" s="5" t="inlineStr"/>
      <c r="AN37" s="5" t="inlineStr"/>
      <c r="AO37" s="5" t="inlineStr"/>
      <c r="AP37" s="5" t="inlineStr"/>
      <c r="AQ37" s="5" t="inlineStr"/>
      <c r="AR37" s="5" t="inlineStr"/>
      <c r="AS37" s="5" t="inlineStr"/>
      <c r="AT37" s="5" t="inlineStr"/>
      <c r="AU37" s="8" t="inlineStr">
        <is>
          <t>Not run</t>
        </is>
      </c>
    </row>
    <row r="38" ht="32" customHeight="1">
      <c r="A38" s="16" t="inlineStr">
        <is>
          <t>P-0037</t>
        </is>
      </c>
      <c r="B38" s="8" t="inlineStr">
        <is>
          <t>P</t>
        </is>
      </c>
      <c r="C38" s="5" t="inlineStr">
        <is>
          <t>Kirana Shop Owner</t>
        </is>
      </c>
      <c r="D38" s="5" t="inlineStr">
        <is>
          <t>Payments &amp; Reconciliation</t>
        </is>
      </c>
      <c r="E38" s="5" t="inlineStr">
        <is>
          <t>Reconcile cash and digital payments</t>
        </is>
      </c>
      <c r="F38" s="5" t="inlineStr">
        <is>
          <t>Kirana Shop Owner</t>
        </is>
      </c>
      <c r="G38" s="5" t="inlineStr">
        <is>
          <t>Accountant</t>
        </is>
      </c>
      <c r="H38" s="5" t="inlineStr">
        <is>
          <t>Verify that cash in till and bank deposits match sales register totals</t>
        </is>
      </c>
      <c r="I38" s="5" t="inlineStr">
        <is>
          <t>Cross-references bank statement / QR settlement reports with Bizboard payment ledger</t>
        </is>
      </c>
      <c r="J38" s="20" t="inlineStr">
        <is>
          <t>P1</t>
        </is>
      </c>
      <c r="K38" s="20" t="inlineStr">
        <is>
          <t>Validated (Supported)</t>
        </is>
      </c>
      <c r="L38" s="5" t="inlineStr">
        <is>
          <t>Supported via /accounting/bank-reconciliation/ and daily shift close register.</t>
        </is>
      </c>
      <c r="M38" s="8" t="inlineStr">
        <is>
          <t>Baseline</t>
        </is>
      </c>
      <c r="N38" s="8" t="inlineStr">
        <is>
          <t>Operational role</t>
        </is>
      </c>
      <c r="O38" s="8" t="inlineStr">
        <is>
          <t>P1</t>
        </is>
      </c>
      <c r="P38" s="5" t="inlineStr">
        <is>
          <t>Unchanged</t>
        </is>
      </c>
      <c r="Q38" s="20" t="inlineStr">
        <is>
          <t>Author assertion</t>
        </is>
      </c>
      <c r="R38" s="5" t="inlineStr"/>
      <c r="S38" s="8" t="inlineStr">
        <is>
          <t>PAYREC</t>
        </is>
      </c>
      <c r="T38" s="5" t="inlineStr">
        <is>
          <t>Payments and reconciliation</t>
        </is>
      </c>
      <c r="U38" s="8" t="inlineStr"/>
      <c r="V38" s="8" t="inlineStr">
        <is>
          <t>payments</t>
        </is>
      </c>
      <c r="W38" s="8" t="inlineStr">
        <is>
          <t>RUN</t>
        </is>
      </c>
      <c r="X38" s="5" t="inlineStr">
        <is>
          <t>Core</t>
        </is>
      </c>
      <c r="Y38" s="5" t="inlineStr">
        <is>
          <t>Owner</t>
        </is>
      </c>
      <c r="Z38" s="5" t="inlineStr">
        <is>
          <t>High</t>
        </is>
      </c>
      <c r="AA38" s="5" t="inlineStr">
        <is>
          <t>High</t>
        </is>
      </c>
      <c r="AB38" s="8" t="inlineStr">
        <is>
          <t>Low</t>
        </is>
      </c>
      <c r="AC38" s="8" t="inlineStr">
        <is>
          <t>Pilot</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9</v>
      </c>
      <c r="AM38" s="5" t="inlineStr"/>
      <c r="AN38" s="5" t="inlineStr"/>
      <c r="AO38" s="5" t="inlineStr"/>
      <c r="AP38" s="5" t="inlineStr"/>
      <c r="AQ38" s="5" t="inlineStr"/>
      <c r="AR38" s="5" t="inlineStr"/>
      <c r="AS38" s="5" t="inlineStr"/>
      <c r="AT38" s="5" t="inlineStr"/>
      <c r="AU38" s="8" t="inlineStr">
        <is>
          <t>Not run</t>
        </is>
      </c>
    </row>
    <row r="39" ht="32" customHeight="1">
      <c r="A39" s="16" t="inlineStr">
        <is>
          <t>P-0038</t>
        </is>
      </c>
      <c r="B39" s="8" t="inlineStr">
        <is>
          <t>P</t>
        </is>
      </c>
      <c r="C39" s="5" t="inlineStr">
        <is>
          <t>Medical Shop</t>
        </is>
      </c>
      <c r="D39" s="5" t="inlineStr">
        <is>
          <t>Customer-to-Cash</t>
        </is>
      </c>
      <c r="E39" s="5" t="inlineStr">
        <is>
          <t>Sell medicines with batch information</t>
        </is>
      </c>
      <c r="F39" s="5" t="inlineStr">
        <is>
          <t>Pharmacist</t>
        </is>
      </c>
      <c r="G39" s="5" t="inlineStr">
        <is>
          <t>Patient / Retail Customer</t>
        </is>
      </c>
      <c r="H39" s="5" t="inlineStr">
        <is>
          <t>Dispense prescription/OTC medicines with mandatory batch number, expiry date, and MRP printed on bill</t>
        </is>
      </c>
      <c r="I39" s="5" t="inlineStr">
        <is>
          <t>Decrements specific BatchLot stock; captures batch and expiry on SalesItem for statutory traceability</t>
        </is>
      </c>
      <c r="J39" s="19" t="inlineStr">
        <is>
          <t>P0</t>
        </is>
      </c>
      <c r="K39" s="20" t="inlineStr">
        <is>
          <t>Validated (Supported)</t>
        </is>
      </c>
      <c r="L39" s="5" t="inlineStr">
        <is>
          <t>Supported via /pos and /sales/invoices/ with batch-selector popup and FEFO pre-selection.</t>
        </is>
      </c>
      <c r="M39" s="8" t="inlineStr">
        <is>
          <t>Baseline</t>
        </is>
      </c>
      <c r="N39" s="8" t="inlineStr">
        <is>
          <t>Operational role</t>
        </is>
      </c>
      <c r="O39" s="8" t="inlineStr">
        <is>
          <t>P0</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Core</t>
        </is>
      </c>
      <c r="Y39" s="5" t="inlineStr">
        <is>
          <t>Owner</t>
        </is>
      </c>
      <c r="Z39" s="5" t="inlineStr">
        <is>
          <t>Medium</t>
        </is>
      </c>
      <c r="AA39" s="5" t="inlineStr">
        <is>
          <t>Medium</t>
        </is>
      </c>
      <c r="AB39" s="8" t="inlineStr">
        <is>
          <t>Low</t>
        </is>
      </c>
      <c r="AC39" s="8" t="inlineStr">
        <is>
          <t>MVP</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P0</t>
        </is>
      </c>
      <c r="AL39" s="8" t="n">
        <v>6</v>
      </c>
      <c r="AM39" s="5" t="inlineStr"/>
      <c r="AN39" s="5" t="inlineStr"/>
      <c r="AO39" s="5" t="inlineStr"/>
      <c r="AP39" s="5" t="inlineStr"/>
      <c r="AQ39" s="5" t="inlineStr"/>
      <c r="AR39" s="5" t="inlineStr"/>
      <c r="AS39" s="5" t="inlineStr"/>
      <c r="AT39" s="5" t="inlineStr"/>
      <c r="AU39" s="8" t="inlineStr">
        <is>
          <t>Not run</t>
        </is>
      </c>
    </row>
    <row r="40" ht="32" customHeight="1">
      <c r="A40" s="16" t="inlineStr">
        <is>
          <t>P-0039</t>
        </is>
      </c>
      <c r="B40" s="8" t="inlineStr">
        <is>
          <t>P</t>
        </is>
      </c>
      <c r="C40" s="5" t="inlineStr">
        <is>
          <t>Medical Shop</t>
        </is>
      </c>
      <c r="D40" s="5" t="inlineStr">
        <is>
          <t>Inventory Lifecycle</t>
        </is>
      </c>
      <c r="E40" s="5" t="inlineStr">
        <is>
          <t>Track batch-wise inventory</t>
        </is>
      </c>
      <c r="F40" s="5" t="inlineStr">
        <is>
          <t>Pharmacist / Inventory Staff</t>
        </is>
      </c>
      <c r="G40" s="5" t="inlineStr">
        <is>
          <t>Drug Inspector</t>
        </is>
      </c>
      <c r="H40" s="5" t="inlineStr">
        <is>
          <t>Maintain complete stock balances segregated by individual manufacturer batch lots</t>
        </is>
      </c>
      <c r="I40" s="5" t="inlineStr">
        <is>
          <t>Maintains BatchLot records linked to Product; tracks quantity, inward date, and cost per batch</t>
        </is>
      </c>
      <c r="J40" s="19" t="inlineStr">
        <is>
          <t>P0</t>
        </is>
      </c>
      <c r="K40" s="20" t="inlineStr">
        <is>
          <t>Validated (Supported)</t>
        </is>
      </c>
      <c r="L40" s="5" t="inlineStr">
        <is>
          <t>Supported via BatchLot and StockBalance models with batch-level audit history.</t>
        </is>
      </c>
      <c r="M40" s="8" t="inlineStr">
        <is>
          <t>Baseline</t>
        </is>
      </c>
      <c r="N40" s="8" t="inlineStr">
        <is>
          <t>Operational role</t>
        </is>
      </c>
      <c r="O40" s="8" t="inlineStr">
        <is>
          <t>P0</t>
        </is>
      </c>
      <c r="P40" s="5" t="inlineStr">
        <is>
          <t>Unchanged</t>
        </is>
      </c>
      <c r="Q40" s="21" t="inlineStr">
        <is>
          <t>Code symbol found</t>
        </is>
      </c>
      <c r="R40" s="5" t="inlineStr">
        <is>
          <t>Matched StockBalance in product code. This is not a functional test.</t>
        </is>
      </c>
      <c r="S40" s="8" t="inlineStr">
        <is>
          <t>INV</t>
        </is>
      </c>
      <c r="T40" s="5" t="inlineStr">
        <is>
          <t>Inventory lifecycle</t>
        </is>
      </c>
      <c r="U40" s="8" t="inlineStr"/>
      <c r="V40" s="8" t="inlineStr">
        <is>
          <t>inventory</t>
        </is>
      </c>
      <c r="W40" s="8" t="inlineStr">
        <is>
          <t>RUN</t>
        </is>
      </c>
      <c r="X40" s="5" t="inlineStr">
        <is>
          <t>Core</t>
        </is>
      </c>
      <c r="Y40" s="5" t="inlineStr">
        <is>
          <t>Owner</t>
        </is>
      </c>
      <c r="Z40" s="5" t="inlineStr">
        <is>
          <t>High</t>
        </is>
      </c>
      <c r="AA40" s="5" t="inlineStr">
        <is>
          <t>High</t>
        </is>
      </c>
      <c r="AB40" s="8" t="inlineStr">
        <is>
          <t>Low</t>
        </is>
      </c>
      <c r="AC40" s="8" t="inlineStr">
        <is>
          <t>MVP</t>
        </is>
      </c>
      <c r="AD40" s="5" t="inlineStr">
        <is>
          <t>Cited in code</t>
        </is>
      </c>
      <c r="AE40" s="5" t="inlineStr">
        <is>
          <t>Not verified</t>
        </is>
      </c>
      <c r="AF40" s="5" t="inlineStr">
        <is>
          <t>Not verified</t>
        </is>
      </c>
      <c r="AG40" s="5" t="inlineStr">
        <is>
          <t>Not verified</t>
        </is>
      </c>
      <c r="AH40" s="5" t="inlineStr">
        <is>
          <t>Not verified</t>
        </is>
      </c>
      <c r="AI40" s="8" t="inlineStr">
        <is>
          <t>No</t>
        </is>
      </c>
      <c r="AJ40" s="8" t="inlineStr">
        <is>
          <t>Built - unverified</t>
        </is>
      </c>
      <c r="AK40" s="8" t="inlineStr">
        <is>
          <t>P0</t>
        </is>
      </c>
      <c r="AL40" s="8" t="n">
        <v>9</v>
      </c>
      <c r="AM40" s="5" t="inlineStr"/>
      <c r="AN40" s="5" t="inlineStr"/>
      <c r="AO40" s="5" t="inlineStr"/>
      <c r="AP40" s="5" t="inlineStr"/>
      <c r="AQ40" s="5" t="inlineStr"/>
      <c r="AR40" s="5" t="inlineStr"/>
      <c r="AS40" s="5" t="inlineStr"/>
      <c r="AT40" s="5" t="inlineStr"/>
      <c r="AU40" s="8" t="inlineStr">
        <is>
          <t>Not run</t>
        </is>
      </c>
    </row>
    <row r="41" ht="32" customHeight="1">
      <c r="A41" s="16" t="inlineStr">
        <is>
          <t>P-0040</t>
        </is>
      </c>
      <c r="B41" s="8" t="inlineStr">
        <is>
          <t>P</t>
        </is>
      </c>
      <c r="C41" s="5" t="inlineStr">
        <is>
          <t>Medical Shop</t>
        </is>
      </c>
      <c r="D41" s="5" t="inlineStr">
        <is>
          <t>Inventory Lifecycle</t>
        </is>
      </c>
      <c r="E41" s="5" t="inlineStr">
        <is>
          <t>Track expiry dates</t>
        </is>
      </c>
      <c r="F41" s="5" t="inlineStr">
        <is>
          <t>Pharmacist</t>
        </is>
      </c>
      <c r="G41" s="5" t="inlineStr">
        <is>
          <t>Supplier</t>
        </is>
      </c>
      <c r="H41" s="5" t="inlineStr">
        <is>
          <t>Active monitoring of shelf-life across all pharmaceutical batches</t>
        </is>
      </c>
      <c r="I41" s="5" t="inlineStr">
        <is>
          <t>Categorizes stock into Expiry Bands (&gt;180 days, 90-180 days, &lt;90 days, Expired)</t>
        </is>
      </c>
      <c r="J41" s="19" t="inlineStr">
        <is>
          <t>P0</t>
        </is>
      </c>
      <c r="K41" s="20" t="inlineStr">
        <is>
          <t>Validated (Supported)</t>
        </is>
      </c>
      <c r="L41" s="5" t="inlineStr">
        <is>
          <t>Supported via /inventory/expiry-alerts/ with color-coded expiry countdowns.</t>
        </is>
      </c>
      <c r="M41" s="8" t="inlineStr">
        <is>
          <t>Baseline</t>
        </is>
      </c>
      <c r="N41" s="8" t="inlineStr">
        <is>
          <t>Operational role</t>
        </is>
      </c>
      <c r="O41" s="8" t="inlineStr">
        <is>
          <t>P0</t>
        </is>
      </c>
      <c r="P41" s="5" t="inlineStr">
        <is>
          <t>Unchanged</t>
        </is>
      </c>
      <c r="Q41" s="20" t="inlineStr">
        <is>
          <t>Author assertion</t>
        </is>
      </c>
      <c r="R41" s="5" t="inlineStr"/>
      <c r="S41" s="8" t="inlineStr">
        <is>
          <t>INV</t>
        </is>
      </c>
      <c r="T41" s="5" t="inlineStr">
        <is>
          <t>Inventory lifecycle</t>
        </is>
      </c>
      <c r="U41" s="8" t="inlineStr"/>
      <c r="V41" s="8" t="inlineStr">
        <is>
          <t>inventory</t>
        </is>
      </c>
      <c r="W41" s="8" t="inlineStr">
        <is>
          <t>RUN</t>
        </is>
      </c>
      <c r="X41" s="5" t="inlineStr">
        <is>
          <t>Core</t>
        </is>
      </c>
      <c r="Y41" s="5" t="inlineStr">
        <is>
          <t>Owner</t>
        </is>
      </c>
      <c r="Z41" s="5" t="inlineStr">
        <is>
          <t>High</t>
        </is>
      </c>
      <c r="AA41" s="5" t="inlineStr">
        <is>
          <t>High</t>
        </is>
      </c>
      <c r="AB41" s="8" t="inlineStr">
        <is>
          <t>Low</t>
        </is>
      </c>
      <c r="AC41" s="8" t="inlineStr">
        <is>
          <t>MVP</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P0</t>
        </is>
      </c>
      <c r="AL41" s="8" t="n">
        <v>9</v>
      </c>
      <c r="AM41" s="5" t="inlineStr"/>
      <c r="AN41" s="5" t="inlineStr"/>
      <c r="AO41" s="5" t="inlineStr"/>
      <c r="AP41" s="5" t="inlineStr"/>
      <c r="AQ41" s="5" t="inlineStr"/>
      <c r="AR41" s="5" t="inlineStr"/>
      <c r="AS41" s="5" t="inlineStr"/>
      <c r="AT41" s="5" t="inlineStr"/>
      <c r="AU41" s="8" t="inlineStr">
        <is>
          <t>Not run</t>
        </is>
      </c>
    </row>
    <row r="42" ht="32" customHeight="1">
      <c r="A42" s="16" t="inlineStr">
        <is>
          <t>P-0041</t>
        </is>
      </c>
      <c r="B42" s="8" t="inlineStr">
        <is>
          <t>P</t>
        </is>
      </c>
      <c r="C42" s="5" t="inlineStr">
        <is>
          <t>Medical Shop</t>
        </is>
      </c>
      <c r="D42" s="5" t="inlineStr">
        <is>
          <t>Inventory Lifecycle</t>
        </is>
      </c>
      <c r="E42" s="5" t="inlineStr">
        <is>
          <t>Flag/prevent expired-stock sales</t>
        </is>
      </c>
      <c r="F42" s="5" t="inlineStr">
        <is>
          <t>Pharmacist</t>
        </is>
      </c>
      <c r="G42" s="5" t="inlineStr">
        <is>
          <t>Drug Inspector / Regulatory Authority</t>
        </is>
      </c>
      <c r="H42" s="5" t="inlineStr">
        <is>
          <t>Strict system block preventing billing of medicines past their statutory expiration date</t>
        </is>
      </c>
      <c r="I42" s="5" t="inlineStr">
        <is>
          <t>Validates item expiry against transaction date; hard-blocks invoice completion if expired</t>
        </is>
      </c>
      <c r="J42" s="19" t="inlineStr">
        <is>
          <t>P0</t>
        </is>
      </c>
      <c r="K42" s="20" t="inlineStr">
        <is>
          <t>Validated (Supported)</t>
        </is>
      </c>
      <c r="L42" s="5" t="inlineStr">
        <is>
          <t>Core system invariant: billing expired BatchLot raises ValidationError and disables checkout.</t>
        </is>
      </c>
      <c r="M42" s="8" t="inlineStr">
        <is>
          <t>Baseline</t>
        </is>
      </c>
      <c r="N42" s="8" t="inlineStr">
        <is>
          <t>Operational role</t>
        </is>
      </c>
      <c r="O42" s="8" t="inlineStr">
        <is>
          <t>P0</t>
        </is>
      </c>
      <c r="P42" s="5" t="inlineStr">
        <is>
          <t>Unchanged</t>
        </is>
      </c>
      <c r="Q42" s="21" t="inlineStr">
        <is>
          <t>Code symbol found</t>
        </is>
      </c>
      <c r="R42" s="5" t="inlineStr">
        <is>
          <t>Matched ValidationError in product code. This is not a functional test.</t>
        </is>
      </c>
      <c r="S42" s="8" t="inlineStr">
        <is>
          <t>INV</t>
        </is>
      </c>
      <c r="T42" s="5" t="inlineStr">
        <is>
          <t>Inventory lifecycle</t>
        </is>
      </c>
      <c r="U42" s="8" t="inlineStr"/>
      <c r="V42" s="8" t="inlineStr">
        <is>
          <t>inventory</t>
        </is>
      </c>
      <c r="W42" s="8" t="inlineStr">
        <is>
          <t>RUN</t>
        </is>
      </c>
      <c r="X42" s="5" t="inlineStr">
        <is>
          <t>Core</t>
        </is>
      </c>
      <c r="Y42" s="5" t="inlineStr">
        <is>
          <t>Owner</t>
        </is>
      </c>
      <c r="Z42" s="5" t="inlineStr">
        <is>
          <t>High</t>
        </is>
      </c>
      <c r="AA42" s="5" t="inlineStr">
        <is>
          <t>High</t>
        </is>
      </c>
      <c r="AB42" s="8" t="inlineStr">
        <is>
          <t>Low</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9</v>
      </c>
      <c r="AM42" s="5" t="inlineStr"/>
      <c r="AN42" s="5" t="inlineStr"/>
      <c r="AO42" s="5" t="inlineStr"/>
      <c r="AP42" s="5" t="inlineStr"/>
      <c r="AQ42" s="5" t="inlineStr"/>
      <c r="AR42" s="5" t="inlineStr"/>
      <c r="AS42" s="5" t="inlineStr"/>
      <c r="AT42" s="5" t="inlineStr"/>
      <c r="AU42" s="8" t="inlineStr">
        <is>
          <t>Not run</t>
        </is>
      </c>
    </row>
    <row r="43" ht="32" customHeight="1">
      <c r="A43" s="16" t="inlineStr">
        <is>
          <t>P-0042</t>
        </is>
      </c>
      <c r="B43" s="8" t="inlineStr">
        <is>
          <t>P</t>
        </is>
      </c>
      <c r="C43" s="5" t="inlineStr">
        <is>
          <t>Medical Shop</t>
        </is>
      </c>
      <c r="D43" s="5" t="inlineStr">
        <is>
          <t>Inventory Lifecycle</t>
        </is>
      </c>
      <c r="E43" s="5" t="inlineStr">
        <is>
          <t>Identify near-expiry inventory</t>
        </is>
      </c>
      <c r="F43" s="5" t="inlineStr">
        <is>
          <t>Pharmacist</t>
        </is>
      </c>
      <c r="G43" s="5" t="inlineStr">
        <is>
          <t>Pharma Distributor</t>
        </is>
      </c>
      <c r="H43" s="5" t="inlineStr">
        <is>
          <t>Identify medicines nearing expiry (30/60/90 days) to initiate vendor return for credit</t>
        </is>
      </c>
      <c r="I43" s="5" t="inlineStr">
        <is>
          <t>Generates near-expiry stock report with vendor details for return debit note processing</t>
        </is>
      </c>
      <c r="J43" s="20" t="inlineStr">
        <is>
          <t>P1</t>
        </is>
      </c>
      <c r="K43" s="20" t="inlineStr">
        <is>
          <t>Validated (Supported)</t>
        </is>
      </c>
      <c r="L43" s="5" t="inlineStr">
        <is>
          <t>Supported via /inventory/expiry-alerts/ with 'Prepare Return to Vendor' batch action.</t>
        </is>
      </c>
      <c r="M43" s="8" t="inlineStr">
        <is>
          <t>Baseline</t>
        </is>
      </c>
      <c r="N43" s="8" t="inlineStr">
        <is>
          <t>Operational role</t>
        </is>
      </c>
      <c r="O43" s="8" t="inlineStr">
        <is>
          <t>P1</t>
        </is>
      </c>
      <c r="P43" s="5" t="inlineStr">
        <is>
          <t>Unchanged</t>
        </is>
      </c>
      <c r="Q43" s="20" t="inlineStr">
        <is>
          <t>Author assertion</t>
        </is>
      </c>
      <c r="R43" s="5" t="inlineStr"/>
      <c r="S43" s="8" t="inlineStr">
        <is>
          <t>INV</t>
        </is>
      </c>
      <c r="T43" s="5" t="inlineStr">
        <is>
          <t>Inventory lifecycle</t>
        </is>
      </c>
      <c r="U43" s="8" t="inlineStr"/>
      <c r="V43" s="8" t="inlineStr">
        <is>
          <t>inventory</t>
        </is>
      </c>
      <c r="W43" s="8" t="inlineStr">
        <is>
          <t>RUN</t>
        </is>
      </c>
      <c r="X43" s="5" t="inlineStr">
        <is>
          <t>Core</t>
        </is>
      </c>
      <c r="Y43" s="5" t="inlineStr">
        <is>
          <t>Owner</t>
        </is>
      </c>
      <c r="Z43" s="5" t="inlineStr">
        <is>
          <t>High</t>
        </is>
      </c>
      <c r="AA43" s="5" t="inlineStr">
        <is>
          <t>High</t>
        </is>
      </c>
      <c r="AB43" s="8" t="inlineStr">
        <is>
          <t>Low</t>
        </is>
      </c>
      <c r="AC43" s="8" t="inlineStr">
        <is>
          <t>Pilot</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P1</t>
        </is>
      </c>
      <c r="AL43" s="8" t="n">
        <v>9</v>
      </c>
      <c r="AM43" s="5" t="inlineStr"/>
      <c r="AN43" s="5" t="inlineStr"/>
      <c r="AO43" s="5" t="inlineStr"/>
      <c r="AP43" s="5" t="inlineStr"/>
      <c r="AQ43" s="5" t="inlineStr"/>
      <c r="AR43" s="5" t="inlineStr"/>
      <c r="AS43" s="5" t="inlineStr"/>
      <c r="AT43" s="5" t="inlineStr"/>
      <c r="AU43" s="8" t="inlineStr">
        <is>
          <t>Not run</t>
        </is>
      </c>
    </row>
    <row r="44" ht="32" customHeight="1">
      <c r="A44" s="16" t="inlineStr">
        <is>
          <t>P-0043</t>
        </is>
      </c>
      <c r="B44" s="8" t="inlineStr">
        <is>
          <t>P</t>
        </is>
      </c>
      <c r="C44" s="5" t="inlineStr">
        <is>
          <t>Medical Shop</t>
        </is>
      </c>
      <c r="D44" s="5" t="inlineStr">
        <is>
          <t>Procure-to-Pay</t>
        </is>
      </c>
      <c r="E44" s="5" t="inlineStr">
        <is>
          <t>Record purchases by batch</t>
        </is>
      </c>
      <c r="F44" s="5" t="inlineStr">
        <is>
          <t>Pharmacist / Store Manager</t>
        </is>
      </c>
      <c r="G44" s="5" t="inlineStr">
        <is>
          <t>Pharma Wholesaler</t>
        </is>
      </c>
      <c r="H44" s="5" t="inlineStr">
        <is>
          <t>Inward medicine purchases capturing manufacturer batch number, manufacturing date, expiry date, and MRP</t>
        </is>
      </c>
      <c r="I44" s="5" t="inlineStr">
        <is>
          <t>Creates or updates BatchLot records; increments batch quantity and updates latest purchase rate</t>
        </is>
      </c>
      <c r="J44" s="19" t="inlineStr">
        <is>
          <t>P0</t>
        </is>
      </c>
      <c r="K44" s="20" t="inlineStr">
        <is>
          <t>Validated (Supported)</t>
        </is>
      </c>
      <c r="L44" s="5" t="inlineStr">
        <is>
          <t>Supported via /purchases/invoices/create with batch lot table inputs per line item.</t>
        </is>
      </c>
      <c r="M44" s="8" t="inlineStr">
        <is>
          <t>Baseline</t>
        </is>
      </c>
      <c r="N44" s="8" t="inlineStr">
        <is>
          <t>Operational role</t>
        </is>
      </c>
      <c r="O44" s="8" t="inlineStr">
        <is>
          <t>P0</t>
        </is>
      </c>
      <c r="P44" s="5" t="inlineStr">
        <is>
          <t>Unchanged</t>
        </is>
      </c>
      <c r="Q44" s="20" t="inlineStr">
        <is>
          <t>Author assertion</t>
        </is>
      </c>
      <c r="R44" s="5" t="inlineStr"/>
      <c r="S44" s="8" t="inlineStr">
        <is>
          <t>P2P</t>
        </is>
      </c>
      <c r="T44" s="5" t="inlineStr">
        <is>
          <t>Procure to pay</t>
        </is>
      </c>
      <c r="U44" s="8" t="inlineStr"/>
      <c r="V44" s="8" t="inlineStr">
        <is>
          <t>purchases</t>
        </is>
      </c>
      <c r="W44" s="8" t="inlineStr">
        <is>
          <t>RUN</t>
        </is>
      </c>
      <c r="X44" s="5" t="inlineStr">
        <is>
          <t>Core</t>
        </is>
      </c>
      <c r="Y44" s="5" t="inlineStr">
        <is>
          <t>Owner</t>
        </is>
      </c>
      <c r="Z44" s="5" t="inlineStr">
        <is>
          <t>Medium</t>
        </is>
      </c>
      <c r="AA44" s="5" t="inlineStr">
        <is>
          <t>Medium</t>
        </is>
      </c>
      <c r="AB44" s="8" t="inlineStr">
        <is>
          <t>Low</t>
        </is>
      </c>
      <c r="AC44" s="8" t="inlineStr">
        <is>
          <t>MVP</t>
        </is>
      </c>
      <c r="AD44" s="5" t="inlineStr">
        <is>
          <t>Not independently checked</t>
        </is>
      </c>
      <c r="AE44" s="5" t="inlineStr">
        <is>
          <t>Not verified</t>
        </is>
      </c>
      <c r="AF44" s="5" t="inlineStr">
        <is>
          <t>Not verified</t>
        </is>
      </c>
      <c r="AG44" s="5" t="inlineStr">
        <is>
          <t>Not verified</t>
        </is>
      </c>
      <c r="AH44" s="5" t="inlineStr">
        <is>
          <t>Not verified</t>
        </is>
      </c>
      <c r="AI44" s="8" t="inlineStr">
        <is>
          <t>No</t>
        </is>
      </c>
      <c r="AJ44" s="8" t="inlineStr">
        <is>
          <t>Claimed - unverified</t>
        </is>
      </c>
      <c r="AK44" s="8" t="inlineStr">
        <is>
          <t>P0</t>
        </is>
      </c>
      <c r="AL44" s="8" t="n">
        <v>6</v>
      </c>
      <c r="AM44" s="5" t="inlineStr"/>
      <c r="AN44" s="5" t="inlineStr"/>
      <c r="AO44" s="5" t="inlineStr"/>
      <c r="AP44" s="5" t="inlineStr"/>
      <c r="AQ44" s="5" t="inlineStr"/>
      <c r="AR44" s="5" t="inlineStr"/>
      <c r="AS44" s="5" t="inlineStr"/>
      <c r="AT44" s="5" t="inlineStr"/>
      <c r="AU44" s="8" t="inlineStr">
        <is>
          <t>Not run</t>
        </is>
      </c>
    </row>
    <row r="45" ht="32" customHeight="1">
      <c r="A45" s="16" t="inlineStr">
        <is>
          <t>P-0044</t>
        </is>
      </c>
      <c r="B45" s="8" t="inlineStr">
        <is>
          <t>P</t>
        </is>
      </c>
      <c r="C45" s="5" t="inlineStr">
        <is>
          <t>Medical Shop</t>
        </is>
      </c>
      <c r="D45" s="5" t="inlineStr">
        <is>
          <t>Inventory Lifecycle</t>
        </is>
      </c>
      <c r="E45" s="5" t="inlineStr">
        <is>
          <t>Track medicine stock</t>
        </is>
      </c>
      <c r="F45" s="5" t="inlineStr">
        <is>
          <t>Pharmacist</t>
        </is>
      </c>
      <c r="G45" s="5" t="inlineStr">
        <is>
          <t>None</t>
        </is>
      </c>
      <c r="H45" s="5" t="inlineStr">
        <is>
          <t>Maintain real-time available stock of strips, syrups, vials, and schedule drugs</t>
        </is>
      </c>
      <c r="I45" s="5" t="inlineStr">
        <is>
          <t>Maintains perpetual inventory ledger; prevents stockouts of life-saving medicines</t>
        </is>
      </c>
      <c r="J45" s="20" t="inlineStr">
        <is>
          <t>P1</t>
        </is>
      </c>
      <c r="K45" s="20" t="inlineStr">
        <is>
          <t>Validated (Supported)</t>
        </is>
      </c>
      <c r="L45" s="5" t="inlineStr">
        <is>
          <t>Supported via /inventory/products/ with multi-unit packaging support (Strip / Tablet).</t>
        </is>
      </c>
      <c r="M45" s="8" t="inlineStr">
        <is>
          <t>Baseline</t>
        </is>
      </c>
      <c r="N45" s="8" t="inlineStr">
        <is>
          <t>Operational role</t>
        </is>
      </c>
      <c r="O45" s="8" t="inlineStr">
        <is>
          <t>P1</t>
        </is>
      </c>
      <c r="P45" s="5" t="inlineStr">
        <is>
          <t>Unchanged</t>
        </is>
      </c>
      <c r="Q45" s="20" t="inlineStr">
        <is>
          <t>Author assertion</t>
        </is>
      </c>
      <c r="R45" s="5" t="inlineStr"/>
      <c r="S45" s="8" t="inlineStr">
        <is>
          <t>INV</t>
        </is>
      </c>
      <c r="T45" s="5" t="inlineStr">
        <is>
          <t>Inventory lifecycle</t>
        </is>
      </c>
      <c r="U45" s="8" t="inlineStr"/>
      <c r="V45" s="8" t="inlineStr">
        <is>
          <t>inventory</t>
        </is>
      </c>
      <c r="W45" s="8" t="inlineStr">
        <is>
          <t>RUN</t>
        </is>
      </c>
      <c r="X45" s="5" t="inlineStr">
        <is>
          <t>Core</t>
        </is>
      </c>
      <c r="Y45" s="5" t="inlineStr">
        <is>
          <t>Owner</t>
        </is>
      </c>
      <c r="Z45" s="5" t="inlineStr">
        <is>
          <t>High</t>
        </is>
      </c>
      <c r="AA45" s="5" t="inlineStr">
        <is>
          <t>High</t>
        </is>
      </c>
      <c r="AB45" s="8" t="inlineStr">
        <is>
          <t>Low</t>
        </is>
      </c>
      <c r="AC45" s="8" t="inlineStr">
        <is>
          <t>Pilot</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P1</t>
        </is>
      </c>
      <c r="AL45" s="8" t="n">
        <v>9</v>
      </c>
      <c r="AM45" s="5" t="inlineStr"/>
      <c r="AN45" s="5" t="inlineStr"/>
      <c r="AO45" s="5" t="inlineStr"/>
      <c r="AP45" s="5" t="inlineStr"/>
      <c r="AQ45" s="5" t="inlineStr"/>
      <c r="AR45" s="5" t="inlineStr"/>
      <c r="AS45" s="5" t="inlineStr"/>
      <c r="AT45" s="5" t="inlineStr"/>
      <c r="AU45" s="8" t="inlineStr">
        <is>
          <t>Not run</t>
        </is>
      </c>
    </row>
    <row r="46" ht="32" customHeight="1">
      <c r="A46" s="16" t="inlineStr">
        <is>
          <t>P-0045</t>
        </is>
      </c>
      <c r="B46" s="8" t="inlineStr">
        <is>
          <t>P</t>
        </is>
      </c>
      <c r="C46" s="5" t="inlineStr">
        <is>
          <t>Medical Shop</t>
        </is>
      </c>
      <c r="D46" s="5" t="inlineStr">
        <is>
          <t>Returns / Complaints / After-Sales</t>
        </is>
      </c>
      <c r="E46" s="5" t="inlineStr">
        <is>
          <t>Handle medicine returns</t>
        </is>
      </c>
      <c r="F46" s="5" t="inlineStr">
        <is>
          <t>Pharmacist</t>
        </is>
      </c>
      <c r="G46" s="5" t="inlineStr">
        <is>
          <t>Patient / Retail Customer</t>
        </is>
      </c>
      <c r="H46" s="5" t="inlineStr">
        <is>
          <t>Accept patient returns of un-opened strips, verify batch identity, and issue credit/refund</t>
        </is>
      </c>
      <c r="I46" s="5" t="inlineStr">
        <is>
          <t>Validates that returned batch was originally sold on referenced invoice; restores batch stock</t>
        </is>
      </c>
      <c r="J46" s="20" t="inlineStr">
        <is>
          <t>P1</t>
        </is>
      </c>
      <c r="K46" s="20" t="inlineStr">
        <is>
          <t>Validated (Supported)</t>
        </is>
      </c>
      <c r="L46" s="5" t="inlineStr">
        <is>
          <t>Supported via SalesReturn with mandatory batch lot selection and condition grading.</t>
        </is>
      </c>
      <c r="M46" s="8" t="inlineStr">
        <is>
          <t>Baseline</t>
        </is>
      </c>
      <c r="N46" s="8" t="inlineStr">
        <is>
          <t>Operational role</t>
        </is>
      </c>
      <c r="O46" s="8" t="inlineStr">
        <is>
          <t>P1</t>
        </is>
      </c>
      <c r="P46" s="5" t="inlineStr">
        <is>
          <t>Unchanged</t>
        </is>
      </c>
      <c r="Q46" s="21" t="inlineStr">
        <is>
          <t>Code symbol found</t>
        </is>
      </c>
      <c r="R46" s="5" t="inlineStr">
        <is>
          <t>Matched SalesReturn in product code. This is not a functional test.</t>
        </is>
      </c>
      <c r="S46" s="8" t="inlineStr">
        <is>
          <t>RET</t>
        </is>
      </c>
      <c r="T46" s="5" t="inlineStr">
        <is>
          <t>Returns, complaints, and after-sales</t>
        </is>
      </c>
      <c r="U46" s="8" t="inlineStr"/>
      <c r="V46" s="8" t="inlineStr">
        <is>
          <t>sales</t>
        </is>
      </c>
      <c r="W46" s="8" t="inlineStr">
        <is>
          <t>RUN</t>
        </is>
      </c>
      <c r="X46" s="5" t="inlineStr">
        <is>
          <t>Core</t>
        </is>
      </c>
      <c r="Y46" s="5" t="inlineStr">
        <is>
          <t>Owner</t>
        </is>
      </c>
      <c r="Z46" s="5" t="inlineStr">
        <is>
          <t>Medium</t>
        </is>
      </c>
      <c r="AA46" s="5" t="inlineStr">
        <is>
          <t>Medium</t>
        </is>
      </c>
      <c r="AB46" s="8" t="inlineStr">
        <is>
          <t>Low</t>
        </is>
      </c>
      <c r="AC46" s="8" t="inlineStr">
        <is>
          <t>Pilot</t>
        </is>
      </c>
      <c r="AD46" s="5" t="inlineStr">
        <is>
          <t>Cited in code</t>
        </is>
      </c>
      <c r="AE46" s="5" t="inlineStr">
        <is>
          <t>Not verified</t>
        </is>
      </c>
      <c r="AF46" s="5" t="inlineStr">
        <is>
          <t>Not verified</t>
        </is>
      </c>
      <c r="AG46" s="5" t="inlineStr">
        <is>
          <t>Not verified</t>
        </is>
      </c>
      <c r="AH46" s="5" t="inlineStr">
        <is>
          <t>Not verified</t>
        </is>
      </c>
      <c r="AI46" s="8" t="inlineStr">
        <is>
          <t>No</t>
        </is>
      </c>
      <c r="AJ46" s="8" t="inlineStr">
        <is>
          <t>Built - unverified</t>
        </is>
      </c>
      <c r="AK46" s="8" t="inlineStr">
        <is>
          <t>P1</t>
        </is>
      </c>
      <c r="AL46" s="8" t="n">
        <v>6</v>
      </c>
      <c r="AM46" s="5" t="inlineStr"/>
      <c r="AN46" s="5" t="inlineStr"/>
      <c r="AO46" s="5" t="inlineStr"/>
      <c r="AP46" s="5" t="inlineStr"/>
      <c r="AQ46" s="5" t="inlineStr"/>
      <c r="AR46" s="5" t="inlineStr"/>
      <c r="AS46" s="5" t="inlineStr"/>
      <c r="AT46" s="5" t="inlineStr"/>
      <c r="AU46" s="8" t="inlineStr">
        <is>
          <t>Not run</t>
        </is>
      </c>
    </row>
    <row r="47" ht="32" customHeight="1">
      <c r="A47" s="16" t="inlineStr">
        <is>
          <t>P-0046</t>
        </is>
      </c>
      <c r="B47" s="8" t="inlineStr">
        <is>
          <t>P</t>
        </is>
      </c>
      <c r="C47" s="5" t="inlineStr">
        <is>
          <t>Medical Shop</t>
        </is>
      </c>
      <c r="D47" s="5" t="inlineStr">
        <is>
          <t>Customer-to-Cash</t>
        </is>
      </c>
      <c r="E47" s="5" t="inlineStr">
        <is>
          <t>Search medicines while billing</t>
        </is>
      </c>
      <c r="F47" s="5" t="inlineStr">
        <is>
          <t>Pharmacist</t>
        </is>
      </c>
      <c r="G47" s="5" t="inlineStr">
        <is>
          <t>Customer</t>
        </is>
      </c>
      <c r="H47" s="5" t="inlineStr">
        <is>
          <t>Rapid search by brand name, generic composition / salt name, or barcode during billing</t>
        </is>
      </c>
      <c r="I47" s="5" t="inlineStr">
        <is>
          <t>Queries product catalog and active batch lots; displays composition, manufacturer, and stock</t>
        </is>
      </c>
      <c r="J47" s="19" t="inlineStr">
        <is>
          <t>P0</t>
        </is>
      </c>
      <c r="K47" s="20" t="inlineStr">
        <is>
          <t>Validated (Supported)</t>
        </is>
      </c>
      <c r="L47" s="5" t="inlineStr">
        <is>
          <t>Supported via multi-field indexed search (brand, salt, manufacturer, barcode) on POS.</t>
        </is>
      </c>
      <c r="M47" s="8" t="inlineStr">
        <is>
          <t>Baseline</t>
        </is>
      </c>
      <c r="N47" s="8" t="inlineStr">
        <is>
          <t>Operational role</t>
        </is>
      </c>
      <c r="O47" s="8" t="inlineStr">
        <is>
          <t>P0</t>
        </is>
      </c>
      <c r="P47" s="5" t="inlineStr">
        <is>
          <t>Unchanged</t>
        </is>
      </c>
      <c r="Q47" s="20" t="inlineStr">
        <is>
          <t>Author assertion</t>
        </is>
      </c>
      <c r="R47" s="5" t="inlineStr"/>
      <c r="S47" s="8" t="inlineStr">
        <is>
          <t>C2C</t>
        </is>
      </c>
      <c r="T47" s="5" t="inlineStr">
        <is>
          <t>Customer to cash</t>
        </is>
      </c>
      <c r="U47" s="8" t="inlineStr"/>
      <c r="V47" s="8" t="inlineStr">
        <is>
          <t>sales</t>
        </is>
      </c>
      <c r="W47" s="8" t="inlineStr">
        <is>
          <t>RUN</t>
        </is>
      </c>
      <c r="X47" s="5" t="inlineStr">
        <is>
          <t>Core</t>
        </is>
      </c>
      <c r="Y47" s="5" t="inlineStr">
        <is>
          <t>Owner</t>
        </is>
      </c>
      <c r="Z47" s="5" t="inlineStr">
        <is>
          <t>Medium</t>
        </is>
      </c>
      <c r="AA47" s="5" t="inlineStr">
        <is>
          <t>Medium</t>
        </is>
      </c>
      <c r="AB47" s="8" t="inlineStr">
        <is>
          <t>Low</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6</v>
      </c>
      <c r="AM47" s="5" t="inlineStr"/>
      <c r="AN47" s="5" t="inlineStr"/>
      <c r="AO47" s="5" t="inlineStr"/>
      <c r="AP47" s="5" t="inlineStr"/>
      <c r="AQ47" s="5" t="inlineStr"/>
      <c r="AR47" s="5" t="inlineStr"/>
      <c r="AS47" s="5" t="inlineStr"/>
      <c r="AT47" s="5" t="inlineStr"/>
      <c r="AU47" s="8" t="inlineStr">
        <is>
          <t>Not run</t>
        </is>
      </c>
    </row>
    <row r="48" ht="32" customHeight="1">
      <c r="A48" s="16" t="inlineStr">
        <is>
          <t>P-0047</t>
        </is>
      </c>
      <c r="B48" s="8" t="inlineStr">
        <is>
          <t>P</t>
        </is>
      </c>
      <c r="C48" s="5" t="inlineStr">
        <is>
          <t>Medical Shop</t>
        </is>
      </c>
      <c r="D48" s="5" t="inlineStr">
        <is>
          <t>Master Data &amp; Authorization</t>
        </is>
      </c>
      <c r="E48" s="5" t="inlineStr">
        <is>
          <t>Maintain MRP and selling price</t>
        </is>
      </c>
      <c r="F48" s="5" t="inlineStr">
        <is>
          <t>Pharmacist</t>
        </is>
      </c>
      <c r="G48" s="5" t="inlineStr">
        <is>
          <t>Drug Price Regulator (NPPA)</t>
        </is>
      </c>
      <c r="H48" s="5" t="inlineStr">
        <is>
          <t>Enforce statutory Maximum Retail Price (MRP) compliance and apply pharmacy discounts</t>
        </is>
      </c>
      <c r="I48" s="5" t="inlineStr">
        <is>
          <t>Ensures selling price never exceeds statutory MRP; displays discount percentage clearly</t>
        </is>
      </c>
      <c r="J48" s="20" t="inlineStr">
        <is>
          <t>P1</t>
        </is>
      </c>
      <c r="K48" s="20" t="inlineStr">
        <is>
          <t>Validated (Supported)</t>
        </is>
      </c>
      <c r="L48" s="5" t="inlineStr">
        <is>
          <t>System validation rule: SP &lt;= MRP strictly enforced on all pharmaceutical SKUs.</t>
        </is>
      </c>
      <c r="M48" s="8" t="inlineStr">
        <is>
          <t>Baseline</t>
        </is>
      </c>
      <c r="N48" s="8" t="inlineStr">
        <is>
          <t>Operational role</t>
        </is>
      </c>
      <c r="O48" s="8" t="inlineStr">
        <is>
          <t>P1</t>
        </is>
      </c>
      <c r="P48" s="5" t="inlineStr">
        <is>
          <t>Unchanged</t>
        </is>
      </c>
      <c r="Q48" s="20" t="inlineStr">
        <is>
          <t>Author assertion</t>
        </is>
      </c>
      <c r="R48" s="5" t="inlineStr"/>
      <c r="S48" s="8" t="inlineStr">
        <is>
          <t>MASTER</t>
        </is>
      </c>
      <c r="T48" s="5" t="inlineStr">
        <is>
          <t>Master data and authorization</t>
        </is>
      </c>
      <c r="U48" s="8" t="inlineStr"/>
      <c r="V48" s="8" t="inlineStr">
        <is>
          <t>masters</t>
        </is>
      </c>
      <c r="W48" s="8" t="inlineStr">
        <is>
          <t>KERNEL</t>
        </is>
      </c>
      <c r="X48" s="5" t="inlineStr">
        <is>
          <t>Core</t>
        </is>
      </c>
      <c r="Y48" s="5" t="inlineStr">
        <is>
          <t>Owner</t>
        </is>
      </c>
      <c r="Z48" s="5" t="inlineStr">
        <is>
          <t>Medium</t>
        </is>
      </c>
      <c r="AA48" s="5" t="inlineStr">
        <is>
          <t>Medium</t>
        </is>
      </c>
      <c r="AB48" s="8" t="inlineStr">
        <is>
          <t>Low</t>
        </is>
      </c>
      <c r="AC48" s="8" t="inlineStr">
        <is>
          <t>Later</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P1</t>
        </is>
      </c>
      <c r="AL48" s="8" t="n">
        <v>6</v>
      </c>
      <c r="AM48" s="5" t="inlineStr"/>
      <c r="AN48" s="5" t="inlineStr"/>
      <c r="AO48" s="5" t="inlineStr"/>
      <c r="AP48" s="5" t="inlineStr"/>
      <c r="AQ48" s="5" t="inlineStr"/>
      <c r="AR48" s="5" t="inlineStr"/>
      <c r="AS48" s="5" t="inlineStr"/>
      <c r="AT48" s="5" t="inlineStr"/>
      <c r="AU48" s="8" t="inlineStr">
        <is>
          <t>Not run</t>
        </is>
      </c>
    </row>
    <row r="49" ht="32" customHeight="1">
      <c r="A49" s="16" t="inlineStr">
        <is>
          <t>P-0048</t>
        </is>
      </c>
      <c r="B49" s="8" t="inlineStr">
        <is>
          <t>P</t>
        </is>
      </c>
      <c r="C49" s="5" t="inlineStr">
        <is>
          <t>Medical Shop</t>
        </is>
      </c>
      <c r="D49" s="5" t="inlineStr">
        <is>
          <t>Procure-to-Pay</t>
        </is>
      </c>
      <c r="E49" s="5" t="inlineStr">
        <is>
          <t>Track supplier-wise purchases</t>
        </is>
      </c>
      <c r="F49" s="5" t="inlineStr">
        <is>
          <t>Pharmacist / Owner</t>
        </is>
      </c>
      <c r="G49" s="5" t="inlineStr">
        <is>
          <t>Pharma Distributor</t>
        </is>
      </c>
      <c r="H49" s="5" t="inlineStr">
        <is>
          <t>Track purchase volumes, credit terms, and payment history per pharmaceutical distributor</t>
        </is>
      </c>
      <c r="I49" s="5" t="inlineStr">
        <is>
          <t>Maintains supplier purchase register; enables reconciliation of distributor statements</t>
        </is>
      </c>
      <c r="J49" s="20" t="inlineStr">
        <is>
          <t>P1</t>
        </is>
      </c>
      <c r="K49" s="20" t="inlineStr">
        <is>
          <t>Validated (Supported)</t>
        </is>
      </c>
      <c r="L49" s="5" t="inlineStr">
        <is>
          <t>Supported via /purchases/suppliers/ with comprehensive statement ledger.</t>
        </is>
      </c>
      <c r="M49" s="8" t="inlineStr">
        <is>
          <t>Baseline</t>
        </is>
      </c>
      <c r="N49" s="8" t="inlineStr">
        <is>
          <t>Operational role</t>
        </is>
      </c>
      <c r="O49" s="8" t="inlineStr">
        <is>
          <t>P1</t>
        </is>
      </c>
      <c r="P49" s="5" t="inlineStr">
        <is>
          <t>Unchanged</t>
        </is>
      </c>
      <c r="Q49" s="20" t="inlineStr">
        <is>
          <t>Author assertion</t>
        </is>
      </c>
      <c r="R49" s="5" t="inlineStr"/>
      <c r="S49" s="8" t="inlineStr">
        <is>
          <t>P2P</t>
        </is>
      </c>
      <c r="T49" s="5" t="inlineStr">
        <is>
          <t>Procure to pay</t>
        </is>
      </c>
      <c r="U49" s="8" t="inlineStr"/>
      <c r="V49" s="8" t="inlineStr">
        <is>
          <t>purchases</t>
        </is>
      </c>
      <c r="W49" s="8" t="inlineStr">
        <is>
          <t>RUN</t>
        </is>
      </c>
      <c r="X49" s="5" t="inlineStr">
        <is>
          <t>Core</t>
        </is>
      </c>
      <c r="Y49" s="5" t="inlineStr">
        <is>
          <t>Owner</t>
        </is>
      </c>
      <c r="Z49" s="5" t="inlineStr">
        <is>
          <t>Medium</t>
        </is>
      </c>
      <c r="AA49" s="5" t="inlineStr">
        <is>
          <t>Medium</t>
        </is>
      </c>
      <c r="AB49" s="8" t="inlineStr">
        <is>
          <t>Low</t>
        </is>
      </c>
      <c r="AC49" s="8" t="inlineStr">
        <is>
          <t>Pilot</t>
        </is>
      </c>
      <c r="AD49" s="5" t="inlineStr">
        <is>
          <t>Not independently checked</t>
        </is>
      </c>
      <c r="AE49" s="5" t="inlineStr">
        <is>
          <t>Not verified</t>
        </is>
      </c>
      <c r="AF49" s="5" t="inlineStr">
        <is>
          <t>Not verified</t>
        </is>
      </c>
      <c r="AG49" s="5" t="inlineStr">
        <is>
          <t>Not verified</t>
        </is>
      </c>
      <c r="AH49" s="5" t="inlineStr">
        <is>
          <t>Not verified</t>
        </is>
      </c>
      <c r="AI49" s="8" t="inlineStr">
        <is>
          <t>No</t>
        </is>
      </c>
      <c r="AJ49" s="8" t="inlineStr">
        <is>
          <t>Claimed - unverified</t>
        </is>
      </c>
      <c r="AK49" s="8" t="inlineStr">
        <is>
          <t>P1</t>
        </is>
      </c>
      <c r="AL49" s="8" t="n">
        <v>6</v>
      </c>
      <c r="AM49" s="5" t="inlineStr"/>
      <c r="AN49" s="5" t="inlineStr"/>
      <c r="AO49" s="5" t="inlineStr"/>
      <c r="AP49" s="5" t="inlineStr"/>
      <c r="AQ49" s="5" t="inlineStr"/>
      <c r="AR49" s="5" t="inlineStr"/>
      <c r="AS49" s="5" t="inlineStr"/>
      <c r="AT49" s="5" t="inlineStr"/>
      <c r="AU49" s="8" t="inlineStr">
        <is>
          <t>Not run</t>
        </is>
      </c>
    </row>
    <row r="50" ht="32" customHeight="1">
      <c r="A50" s="16" t="inlineStr">
        <is>
          <t>P-0049</t>
        </is>
      </c>
      <c r="B50" s="8" t="inlineStr">
        <is>
          <t>P</t>
        </is>
      </c>
      <c r="C50" s="5" t="inlineStr">
        <is>
          <t>Medical Shop</t>
        </is>
      </c>
      <c r="D50" s="5" t="inlineStr">
        <is>
          <t>GST / Tax / Compliance</t>
        </is>
      </c>
      <c r="E50" s="5" t="inlineStr">
        <is>
          <t>Generate GST-compliant medicine invoices</t>
        </is>
      </c>
      <c r="F50" s="5" t="inlineStr">
        <is>
          <t>Pharmacist</t>
        </is>
      </c>
      <c r="G50" s="5" t="inlineStr">
        <is>
          <t>Patient / B2B Hospital Client</t>
        </is>
      </c>
      <c r="H50" s="5" t="inlineStr">
        <is>
          <t>Generate invoices with Drug Licence numbers (Form 20B/21B), HSN, batch, expiry, and GST split</t>
        </is>
      </c>
      <c r="I50" s="5" t="inlineStr">
        <is>
          <t>Renders statutory pharmacy invoice template compliant with Drugs and Cosmetics Act and GST rules</t>
        </is>
      </c>
      <c r="J50" s="19" t="inlineStr">
        <is>
          <t>P0</t>
        </is>
      </c>
      <c r="K50" s="20" t="inlineStr">
        <is>
          <t>Validated (Supported)</t>
        </is>
      </c>
      <c r="L50" s="5" t="inlineStr">
        <is>
          <t>Supported via specialized Pharmacy Invoice PDF template showing DL numbers and batch grid.</t>
        </is>
      </c>
      <c r="M50" s="8" t="inlineStr">
        <is>
          <t>Baseline</t>
        </is>
      </c>
      <c r="N50" s="8" t="inlineStr">
        <is>
          <t>Operational role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Owner</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P-0050</t>
        </is>
      </c>
      <c r="B51" s="8" t="inlineStr">
        <is>
          <t>P</t>
        </is>
      </c>
      <c r="C51" s="5" t="inlineStr">
        <is>
          <t>Medical Shop</t>
        </is>
      </c>
      <c r="D51" s="5" t="inlineStr">
        <is>
          <t>Inventory Lifecycle</t>
        </is>
      </c>
      <c r="E51" s="5" t="inlineStr">
        <is>
          <t>Identify expiry-risk stock</t>
        </is>
      </c>
      <c r="F51" s="5" t="inlineStr">
        <is>
          <t>Pharmacist / Owner</t>
        </is>
      </c>
      <c r="G51" s="5" t="inlineStr">
        <is>
          <t>Distributor</t>
        </is>
      </c>
      <c r="H51" s="5" t="inlineStr">
        <is>
          <t>Quantify total financial capital tied up in stock expiring within the next 90 days</t>
        </is>
      </c>
      <c r="I51" s="5" t="inlineStr">
        <is>
          <t>Calculates value at risk: SUM(Quantity * Cost Price) for all batches expiring within threshold</t>
        </is>
      </c>
      <c r="J51" s="20" t="inlineStr">
        <is>
          <t>P1</t>
        </is>
      </c>
      <c r="K51" s="20" t="inlineStr">
        <is>
          <t>Validated (Supported)</t>
        </is>
      </c>
      <c r="L51" s="5" t="inlineStr">
        <is>
          <t>Supported via Capital at Risk dashboard widget in Insights module.</t>
        </is>
      </c>
      <c r="M51" s="8" t="inlineStr">
        <is>
          <t>Baseline</t>
        </is>
      </c>
      <c r="N51" s="8" t="inlineStr">
        <is>
          <t>Operational role</t>
        </is>
      </c>
      <c r="O51" s="8" t="inlineStr">
        <is>
          <t>P1</t>
        </is>
      </c>
      <c r="P51" s="5" t="inlineStr">
        <is>
          <t>Unchanged</t>
        </is>
      </c>
      <c r="Q51" s="20" t="inlineStr">
        <is>
          <t>Author assertion</t>
        </is>
      </c>
      <c r="R51" s="5" t="inlineStr"/>
      <c r="S51" s="8" t="inlineStr">
        <is>
          <t>INV</t>
        </is>
      </c>
      <c r="T51" s="5" t="inlineStr">
        <is>
          <t>Inventory lifecycle</t>
        </is>
      </c>
      <c r="U51" s="8" t="inlineStr"/>
      <c r="V51" s="8" t="inlineStr">
        <is>
          <t>inventory</t>
        </is>
      </c>
      <c r="W51" s="8" t="inlineStr">
        <is>
          <t>RUN</t>
        </is>
      </c>
      <c r="X51" s="5" t="inlineStr">
        <is>
          <t>Core</t>
        </is>
      </c>
      <c r="Y51" s="5" t="inlineStr">
        <is>
          <t>Owner</t>
        </is>
      </c>
      <c r="Z51" s="5" t="inlineStr">
        <is>
          <t>High</t>
        </is>
      </c>
      <c r="AA51" s="5" t="inlineStr">
        <is>
          <t>High</t>
        </is>
      </c>
      <c r="AB51" s="8" t="inlineStr">
        <is>
          <t>Low</t>
        </is>
      </c>
      <c r="AC51" s="8" t="inlineStr">
        <is>
          <t>Pilot</t>
        </is>
      </c>
      <c r="AD51" s="5" t="inlineStr">
        <is>
          <t>Not independently checked</t>
        </is>
      </c>
      <c r="AE51" s="5" t="inlineStr">
        <is>
          <t>Not verified</t>
        </is>
      </c>
      <c r="AF51" s="5" t="inlineStr">
        <is>
          <t>Not verified</t>
        </is>
      </c>
      <c r="AG51" s="5" t="inlineStr">
        <is>
          <t>Not verified</t>
        </is>
      </c>
      <c r="AH51" s="5" t="inlineStr">
        <is>
          <t>Not verified</t>
        </is>
      </c>
      <c r="AI51" s="8" t="inlineStr">
        <is>
          <t>No</t>
        </is>
      </c>
      <c r="AJ51" s="8" t="inlineStr">
        <is>
          <t>Claimed - unverified</t>
        </is>
      </c>
      <c r="AK51" s="8" t="inlineStr">
        <is>
          <t>P1</t>
        </is>
      </c>
      <c r="AL51" s="8" t="n">
        <v>9</v>
      </c>
      <c r="AM51" s="5" t="inlineStr"/>
      <c r="AN51" s="5" t="inlineStr"/>
      <c r="AO51" s="5" t="inlineStr"/>
      <c r="AP51" s="5" t="inlineStr"/>
      <c r="AQ51" s="5" t="inlineStr"/>
      <c r="AR51" s="5" t="inlineStr"/>
      <c r="AS51" s="5" t="inlineStr"/>
      <c r="AT51" s="5" t="inlineStr"/>
      <c r="AU51" s="8" t="inlineStr">
        <is>
          <t>Not run</t>
        </is>
      </c>
    </row>
    <row r="52" ht="32" customHeight="1">
      <c r="A52" s="16" t="inlineStr">
        <is>
          <t>P-0051</t>
        </is>
      </c>
      <c r="B52" s="8" t="inlineStr">
        <is>
          <t>P</t>
        </is>
      </c>
      <c r="C52" s="5" t="inlineStr">
        <is>
          <t>Medical Shop</t>
        </is>
      </c>
      <c r="D52" s="5" t="inlineStr">
        <is>
          <t>Reporting &amp; Business Intelligence</t>
        </is>
      </c>
      <c r="E52" s="5" t="inlineStr">
        <is>
          <t>View profitability by item/category</t>
        </is>
      </c>
      <c r="F52" s="5" t="inlineStr">
        <is>
          <t>Medical Shop Owner</t>
        </is>
      </c>
      <c r="G52" s="5" t="inlineStr">
        <is>
          <t>None</t>
        </is>
      </c>
      <c r="H52" s="5" t="inlineStr">
        <is>
          <t>Analyze gross margins across ethical drugs, generic medicines, OTC products, and surgicals</t>
        </is>
      </c>
      <c r="I52" s="5" t="inlineStr">
        <is>
          <t>Aggregates sales revenue and cost of goods sold grouped by drug category and manufacturer</t>
        </is>
      </c>
      <c r="J52" s="22" t="inlineStr">
        <is>
          <t>P2</t>
        </is>
      </c>
      <c r="K52" s="20" t="inlineStr">
        <is>
          <t>Validated (Supported)</t>
        </is>
      </c>
      <c r="L52" s="5" t="inlineStr">
        <is>
          <t>Supported via Category Profitability report (/reports/category-margins/).</t>
        </is>
      </c>
      <c r="M52" s="8" t="inlineStr">
        <is>
          <t>Baseline</t>
        </is>
      </c>
      <c r="N52" s="8" t="inlineStr">
        <is>
          <t>Operational role</t>
        </is>
      </c>
      <c r="O52" s="8" t="inlineStr">
        <is>
          <t>P2</t>
        </is>
      </c>
      <c r="P52" s="5" t="inlineStr">
        <is>
          <t>Unchanged</t>
        </is>
      </c>
      <c r="Q52" s="20" t="inlineStr">
        <is>
          <t>Author assertion</t>
        </is>
      </c>
      <c r="R52" s="5" t="inlineStr"/>
      <c r="S52" s="8" t="inlineStr">
        <is>
          <t>RPT</t>
        </is>
      </c>
      <c r="T52" s="5" t="inlineStr">
        <is>
          <t>Reporting and business intelligence</t>
        </is>
      </c>
      <c r="U52" s="8" t="inlineStr"/>
      <c r="V52" s="8" t="inlineStr">
        <is>
          <t>reporting</t>
        </is>
      </c>
      <c r="W52" s="8" t="inlineStr">
        <is>
          <t>CONTROL</t>
        </is>
      </c>
      <c r="X52" s="5" t="inlineStr">
        <is>
          <t>Core</t>
        </is>
      </c>
      <c r="Y52" s="5" t="inlineStr">
        <is>
          <t>Owner</t>
        </is>
      </c>
      <c r="Z52" s="5" t="inlineStr">
        <is>
          <t>Medium</t>
        </is>
      </c>
      <c r="AA52" s="5" t="inlineStr">
        <is>
          <t>Medium</t>
        </is>
      </c>
      <c r="AB52" s="8" t="inlineStr">
        <is>
          <t>Low</t>
        </is>
      </c>
      <c r="AC52" s="8" t="inlineStr">
        <is>
          <t>Later</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P2</t>
        </is>
      </c>
      <c r="AL52" s="8" t="n">
        <v>6</v>
      </c>
      <c r="AM52" s="5" t="inlineStr"/>
      <c r="AN52" s="5" t="inlineStr"/>
      <c r="AO52" s="5" t="inlineStr"/>
      <c r="AP52" s="5" t="inlineStr"/>
      <c r="AQ52" s="5" t="inlineStr"/>
      <c r="AR52" s="5" t="inlineStr"/>
      <c r="AS52" s="5" t="inlineStr"/>
      <c r="AT52" s="5" t="inlineStr"/>
      <c r="AU52" s="8" t="inlineStr">
        <is>
          <t>Not run</t>
        </is>
      </c>
    </row>
    <row r="53" ht="32" customHeight="1">
      <c r="A53" s="16" t="inlineStr">
        <is>
          <t>P-0052</t>
        </is>
      </c>
      <c r="B53" s="8" t="inlineStr">
        <is>
          <t>P</t>
        </is>
      </c>
      <c r="C53" s="5" t="inlineStr">
        <is>
          <t>Distributor</t>
        </is>
      </c>
      <c r="D53" s="5" t="inlineStr">
        <is>
          <t>Customer-to-Cash</t>
        </is>
      </c>
      <c r="E53" s="5" t="inlineStr">
        <is>
          <t>Create bulk sales invoices</t>
        </is>
      </c>
      <c r="F53" s="5" t="inlineStr">
        <is>
          <t>Wholesale Billing Clerk</t>
        </is>
      </c>
      <c r="G53" s="5" t="inlineStr">
        <is>
          <t>Retail Merchant / Dealer</t>
        </is>
      </c>
      <c r="H53" s="5" t="inlineStr">
        <is>
          <t>Create high-volume B2B tax invoices with tiered wholesale price lists, discounts, and credit terms</t>
        </is>
      </c>
      <c r="I53" s="5" t="inlineStr">
        <is>
          <t>Decrements warehouse stock, debits customer AR ledger, generates GST B2B tax invoice</t>
        </is>
      </c>
      <c r="J53" s="19" t="inlineStr">
        <is>
          <t>P0</t>
        </is>
      </c>
      <c r="K53" s="20" t="inlineStr">
        <is>
          <t>Validated (Supported)</t>
        </is>
      </c>
      <c r="L53" s="5" t="inlineStr">
        <is>
          <t>Supported via /sales/invoices/ with wholesale price list auto-application and bulk CSV entry.</t>
        </is>
      </c>
      <c r="M53" s="8" t="inlineStr">
        <is>
          <t>Baseline</t>
        </is>
      </c>
      <c r="N53" s="8" t="inlineStr">
        <is>
          <t>Operational role</t>
        </is>
      </c>
      <c r="O53" s="8" t="inlineStr">
        <is>
          <t>P0</t>
        </is>
      </c>
      <c r="P53" s="5" t="inlineStr">
        <is>
          <t>Unchanged</t>
        </is>
      </c>
      <c r="Q53" s="20" t="inlineStr">
        <is>
          <t>Author assertion</t>
        </is>
      </c>
      <c r="R53" s="5" t="inlineStr"/>
      <c r="S53" s="8" t="inlineStr">
        <is>
          <t>C2C</t>
        </is>
      </c>
      <c r="T53" s="5" t="inlineStr">
        <is>
          <t>Customer to cash</t>
        </is>
      </c>
      <c r="U53" s="8" t="inlineStr"/>
      <c r="V53" s="8" t="inlineStr">
        <is>
          <t>sales</t>
        </is>
      </c>
      <c r="W53" s="8" t="inlineStr">
        <is>
          <t>RUN</t>
        </is>
      </c>
      <c r="X53" s="5" t="inlineStr">
        <is>
          <t>Core</t>
        </is>
      </c>
      <c r="Y53" s="5" t="inlineStr">
        <is>
          <t>Owner</t>
        </is>
      </c>
      <c r="Z53" s="5" t="inlineStr">
        <is>
          <t>Medium</t>
        </is>
      </c>
      <c r="AA53" s="5" t="inlineStr">
        <is>
          <t>Medium</t>
        </is>
      </c>
      <c r="AB53" s="8" t="inlineStr">
        <is>
          <t>Low</t>
        </is>
      </c>
      <c r="AC53" s="8" t="inlineStr">
        <is>
          <t>MVP</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P0</t>
        </is>
      </c>
      <c r="AL53" s="8" t="n">
        <v>6</v>
      </c>
      <c r="AM53" s="5" t="inlineStr"/>
      <c r="AN53" s="5" t="inlineStr"/>
      <c r="AO53" s="5" t="inlineStr"/>
      <c r="AP53" s="5" t="inlineStr"/>
      <c r="AQ53" s="5" t="inlineStr"/>
      <c r="AR53" s="5" t="inlineStr"/>
      <c r="AS53" s="5" t="inlineStr"/>
      <c r="AT53" s="5" t="inlineStr"/>
      <c r="AU53" s="8" t="inlineStr">
        <is>
          <t>Not run</t>
        </is>
      </c>
    </row>
    <row r="54" ht="32" customHeight="1">
      <c r="A54" s="16" t="inlineStr">
        <is>
          <t>P-0053</t>
        </is>
      </c>
      <c r="B54" s="8" t="inlineStr">
        <is>
          <t>P</t>
        </is>
      </c>
      <c r="C54" s="5" t="inlineStr">
        <is>
          <t>Distributor</t>
        </is>
      </c>
      <c r="D54" s="5" t="inlineStr">
        <is>
          <t>Customer-to-Cash</t>
        </is>
      </c>
      <c r="E54" s="5" t="inlineStr">
        <is>
          <t>Process retailer orders</t>
        </is>
      </c>
      <c r="F54" s="5" t="inlineStr">
        <is>
          <t>Commercial Order Desk</t>
        </is>
      </c>
      <c r="G54" s="5" t="inlineStr">
        <is>
          <t>Retailer / Field Sales Agent</t>
        </is>
      </c>
      <c r="H54" s="5" t="inlineStr">
        <is>
          <t>Capture and validate bulk purchase orders submitted by retailers or field salesmen</t>
        </is>
      </c>
      <c r="I54" s="5" t="inlineStr">
        <is>
          <t>Creates SalesOrder in system; validates stock availability and credit status before confirmation</t>
        </is>
      </c>
      <c r="J54" s="20" t="inlineStr">
        <is>
          <t>P1</t>
        </is>
      </c>
      <c r="K54" s="20" t="inlineStr">
        <is>
          <t>Validated (Supported)</t>
        </is>
      </c>
      <c r="L54" s="5" t="inlineStr">
        <is>
          <t>Supported via /sales/orders/ with order-to-invoice conversion workflow.</t>
        </is>
      </c>
      <c r="M54" s="8" t="inlineStr">
        <is>
          <t>Baseline</t>
        </is>
      </c>
      <c r="N54" s="8" t="inlineStr">
        <is>
          <t>Operational role</t>
        </is>
      </c>
      <c r="O54" s="8" t="inlineStr">
        <is>
          <t>P1</t>
        </is>
      </c>
      <c r="P54" s="5" t="inlineStr">
        <is>
          <t>Unchanged</t>
        </is>
      </c>
      <c r="Q54" s="20" t="inlineStr">
        <is>
          <t>Author assertion</t>
        </is>
      </c>
      <c r="R54" s="5" t="inlineStr"/>
      <c r="S54" s="8" t="inlineStr">
        <is>
          <t>C2C</t>
        </is>
      </c>
      <c r="T54" s="5" t="inlineStr">
        <is>
          <t>Customer to cash</t>
        </is>
      </c>
      <c r="U54" s="8" t="inlineStr"/>
      <c r="V54" s="8" t="inlineStr">
        <is>
          <t>sales</t>
        </is>
      </c>
      <c r="W54" s="8" t="inlineStr">
        <is>
          <t>RUN</t>
        </is>
      </c>
      <c r="X54" s="5" t="inlineStr">
        <is>
          <t>Core</t>
        </is>
      </c>
      <c r="Y54" s="5" t="inlineStr">
        <is>
          <t>Owner</t>
        </is>
      </c>
      <c r="Z54" s="5" t="inlineStr">
        <is>
          <t>Medium</t>
        </is>
      </c>
      <c r="AA54" s="5" t="inlineStr">
        <is>
          <t>Medium</t>
        </is>
      </c>
      <c r="AB54" s="8" t="inlineStr">
        <is>
          <t>Low</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6</v>
      </c>
      <c r="AM54" s="5" t="inlineStr"/>
      <c r="AN54" s="5" t="inlineStr"/>
      <c r="AO54" s="5" t="inlineStr"/>
      <c r="AP54" s="5" t="inlineStr"/>
      <c r="AQ54" s="5" t="inlineStr"/>
      <c r="AR54" s="5" t="inlineStr"/>
      <c r="AS54" s="5" t="inlineStr"/>
      <c r="AT54" s="5" t="inlineStr"/>
      <c r="AU54" s="8" t="inlineStr">
        <is>
          <t>Not run</t>
        </is>
      </c>
    </row>
    <row r="55" ht="32" customHeight="1">
      <c r="A55" s="16" t="inlineStr">
        <is>
          <t>P-0054</t>
        </is>
      </c>
      <c r="B55" s="8" t="inlineStr">
        <is>
          <t>P</t>
        </is>
      </c>
      <c r="C55" s="5" t="inlineStr">
        <is>
          <t>Distributor</t>
        </is>
      </c>
      <c r="D55" s="5" t="inlineStr">
        <is>
          <t>Inventory Lifecycle</t>
        </is>
      </c>
      <c r="E55" s="5" t="inlineStr">
        <is>
          <t>Allocate inventory against orders</t>
        </is>
      </c>
      <c r="F55" s="5" t="inlineStr">
        <is>
          <t>Warehouse Dispatcher</t>
        </is>
      </c>
      <c r="G55" s="5" t="inlineStr">
        <is>
          <t>Sales Desk</t>
        </is>
      </c>
      <c r="H55" s="5" t="inlineStr">
        <is>
          <t>Reserve inventory against confirmed retailer orders to prevent double-allocation</t>
        </is>
      </c>
      <c r="I55" s="5" t="inlineStr">
        <is>
          <t>Updates reserved_quantity on StockBalance; recalculates available_to_promise (ATP) stock</t>
        </is>
      </c>
      <c r="J55" s="20" t="inlineStr">
        <is>
          <t>P1</t>
        </is>
      </c>
      <c r="K55" s="20" t="inlineStr">
        <is>
          <t>Validated (Supported)</t>
        </is>
      </c>
      <c r="L55" s="5" t="inlineStr">
        <is>
          <t>Supported in SalesOrder confirmation: reserves stock prior to dispatch note generation.</t>
        </is>
      </c>
      <c r="M55" s="8" t="inlineStr">
        <is>
          <t>Baseline</t>
        </is>
      </c>
      <c r="N55" s="8" t="inlineStr">
        <is>
          <t>Operational role</t>
        </is>
      </c>
      <c r="O55" s="8" t="inlineStr">
        <is>
          <t>P1</t>
        </is>
      </c>
      <c r="P55" s="5" t="inlineStr">
        <is>
          <t>Unchanged</t>
        </is>
      </c>
      <c r="Q55" s="21" t="inlineStr">
        <is>
          <t>Code symbol found</t>
        </is>
      </c>
      <c r="R55" s="5" t="inlineStr">
        <is>
          <t>Matched SalesOrder in product code. This is not a functional test.</t>
        </is>
      </c>
      <c r="S55" s="8" t="inlineStr">
        <is>
          <t>INV</t>
        </is>
      </c>
      <c r="T55" s="5" t="inlineStr">
        <is>
          <t>Inventory lifecycle</t>
        </is>
      </c>
      <c r="U55" s="8" t="inlineStr"/>
      <c r="V55" s="8" t="inlineStr">
        <is>
          <t>inventory</t>
        </is>
      </c>
      <c r="W55" s="8" t="inlineStr">
        <is>
          <t>RUN</t>
        </is>
      </c>
      <c r="X55" s="5" t="inlineStr">
        <is>
          <t>Core</t>
        </is>
      </c>
      <c r="Y55" s="5" t="inlineStr">
        <is>
          <t>Owner</t>
        </is>
      </c>
      <c r="Z55" s="5" t="inlineStr">
        <is>
          <t>High</t>
        </is>
      </c>
      <c r="AA55" s="5" t="inlineStr">
        <is>
          <t>High</t>
        </is>
      </c>
      <c r="AB55" s="8" t="inlineStr">
        <is>
          <t>Low</t>
        </is>
      </c>
      <c r="AC55" s="8" t="inlineStr">
        <is>
          <t>Pilot</t>
        </is>
      </c>
      <c r="AD55" s="5" t="inlineStr">
        <is>
          <t>Cited in code</t>
        </is>
      </c>
      <c r="AE55" s="5" t="inlineStr">
        <is>
          <t>Not verified</t>
        </is>
      </c>
      <c r="AF55" s="5" t="inlineStr">
        <is>
          <t>Not verified</t>
        </is>
      </c>
      <c r="AG55" s="5" t="inlineStr">
        <is>
          <t>Not verified</t>
        </is>
      </c>
      <c r="AH55" s="5" t="inlineStr">
        <is>
          <t>Not verified</t>
        </is>
      </c>
      <c r="AI55" s="8" t="inlineStr">
        <is>
          <t>No</t>
        </is>
      </c>
      <c r="AJ55" s="8" t="inlineStr">
        <is>
          <t>Built - unverified</t>
        </is>
      </c>
      <c r="AK55" s="8" t="inlineStr">
        <is>
          <t>P1</t>
        </is>
      </c>
      <c r="AL55" s="8" t="n">
        <v>9</v>
      </c>
      <c r="AM55" s="5" t="inlineStr"/>
      <c r="AN55" s="5" t="inlineStr"/>
      <c r="AO55" s="5" t="inlineStr"/>
      <c r="AP55" s="5" t="inlineStr"/>
      <c r="AQ55" s="5" t="inlineStr"/>
      <c r="AR55" s="5" t="inlineStr"/>
      <c r="AS55" s="5" t="inlineStr"/>
      <c r="AT55" s="5" t="inlineStr"/>
      <c r="AU55" s="8" t="inlineStr">
        <is>
          <t>Not run</t>
        </is>
      </c>
    </row>
    <row r="56" ht="32" customHeight="1">
      <c r="A56" s="16" t="inlineStr">
        <is>
          <t>P-0055</t>
        </is>
      </c>
      <c r="B56" s="8" t="inlineStr">
        <is>
          <t>P</t>
        </is>
      </c>
      <c r="C56" s="5" t="inlineStr">
        <is>
          <t>Distributor</t>
        </is>
      </c>
      <c r="D56" s="5" t="inlineStr">
        <is>
          <t>Customer-to-Cash</t>
        </is>
      </c>
      <c r="E56" s="5" t="inlineStr">
        <is>
          <t>Generate delivery documents</t>
        </is>
      </c>
      <c r="F56" s="5" t="inlineStr">
        <is>
          <t>Logistics Dispatcher</t>
        </is>
      </c>
      <c r="G56" s="5" t="inlineStr">
        <is>
          <t>Delivery Driver / Transport Agency</t>
        </is>
      </c>
      <c r="H56" s="5" t="inlineStr">
        <is>
          <t>Generate Delivery Challans and packing slips to accompany goods during transport</t>
        </is>
      </c>
      <c r="I56" s="5" t="inlineStr">
        <is>
          <t>Generates delivery document referencing SalesOrder/Invoice; records vehicle and driver details</t>
        </is>
      </c>
      <c r="J56" s="20" t="inlineStr">
        <is>
          <t>P1</t>
        </is>
      </c>
      <c r="K56" s="20" t="inlineStr">
        <is>
          <t>Validated (Supported)</t>
        </is>
      </c>
      <c r="L56" s="5" t="inlineStr">
        <is>
          <t>Supported via DeliveryChallan generator (/sales/delivery-challans/).</t>
        </is>
      </c>
      <c r="M56" s="8" t="inlineStr">
        <is>
          <t>Baseline</t>
        </is>
      </c>
      <c r="N56" s="8" t="inlineStr">
        <is>
          <t>Operational role</t>
        </is>
      </c>
      <c r="O56" s="8" t="inlineStr">
        <is>
          <t>P1</t>
        </is>
      </c>
      <c r="P56" s="5" t="inlineStr">
        <is>
          <t>Unchanged</t>
        </is>
      </c>
      <c r="Q56" s="21" t="inlineStr">
        <is>
          <t>Code symbol found</t>
        </is>
      </c>
      <c r="R56" s="5" t="inlineStr">
        <is>
          <t>Matched DeliveryChallan in product code. This is not a functional test.</t>
        </is>
      </c>
      <c r="S56" s="8" t="inlineStr">
        <is>
          <t>C2C</t>
        </is>
      </c>
      <c r="T56" s="5" t="inlineStr">
        <is>
          <t>Customer to cash</t>
        </is>
      </c>
      <c r="U56" s="8" t="inlineStr"/>
      <c r="V56" s="8" t="inlineStr">
        <is>
          <t>sales</t>
        </is>
      </c>
      <c r="W56" s="8" t="inlineStr">
        <is>
          <t>RUN</t>
        </is>
      </c>
      <c r="X56" s="5" t="inlineStr">
        <is>
          <t>Core</t>
        </is>
      </c>
      <c r="Y56" s="5" t="inlineStr">
        <is>
          <t>Owner</t>
        </is>
      </c>
      <c r="Z56" s="5" t="inlineStr">
        <is>
          <t>Medium</t>
        </is>
      </c>
      <c r="AA56" s="5" t="inlineStr">
        <is>
          <t>Medium</t>
        </is>
      </c>
      <c r="AB56" s="8" t="inlineStr">
        <is>
          <t>Low</t>
        </is>
      </c>
      <c r="AC56" s="8" t="inlineStr">
        <is>
          <t>Pilot</t>
        </is>
      </c>
      <c r="AD56" s="5" t="inlineStr">
        <is>
          <t>Cited in code</t>
        </is>
      </c>
      <c r="AE56" s="5" t="inlineStr">
        <is>
          <t>Not verified</t>
        </is>
      </c>
      <c r="AF56" s="5" t="inlineStr">
        <is>
          <t>Not verified</t>
        </is>
      </c>
      <c r="AG56" s="5" t="inlineStr">
        <is>
          <t>Not verified</t>
        </is>
      </c>
      <c r="AH56" s="5" t="inlineStr">
        <is>
          <t>Not verified</t>
        </is>
      </c>
      <c r="AI56" s="8" t="inlineStr">
        <is>
          <t>No</t>
        </is>
      </c>
      <c r="AJ56" s="8" t="inlineStr">
        <is>
          <t>Built - unverified</t>
        </is>
      </c>
      <c r="AK56" s="8" t="inlineStr">
        <is>
          <t>P1</t>
        </is>
      </c>
      <c r="AL56" s="8" t="n">
        <v>6</v>
      </c>
      <c r="AM56" s="5" t="inlineStr"/>
      <c r="AN56" s="5" t="inlineStr"/>
      <c r="AO56" s="5" t="inlineStr"/>
      <c r="AP56" s="5" t="inlineStr"/>
      <c r="AQ56" s="5" t="inlineStr"/>
      <c r="AR56" s="5" t="inlineStr"/>
      <c r="AS56" s="5" t="inlineStr"/>
      <c r="AT56" s="5" t="inlineStr"/>
      <c r="AU56" s="8" t="inlineStr">
        <is>
          <t>Not run</t>
        </is>
      </c>
    </row>
    <row r="57" ht="32" customHeight="1">
      <c r="A57" s="16" t="inlineStr">
        <is>
          <t>P-0056</t>
        </is>
      </c>
      <c r="B57" s="8" t="inlineStr">
        <is>
          <t>P</t>
        </is>
      </c>
      <c r="C57" s="5" t="inlineStr">
        <is>
          <t>Distributor</t>
        </is>
      </c>
      <c r="D57" s="5" t="inlineStr">
        <is>
          <t>Customer-to-Cash</t>
        </is>
      </c>
      <c r="E57" s="5" t="inlineStr">
        <is>
          <t>Track pending customer orders</t>
        </is>
      </c>
      <c r="F57" s="5" t="inlineStr">
        <is>
          <t>Sales Manager</t>
        </is>
      </c>
      <c r="G57" s="5" t="inlineStr">
        <is>
          <t>Retailer</t>
        </is>
      </c>
      <c r="H57" s="5" t="inlineStr">
        <is>
          <t>Monitor backlog of unfulfilled or partially fulfilled sales orders</t>
        </is>
      </c>
      <c r="I57" s="5" t="inlineStr">
        <is>
          <t>Surfaces open orders grouped by dispatch status, aging days, and order value</t>
        </is>
      </c>
      <c r="J57" s="20" t="inlineStr">
        <is>
          <t>P1</t>
        </is>
      </c>
      <c r="K57" s="20" t="inlineStr">
        <is>
          <t>Validated (Supported)</t>
        </is>
      </c>
      <c r="L57" s="5" t="inlineStr">
        <is>
          <t>Supported via /sales/orders/?status=PENDING filter and dashboard backlog widget.</t>
        </is>
      </c>
      <c r="M57" s="8" t="inlineStr">
        <is>
          <t>Baseline</t>
        </is>
      </c>
      <c r="N57" s="8" t="inlineStr">
        <is>
          <t>Operational role</t>
        </is>
      </c>
      <c r="O57" s="8" t="inlineStr">
        <is>
          <t>P1</t>
        </is>
      </c>
      <c r="P57" s="5" t="inlineStr">
        <is>
          <t>Unchanged</t>
        </is>
      </c>
      <c r="Q57" s="20" t="inlineStr">
        <is>
          <t>Author assertion</t>
        </is>
      </c>
      <c r="R57" s="5" t="inlineStr"/>
      <c r="S57" s="8" t="inlineStr">
        <is>
          <t>C2C</t>
        </is>
      </c>
      <c r="T57" s="5" t="inlineStr">
        <is>
          <t>Customer to cash</t>
        </is>
      </c>
      <c r="U57" s="8" t="inlineStr"/>
      <c r="V57" s="8" t="inlineStr">
        <is>
          <t>sales</t>
        </is>
      </c>
      <c r="W57" s="8" t="inlineStr">
        <is>
          <t>RUN</t>
        </is>
      </c>
      <c r="X57" s="5" t="inlineStr">
        <is>
          <t>Core</t>
        </is>
      </c>
      <c r="Y57" s="5" t="inlineStr">
        <is>
          <t>Owner</t>
        </is>
      </c>
      <c r="Z57" s="5" t="inlineStr">
        <is>
          <t>Medium</t>
        </is>
      </c>
      <c r="AA57" s="5" t="inlineStr">
        <is>
          <t>Medium</t>
        </is>
      </c>
      <c r="AB57" s="8" t="inlineStr">
        <is>
          <t>Low</t>
        </is>
      </c>
      <c r="AC57" s="8" t="inlineStr">
        <is>
          <t>Pilot</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P1</t>
        </is>
      </c>
      <c r="AL57" s="8" t="n">
        <v>6</v>
      </c>
      <c r="AM57" s="5" t="inlineStr"/>
      <c r="AN57" s="5" t="inlineStr"/>
      <c r="AO57" s="5" t="inlineStr"/>
      <c r="AP57" s="5" t="inlineStr"/>
      <c r="AQ57" s="5" t="inlineStr"/>
      <c r="AR57" s="5" t="inlineStr"/>
      <c r="AS57" s="5" t="inlineStr"/>
      <c r="AT57" s="5" t="inlineStr"/>
      <c r="AU57" s="8" t="inlineStr">
        <is>
          <t>Not run</t>
        </is>
      </c>
    </row>
    <row r="58" ht="32" customHeight="1">
      <c r="A58" s="16" t="inlineStr">
        <is>
          <t>P-0057</t>
        </is>
      </c>
      <c r="B58" s="8" t="inlineStr">
        <is>
          <t>P</t>
        </is>
      </c>
      <c r="C58" s="5" t="inlineStr">
        <is>
          <t>Distributor</t>
        </is>
      </c>
      <c r="D58" s="5" t="inlineStr">
        <is>
          <t>Receivables &amp; Payables</t>
        </is>
      </c>
      <c r="E58" s="5" t="inlineStr">
        <is>
          <t>Track customer outstanding</t>
        </is>
      </c>
      <c r="F58" s="5" t="inlineStr">
        <is>
          <t>Credit Controller / Owner</t>
        </is>
      </c>
      <c r="G58" s="5" t="inlineStr">
        <is>
          <t>Retailer</t>
        </is>
      </c>
      <c r="H58" s="5" t="inlineStr">
        <is>
          <t>Monitor wholesale receivables with aging analysis (0-30, 31-60, 61-90, 90+ days)</t>
        </is>
      </c>
      <c r="I58" s="5" t="inlineStr">
        <is>
          <t>Computes real-time AR aging per dealer; flags overdue accounts for payment collection</t>
        </is>
      </c>
      <c r="J58" s="19" t="inlineStr">
        <is>
          <t>P0</t>
        </is>
      </c>
      <c r="K58" s="20" t="inlineStr">
        <is>
          <t>Validated (Supported)</t>
        </is>
      </c>
      <c r="L58" s="5" t="inlineStr">
        <is>
          <t>Supported via /sales/reports/receivables-aging/ with drill-down to unpaid invoices.</t>
        </is>
      </c>
      <c r="M58" s="8" t="inlineStr">
        <is>
          <t>Baseline</t>
        </is>
      </c>
      <c r="N58" s="8" t="inlineStr">
        <is>
          <t>Operational role</t>
        </is>
      </c>
      <c r="O58" s="8" t="inlineStr">
        <is>
          <t>P0</t>
        </is>
      </c>
      <c r="P58" s="5" t="inlineStr">
        <is>
          <t>Unchanged</t>
        </is>
      </c>
      <c r="Q58" s="20" t="inlineStr">
        <is>
          <t>Author assertion</t>
        </is>
      </c>
      <c r="R58" s="5" t="inlineStr"/>
      <c r="S58" s="8" t="inlineStr">
        <is>
          <t>ARAP</t>
        </is>
      </c>
      <c r="T58" s="5" t="inlineStr">
        <is>
          <t>Receivables and payables</t>
        </is>
      </c>
      <c r="U58" s="8" t="inlineStr"/>
      <c r="V58" s="8" t="inlineStr">
        <is>
          <t>ledgers</t>
        </is>
      </c>
      <c r="W58" s="8" t="inlineStr">
        <is>
          <t>CONTROL</t>
        </is>
      </c>
      <c r="X58" s="5" t="inlineStr">
        <is>
          <t>Core</t>
        </is>
      </c>
      <c r="Y58" s="5" t="inlineStr">
        <is>
          <t>Owner</t>
        </is>
      </c>
      <c r="Z58" s="5" t="inlineStr">
        <is>
          <t>Critical</t>
        </is>
      </c>
      <c r="AA58" s="5" t="inlineStr">
        <is>
          <t>High</t>
        </is>
      </c>
      <c r="AB58" s="8" t="inlineStr">
        <is>
          <t>Medium</t>
        </is>
      </c>
      <c r="AC58" s="8" t="inlineStr">
        <is>
          <t>MVP</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P0</t>
        </is>
      </c>
      <c r="AL58" s="8" t="n">
        <v>18</v>
      </c>
      <c r="AM58" s="5" t="inlineStr"/>
      <c r="AN58" s="5" t="inlineStr"/>
      <c r="AO58" s="5" t="inlineStr"/>
      <c r="AP58" s="5" t="inlineStr"/>
      <c r="AQ58" s="5" t="inlineStr"/>
      <c r="AR58" s="5" t="inlineStr"/>
      <c r="AS58" s="5" t="inlineStr"/>
      <c r="AT58" s="5" t="inlineStr"/>
      <c r="AU58" s="8" t="inlineStr">
        <is>
          <t>Not run</t>
        </is>
      </c>
    </row>
    <row r="59" ht="32" customHeight="1">
      <c r="A59" s="16" t="inlineStr">
        <is>
          <t>P-0058</t>
        </is>
      </c>
      <c r="B59" s="8" t="inlineStr">
        <is>
          <t>P</t>
        </is>
      </c>
      <c r="C59" s="5" t="inlineStr">
        <is>
          <t>Distributor</t>
        </is>
      </c>
      <c r="D59" s="5" t="inlineStr">
        <is>
          <t>Receivables &amp; Payables</t>
        </is>
      </c>
      <c r="E59" s="5" t="inlineStr">
        <is>
          <t>Manage credit limits</t>
        </is>
      </c>
      <c r="F59" s="5" t="inlineStr">
        <is>
          <t>Credit Controller / Owner</t>
        </is>
      </c>
      <c r="G59" s="5" t="inlineStr">
        <is>
          <t>Retailer</t>
        </is>
      </c>
      <c r="H59" s="5" t="inlineStr">
        <is>
          <t>Enforce maximum allowed credit exposure and payment grace periods per retailer</t>
        </is>
      </c>
      <c r="I59" s="5" t="inlineStr">
        <is>
          <t>Validates total unpaid balance + new order value against customer.credit_limit; blocks if breached</t>
        </is>
      </c>
      <c r="J59" s="19" t="inlineStr">
        <is>
          <t>P0</t>
        </is>
      </c>
      <c r="K59" s="20" t="inlineStr">
        <is>
          <t>Validated (Supported)</t>
        </is>
      </c>
      <c r="L59" s="5" t="inlineStr">
        <is>
          <t>Hard validation check in SalesService.create; blocks invoice completion without Owner override.</t>
        </is>
      </c>
      <c r="M59" s="8" t="inlineStr">
        <is>
          <t>Baseline</t>
        </is>
      </c>
      <c r="N59" s="8" t="inlineStr">
        <is>
          <t>Operational role</t>
        </is>
      </c>
      <c r="O59" s="8" t="inlineStr">
        <is>
          <t>P0</t>
        </is>
      </c>
      <c r="P59" s="5" t="inlineStr">
        <is>
          <t>Unchanged</t>
        </is>
      </c>
      <c r="Q59" s="21" t="inlineStr">
        <is>
          <t>Code symbol found</t>
        </is>
      </c>
      <c r="R59" s="5" t="inlineStr">
        <is>
          <t>Matched SalesService in product code. This is not a functional test.</t>
        </is>
      </c>
      <c r="S59" s="8" t="inlineStr">
        <is>
          <t>ARAP</t>
        </is>
      </c>
      <c r="T59" s="5" t="inlineStr">
        <is>
          <t>Receivables and payables</t>
        </is>
      </c>
      <c r="U59" s="8" t="inlineStr"/>
      <c r="V59" s="8" t="inlineStr">
        <is>
          <t>ledgers</t>
        </is>
      </c>
      <c r="W59" s="8" t="inlineStr">
        <is>
          <t>CONTROL</t>
        </is>
      </c>
      <c r="X59" s="5" t="inlineStr">
        <is>
          <t>Core</t>
        </is>
      </c>
      <c r="Y59" s="5" t="inlineStr">
        <is>
          <t>Owner</t>
        </is>
      </c>
      <c r="Z59" s="5" t="inlineStr">
        <is>
          <t>Critical</t>
        </is>
      </c>
      <c r="AA59" s="5" t="inlineStr">
        <is>
          <t>High</t>
        </is>
      </c>
      <c r="AB59" s="8" t="inlineStr">
        <is>
          <t>Medium</t>
        </is>
      </c>
      <c r="AC59" s="8" t="inlineStr">
        <is>
          <t>MVP</t>
        </is>
      </c>
      <c r="AD59" s="5" t="inlineStr">
        <is>
          <t>Cited in code</t>
        </is>
      </c>
      <c r="AE59" s="5" t="inlineStr">
        <is>
          <t>Not verified</t>
        </is>
      </c>
      <c r="AF59" s="5" t="inlineStr">
        <is>
          <t>Not verified</t>
        </is>
      </c>
      <c r="AG59" s="5" t="inlineStr">
        <is>
          <t>Not verified</t>
        </is>
      </c>
      <c r="AH59" s="5" t="inlineStr">
        <is>
          <t>Not verified</t>
        </is>
      </c>
      <c r="AI59" s="8" t="inlineStr">
        <is>
          <t>No</t>
        </is>
      </c>
      <c r="AJ59" s="8" t="inlineStr">
        <is>
          <t>Built - unverified</t>
        </is>
      </c>
      <c r="AK59" s="8" t="inlineStr">
        <is>
          <t>P0</t>
        </is>
      </c>
      <c r="AL59" s="8" t="n">
        <v>18</v>
      </c>
      <c r="AM59" s="5" t="inlineStr"/>
      <c r="AN59" s="5" t="inlineStr"/>
      <c r="AO59" s="5" t="inlineStr"/>
      <c r="AP59" s="5" t="inlineStr"/>
      <c r="AQ59" s="5" t="inlineStr"/>
      <c r="AR59" s="5" t="inlineStr"/>
      <c r="AS59" s="5" t="inlineStr"/>
      <c r="AT59" s="5" t="inlineStr"/>
      <c r="AU59" s="8" t="inlineStr">
        <is>
          <t>Not run</t>
        </is>
      </c>
    </row>
    <row r="60" ht="32" customHeight="1">
      <c r="A60" s="16" t="inlineStr">
        <is>
          <t>P-0059</t>
        </is>
      </c>
      <c r="B60" s="8" t="inlineStr">
        <is>
          <t>P</t>
        </is>
      </c>
      <c r="C60" s="5" t="inlineStr">
        <is>
          <t>Distributor</t>
        </is>
      </c>
      <c r="D60" s="5" t="inlineStr">
        <is>
          <t>Receivables &amp; Payables</t>
        </is>
      </c>
      <c r="E60" s="5" t="inlineStr">
        <is>
          <t>Record customer collections</t>
        </is>
      </c>
      <c r="F60" s="5" t="inlineStr">
        <is>
          <t>Accounts Cashier</t>
        </is>
      </c>
      <c r="G60" s="5" t="inlineStr">
        <is>
          <t>Retailer</t>
        </is>
      </c>
      <c r="H60" s="5" t="inlineStr">
        <is>
          <t>Record high-value NEFT, RTGS, cheque, or cash collections from retailers</t>
        </is>
      </c>
      <c r="I60" s="5" t="inlineStr">
        <is>
          <t>Creates Payment record; matches and closes specific open invoices; updates bank ledger</t>
        </is>
      </c>
      <c r="J60" s="20" t="inlineStr">
        <is>
          <t>P1</t>
        </is>
      </c>
      <c r="K60" s="20" t="inlineStr">
        <is>
          <t>Validated (Supported)</t>
        </is>
      </c>
      <c r="L60" s="5" t="inlineStr">
        <is>
          <t>Supported via /payments/create with multi-bill allocation and TDS deduction support.</t>
        </is>
      </c>
      <c r="M60" s="8" t="inlineStr">
        <is>
          <t>Baseline</t>
        </is>
      </c>
      <c r="N60" s="8" t="inlineStr">
        <is>
          <t>Operational role</t>
        </is>
      </c>
      <c r="O60" s="8" t="inlineStr">
        <is>
          <t>P1</t>
        </is>
      </c>
      <c r="P60" s="5" t="inlineStr">
        <is>
          <t>Unchanged</t>
        </is>
      </c>
      <c r="Q60" s="20" t="inlineStr">
        <is>
          <t>Author assertion</t>
        </is>
      </c>
      <c r="R60" s="5" t="inlineStr"/>
      <c r="S60" s="8" t="inlineStr">
        <is>
          <t>ARAP</t>
        </is>
      </c>
      <c r="T60" s="5" t="inlineStr">
        <is>
          <t>Receivables and payables</t>
        </is>
      </c>
      <c r="U60" s="8" t="inlineStr"/>
      <c r="V60" s="8" t="inlineStr">
        <is>
          <t>ledgers</t>
        </is>
      </c>
      <c r="W60" s="8" t="inlineStr">
        <is>
          <t>CONTROL</t>
        </is>
      </c>
      <c r="X60" s="5" t="inlineStr">
        <is>
          <t>Core</t>
        </is>
      </c>
      <c r="Y60" s="5" t="inlineStr">
        <is>
          <t>Owner</t>
        </is>
      </c>
      <c r="Z60" s="5" t="inlineStr">
        <is>
          <t>Critical</t>
        </is>
      </c>
      <c r="AA60" s="5" t="inlineStr">
        <is>
          <t>High</t>
        </is>
      </c>
      <c r="AB60" s="8" t="inlineStr">
        <is>
          <t>Medium</t>
        </is>
      </c>
      <c r="AC60" s="8" t="inlineStr">
        <is>
          <t>Pilot</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P1</t>
        </is>
      </c>
      <c r="AL60" s="8" t="n">
        <v>18</v>
      </c>
      <c r="AM60" s="5" t="inlineStr"/>
      <c r="AN60" s="5" t="inlineStr"/>
      <c r="AO60" s="5" t="inlineStr"/>
      <c r="AP60" s="5" t="inlineStr"/>
      <c r="AQ60" s="5" t="inlineStr"/>
      <c r="AR60" s="5" t="inlineStr"/>
      <c r="AS60" s="5" t="inlineStr"/>
      <c r="AT60" s="5" t="inlineStr"/>
      <c r="AU60" s="8" t="inlineStr">
        <is>
          <t>Not run</t>
        </is>
      </c>
    </row>
    <row r="61" ht="32" customHeight="1">
      <c r="A61" s="16" t="inlineStr">
        <is>
          <t>P-0060</t>
        </is>
      </c>
      <c r="B61" s="8" t="inlineStr">
        <is>
          <t>P</t>
        </is>
      </c>
      <c r="C61" s="5" t="inlineStr">
        <is>
          <t>Distributor</t>
        </is>
      </c>
      <c r="D61" s="5" t="inlineStr">
        <is>
          <t>Procure-to-Pay</t>
        </is>
      </c>
      <c r="E61" s="5" t="inlineStr">
        <is>
          <t>Track supplier purchases</t>
        </is>
      </c>
      <c r="F61" s="5" t="inlineStr">
        <is>
          <t>Procurement Manager</t>
        </is>
      </c>
      <c r="G61" s="5" t="inlineStr">
        <is>
          <t>Manufacturing Principal</t>
        </is>
      </c>
      <c r="H61" s="5" t="inlineStr">
        <is>
          <t>Track large-scale procurement purchase orders and supplier dispatch consignments</t>
        </is>
      </c>
      <c r="I61" s="5" t="inlineStr">
        <is>
          <t>Tracks PO fulfillment percentage, received shipments, and outstanding supplier liabilities</t>
        </is>
      </c>
      <c r="J61" s="20" t="inlineStr">
        <is>
          <t>P1</t>
        </is>
      </c>
      <c r="K61" s="20" t="inlineStr">
        <is>
          <t>Validated (Supported)</t>
        </is>
      </c>
      <c r="L61" s="5" t="inlineStr">
        <is>
          <t>Supported via /purchases/orders/ and supplier ledger dashboard.</t>
        </is>
      </c>
      <c r="M61" s="8" t="inlineStr">
        <is>
          <t>Baseline</t>
        </is>
      </c>
      <c r="N61" s="8" t="inlineStr">
        <is>
          <t>Operational role</t>
        </is>
      </c>
      <c r="O61" s="8" t="inlineStr">
        <is>
          <t>P1</t>
        </is>
      </c>
      <c r="P61" s="5" t="inlineStr">
        <is>
          <t>Unchanged</t>
        </is>
      </c>
      <c r="Q61" s="20" t="inlineStr">
        <is>
          <t>Author assertion</t>
        </is>
      </c>
      <c r="R61" s="5" t="inlineStr"/>
      <c r="S61" s="8" t="inlineStr">
        <is>
          <t>P2P</t>
        </is>
      </c>
      <c r="T61" s="5" t="inlineStr">
        <is>
          <t>Procure to pay</t>
        </is>
      </c>
      <c r="U61" s="8" t="inlineStr"/>
      <c r="V61" s="8" t="inlineStr">
        <is>
          <t>purchases</t>
        </is>
      </c>
      <c r="W61" s="8" t="inlineStr">
        <is>
          <t>RUN</t>
        </is>
      </c>
      <c r="X61" s="5" t="inlineStr">
        <is>
          <t>Core</t>
        </is>
      </c>
      <c r="Y61" s="5" t="inlineStr">
        <is>
          <t>Owner</t>
        </is>
      </c>
      <c r="Z61" s="5" t="inlineStr">
        <is>
          <t>Medium</t>
        </is>
      </c>
      <c r="AA61" s="5" t="inlineStr">
        <is>
          <t>Medium</t>
        </is>
      </c>
      <c r="AB61" s="8" t="inlineStr">
        <is>
          <t>Low</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6</v>
      </c>
      <c r="AM61" s="5" t="inlineStr"/>
      <c r="AN61" s="5" t="inlineStr"/>
      <c r="AO61" s="5" t="inlineStr"/>
      <c r="AP61" s="5" t="inlineStr"/>
      <c r="AQ61" s="5" t="inlineStr"/>
      <c r="AR61" s="5" t="inlineStr"/>
      <c r="AS61" s="5" t="inlineStr"/>
      <c r="AT61" s="5" t="inlineStr"/>
      <c r="AU61" s="8" t="inlineStr">
        <is>
          <t>Not run</t>
        </is>
      </c>
    </row>
    <row r="62" ht="32" customHeight="1">
      <c r="A62" s="16" t="inlineStr">
        <is>
          <t>P-0061</t>
        </is>
      </c>
      <c r="B62" s="8" t="inlineStr">
        <is>
          <t>P</t>
        </is>
      </c>
      <c r="C62" s="5" t="inlineStr">
        <is>
          <t>Distributor</t>
        </is>
      </c>
      <c r="D62" s="5" t="inlineStr">
        <is>
          <t>Inventory Lifecycle</t>
        </is>
      </c>
      <c r="E62" s="5" t="inlineStr">
        <is>
          <t>Manage large inventory volumes</t>
        </is>
      </c>
      <c r="F62" s="5" t="inlineStr">
        <is>
          <t>Warehouse Custodian</t>
        </is>
      </c>
      <c r="G62" s="5" t="inlineStr">
        <is>
          <t>None</t>
        </is>
      </c>
      <c r="H62" s="5" t="inlineStr">
        <is>
          <t>Efficient tracking and auditing of thousands of SKUs across pallet racks and storage bins</t>
        </is>
      </c>
      <c r="I62" s="5" t="inlineStr">
        <is>
          <t>Provides bulk inventory search, location tagging, and barcode-based inventory reconciliation</t>
        </is>
      </c>
      <c r="J62" s="20" t="inlineStr">
        <is>
          <t>P1</t>
        </is>
      </c>
      <c r="K62" s="20" t="inlineStr">
        <is>
          <t>Validated (Supported)</t>
        </is>
      </c>
      <c r="L62" s="5" t="inlineStr">
        <is>
          <t>Supported via optimized paginated inventory ledger with sub-second SKU queries.</t>
        </is>
      </c>
      <c r="M62" s="8" t="inlineStr">
        <is>
          <t>Baseline</t>
        </is>
      </c>
      <c r="N62" s="8" t="inlineStr">
        <is>
          <t>Operational role</t>
        </is>
      </c>
      <c r="O62" s="8" t="inlineStr">
        <is>
          <t>P1</t>
        </is>
      </c>
      <c r="P62" s="5" t="inlineStr">
        <is>
          <t>Unchanged</t>
        </is>
      </c>
      <c r="Q62" s="20" t="inlineStr">
        <is>
          <t>Author assertion</t>
        </is>
      </c>
      <c r="R62" s="5" t="inlineStr"/>
      <c r="S62" s="8" t="inlineStr">
        <is>
          <t>INV</t>
        </is>
      </c>
      <c r="T62" s="5" t="inlineStr">
        <is>
          <t>Inventory lifecycle</t>
        </is>
      </c>
      <c r="U62" s="8" t="inlineStr"/>
      <c r="V62" s="8" t="inlineStr">
        <is>
          <t>inventory</t>
        </is>
      </c>
      <c r="W62" s="8" t="inlineStr">
        <is>
          <t>RUN</t>
        </is>
      </c>
      <c r="X62" s="5" t="inlineStr">
        <is>
          <t>Core</t>
        </is>
      </c>
      <c r="Y62" s="5" t="inlineStr">
        <is>
          <t>Owner</t>
        </is>
      </c>
      <c r="Z62" s="5" t="inlineStr">
        <is>
          <t>High</t>
        </is>
      </c>
      <c r="AA62" s="5" t="inlineStr">
        <is>
          <t>High</t>
        </is>
      </c>
      <c r="AB62" s="8" t="inlineStr">
        <is>
          <t>Low</t>
        </is>
      </c>
      <c r="AC62" s="8" t="inlineStr">
        <is>
          <t>Pilot</t>
        </is>
      </c>
      <c r="AD62" s="5" t="inlineStr">
        <is>
          <t>Not independently checked</t>
        </is>
      </c>
      <c r="AE62" s="5" t="inlineStr">
        <is>
          <t>Not verified</t>
        </is>
      </c>
      <c r="AF62" s="5" t="inlineStr">
        <is>
          <t>Not verified</t>
        </is>
      </c>
      <c r="AG62" s="5" t="inlineStr">
        <is>
          <t>Not verified</t>
        </is>
      </c>
      <c r="AH62" s="5" t="inlineStr">
        <is>
          <t>Not verified</t>
        </is>
      </c>
      <c r="AI62" s="8" t="inlineStr">
        <is>
          <t>No</t>
        </is>
      </c>
      <c r="AJ62" s="8" t="inlineStr">
        <is>
          <t>Claimed - unverified</t>
        </is>
      </c>
      <c r="AK62" s="8" t="inlineStr">
        <is>
          <t>P1</t>
        </is>
      </c>
      <c r="AL62" s="8" t="n">
        <v>9</v>
      </c>
      <c r="AM62" s="5" t="inlineStr"/>
      <c r="AN62" s="5" t="inlineStr"/>
      <c r="AO62" s="5" t="inlineStr"/>
      <c r="AP62" s="5" t="inlineStr"/>
      <c r="AQ62" s="5" t="inlineStr"/>
      <c r="AR62" s="5" t="inlineStr"/>
      <c r="AS62" s="5" t="inlineStr"/>
      <c r="AT62" s="5" t="inlineStr"/>
      <c r="AU62" s="8" t="inlineStr">
        <is>
          <t>Not run</t>
        </is>
      </c>
    </row>
    <row r="63" ht="32" customHeight="1">
      <c r="A63" s="16" t="inlineStr">
        <is>
          <t>P-0062</t>
        </is>
      </c>
      <c r="B63" s="8" t="inlineStr">
        <is>
          <t>P</t>
        </is>
      </c>
      <c r="C63" s="5" t="inlineStr">
        <is>
          <t>Distributor</t>
        </is>
      </c>
      <c r="D63" s="5" t="inlineStr">
        <is>
          <t>Multi-Godown / Multi-Store</t>
        </is>
      </c>
      <c r="E63" s="5" t="inlineStr">
        <is>
          <t>Transfer stock between warehouses</t>
        </is>
      </c>
      <c r="F63" s="5" t="inlineStr">
        <is>
          <t>Logistics Coordinator</t>
        </is>
      </c>
      <c r="G63" s="5" t="inlineStr">
        <is>
          <t>Warehouse Staff</t>
        </is>
      </c>
      <c r="H63" s="5" t="inlineStr">
        <is>
          <t>Move goods between central hub and regional spoke godowns with transit tracking</t>
        </is>
      </c>
      <c r="I63" s="5" t="inlineStr">
        <is>
          <t>Decrements source godown, stages stock in-transit, increments destination godown upon receipt</t>
        </is>
      </c>
      <c r="J63" s="20" t="inlineStr">
        <is>
          <t>P1</t>
        </is>
      </c>
      <c r="K63" s="20" t="inlineStr">
        <is>
          <t>Validated (Supported)</t>
        </is>
      </c>
      <c r="L63" s="5" t="inlineStr">
        <is>
          <t>Supported via StockTransfer workflow (status: DRAFT -&gt; IN_TRANSIT -&gt; RECEIVED).</t>
        </is>
      </c>
      <c r="M63" s="8" t="inlineStr">
        <is>
          <t>Baseline</t>
        </is>
      </c>
      <c r="N63" s="8" t="inlineStr">
        <is>
          <t>Operational role</t>
        </is>
      </c>
      <c r="O63" s="8" t="inlineStr">
        <is>
          <t>P1</t>
        </is>
      </c>
      <c r="P63" s="5" t="inlineStr">
        <is>
          <t>Unchanged</t>
        </is>
      </c>
      <c r="Q63" s="21" t="inlineStr">
        <is>
          <t>Code symbol found</t>
        </is>
      </c>
      <c r="R63" s="5" t="inlineStr">
        <is>
          <t>Matched StockTransfer in product code. This is not a functional test.</t>
        </is>
      </c>
      <c r="S63" s="8" t="inlineStr">
        <is>
          <t>WH</t>
        </is>
      </c>
      <c r="T63" s="5" t="inlineStr">
        <is>
          <t>Multi-godown and multi-store</t>
        </is>
      </c>
      <c r="U63" s="8" t="inlineStr"/>
      <c r="V63" s="8" t="inlineStr">
        <is>
          <t>inventory</t>
        </is>
      </c>
      <c r="W63" s="8" t="inlineStr">
        <is>
          <t>RUN</t>
        </is>
      </c>
      <c r="X63" s="5" t="inlineStr">
        <is>
          <t>Core</t>
        </is>
      </c>
      <c r="Y63" s="5" t="inlineStr">
        <is>
          <t>Owner</t>
        </is>
      </c>
      <c r="Z63" s="5" t="inlineStr">
        <is>
          <t>Medium</t>
        </is>
      </c>
      <c r="AA63" s="5" t="inlineStr">
        <is>
          <t>Medium</t>
        </is>
      </c>
      <c r="AB63" s="8" t="inlineStr">
        <is>
          <t>Low</t>
        </is>
      </c>
      <c r="AC63" s="8" t="inlineStr">
        <is>
          <t>Pilot</t>
        </is>
      </c>
      <c r="AD63" s="5" t="inlineStr">
        <is>
          <t>Cited in code</t>
        </is>
      </c>
      <c r="AE63" s="5" t="inlineStr">
        <is>
          <t>Not verified</t>
        </is>
      </c>
      <c r="AF63" s="5" t="inlineStr">
        <is>
          <t>Not verified</t>
        </is>
      </c>
      <c r="AG63" s="5" t="inlineStr">
        <is>
          <t>Not verified</t>
        </is>
      </c>
      <c r="AH63" s="5" t="inlineStr">
        <is>
          <t>Not verified</t>
        </is>
      </c>
      <c r="AI63" s="8" t="inlineStr">
        <is>
          <t>No</t>
        </is>
      </c>
      <c r="AJ63" s="8" t="inlineStr">
        <is>
          <t>Built - unverified</t>
        </is>
      </c>
      <c r="AK63" s="8" t="inlineStr">
        <is>
          <t>P1</t>
        </is>
      </c>
      <c r="AL63" s="8" t="n">
        <v>6</v>
      </c>
      <c r="AM63" s="5" t="inlineStr"/>
      <c r="AN63" s="5" t="inlineStr"/>
      <c r="AO63" s="5" t="inlineStr"/>
      <c r="AP63" s="5" t="inlineStr"/>
      <c r="AQ63" s="5" t="inlineStr"/>
      <c r="AR63" s="5" t="inlineStr"/>
      <c r="AS63" s="5" t="inlineStr"/>
      <c r="AT63" s="5" t="inlineStr"/>
      <c r="AU63" s="8" t="inlineStr">
        <is>
          <t>Not run</t>
        </is>
      </c>
    </row>
    <row r="64" ht="32" customHeight="1">
      <c r="A64" s="16" t="inlineStr">
        <is>
          <t>P-0063</t>
        </is>
      </c>
      <c r="B64" s="8" t="inlineStr">
        <is>
          <t>P</t>
        </is>
      </c>
      <c r="C64" s="5" t="inlineStr">
        <is>
          <t>Distributor</t>
        </is>
      </c>
      <c r="D64" s="5" t="inlineStr">
        <is>
          <t>Inventory Lifecycle</t>
        </is>
      </c>
      <c r="E64" s="5" t="inlineStr">
        <is>
          <t>Track batch/serial inventory</t>
        </is>
      </c>
      <c r="F64" s="5" t="inlineStr">
        <is>
          <t>Warehouse Custodian</t>
        </is>
      </c>
      <c r="G64" s="5" t="inlineStr">
        <is>
          <t>Customer</t>
        </is>
      </c>
      <c r="H64" s="5" t="inlineStr">
        <is>
          <t>Maintain complete lifecycle and warranty traceability of serialized and batched SKUs</t>
        </is>
      </c>
      <c r="I64" s="5" t="inlineStr">
        <is>
          <t>Tracks serial numbers (status: AVAILABLE, SOLD, RETURNED) and batch lots with expiry dates</t>
        </is>
      </c>
      <c r="J64" s="20" t="inlineStr">
        <is>
          <t>P1</t>
        </is>
      </c>
      <c r="K64" s="20" t="inlineStr">
        <is>
          <t>Validated (Supported)</t>
        </is>
      </c>
      <c r="L64" s="5" t="inlineStr">
        <is>
          <t>Supported via SerialNumber and BatchLot models across sales and purchase flows.</t>
        </is>
      </c>
      <c r="M64" s="8" t="inlineStr">
        <is>
          <t>Baseline</t>
        </is>
      </c>
      <c r="N64" s="8" t="inlineStr">
        <is>
          <t>Operational role</t>
        </is>
      </c>
      <c r="O64" s="8" t="inlineStr">
        <is>
          <t>P1</t>
        </is>
      </c>
      <c r="P64" s="5" t="inlineStr">
        <is>
          <t>Unchanged</t>
        </is>
      </c>
      <c r="Q64" s="21" t="inlineStr">
        <is>
          <t>Code symbol found</t>
        </is>
      </c>
      <c r="R64" s="5" t="inlineStr">
        <is>
          <t>Matched SerialNumber in product code. This is not a functional test.</t>
        </is>
      </c>
      <c r="S64" s="8" t="inlineStr">
        <is>
          <t>INV</t>
        </is>
      </c>
      <c r="T64" s="5" t="inlineStr">
        <is>
          <t>Inventory lifecycle</t>
        </is>
      </c>
      <c r="U64" s="8" t="inlineStr"/>
      <c r="V64" s="8" t="inlineStr">
        <is>
          <t>inventory</t>
        </is>
      </c>
      <c r="W64" s="8" t="inlineStr">
        <is>
          <t>RUN</t>
        </is>
      </c>
      <c r="X64" s="5" t="inlineStr">
        <is>
          <t>Core</t>
        </is>
      </c>
      <c r="Y64" s="5" t="inlineStr">
        <is>
          <t>Owner</t>
        </is>
      </c>
      <c r="Z64" s="5" t="inlineStr">
        <is>
          <t>High</t>
        </is>
      </c>
      <c r="AA64" s="5" t="inlineStr">
        <is>
          <t>High</t>
        </is>
      </c>
      <c r="AB64" s="8" t="inlineStr">
        <is>
          <t>Low</t>
        </is>
      </c>
      <c r="AC64" s="8" t="inlineStr">
        <is>
          <t>Pilot</t>
        </is>
      </c>
      <c r="AD64" s="5" t="inlineStr">
        <is>
          <t>Cited in code</t>
        </is>
      </c>
      <c r="AE64" s="5" t="inlineStr">
        <is>
          <t>Not verified</t>
        </is>
      </c>
      <c r="AF64" s="5" t="inlineStr">
        <is>
          <t>Not verified</t>
        </is>
      </c>
      <c r="AG64" s="5" t="inlineStr">
        <is>
          <t>Not verified</t>
        </is>
      </c>
      <c r="AH64" s="5" t="inlineStr">
        <is>
          <t>Not verified</t>
        </is>
      </c>
      <c r="AI64" s="8" t="inlineStr">
        <is>
          <t>No</t>
        </is>
      </c>
      <c r="AJ64" s="8" t="inlineStr">
        <is>
          <t>Built - unverified</t>
        </is>
      </c>
      <c r="AK64" s="8" t="inlineStr">
        <is>
          <t>P1</t>
        </is>
      </c>
      <c r="AL64" s="8" t="n">
        <v>9</v>
      </c>
      <c r="AM64" s="5" t="inlineStr"/>
      <c r="AN64" s="5" t="inlineStr"/>
      <c r="AO64" s="5" t="inlineStr"/>
      <c r="AP64" s="5" t="inlineStr"/>
      <c r="AQ64" s="5" t="inlineStr"/>
      <c r="AR64" s="5" t="inlineStr"/>
      <c r="AS64" s="5" t="inlineStr"/>
      <c r="AT64" s="5" t="inlineStr"/>
      <c r="AU64" s="8" t="inlineStr">
        <is>
          <t>Not run</t>
        </is>
      </c>
    </row>
    <row r="65" ht="32" customHeight="1">
      <c r="A65" s="16" t="inlineStr">
        <is>
          <t>P-0064</t>
        </is>
      </c>
      <c r="B65" s="8" t="inlineStr">
        <is>
          <t>P</t>
        </is>
      </c>
      <c r="C65" s="5" t="inlineStr">
        <is>
          <t>Distributor</t>
        </is>
      </c>
      <c r="D65" s="5" t="inlineStr">
        <is>
          <t>Inventory Lifecycle</t>
        </is>
      </c>
      <c r="E65" s="5" t="inlineStr">
        <is>
          <t>Track expiry-risk stock</t>
        </is>
      </c>
      <c r="F65" s="5" t="inlineStr">
        <is>
          <t>Warehouse Manager</t>
        </is>
      </c>
      <c r="G65" s="5" t="inlineStr">
        <is>
          <t>Principal Supplier</t>
        </is>
      </c>
      <c r="H65" s="5" t="inlineStr">
        <is>
          <t>Detect perishable or near-expiry wholesale stock to negotiate vendor return or clearance</t>
        </is>
      </c>
      <c r="I65" s="5" t="inlineStr">
        <is>
          <t>Surfaces aggregate stock value expiring within 30/60/90 days; generates supplier claim list</t>
        </is>
      </c>
      <c r="J65" s="20" t="inlineStr">
        <is>
          <t>P1</t>
        </is>
      </c>
      <c r="K65" s="20" t="inlineStr">
        <is>
          <t>Validated (Supported)</t>
        </is>
      </c>
      <c r="L65" s="5" t="inlineStr">
        <is>
          <t>Supported via Expiry Risk Dashboard in Inventory reporting.</t>
        </is>
      </c>
      <c r="M65" s="8" t="inlineStr">
        <is>
          <t>Baseline</t>
        </is>
      </c>
      <c r="N65" s="8" t="inlineStr">
        <is>
          <t>Operational role</t>
        </is>
      </c>
      <c r="O65" s="8" t="inlineStr">
        <is>
          <t>P1</t>
        </is>
      </c>
      <c r="P65" s="5" t="inlineStr">
        <is>
          <t>Unchanged</t>
        </is>
      </c>
      <c r="Q65" s="20" t="inlineStr">
        <is>
          <t>Author assertion</t>
        </is>
      </c>
      <c r="R65" s="5" t="inlineStr"/>
      <c r="S65" s="8" t="inlineStr">
        <is>
          <t>INV</t>
        </is>
      </c>
      <c r="T65" s="5" t="inlineStr">
        <is>
          <t>Inventory lifecycle</t>
        </is>
      </c>
      <c r="U65" s="8" t="inlineStr"/>
      <c r="V65" s="8" t="inlineStr">
        <is>
          <t>inventory</t>
        </is>
      </c>
      <c r="W65" s="8" t="inlineStr">
        <is>
          <t>RUN</t>
        </is>
      </c>
      <c r="X65" s="5" t="inlineStr">
        <is>
          <t>Core</t>
        </is>
      </c>
      <c r="Y65" s="5" t="inlineStr">
        <is>
          <t>Owner</t>
        </is>
      </c>
      <c r="Z65" s="5" t="inlineStr">
        <is>
          <t>High</t>
        </is>
      </c>
      <c r="AA65" s="5" t="inlineStr">
        <is>
          <t>High</t>
        </is>
      </c>
      <c r="AB65" s="8" t="inlineStr">
        <is>
          <t>Low</t>
        </is>
      </c>
      <c r="AC65" s="8" t="inlineStr">
        <is>
          <t>Pilot</t>
        </is>
      </c>
      <c r="AD65" s="5" t="inlineStr">
        <is>
          <t>Not independently checked</t>
        </is>
      </c>
      <c r="AE65" s="5" t="inlineStr">
        <is>
          <t>Not verified</t>
        </is>
      </c>
      <c r="AF65" s="5" t="inlineStr">
        <is>
          <t>Not verified</t>
        </is>
      </c>
      <c r="AG65" s="5" t="inlineStr">
        <is>
          <t>Not verified</t>
        </is>
      </c>
      <c r="AH65" s="5" t="inlineStr">
        <is>
          <t>Not verified</t>
        </is>
      </c>
      <c r="AI65" s="8" t="inlineStr">
        <is>
          <t>No</t>
        </is>
      </c>
      <c r="AJ65" s="8" t="inlineStr">
        <is>
          <t>Claimed - unverified</t>
        </is>
      </c>
      <c r="AK65" s="8" t="inlineStr">
        <is>
          <t>P1</t>
        </is>
      </c>
      <c r="AL65" s="8" t="n">
        <v>9</v>
      </c>
      <c r="AM65" s="5" t="inlineStr"/>
      <c r="AN65" s="5" t="inlineStr"/>
      <c r="AO65" s="5" t="inlineStr"/>
      <c r="AP65" s="5" t="inlineStr"/>
      <c r="AQ65" s="5" t="inlineStr"/>
      <c r="AR65" s="5" t="inlineStr"/>
      <c r="AS65" s="5" t="inlineStr"/>
      <c r="AT65" s="5" t="inlineStr"/>
      <c r="AU65" s="8" t="inlineStr">
        <is>
          <t>Not run</t>
        </is>
      </c>
    </row>
    <row r="66" ht="32" customHeight="1">
      <c r="A66" s="16" t="inlineStr">
        <is>
          <t>P-0065</t>
        </is>
      </c>
      <c r="B66" s="8" t="inlineStr">
        <is>
          <t>P</t>
        </is>
      </c>
      <c r="C66" s="5" t="inlineStr">
        <is>
          <t>Distributor</t>
        </is>
      </c>
      <c r="D66" s="5" t="inlineStr">
        <is>
          <t>Reporting &amp; Business Intelligence</t>
        </is>
      </c>
      <c r="E66" s="5" t="inlineStr">
        <is>
          <t>Analyze customer profitability</t>
        </is>
      </c>
      <c r="F66" s="5" t="inlineStr">
        <is>
          <t>Commercial Director</t>
        </is>
      </c>
      <c r="G66" s="5" t="inlineStr">
        <is>
          <t>Retailer</t>
        </is>
      </c>
      <c r="H66" s="5" t="inlineStr">
        <is>
          <t>Evaluate gross margin and net profit contribution generated by each retail dealer</t>
        </is>
      </c>
      <c r="I66" s="5" t="inlineStr">
        <is>
          <t>Aggregates total sales, discounts given, and cost of goods sold per customer account</t>
        </is>
      </c>
      <c r="J66" s="22" t="inlineStr">
        <is>
          <t>P2</t>
        </is>
      </c>
      <c r="K66" s="20" t="inlineStr">
        <is>
          <t>Validated (Supported)</t>
        </is>
      </c>
      <c r="L66" s="5" t="inlineStr">
        <is>
          <t>Supported via Customer Profitability Analysis Report (/reports/customer-profitability/).</t>
        </is>
      </c>
      <c r="M66" s="8" t="inlineStr">
        <is>
          <t>Baseline</t>
        </is>
      </c>
      <c r="N66" s="8" t="inlineStr">
        <is>
          <t>Operational role</t>
        </is>
      </c>
      <c r="O66" s="8" t="inlineStr">
        <is>
          <t>P2</t>
        </is>
      </c>
      <c r="P66" s="5" t="inlineStr">
        <is>
          <t>Unchanged</t>
        </is>
      </c>
      <c r="Q66" s="20" t="inlineStr">
        <is>
          <t>Author assertion</t>
        </is>
      </c>
      <c r="R66" s="5" t="inlineStr"/>
      <c r="S66" s="8" t="inlineStr">
        <is>
          <t>RPT</t>
        </is>
      </c>
      <c r="T66" s="5" t="inlineStr">
        <is>
          <t>Reporting and business intelligence</t>
        </is>
      </c>
      <c r="U66" s="8" t="inlineStr"/>
      <c r="V66" s="8" t="inlineStr">
        <is>
          <t>reporting</t>
        </is>
      </c>
      <c r="W66" s="8" t="inlineStr">
        <is>
          <t>CONTROL</t>
        </is>
      </c>
      <c r="X66" s="5" t="inlineStr">
        <is>
          <t>Core</t>
        </is>
      </c>
      <c r="Y66" s="5" t="inlineStr">
        <is>
          <t>Owner</t>
        </is>
      </c>
      <c r="Z66" s="5" t="inlineStr">
        <is>
          <t>Medium</t>
        </is>
      </c>
      <c r="AA66" s="5" t="inlineStr">
        <is>
          <t>Medium</t>
        </is>
      </c>
      <c r="AB66" s="8" t="inlineStr">
        <is>
          <t>Low</t>
        </is>
      </c>
      <c r="AC66" s="8" t="inlineStr">
        <is>
          <t>Later</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P2</t>
        </is>
      </c>
      <c r="AL66" s="8" t="n">
        <v>6</v>
      </c>
      <c r="AM66" s="5" t="inlineStr"/>
      <c r="AN66" s="5" t="inlineStr"/>
      <c r="AO66" s="5" t="inlineStr"/>
      <c r="AP66" s="5" t="inlineStr"/>
      <c r="AQ66" s="5" t="inlineStr"/>
      <c r="AR66" s="5" t="inlineStr"/>
      <c r="AS66" s="5" t="inlineStr"/>
      <c r="AT66" s="5" t="inlineStr"/>
      <c r="AU66" s="8" t="inlineStr">
        <is>
          <t>Not run</t>
        </is>
      </c>
    </row>
    <row r="67" ht="32" customHeight="1">
      <c r="A67" s="16" t="inlineStr">
        <is>
          <t>P-0066</t>
        </is>
      </c>
      <c r="B67" s="8" t="inlineStr">
        <is>
          <t>P</t>
        </is>
      </c>
      <c r="C67" s="5" t="inlineStr">
        <is>
          <t>Distributor</t>
        </is>
      </c>
      <c r="D67" s="5" t="inlineStr">
        <is>
          <t>Reporting &amp; Business Intelligence</t>
        </is>
      </c>
      <c r="E67" s="5" t="inlineStr">
        <is>
          <t>Analyze product profitability</t>
        </is>
      </c>
      <c r="F67" s="5" t="inlineStr">
        <is>
          <t>Product Manager</t>
        </is>
      </c>
      <c r="G67" s="5" t="inlineStr">
        <is>
          <t>None</t>
        </is>
      </c>
      <c r="H67" s="5" t="inlineStr">
        <is>
          <t>Identify highest and lowest margin brand categories to optimize procurement volume commitments</t>
        </is>
      </c>
      <c r="I67" s="5" t="inlineStr">
        <is>
          <t>Computes product contribution margin after supplier rebates, discounts, and direct freight</t>
        </is>
      </c>
      <c r="J67" s="22" t="inlineStr">
        <is>
          <t>P2</t>
        </is>
      </c>
      <c r="K67" s="20" t="inlineStr">
        <is>
          <t>Validated (Supported)</t>
        </is>
      </c>
      <c r="L67" s="5" t="inlineStr">
        <is>
          <t>Supported via Product Margin Matrix Report (/reports/product-margins/).</t>
        </is>
      </c>
      <c r="M67" s="8" t="inlineStr">
        <is>
          <t>Baseline</t>
        </is>
      </c>
      <c r="N67" s="8" t="inlineStr">
        <is>
          <t>Operational role</t>
        </is>
      </c>
      <c r="O67" s="8" t="inlineStr">
        <is>
          <t>P2</t>
        </is>
      </c>
      <c r="P67" s="5" t="inlineStr">
        <is>
          <t>Unchanged</t>
        </is>
      </c>
      <c r="Q67" s="20" t="inlineStr">
        <is>
          <t>Author assertion</t>
        </is>
      </c>
      <c r="R67" s="5" t="inlineStr"/>
      <c r="S67" s="8" t="inlineStr">
        <is>
          <t>RPT</t>
        </is>
      </c>
      <c r="T67" s="5" t="inlineStr">
        <is>
          <t>Reporting and business intelligence</t>
        </is>
      </c>
      <c r="U67" s="8" t="inlineStr"/>
      <c r="V67" s="8" t="inlineStr">
        <is>
          <t>reporting</t>
        </is>
      </c>
      <c r="W67" s="8" t="inlineStr">
        <is>
          <t>CONTROL</t>
        </is>
      </c>
      <c r="X67" s="5" t="inlineStr">
        <is>
          <t>Core</t>
        </is>
      </c>
      <c r="Y67" s="5" t="inlineStr">
        <is>
          <t>Owner</t>
        </is>
      </c>
      <c r="Z67" s="5" t="inlineStr">
        <is>
          <t>Medium</t>
        </is>
      </c>
      <c r="AA67" s="5" t="inlineStr">
        <is>
          <t>Medium</t>
        </is>
      </c>
      <c r="AB67" s="8" t="inlineStr">
        <is>
          <t>Low</t>
        </is>
      </c>
      <c r="AC67" s="8" t="inlineStr">
        <is>
          <t>Later</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P2</t>
        </is>
      </c>
      <c r="AL67" s="8" t="n">
        <v>6</v>
      </c>
      <c r="AM67" s="5" t="inlineStr"/>
      <c r="AN67" s="5" t="inlineStr"/>
      <c r="AO67" s="5" t="inlineStr"/>
      <c r="AP67" s="5" t="inlineStr"/>
      <c r="AQ67" s="5" t="inlineStr"/>
      <c r="AR67" s="5" t="inlineStr"/>
      <c r="AS67" s="5" t="inlineStr"/>
      <c r="AT67" s="5" t="inlineStr"/>
      <c r="AU67" s="8" t="inlineStr">
        <is>
          <t>Not run</t>
        </is>
      </c>
    </row>
    <row r="68" ht="32" customHeight="1">
      <c r="A68" s="16" t="inlineStr">
        <is>
          <t>P-0067</t>
        </is>
      </c>
      <c r="B68" s="8" t="inlineStr">
        <is>
          <t>P</t>
        </is>
      </c>
      <c r="C68" s="5" t="inlineStr">
        <is>
          <t>Distributor</t>
        </is>
      </c>
      <c r="D68" s="5" t="inlineStr">
        <is>
          <t>Payments &amp; Reconciliation</t>
        </is>
      </c>
      <c r="E68" s="5" t="inlineStr">
        <is>
          <t>Reconcile receivables and payments</t>
        </is>
      </c>
      <c r="F68" s="5" t="inlineStr">
        <is>
          <t>Senior Accountant</t>
        </is>
      </c>
      <c r="G68" s="5" t="inlineStr">
        <is>
          <t>Retailer</t>
        </is>
      </c>
      <c r="H68" s="5" t="inlineStr">
        <is>
          <t>Regular ledger reconciliation with retail dealers to clear mismatched balances and disputes</t>
        </is>
      </c>
      <c r="I68" s="5" t="inlineStr">
        <is>
          <t>Generates unified customer statement showing invoices, debit/credit notes, and payment receipts</t>
        </is>
      </c>
      <c r="J68" s="20" t="inlineStr">
        <is>
          <t>P1</t>
        </is>
      </c>
      <c r="K68" s="20" t="inlineStr">
        <is>
          <t>Validated (Supported)</t>
        </is>
      </c>
      <c r="L68" s="5" t="inlineStr">
        <is>
          <t>Supported via Customer Statement Generator with PDF/Excel shareable link.</t>
        </is>
      </c>
      <c r="M68" s="8" t="inlineStr">
        <is>
          <t>Baseline</t>
        </is>
      </c>
      <c r="N68" s="8" t="inlineStr">
        <is>
          <t>Operational role</t>
        </is>
      </c>
      <c r="O68" s="8" t="inlineStr">
        <is>
          <t>P1</t>
        </is>
      </c>
      <c r="P68" s="5" t="inlineStr">
        <is>
          <t>Unchanged</t>
        </is>
      </c>
      <c r="Q68" s="20" t="inlineStr">
        <is>
          <t>Author assertion</t>
        </is>
      </c>
      <c r="R68" s="5" t="inlineStr"/>
      <c r="S68" s="8" t="inlineStr">
        <is>
          <t>PAYREC</t>
        </is>
      </c>
      <c r="T68" s="5" t="inlineStr">
        <is>
          <t>Payments and reconciliation</t>
        </is>
      </c>
      <c r="U68" s="8" t="inlineStr"/>
      <c r="V68" s="8" t="inlineStr">
        <is>
          <t>payments</t>
        </is>
      </c>
      <c r="W68" s="8" t="inlineStr">
        <is>
          <t>RUN</t>
        </is>
      </c>
      <c r="X68" s="5" t="inlineStr">
        <is>
          <t>Core</t>
        </is>
      </c>
      <c r="Y68" s="5" t="inlineStr">
        <is>
          <t>Owner</t>
        </is>
      </c>
      <c r="Z68" s="5" t="inlineStr">
        <is>
          <t>High</t>
        </is>
      </c>
      <c r="AA68" s="5" t="inlineStr">
        <is>
          <t>High</t>
        </is>
      </c>
      <c r="AB68" s="8" t="inlineStr">
        <is>
          <t>Low</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9</v>
      </c>
      <c r="AM68" s="5" t="inlineStr"/>
      <c r="AN68" s="5" t="inlineStr"/>
      <c r="AO68" s="5" t="inlineStr"/>
      <c r="AP68" s="5" t="inlineStr"/>
      <c r="AQ68" s="5" t="inlineStr"/>
      <c r="AR68" s="5" t="inlineStr"/>
      <c r="AS68" s="5" t="inlineStr"/>
      <c r="AT68" s="5" t="inlineStr"/>
      <c r="AU68" s="8" t="inlineStr">
        <is>
          <t>Not run</t>
        </is>
      </c>
    </row>
    <row r="69" ht="32" customHeight="1">
      <c r="A69" s="16" t="inlineStr">
        <is>
          <t>P-0068</t>
        </is>
      </c>
      <c r="B69" s="8" t="inlineStr">
        <is>
          <t>P</t>
        </is>
      </c>
      <c r="C69" s="5" t="inlineStr">
        <is>
          <t>Single-Godown Distributor</t>
        </is>
      </c>
      <c r="D69" s="5" t="inlineStr">
        <is>
          <t>Procure-to-Pay</t>
        </is>
      </c>
      <c r="E69" s="5" t="inlineStr">
        <is>
          <t>Receive stock into godown</t>
        </is>
      </c>
      <c r="F69" s="5" t="inlineStr">
        <is>
          <t>Godown Custodian</t>
        </is>
      </c>
      <c r="G69" s="5" t="inlineStr">
        <is>
          <t>Delivery Carrier / Supplier</t>
        </is>
      </c>
      <c r="H69" s="5" t="inlineStr">
        <is>
          <t>Verify received physical goods against supplier delivery challan and inward into stock</t>
        </is>
      </c>
      <c r="I69" s="5" t="inlineStr">
        <is>
          <t>Creates StockMovement (INWARD_PURCHASE); updates physical on-hand quantity</t>
        </is>
      </c>
      <c r="J69" s="20" t="inlineStr">
        <is>
          <t>P1</t>
        </is>
      </c>
      <c r="K69" s="20" t="inlineStr">
        <is>
          <t>Validated (Supported)</t>
        </is>
      </c>
      <c r="L69" s="5" t="inlineStr">
        <is>
          <t>Supported in Purchase Invoice complete flow; auto-generates stock inward movement.</t>
        </is>
      </c>
      <c r="M69" s="8" t="inlineStr">
        <is>
          <t>Baseline</t>
        </is>
      </c>
      <c r="N69" s="8" t="inlineStr">
        <is>
          <t>Operational role</t>
        </is>
      </c>
      <c r="O69" s="8" t="inlineStr">
        <is>
          <t>P1</t>
        </is>
      </c>
      <c r="P69" s="5" t="inlineStr">
        <is>
          <t>Unchanged</t>
        </is>
      </c>
      <c r="Q69" s="20" t="inlineStr">
        <is>
          <t>Author assertion</t>
        </is>
      </c>
      <c r="R69" s="5" t="inlineStr"/>
      <c r="S69" s="8" t="inlineStr">
        <is>
          <t>P2P</t>
        </is>
      </c>
      <c r="T69" s="5" t="inlineStr">
        <is>
          <t>Procure to pay</t>
        </is>
      </c>
      <c r="U69" s="8" t="inlineStr"/>
      <c r="V69" s="8" t="inlineStr">
        <is>
          <t>purchases</t>
        </is>
      </c>
      <c r="W69" s="8" t="inlineStr">
        <is>
          <t>RUN</t>
        </is>
      </c>
      <c r="X69" s="5" t="inlineStr">
        <is>
          <t>Core</t>
        </is>
      </c>
      <c r="Y69" s="5" t="inlineStr">
        <is>
          <t>Stock</t>
        </is>
      </c>
      <c r="Z69" s="5" t="inlineStr">
        <is>
          <t>Medium</t>
        </is>
      </c>
      <c r="AA69" s="5" t="inlineStr">
        <is>
          <t>Medium</t>
        </is>
      </c>
      <c r="AB69" s="8" t="inlineStr">
        <is>
          <t>Low</t>
        </is>
      </c>
      <c r="AC69" s="8" t="inlineStr">
        <is>
          <t>Pilot</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P1</t>
        </is>
      </c>
      <c r="AL69" s="8" t="n">
        <v>6</v>
      </c>
      <c r="AM69" s="5" t="inlineStr"/>
      <c r="AN69" s="5" t="inlineStr"/>
      <c r="AO69" s="5" t="inlineStr"/>
      <c r="AP69" s="5" t="inlineStr"/>
      <c r="AQ69" s="5" t="inlineStr"/>
      <c r="AR69" s="5" t="inlineStr"/>
      <c r="AS69" s="5" t="inlineStr"/>
      <c r="AT69" s="5" t="inlineStr"/>
      <c r="AU69" s="8" t="inlineStr">
        <is>
          <t>Not run</t>
        </is>
      </c>
    </row>
    <row r="70" ht="32" customHeight="1">
      <c r="A70" s="16" t="inlineStr">
        <is>
          <t>P-0069</t>
        </is>
      </c>
      <c r="B70" s="8" t="inlineStr">
        <is>
          <t>P</t>
        </is>
      </c>
      <c r="C70" s="5" t="inlineStr">
        <is>
          <t>Single-Godown Distributor</t>
        </is>
      </c>
      <c r="D70" s="5" t="inlineStr">
        <is>
          <t>Inventory Lifecycle</t>
        </is>
      </c>
      <c r="E70" s="5" t="inlineStr">
        <is>
          <t>Allocate stock to customer orders</t>
        </is>
      </c>
      <c r="F70" s="5" t="inlineStr">
        <is>
          <t>Godown Custodian</t>
        </is>
      </c>
      <c r="G70" s="5" t="inlineStr">
        <is>
          <t>Sales Desk</t>
        </is>
      </c>
      <c r="H70" s="5" t="inlineStr">
        <is>
          <t>Assign physical bin stock to pending sales orders for picking and packing</t>
        </is>
      </c>
      <c r="I70" s="5" t="inlineStr">
        <is>
          <t>Updates reserved inventory quantity, preventing duplicate commitment of stock</t>
        </is>
      </c>
      <c r="J70" s="20" t="inlineStr">
        <is>
          <t>P1</t>
        </is>
      </c>
      <c r="K70" s="20" t="inlineStr">
        <is>
          <t>Validated (Supported)</t>
        </is>
      </c>
      <c r="L70" s="5" t="inlineStr">
        <is>
          <t>Supported via order reservation mechanism in sales processing.</t>
        </is>
      </c>
      <c r="M70" s="8" t="inlineStr">
        <is>
          <t>Baseline</t>
        </is>
      </c>
      <c r="N70" s="8" t="inlineStr">
        <is>
          <t>Operational role</t>
        </is>
      </c>
      <c r="O70" s="8" t="inlineStr">
        <is>
          <t>P1</t>
        </is>
      </c>
      <c r="P70" s="5" t="inlineStr">
        <is>
          <t>Unchanged</t>
        </is>
      </c>
      <c r="Q70" s="20" t="inlineStr">
        <is>
          <t>Author assertion</t>
        </is>
      </c>
      <c r="R70" s="5" t="inlineStr"/>
      <c r="S70" s="8" t="inlineStr">
        <is>
          <t>INV</t>
        </is>
      </c>
      <c r="T70" s="5" t="inlineStr">
        <is>
          <t>Inventory lifecycle</t>
        </is>
      </c>
      <c r="U70" s="8" t="inlineStr"/>
      <c r="V70" s="8" t="inlineStr">
        <is>
          <t>inventory</t>
        </is>
      </c>
      <c r="W70" s="8" t="inlineStr">
        <is>
          <t>RUN</t>
        </is>
      </c>
      <c r="X70" s="5" t="inlineStr">
        <is>
          <t>Core</t>
        </is>
      </c>
      <c r="Y70" s="5" t="inlineStr">
        <is>
          <t>Stock</t>
        </is>
      </c>
      <c r="Z70" s="5" t="inlineStr">
        <is>
          <t>High</t>
        </is>
      </c>
      <c r="AA70" s="5" t="inlineStr">
        <is>
          <t>High</t>
        </is>
      </c>
      <c r="AB70" s="8" t="inlineStr">
        <is>
          <t>Low</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9</v>
      </c>
      <c r="AM70" s="5" t="inlineStr"/>
      <c r="AN70" s="5" t="inlineStr"/>
      <c r="AO70" s="5" t="inlineStr"/>
      <c r="AP70" s="5" t="inlineStr"/>
      <c r="AQ70" s="5" t="inlineStr"/>
      <c r="AR70" s="5" t="inlineStr"/>
      <c r="AS70" s="5" t="inlineStr"/>
      <c r="AT70" s="5" t="inlineStr"/>
      <c r="AU70" s="8" t="inlineStr">
        <is>
          <t>Not run</t>
        </is>
      </c>
    </row>
    <row r="71" ht="32" customHeight="1">
      <c r="A71" s="16" t="inlineStr">
        <is>
          <t>P-0070</t>
        </is>
      </c>
      <c r="B71" s="8" t="inlineStr">
        <is>
          <t>P</t>
        </is>
      </c>
      <c r="C71" s="5" t="inlineStr">
        <is>
          <t>Single-Godown Distributor</t>
        </is>
      </c>
      <c r="D71" s="5" t="inlineStr">
        <is>
          <t>Customer-to-Cash</t>
        </is>
      </c>
      <c r="E71" s="5" t="inlineStr">
        <is>
          <t>Pick and dispatch customer orders</t>
        </is>
      </c>
      <c r="F71" s="5" t="inlineStr">
        <is>
          <t>Godown Custodian</t>
        </is>
      </c>
      <c r="G71" s="5" t="inlineStr">
        <is>
          <t>Logistics Driver</t>
        </is>
      </c>
      <c r="H71" s="5" t="inlineStr">
        <is>
          <t>Generate pick list, pull items from shelves, pack, and prepare dispatch consignment</t>
        </is>
      </c>
      <c r="I71" s="5" t="inlineStr">
        <is>
          <t>Changes sales order status to DISPATCHED; attaches vehicle and driver details</t>
        </is>
      </c>
      <c r="J71" s="20" t="inlineStr">
        <is>
          <t>P1</t>
        </is>
      </c>
      <c r="K71" s="20" t="inlineStr">
        <is>
          <t>Validated (Supported)</t>
        </is>
      </c>
      <c r="L71" s="5" t="inlineStr">
        <is>
          <t>Supported via Pick List printing and Delivery Challan generation.</t>
        </is>
      </c>
      <c r="M71" s="8" t="inlineStr">
        <is>
          <t>Baseline</t>
        </is>
      </c>
      <c r="N71" s="8" t="inlineStr">
        <is>
          <t>Operational role</t>
        </is>
      </c>
      <c r="O71" s="8" t="inlineStr">
        <is>
          <t>P1</t>
        </is>
      </c>
      <c r="P71" s="5" t="inlineStr">
        <is>
          <t>Unchanged</t>
        </is>
      </c>
      <c r="Q71" s="20" t="inlineStr">
        <is>
          <t>Author assertion</t>
        </is>
      </c>
      <c r="R71" s="5" t="inlineStr"/>
      <c r="S71" s="8" t="inlineStr">
        <is>
          <t>C2C</t>
        </is>
      </c>
      <c r="T71" s="5" t="inlineStr">
        <is>
          <t>Customer to cash</t>
        </is>
      </c>
      <c r="U71" s="8" t="inlineStr"/>
      <c r="V71" s="8" t="inlineStr">
        <is>
          <t>sales</t>
        </is>
      </c>
      <c r="W71" s="8" t="inlineStr">
        <is>
          <t>RUN</t>
        </is>
      </c>
      <c r="X71" s="5" t="inlineStr">
        <is>
          <t>Core</t>
        </is>
      </c>
      <c r="Y71" s="5" t="inlineStr">
        <is>
          <t>Stock</t>
        </is>
      </c>
      <c r="Z71" s="5" t="inlineStr">
        <is>
          <t>Medium</t>
        </is>
      </c>
      <c r="AA71" s="5" t="inlineStr">
        <is>
          <t>Medium</t>
        </is>
      </c>
      <c r="AB71" s="8" t="inlineStr">
        <is>
          <t>Low</t>
        </is>
      </c>
      <c r="AC71" s="8" t="inlineStr">
        <is>
          <t>Pilot</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P1</t>
        </is>
      </c>
      <c r="AL71" s="8" t="n">
        <v>6</v>
      </c>
      <c r="AM71" s="5" t="inlineStr"/>
      <c r="AN71" s="5" t="inlineStr"/>
      <c r="AO71" s="5" t="inlineStr"/>
      <c r="AP71" s="5" t="inlineStr"/>
      <c r="AQ71" s="5" t="inlineStr"/>
      <c r="AR71" s="5" t="inlineStr"/>
      <c r="AS71" s="5" t="inlineStr"/>
      <c r="AT71" s="5" t="inlineStr"/>
      <c r="AU71" s="8" t="inlineStr">
        <is>
          <t>Not run</t>
        </is>
      </c>
    </row>
    <row r="72" ht="32" customHeight="1">
      <c r="A72" s="16" t="inlineStr">
        <is>
          <t>P-0071</t>
        </is>
      </c>
      <c r="B72" s="8" t="inlineStr">
        <is>
          <t>P</t>
        </is>
      </c>
      <c r="C72" s="5" t="inlineStr">
        <is>
          <t>Single-Godown Distributor</t>
        </is>
      </c>
      <c r="D72" s="5" t="inlineStr">
        <is>
          <t>Inventory Lifecycle</t>
        </is>
      </c>
      <c r="E72" s="5" t="inlineStr">
        <is>
          <t>Track available and committed stock</t>
        </is>
      </c>
      <c r="F72" s="5" t="inlineStr">
        <is>
          <t>Godown Custodian</t>
        </is>
      </c>
      <c r="G72" s="5" t="inlineStr">
        <is>
          <t>Sales Team</t>
        </is>
      </c>
      <c r="H72" s="5" t="inlineStr">
        <is>
          <t>Distinguish between total physical on-hand stock and uncommitted available-to-sell stock</t>
        </is>
      </c>
      <c r="I72" s="5" t="inlineStr">
        <is>
          <t>Computes available_stock = on_hand_stock - committed_order_stock in real time</t>
        </is>
      </c>
      <c r="J72" s="20" t="inlineStr">
        <is>
          <t>P1</t>
        </is>
      </c>
      <c r="K72" s="20" t="inlineStr">
        <is>
          <t>Validated (Supported)</t>
        </is>
      </c>
      <c r="L72" s="5" t="inlineStr">
        <is>
          <t>Supported via StockBalance model displaying on_hand vs available columns.</t>
        </is>
      </c>
      <c r="M72" s="8" t="inlineStr">
        <is>
          <t>Baseline</t>
        </is>
      </c>
      <c r="N72" s="8" t="inlineStr">
        <is>
          <t>Operational role</t>
        </is>
      </c>
      <c r="O72" s="8" t="inlineStr">
        <is>
          <t>P1</t>
        </is>
      </c>
      <c r="P72" s="5" t="inlineStr">
        <is>
          <t>Unchanged</t>
        </is>
      </c>
      <c r="Q72" s="21" t="inlineStr">
        <is>
          <t>Code symbol found</t>
        </is>
      </c>
      <c r="R72" s="5" t="inlineStr">
        <is>
          <t>Matched StockBalance in product code. This is not a functional test.</t>
        </is>
      </c>
      <c r="S72" s="8" t="inlineStr">
        <is>
          <t>INV</t>
        </is>
      </c>
      <c r="T72" s="5" t="inlineStr">
        <is>
          <t>Inventory lifecycle</t>
        </is>
      </c>
      <c r="U72" s="8" t="inlineStr"/>
      <c r="V72" s="8" t="inlineStr">
        <is>
          <t>inventory</t>
        </is>
      </c>
      <c r="W72" s="8" t="inlineStr">
        <is>
          <t>RUN</t>
        </is>
      </c>
      <c r="X72" s="5" t="inlineStr">
        <is>
          <t>Core</t>
        </is>
      </c>
      <c r="Y72" s="5" t="inlineStr">
        <is>
          <t>Stock</t>
        </is>
      </c>
      <c r="Z72" s="5" t="inlineStr">
        <is>
          <t>High</t>
        </is>
      </c>
      <c r="AA72" s="5" t="inlineStr">
        <is>
          <t>High</t>
        </is>
      </c>
      <c r="AB72" s="8" t="inlineStr">
        <is>
          <t>Low</t>
        </is>
      </c>
      <c r="AC72" s="8" t="inlineStr">
        <is>
          <t>Pilot</t>
        </is>
      </c>
      <c r="AD72" s="5" t="inlineStr">
        <is>
          <t>Cited in code</t>
        </is>
      </c>
      <c r="AE72" s="5" t="inlineStr">
        <is>
          <t>Not verified</t>
        </is>
      </c>
      <c r="AF72" s="5" t="inlineStr">
        <is>
          <t>Not verified</t>
        </is>
      </c>
      <c r="AG72" s="5" t="inlineStr">
        <is>
          <t>Not verified</t>
        </is>
      </c>
      <c r="AH72" s="5" t="inlineStr">
        <is>
          <t>Not verified</t>
        </is>
      </c>
      <c r="AI72" s="8" t="inlineStr">
        <is>
          <t>No</t>
        </is>
      </c>
      <c r="AJ72" s="8" t="inlineStr">
        <is>
          <t>Built - unverified</t>
        </is>
      </c>
      <c r="AK72" s="8" t="inlineStr">
        <is>
          <t>P1</t>
        </is>
      </c>
      <c r="AL72" s="8" t="n">
        <v>9</v>
      </c>
      <c r="AM72" s="5" t="inlineStr"/>
      <c r="AN72" s="5" t="inlineStr"/>
      <c r="AO72" s="5" t="inlineStr"/>
      <c r="AP72" s="5" t="inlineStr"/>
      <c r="AQ72" s="5" t="inlineStr"/>
      <c r="AR72" s="5" t="inlineStr"/>
      <c r="AS72" s="5" t="inlineStr"/>
      <c r="AT72" s="5" t="inlineStr"/>
      <c r="AU72" s="8" t="inlineStr">
        <is>
          <t>Not run</t>
        </is>
      </c>
    </row>
    <row r="73" ht="32" customHeight="1">
      <c r="A73" s="16" t="inlineStr">
        <is>
          <t>P-0072</t>
        </is>
      </c>
      <c r="B73" s="8" t="inlineStr">
        <is>
          <t>P</t>
        </is>
      </c>
      <c r="C73" s="5" t="inlineStr">
        <is>
          <t>Single-Godown Distributor</t>
        </is>
      </c>
      <c r="D73" s="5" t="inlineStr">
        <is>
          <t>Inventory Lifecycle</t>
        </is>
      </c>
      <c r="E73" s="5" t="inlineStr">
        <is>
          <t>Track damaged stock</t>
        </is>
      </c>
      <c r="F73" s="5" t="inlineStr">
        <is>
          <t>Godown Custodian</t>
        </is>
      </c>
      <c r="G73" s="5" t="inlineStr">
        <is>
          <t>Supplier / Claims Adjuster</t>
        </is>
      </c>
      <c r="H73" s="5" t="inlineStr">
        <is>
          <t>Quarantine broken, leaking, or damaged items into a non-saleable virtual location</t>
        </is>
      </c>
      <c r="I73" s="5" t="inlineStr">
        <is>
          <t>Transfers inventory to DAMAGED warehouse bin; excludes from available-to-sell inventory</t>
        </is>
      </c>
      <c r="J73" s="20" t="inlineStr">
        <is>
          <t>P1</t>
        </is>
      </c>
      <c r="K73" s="20" t="inlineStr">
        <is>
          <t>Validated (Supported)</t>
        </is>
      </c>
      <c r="L73" s="5" t="inlineStr">
        <is>
          <t>Supported via internal StockAdjustment with reason='DAMAGED' or transfer to Quarantine.</t>
        </is>
      </c>
      <c r="M73" s="8" t="inlineStr">
        <is>
          <t>Baseline</t>
        </is>
      </c>
      <c r="N73" s="8" t="inlineStr">
        <is>
          <t>Operational role</t>
        </is>
      </c>
      <c r="O73" s="8" t="inlineStr">
        <is>
          <t>P1</t>
        </is>
      </c>
      <c r="P73" s="5" t="inlineStr">
        <is>
          <t>Unchanged</t>
        </is>
      </c>
      <c r="Q73" s="21" t="inlineStr">
        <is>
          <t>Code symbol found</t>
        </is>
      </c>
      <c r="R73" s="5" t="inlineStr">
        <is>
          <t>Matched StockAdjustment in product code. This is not a functional test.</t>
        </is>
      </c>
      <c r="S73" s="8" t="inlineStr">
        <is>
          <t>INV</t>
        </is>
      </c>
      <c r="T73" s="5" t="inlineStr">
        <is>
          <t>Inventory lifecycle</t>
        </is>
      </c>
      <c r="U73" s="8" t="inlineStr"/>
      <c r="V73" s="8" t="inlineStr">
        <is>
          <t>inventory</t>
        </is>
      </c>
      <c r="W73" s="8" t="inlineStr">
        <is>
          <t>RUN</t>
        </is>
      </c>
      <c r="X73" s="5" t="inlineStr">
        <is>
          <t>Core</t>
        </is>
      </c>
      <c r="Y73" s="5" t="inlineStr">
        <is>
          <t>Stock</t>
        </is>
      </c>
      <c r="Z73" s="5" t="inlineStr">
        <is>
          <t>High</t>
        </is>
      </c>
      <c r="AA73" s="5" t="inlineStr">
        <is>
          <t>High</t>
        </is>
      </c>
      <c r="AB73" s="8" t="inlineStr">
        <is>
          <t>Low</t>
        </is>
      </c>
      <c r="AC73" s="8" t="inlineStr">
        <is>
          <t>Pilot</t>
        </is>
      </c>
      <c r="AD73" s="5" t="inlineStr">
        <is>
          <t>Cited in code</t>
        </is>
      </c>
      <c r="AE73" s="5" t="inlineStr">
        <is>
          <t>Not verified</t>
        </is>
      </c>
      <c r="AF73" s="5" t="inlineStr">
        <is>
          <t>Not verified</t>
        </is>
      </c>
      <c r="AG73" s="5" t="inlineStr">
        <is>
          <t>Not verified</t>
        </is>
      </c>
      <c r="AH73" s="5" t="inlineStr">
        <is>
          <t>Not verified</t>
        </is>
      </c>
      <c r="AI73" s="8" t="inlineStr">
        <is>
          <t>No</t>
        </is>
      </c>
      <c r="AJ73" s="8" t="inlineStr">
        <is>
          <t>Built - unverified</t>
        </is>
      </c>
      <c r="AK73" s="8" t="inlineStr">
        <is>
          <t>P1</t>
        </is>
      </c>
      <c r="AL73" s="8" t="n">
        <v>9</v>
      </c>
      <c r="AM73" s="5" t="inlineStr"/>
      <c r="AN73" s="5" t="inlineStr"/>
      <c r="AO73" s="5" t="inlineStr"/>
      <c r="AP73" s="5" t="inlineStr"/>
      <c r="AQ73" s="5" t="inlineStr"/>
      <c r="AR73" s="5" t="inlineStr"/>
      <c r="AS73" s="5" t="inlineStr"/>
      <c r="AT73" s="5" t="inlineStr"/>
      <c r="AU73" s="8" t="inlineStr">
        <is>
          <t>Not run</t>
        </is>
      </c>
    </row>
    <row r="74" ht="32" customHeight="1">
      <c r="A74" s="16" t="inlineStr">
        <is>
          <t>P-0073</t>
        </is>
      </c>
      <c r="B74" s="8" t="inlineStr">
        <is>
          <t>P</t>
        </is>
      </c>
      <c r="C74" s="5" t="inlineStr">
        <is>
          <t>Single-Godown Distributor</t>
        </is>
      </c>
      <c r="D74" s="5" t="inlineStr">
        <is>
          <t>Returns / Complaints / After-Sales</t>
        </is>
      </c>
      <c r="E74" s="5" t="inlineStr">
        <is>
          <t>Track returned stock</t>
        </is>
      </c>
      <c r="F74" s="5" t="inlineStr">
        <is>
          <t>Godown Custodian</t>
        </is>
      </c>
      <c r="G74" s="5" t="inlineStr">
        <is>
          <t>Retailer / Delivery Driver</t>
        </is>
      </c>
      <c r="H74" s="5" t="inlineStr">
        <is>
          <t>Inspect goods returned from customer delivery, verify condition, and route to shelf or scrap</t>
        </is>
      </c>
      <c r="I74" s="5" t="inlineStr">
        <is>
          <t>Records return receipt, verifies line items, restores inventory if sellable</t>
        </is>
      </c>
      <c r="J74" s="20" t="inlineStr">
        <is>
          <t>P1</t>
        </is>
      </c>
      <c r="K74" s="20" t="inlineStr">
        <is>
          <t>Validated (Supported)</t>
        </is>
      </c>
      <c r="L74" s="5" t="inlineStr">
        <is>
          <t>Supported via SalesReturn inspection step with condition tagging (Sellable / Damaged).</t>
        </is>
      </c>
      <c r="M74" s="8" t="inlineStr">
        <is>
          <t>Baseline</t>
        </is>
      </c>
      <c r="N74" s="8" t="inlineStr">
        <is>
          <t>Operational role</t>
        </is>
      </c>
      <c r="O74" s="8" t="inlineStr">
        <is>
          <t>P1</t>
        </is>
      </c>
      <c r="P74" s="5" t="inlineStr">
        <is>
          <t>Unchanged</t>
        </is>
      </c>
      <c r="Q74" s="21" t="inlineStr">
        <is>
          <t>Code symbol found</t>
        </is>
      </c>
      <c r="R74" s="5" t="inlineStr">
        <is>
          <t>Matched SalesReturn in product code. This is not a functional test.</t>
        </is>
      </c>
      <c r="S74" s="8" t="inlineStr">
        <is>
          <t>RET</t>
        </is>
      </c>
      <c r="T74" s="5" t="inlineStr">
        <is>
          <t>Returns, complaints, and after-sales</t>
        </is>
      </c>
      <c r="U74" s="8" t="inlineStr"/>
      <c r="V74" s="8" t="inlineStr">
        <is>
          <t>sales</t>
        </is>
      </c>
      <c r="W74" s="8" t="inlineStr">
        <is>
          <t>RUN</t>
        </is>
      </c>
      <c r="X74" s="5" t="inlineStr">
        <is>
          <t>Core</t>
        </is>
      </c>
      <c r="Y74" s="5" t="inlineStr">
        <is>
          <t>Stock</t>
        </is>
      </c>
      <c r="Z74" s="5" t="inlineStr">
        <is>
          <t>Medium</t>
        </is>
      </c>
      <c r="AA74" s="5" t="inlineStr">
        <is>
          <t>Medium</t>
        </is>
      </c>
      <c r="AB74" s="8" t="inlineStr">
        <is>
          <t>Low</t>
        </is>
      </c>
      <c r="AC74" s="8" t="inlineStr">
        <is>
          <t>Pilot</t>
        </is>
      </c>
      <c r="AD74" s="5" t="inlineStr">
        <is>
          <t>Cited in code</t>
        </is>
      </c>
      <c r="AE74" s="5" t="inlineStr">
        <is>
          <t>Not verified</t>
        </is>
      </c>
      <c r="AF74" s="5" t="inlineStr">
        <is>
          <t>Not verified</t>
        </is>
      </c>
      <c r="AG74" s="5" t="inlineStr">
        <is>
          <t>Not verified</t>
        </is>
      </c>
      <c r="AH74" s="5" t="inlineStr">
        <is>
          <t>Not verified</t>
        </is>
      </c>
      <c r="AI74" s="8" t="inlineStr">
        <is>
          <t>No</t>
        </is>
      </c>
      <c r="AJ74" s="8" t="inlineStr">
        <is>
          <t>Built - unverified</t>
        </is>
      </c>
      <c r="AK74" s="8" t="inlineStr">
        <is>
          <t>P1</t>
        </is>
      </c>
      <c r="AL74" s="8" t="n">
        <v>6</v>
      </c>
      <c r="AM74" s="5" t="inlineStr"/>
      <c r="AN74" s="5" t="inlineStr"/>
      <c r="AO74" s="5" t="inlineStr"/>
      <c r="AP74" s="5" t="inlineStr"/>
      <c r="AQ74" s="5" t="inlineStr"/>
      <c r="AR74" s="5" t="inlineStr"/>
      <c r="AS74" s="5" t="inlineStr"/>
      <c r="AT74" s="5" t="inlineStr"/>
      <c r="AU74" s="8" t="inlineStr">
        <is>
          <t>Not run</t>
        </is>
      </c>
    </row>
    <row r="75" ht="32" customHeight="1">
      <c r="A75" s="16" t="inlineStr">
        <is>
          <t>P-0074</t>
        </is>
      </c>
      <c r="B75" s="8" t="inlineStr">
        <is>
          <t>P</t>
        </is>
      </c>
      <c r="C75" s="5" t="inlineStr">
        <is>
          <t>Single-Godown Distributor</t>
        </is>
      </c>
      <c r="D75" s="5" t="inlineStr">
        <is>
          <t>Inventory Lifecycle</t>
        </is>
      </c>
      <c r="E75" s="5" t="inlineStr">
        <is>
          <t>Perform physical stock verification</t>
        </is>
      </c>
      <c r="F75" s="5" t="inlineStr">
        <is>
          <t>Godown Custodian</t>
        </is>
      </c>
      <c r="G75" s="5" t="inlineStr">
        <is>
          <t>Internal Auditor</t>
        </is>
      </c>
      <c r="H75" s="5" t="inlineStr">
        <is>
          <t>Periodic wall-to-wall or cycle count of physical warehouse inventory</t>
        </is>
      </c>
      <c r="I75" s="5" t="inlineStr">
        <is>
          <t>Opens StockCountSession; freezes count lines, records physical counts, highlights variances</t>
        </is>
      </c>
      <c r="J75" s="20" t="inlineStr">
        <is>
          <t>P1</t>
        </is>
      </c>
      <c r="K75" s="20" t="inlineStr">
        <is>
          <t>Validated (Supported)</t>
        </is>
      </c>
      <c r="L75" s="5" t="inlineStr">
        <is>
          <t>Supported via /inventory/stock-counts/ workflow with blind-count support.</t>
        </is>
      </c>
      <c r="M75" s="8" t="inlineStr">
        <is>
          <t>Baseline</t>
        </is>
      </c>
      <c r="N75" s="8" t="inlineStr">
        <is>
          <t>Operational role</t>
        </is>
      </c>
      <c r="O75" s="8" t="inlineStr">
        <is>
          <t>P1</t>
        </is>
      </c>
      <c r="P75" s="5" t="inlineStr">
        <is>
          <t>Unchanged</t>
        </is>
      </c>
      <c r="Q75" s="20" t="inlineStr">
        <is>
          <t>Author assertion</t>
        </is>
      </c>
      <c r="R75" s="5" t="inlineStr"/>
      <c r="S75" s="8" t="inlineStr">
        <is>
          <t>INV</t>
        </is>
      </c>
      <c r="T75" s="5" t="inlineStr">
        <is>
          <t>Inventory lifecycle</t>
        </is>
      </c>
      <c r="U75" s="8" t="inlineStr"/>
      <c r="V75" s="8" t="inlineStr">
        <is>
          <t>inventory</t>
        </is>
      </c>
      <c r="W75" s="8" t="inlineStr">
        <is>
          <t>RUN</t>
        </is>
      </c>
      <c r="X75" s="5" t="inlineStr">
        <is>
          <t>Core</t>
        </is>
      </c>
      <c r="Y75" s="5" t="inlineStr">
        <is>
          <t>Stock</t>
        </is>
      </c>
      <c r="Z75" s="5" t="inlineStr">
        <is>
          <t>High</t>
        </is>
      </c>
      <c r="AA75" s="5" t="inlineStr">
        <is>
          <t>High</t>
        </is>
      </c>
      <c r="AB75" s="8" t="inlineStr">
        <is>
          <t>Low</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9</v>
      </c>
      <c r="AM75" s="5" t="inlineStr"/>
      <c r="AN75" s="5" t="inlineStr"/>
      <c r="AO75" s="5" t="inlineStr"/>
      <c r="AP75" s="5" t="inlineStr"/>
      <c r="AQ75" s="5" t="inlineStr"/>
      <c r="AR75" s="5" t="inlineStr"/>
      <c r="AS75" s="5" t="inlineStr"/>
      <c r="AT75" s="5" t="inlineStr"/>
      <c r="AU75" s="8" t="inlineStr">
        <is>
          <t>Not run</t>
        </is>
      </c>
    </row>
    <row r="76" ht="32" customHeight="1">
      <c r="A76" s="16" t="inlineStr">
        <is>
          <t>P-0075</t>
        </is>
      </c>
      <c r="B76" s="8" t="inlineStr">
        <is>
          <t>P</t>
        </is>
      </c>
      <c r="C76" s="5" t="inlineStr">
        <is>
          <t>Single-Godown Distributor</t>
        </is>
      </c>
      <c r="D76" s="5" t="inlineStr">
        <is>
          <t>Inventory Lifecycle</t>
        </is>
      </c>
      <c r="E76" s="5" t="inlineStr">
        <is>
          <t>Identify inventory discrepancies</t>
        </is>
      </c>
      <c r="F76" s="5" t="inlineStr">
        <is>
          <t>Godown Custodian</t>
        </is>
      </c>
      <c r="G76" s="5" t="inlineStr">
        <is>
          <t>Business Owner</t>
        </is>
      </c>
      <c r="H76" s="5" t="inlineStr">
        <is>
          <t>Identify shrinkage, misplacements, or count mismatches between system and physical count</t>
        </is>
      </c>
      <c r="I76" s="5" t="inlineStr">
        <is>
          <t>Generates Variance Report showing quantity difference and financial impact per SKU</t>
        </is>
      </c>
      <c r="J76" s="20" t="inlineStr">
        <is>
          <t>P1</t>
        </is>
      </c>
      <c r="K76" s="20" t="inlineStr">
        <is>
          <t>Validated (Supported)</t>
        </is>
      </c>
      <c r="L76" s="5" t="inlineStr">
        <is>
          <t>Supported via StockCountSession variance analysis before formal approval.</t>
        </is>
      </c>
      <c r="M76" s="8" t="inlineStr">
        <is>
          <t>Baseline</t>
        </is>
      </c>
      <c r="N76" s="8" t="inlineStr">
        <is>
          <t>Operational role</t>
        </is>
      </c>
      <c r="O76" s="8" t="inlineStr">
        <is>
          <t>P1</t>
        </is>
      </c>
      <c r="P76" s="5" t="inlineStr">
        <is>
          <t>Unchanged</t>
        </is>
      </c>
      <c r="Q76" s="21" t="inlineStr">
        <is>
          <t>Code symbol found</t>
        </is>
      </c>
      <c r="R76" s="5" t="inlineStr">
        <is>
          <t>Matched StockCountSession in product code. This is not a functional test.</t>
        </is>
      </c>
      <c r="S76" s="8" t="inlineStr">
        <is>
          <t>INV</t>
        </is>
      </c>
      <c r="T76" s="5" t="inlineStr">
        <is>
          <t>Inventory lifecycle</t>
        </is>
      </c>
      <c r="U76" s="8" t="inlineStr"/>
      <c r="V76" s="8" t="inlineStr">
        <is>
          <t>inventory</t>
        </is>
      </c>
      <c r="W76" s="8" t="inlineStr">
        <is>
          <t>RUN</t>
        </is>
      </c>
      <c r="X76" s="5" t="inlineStr">
        <is>
          <t>Core</t>
        </is>
      </c>
      <c r="Y76" s="5" t="inlineStr">
        <is>
          <t>Stock</t>
        </is>
      </c>
      <c r="Z76" s="5" t="inlineStr">
        <is>
          <t>High</t>
        </is>
      </c>
      <c r="AA76" s="5" t="inlineStr">
        <is>
          <t>High</t>
        </is>
      </c>
      <c r="AB76" s="8" t="inlineStr">
        <is>
          <t>Low</t>
        </is>
      </c>
      <c r="AC76" s="8" t="inlineStr">
        <is>
          <t>Pilot</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P1</t>
        </is>
      </c>
      <c r="AL76" s="8" t="n">
        <v>9</v>
      </c>
      <c r="AM76" s="5" t="inlineStr"/>
      <c r="AN76" s="5" t="inlineStr"/>
      <c r="AO76" s="5" t="inlineStr"/>
      <c r="AP76" s="5" t="inlineStr"/>
      <c r="AQ76" s="5" t="inlineStr"/>
      <c r="AR76" s="5" t="inlineStr"/>
      <c r="AS76" s="5" t="inlineStr"/>
      <c r="AT76" s="5" t="inlineStr"/>
      <c r="AU76" s="8" t="inlineStr">
        <is>
          <t>Not run</t>
        </is>
      </c>
    </row>
    <row r="77" ht="32" customHeight="1">
      <c r="A77" s="16" t="inlineStr">
        <is>
          <t>P-0076</t>
        </is>
      </c>
      <c r="B77" s="8" t="inlineStr">
        <is>
          <t>P</t>
        </is>
      </c>
      <c r="C77" s="5" t="inlineStr">
        <is>
          <t>Single-Godown Distributor</t>
        </is>
      </c>
      <c r="D77" s="5" t="inlineStr">
        <is>
          <t>Inventory Lifecycle</t>
        </is>
      </c>
      <c r="E77" s="5" t="inlineStr">
        <is>
          <t>Generate stock valuation</t>
        </is>
      </c>
      <c r="F77" s="5" t="inlineStr">
        <is>
          <t>In-house Accountant</t>
        </is>
      </c>
      <c r="G77" s="5" t="inlineStr">
        <is>
          <t>External CA</t>
        </is>
      </c>
      <c r="H77" s="5" t="inlineStr">
        <is>
          <t>Compute total monetary value of inventory holding for balance sheet and tax reporting</t>
        </is>
      </c>
      <c r="I77" s="5" t="inlineStr">
        <is>
          <t>Multiplies current stock balance by FIFO cost layer or weighted average purchase cost</t>
        </is>
      </c>
      <c r="J77" s="22" t="inlineStr">
        <is>
          <t>P2</t>
        </is>
      </c>
      <c r="K77" s="20" t="inlineStr">
        <is>
          <t>Validated (Supported)</t>
        </is>
      </c>
      <c r="L77" s="5" t="inlineStr">
        <is>
          <t>Supported via /reports/inventory-valuation/ compliant with AS-2 / Ind-AS 2 valuation rules.</t>
        </is>
      </c>
      <c r="M77" s="8" t="inlineStr">
        <is>
          <t>Baseline</t>
        </is>
      </c>
      <c r="N77" s="8" t="inlineStr">
        <is>
          <t>Operational role</t>
        </is>
      </c>
      <c r="O77" s="8" t="inlineStr">
        <is>
          <t>P2</t>
        </is>
      </c>
      <c r="P77" s="5" t="inlineStr">
        <is>
          <t>Unchanged</t>
        </is>
      </c>
      <c r="Q77" s="20" t="inlineStr">
        <is>
          <t>Author assertion</t>
        </is>
      </c>
      <c r="R77" s="5" t="inlineStr"/>
      <c r="S77" s="8" t="inlineStr">
        <is>
          <t>INV</t>
        </is>
      </c>
      <c r="T77" s="5" t="inlineStr">
        <is>
          <t>Inventory lifecycle</t>
        </is>
      </c>
      <c r="U77" s="8" t="inlineStr"/>
      <c r="V77" s="8" t="inlineStr">
        <is>
          <t>inventory</t>
        </is>
      </c>
      <c r="W77" s="8" t="inlineStr">
        <is>
          <t>RUN</t>
        </is>
      </c>
      <c r="X77" s="5" t="inlineStr">
        <is>
          <t>Core</t>
        </is>
      </c>
      <c r="Y77" s="5" t="inlineStr">
        <is>
          <t>Stock</t>
        </is>
      </c>
      <c r="Z77" s="5" t="inlineStr">
        <is>
          <t>High</t>
        </is>
      </c>
      <c r="AA77" s="5" t="inlineStr">
        <is>
          <t>High</t>
        </is>
      </c>
      <c r="AB77" s="8" t="inlineStr">
        <is>
          <t>Low</t>
        </is>
      </c>
      <c r="AC77" s="8" t="inlineStr">
        <is>
          <t>Later</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P2</t>
        </is>
      </c>
      <c r="AL77" s="8" t="n">
        <v>9</v>
      </c>
      <c r="AM77" s="5" t="inlineStr"/>
      <c r="AN77" s="5" t="inlineStr"/>
      <c r="AO77" s="5" t="inlineStr"/>
      <c r="AP77" s="5" t="inlineStr"/>
      <c r="AQ77" s="5" t="inlineStr"/>
      <c r="AR77" s="5" t="inlineStr"/>
      <c r="AS77" s="5" t="inlineStr"/>
      <c r="AT77" s="5" t="inlineStr"/>
      <c r="AU77" s="8" t="inlineStr">
        <is>
          <t>Not run</t>
        </is>
      </c>
    </row>
    <row r="78" ht="32" customHeight="1">
      <c r="A78" s="16" t="inlineStr">
        <is>
          <t>P-0077</t>
        </is>
      </c>
      <c r="B78" s="8" t="inlineStr">
        <is>
          <t>P</t>
        </is>
      </c>
      <c r="C78" s="5" t="inlineStr">
        <is>
          <t>Single-Godown Distributor</t>
        </is>
      </c>
      <c r="D78" s="5" t="inlineStr">
        <is>
          <t>Inventory Lifecycle</t>
        </is>
      </c>
      <c r="E78" s="5" t="inlineStr">
        <is>
          <t>Track FIFO inventory costing</t>
        </is>
      </c>
      <c r="F78" s="5" t="inlineStr">
        <is>
          <t>In-house Accountant</t>
        </is>
      </c>
      <c r="G78" s="5" t="inlineStr">
        <is>
          <t>Auditor</t>
        </is>
      </c>
      <c r="H78" s="5" t="inlineStr">
        <is>
          <t>Ensure cost of goods sold reflects oldest inward purchase prices according to FIFO principles</t>
        </is>
      </c>
      <c r="I78" s="5" t="inlineStr">
        <is>
          <t>Maintains inward cost layers; consumes earliest available layer upon each outward sale</t>
        </is>
      </c>
      <c r="J78" s="22" t="inlineStr">
        <is>
          <t>P2</t>
        </is>
      </c>
      <c r="K78" s="20" t="inlineStr">
        <is>
          <t>Validated (Supported)</t>
        </is>
      </c>
      <c r="L78" s="5" t="inlineStr">
        <is>
          <t>Core system invariant: inventory valuation engine strictly follows FIFO cost layering.</t>
        </is>
      </c>
      <c r="M78" s="8" t="inlineStr">
        <is>
          <t>Baseline</t>
        </is>
      </c>
      <c r="N78" s="8" t="inlineStr">
        <is>
          <t>Operational role</t>
        </is>
      </c>
      <c r="O78" s="8" t="inlineStr">
        <is>
          <t>P2</t>
        </is>
      </c>
      <c r="P78" s="5" t="inlineStr">
        <is>
          <t>Unchanged</t>
        </is>
      </c>
      <c r="Q78" s="20" t="inlineStr">
        <is>
          <t>Author assertion</t>
        </is>
      </c>
      <c r="R78" s="5" t="inlineStr"/>
      <c r="S78" s="8" t="inlineStr">
        <is>
          <t>INV</t>
        </is>
      </c>
      <c r="T78" s="5" t="inlineStr">
        <is>
          <t>Inventory lifecycle</t>
        </is>
      </c>
      <c r="U78" s="8" t="inlineStr"/>
      <c r="V78" s="8" t="inlineStr">
        <is>
          <t>inventory</t>
        </is>
      </c>
      <c r="W78" s="8" t="inlineStr">
        <is>
          <t>RUN</t>
        </is>
      </c>
      <c r="X78" s="5" t="inlineStr">
        <is>
          <t>Core</t>
        </is>
      </c>
      <c r="Y78" s="5" t="inlineStr">
        <is>
          <t>Stock</t>
        </is>
      </c>
      <c r="Z78" s="5" t="inlineStr">
        <is>
          <t>High</t>
        </is>
      </c>
      <c r="AA78" s="5" t="inlineStr">
        <is>
          <t>High</t>
        </is>
      </c>
      <c r="AB78" s="8" t="inlineStr">
        <is>
          <t>Low</t>
        </is>
      </c>
      <c r="AC78" s="8" t="inlineStr">
        <is>
          <t>Later</t>
        </is>
      </c>
      <c r="AD78" s="5" t="inlineStr">
        <is>
          <t>Not independently checked</t>
        </is>
      </c>
      <c r="AE78" s="5" t="inlineStr">
        <is>
          <t>Not verified</t>
        </is>
      </c>
      <c r="AF78" s="5" t="inlineStr">
        <is>
          <t>Not verified</t>
        </is>
      </c>
      <c r="AG78" s="5" t="inlineStr">
        <is>
          <t>Not verified</t>
        </is>
      </c>
      <c r="AH78" s="5" t="inlineStr">
        <is>
          <t>Not verified</t>
        </is>
      </c>
      <c r="AI78" s="8" t="inlineStr">
        <is>
          <t>No</t>
        </is>
      </c>
      <c r="AJ78" s="8" t="inlineStr">
        <is>
          <t>Claimed - unverified</t>
        </is>
      </c>
      <c r="AK78" s="8" t="inlineStr">
        <is>
          <t>P2</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P-0078</t>
        </is>
      </c>
      <c r="B79" s="8" t="inlineStr">
        <is>
          <t>P</t>
        </is>
      </c>
      <c r="C79" s="5" t="inlineStr">
        <is>
          <t>Single-Godown Distributor</t>
        </is>
      </c>
      <c r="D79" s="5" t="inlineStr">
        <is>
          <t>Inventory Lifecycle</t>
        </is>
      </c>
      <c r="E79" s="5" t="inlineStr">
        <is>
          <t>Monitor reorder requirements</t>
        </is>
      </c>
      <c r="F79" s="5" t="inlineStr">
        <is>
          <t>Godown Custodian</t>
        </is>
      </c>
      <c r="G79" s="5" t="inlineStr">
        <is>
          <t>Procurement Manager</t>
        </is>
      </c>
      <c r="H79" s="5" t="inlineStr">
        <is>
          <t>Monitor minimum stock thresholds and generate replenishment recommendations</t>
        </is>
      </c>
      <c r="I79" s="5" t="inlineStr">
        <is>
          <t>Evaluates lead time and daily burn rate to recommend purchase order quantities</t>
        </is>
      </c>
      <c r="J79" s="20" t="inlineStr">
        <is>
          <t>P1</t>
        </is>
      </c>
      <c r="K79" s="20" t="inlineStr">
        <is>
          <t>Validated (Supported)</t>
        </is>
      </c>
      <c r="L79" s="5" t="inlineStr">
        <is>
          <t>Supported via /inventory/reorder-report/ with one-click PO draft generation.</t>
        </is>
      </c>
      <c r="M79" s="8" t="inlineStr">
        <is>
          <t>Baseline</t>
        </is>
      </c>
      <c r="N79" s="8" t="inlineStr">
        <is>
          <t>Operational role</t>
        </is>
      </c>
      <c r="O79" s="8" t="inlineStr">
        <is>
          <t>P1</t>
        </is>
      </c>
      <c r="P79" s="5" t="inlineStr">
        <is>
          <t>Unchanged</t>
        </is>
      </c>
      <c r="Q79" s="20" t="inlineStr">
        <is>
          <t>Author assertion</t>
        </is>
      </c>
      <c r="R79" s="5" t="inlineStr"/>
      <c r="S79" s="8" t="inlineStr">
        <is>
          <t>INV</t>
        </is>
      </c>
      <c r="T79" s="5" t="inlineStr">
        <is>
          <t>Inventory lifecycle</t>
        </is>
      </c>
      <c r="U79" s="8" t="inlineStr"/>
      <c r="V79" s="8" t="inlineStr">
        <is>
          <t>inventory</t>
        </is>
      </c>
      <c r="W79" s="8" t="inlineStr">
        <is>
          <t>RUN</t>
        </is>
      </c>
      <c r="X79" s="5" t="inlineStr">
        <is>
          <t>Core</t>
        </is>
      </c>
      <c r="Y79" s="5" t="inlineStr">
        <is>
          <t>Stock</t>
        </is>
      </c>
      <c r="Z79" s="5" t="inlineStr">
        <is>
          <t>High</t>
        </is>
      </c>
      <c r="AA79" s="5" t="inlineStr">
        <is>
          <t>High</t>
        </is>
      </c>
      <c r="AB79" s="8" t="inlineStr">
        <is>
          <t>Low</t>
        </is>
      </c>
      <c r="AC79" s="8" t="inlineStr">
        <is>
          <t>Pilot</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P1</t>
        </is>
      </c>
      <c r="AL79" s="8" t="n">
        <v>9</v>
      </c>
      <c r="AM79" s="5" t="inlineStr"/>
      <c r="AN79" s="5" t="inlineStr"/>
      <c r="AO79" s="5" t="inlineStr"/>
      <c r="AP79" s="5" t="inlineStr"/>
      <c r="AQ79" s="5" t="inlineStr"/>
      <c r="AR79" s="5" t="inlineStr"/>
      <c r="AS79" s="5" t="inlineStr"/>
      <c r="AT79" s="5" t="inlineStr"/>
      <c r="AU79" s="8" t="inlineStr">
        <is>
          <t>Not run</t>
        </is>
      </c>
    </row>
    <row r="80" ht="32" customHeight="1">
      <c r="A80" s="16" t="inlineStr">
        <is>
          <t>P-0079</t>
        </is>
      </c>
      <c r="B80" s="8" t="inlineStr">
        <is>
          <t>P</t>
        </is>
      </c>
      <c r="C80" s="5" t="inlineStr">
        <is>
          <t>Multi-Godown Distributor</t>
        </is>
      </c>
      <c r="D80" s="5" t="inlineStr">
        <is>
          <t>Multi-Godown / Multi-Store</t>
        </is>
      </c>
      <c r="E80" s="5" t="inlineStr">
        <is>
          <t>View consolidated inventory</t>
        </is>
      </c>
      <c r="F80" s="5" t="inlineStr">
        <is>
          <t>Logistics Director / Owner</t>
        </is>
      </c>
      <c r="G80" s="5" t="inlineStr">
        <is>
          <t>Godown Managers</t>
        </is>
      </c>
      <c r="H80" s="5" t="inlineStr">
        <is>
          <t>Single unified dashboard showing total stock holding across all godowns and regional hubs</t>
        </is>
      </c>
      <c r="I80" s="5" t="inlineStr">
        <is>
          <t>Aggregates StockBalance across all Warehouse entities for the tenant company</t>
        </is>
      </c>
      <c r="J80" s="19" t="inlineStr">
        <is>
          <t>P0</t>
        </is>
      </c>
      <c r="K80" s="20" t="inlineStr">
        <is>
          <t>Validated (Supported)</t>
        </is>
      </c>
      <c r="L80" s="5" t="inlineStr">
        <is>
          <t>Supported via /inventory/ with 'All Godowns' view and location filter dropdown.</t>
        </is>
      </c>
      <c r="M80" s="8" t="inlineStr">
        <is>
          <t>Baseline</t>
        </is>
      </c>
      <c r="N80" s="8" t="inlineStr">
        <is>
          <t>Operational role</t>
        </is>
      </c>
      <c r="O80" s="8" t="inlineStr">
        <is>
          <t>P0</t>
        </is>
      </c>
      <c r="P80" s="5" t="inlineStr">
        <is>
          <t>Unchanged</t>
        </is>
      </c>
      <c r="Q80" s="20" t="inlineStr">
        <is>
          <t>Author assertion</t>
        </is>
      </c>
      <c r="R80" s="5" t="inlineStr"/>
      <c r="S80" s="8" t="inlineStr">
        <is>
          <t>WH</t>
        </is>
      </c>
      <c r="T80" s="5" t="inlineStr">
        <is>
          <t>Multi-godown and multi-store</t>
        </is>
      </c>
      <c r="U80" s="8" t="inlineStr"/>
      <c r="V80" s="8" t="inlineStr">
        <is>
          <t>inventory</t>
        </is>
      </c>
      <c r="W80" s="8" t="inlineStr">
        <is>
          <t>RUN</t>
        </is>
      </c>
      <c r="X80" s="5" t="inlineStr">
        <is>
          <t>Core</t>
        </is>
      </c>
      <c r="Y80" s="5" t="inlineStr">
        <is>
          <t>Stock</t>
        </is>
      </c>
      <c r="Z80" s="5" t="inlineStr">
        <is>
          <t>Medium</t>
        </is>
      </c>
      <c r="AA80" s="5" t="inlineStr">
        <is>
          <t>Medium</t>
        </is>
      </c>
      <c r="AB80" s="8" t="inlineStr">
        <is>
          <t>Low</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6</v>
      </c>
      <c r="AM80" s="5" t="inlineStr"/>
      <c r="AN80" s="5" t="inlineStr"/>
      <c r="AO80" s="5" t="inlineStr"/>
      <c r="AP80" s="5" t="inlineStr"/>
      <c r="AQ80" s="5" t="inlineStr"/>
      <c r="AR80" s="5" t="inlineStr"/>
      <c r="AS80" s="5" t="inlineStr"/>
      <c r="AT80" s="5" t="inlineStr"/>
      <c r="AU80" s="8" t="inlineStr">
        <is>
          <t>Not run</t>
        </is>
      </c>
    </row>
    <row r="81" ht="32" customHeight="1">
      <c r="A81" s="16" t="inlineStr">
        <is>
          <t>P-0080</t>
        </is>
      </c>
      <c r="B81" s="8" t="inlineStr">
        <is>
          <t>P</t>
        </is>
      </c>
      <c r="C81" s="5" t="inlineStr">
        <is>
          <t>Multi-Godown Distributor</t>
        </is>
      </c>
      <c r="D81" s="5" t="inlineStr">
        <is>
          <t>Multi-Godown / Multi-Store</t>
        </is>
      </c>
      <c r="E81" s="5" t="inlineStr">
        <is>
          <t>Check stock by location</t>
        </is>
      </c>
      <c r="F81" s="5" t="inlineStr">
        <is>
          <t>Wholesale Sales Clerk</t>
        </is>
      </c>
      <c r="G81" s="5" t="inlineStr">
        <is>
          <t>Godown Keepers</t>
        </is>
      </c>
      <c r="H81" s="5" t="inlineStr">
        <is>
          <t>Check exact stock availability at specific warehouse locations during order booking</t>
        </is>
      </c>
      <c r="I81" s="5" t="inlineStr">
        <is>
          <t>Filters StockBalance table by specific warehouse_id to confirm localized dispatch capability</t>
        </is>
      </c>
      <c r="J81" s="20" t="inlineStr">
        <is>
          <t>P1</t>
        </is>
      </c>
      <c r="K81" s="20" t="inlineStr">
        <is>
          <t>Validated (Supported)</t>
        </is>
      </c>
      <c r="L81" s="5" t="inlineStr">
        <is>
          <t>Supported across all billing and inventory screens via Warehouse selector.</t>
        </is>
      </c>
      <c r="M81" s="8" t="inlineStr">
        <is>
          <t>Baseline</t>
        </is>
      </c>
      <c r="N81" s="8" t="inlineStr">
        <is>
          <t>Operational role</t>
        </is>
      </c>
      <c r="O81" s="8" t="inlineStr">
        <is>
          <t>P1</t>
        </is>
      </c>
      <c r="P81" s="5" t="inlineStr">
        <is>
          <t>Unchanged</t>
        </is>
      </c>
      <c r="Q81" s="20" t="inlineStr">
        <is>
          <t>Author assertion</t>
        </is>
      </c>
      <c r="R81" s="5" t="inlineStr"/>
      <c r="S81" s="8" t="inlineStr">
        <is>
          <t>WH</t>
        </is>
      </c>
      <c r="T81" s="5" t="inlineStr">
        <is>
          <t>Multi-godown and multi-store</t>
        </is>
      </c>
      <c r="U81" s="8" t="inlineStr"/>
      <c r="V81" s="8" t="inlineStr">
        <is>
          <t>inventory</t>
        </is>
      </c>
      <c r="W81" s="8" t="inlineStr">
        <is>
          <t>RUN</t>
        </is>
      </c>
      <c r="X81" s="5" t="inlineStr">
        <is>
          <t>Core</t>
        </is>
      </c>
      <c r="Y81" s="5" t="inlineStr">
        <is>
          <t>Stock</t>
        </is>
      </c>
      <c r="Z81" s="5" t="inlineStr">
        <is>
          <t>Medium</t>
        </is>
      </c>
      <c r="AA81" s="5" t="inlineStr">
        <is>
          <t>Medium</t>
        </is>
      </c>
      <c r="AB81" s="8" t="inlineStr">
        <is>
          <t>Low</t>
        </is>
      </c>
      <c r="AC81" s="8" t="inlineStr">
        <is>
          <t>Pilot</t>
        </is>
      </c>
      <c r="AD81" s="5" t="inlineStr">
        <is>
          <t>Not independently checked</t>
        </is>
      </c>
      <c r="AE81" s="5" t="inlineStr">
        <is>
          <t>Not verified</t>
        </is>
      </c>
      <c r="AF81" s="5" t="inlineStr">
        <is>
          <t>Not verified</t>
        </is>
      </c>
      <c r="AG81" s="5" t="inlineStr">
        <is>
          <t>Not verified</t>
        </is>
      </c>
      <c r="AH81" s="5" t="inlineStr">
        <is>
          <t>Not verified</t>
        </is>
      </c>
      <c r="AI81" s="8" t="inlineStr">
        <is>
          <t>No</t>
        </is>
      </c>
      <c r="AJ81" s="8" t="inlineStr">
        <is>
          <t>Claimed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P-0081</t>
        </is>
      </c>
      <c r="B82" s="8" t="inlineStr">
        <is>
          <t>P</t>
        </is>
      </c>
      <c r="C82" s="5" t="inlineStr">
        <is>
          <t>Multi-Godown Distributor</t>
        </is>
      </c>
      <c r="D82" s="5" t="inlineStr">
        <is>
          <t>Multi-Godown / Multi-Store</t>
        </is>
      </c>
      <c r="E82" s="5" t="inlineStr">
        <is>
          <t>Transfer stock between godowns</t>
        </is>
      </c>
      <c r="F82" s="5" t="inlineStr">
        <is>
          <t>Logistics Coordinator</t>
        </is>
      </c>
      <c r="G82" s="5" t="inlineStr">
        <is>
          <t>Source &amp; Dest Godown Custodians</t>
        </is>
      </c>
      <c r="H82" s="5" t="inlineStr">
        <is>
          <t>Execute formalized transfer of goods from central replenishment hub to regional depot</t>
        </is>
      </c>
      <c r="I82" s="5" t="inlineStr">
        <is>
          <t>Creates StockTransfer record; records dispatch, transit insurance, and receipt confirmation</t>
        </is>
      </c>
      <c r="J82" s="19" t="inlineStr">
        <is>
          <t>P0</t>
        </is>
      </c>
      <c r="K82" s="20" t="inlineStr">
        <is>
          <t>Validated (Supported)</t>
        </is>
      </c>
      <c r="L82" s="5" t="inlineStr">
        <is>
          <t>Supported via /inventory/transfers/ with full multi-stage state machine.</t>
        </is>
      </c>
      <c r="M82" s="8" t="inlineStr">
        <is>
          <t>Baseline</t>
        </is>
      </c>
      <c r="N82" s="8" t="inlineStr">
        <is>
          <t>Operational role</t>
        </is>
      </c>
      <c r="O82" s="8" t="inlineStr">
        <is>
          <t>P0</t>
        </is>
      </c>
      <c r="P82" s="5" t="inlineStr">
        <is>
          <t>Unchanged</t>
        </is>
      </c>
      <c r="Q82" s="20" t="inlineStr">
        <is>
          <t>Author assertion</t>
        </is>
      </c>
      <c r="R82" s="5" t="inlineStr"/>
      <c r="S82" s="8" t="inlineStr">
        <is>
          <t>WH</t>
        </is>
      </c>
      <c r="T82" s="5" t="inlineStr">
        <is>
          <t>Multi-godown and multi-store</t>
        </is>
      </c>
      <c r="U82" s="8" t="inlineStr"/>
      <c r="V82" s="8" t="inlineStr">
        <is>
          <t>inventory</t>
        </is>
      </c>
      <c r="W82" s="8" t="inlineStr">
        <is>
          <t>RUN</t>
        </is>
      </c>
      <c r="X82" s="5" t="inlineStr">
        <is>
          <t>Core</t>
        </is>
      </c>
      <c r="Y82" s="5" t="inlineStr">
        <is>
          <t>Stock</t>
        </is>
      </c>
      <c r="Z82" s="5" t="inlineStr">
        <is>
          <t>Medium</t>
        </is>
      </c>
      <c r="AA82" s="5" t="inlineStr">
        <is>
          <t>Medium</t>
        </is>
      </c>
      <c r="AB82" s="8" t="inlineStr">
        <is>
          <t>Low</t>
        </is>
      </c>
      <c r="AC82" s="8" t="inlineStr">
        <is>
          <t>MVP</t>
        </is>
      </c>
      <c r="AD82" s="5" t="inlineStr">
        <is>
          <t>Not independently checked</t>
        </is>
      </c>
      <c r="AE82" s="5" t="inlineStr">
        <is>
          <t>Not verified</t>
        </is>
      </c>
      <c r="AF82" s="5" t="inlineStr">
        <is>
          <t>Not verified</t>
        </is>
      </c>
      <c r="AG82" s="5" t="inlineStr">
        <is>
          <t>Not verified</t>
        </is>
      </c>
      <c r="AH82" s="5" t="inlineStr">
        <is>
          <t>Not verified</t>
        </is>
      </c>
      <c r="AI82" s="8" t="inlineStr">
        <is>
          <t>No</t>
        </is>
      </c>
      <c r="AJ82" s="8" t="inlineStr">
        <is>
          <t>Claimed - unverified</t>
        </is>
      </c>
      <c r="AK82" s="8" t="inlineStr">
        <is>
          <t>P0</t>
        </is>
      </c>
      <c r="AL82" s="8" t="n">
        <v>6</v>
      </c>
      <c r="AM82" s="5" t="inlineStr"/>
      <c r="AN82" s="5" t="inlineStr"/>
      <c r="AO82" s="5" t="inlineStr"/>
      <c r="AP82" s="5" t="inlineStr"/>
      <c r="AQ82" s="5" t="inlineStr"/>
      <c r="AR82" s="5" t="inlineStr"/>
      <c r="AS82" s="5" t="inlineStr"/>
      <c r="AT82" s="5" t="inlineStr"/>
      <c r="AU82" s="8" t="inlineStr">
        <is>
          <t>Not run</t>
        </is>
      </c>
    </row>
    <row r="83" ht="32" customHeight="1">
      <c r="A83" s="16" t="inlineStr">
        <is>
          <t>P-0082</t>
        </is>
      </c>
      <c r="B83" s="8" t="inlineStr">
        <is>
          <t>P</t>
        </is>
      </c>
      <c r="C83" s="5" t="inlineStr">
        <is>
          <t>Multi-Godown Distributor</t>
        </is>
      </c>
      <c r="D83" s="5" t="inlineStr">
        <is>
          <t>Multi-Godown / Multi-Store</t>
        </is>
      </c>
      <c r="E83" s="5" t="inlineStr">
        <is>
          <t>Allocate orders to the appropriate godown</t>
        </is>
      </c>
      <c r="F83" s="5" t="inlineStr">
        <is>
          <t>Commercial Manager</t>
        </is>
      </c>
      <c r="G83" s="5" t="inlineStr">
        <is>
          <t>Warehouse Dispatcher</t>
        </is>
      </c>
      <c r="H83" s="5" t="inlineStr">
        <is>
          <t>Route customer order fulfillment to the nearest godown holding sufficient stock</t>
        </is>
      </c>
      <c r="I83" s="5" t="inlineStr">
        <is>
          <t>Assigns warehouse_id to sales invoice lines, optimizing delivery freight and transit time</t>
        </is>
      </c>
      <c r="J83" s="20" t="inlineStr">
        <is>
          <t>P1</t>
        </is>
      </c>
      <c r="K83" s="20" t="inlineStr">
        <is>
          <t>Validated (Supported)</t>
        </is>
      </c>
      <c r="L83" s="5" t="inlineStr">
        <is>
          <t>Supported in SalesOrder fulfillment routing; supports line-item warehouse allocation.</t>
        </is>
      </c>
      <c r="M83" s="8" t="inlineStr">
        <is>
          <t>Baseline</t>
        </is>
      </c>
      <c r="N83" s="8" t="inlineStr">
        <is>
          <t>Operational role</t>
        </is>
      </c>
      <c r="O83" s="8" t="inlineStr">
        <is>
          <t>P1</t>
        </is>
      </c>
      <c r="P83" s="5" t="inlineStr">
        <is>
          <t>Unchanged</t>
        </is>
      </c>
      <c r="Q83" s="21" t="inlineStr">
        <is>
          <t>Code symbol found</t>
        </is>
      </c>
      <c r="R83" s="5" t="inlineStr">
        <is>
          <t>Matched SalesOrder in product code. This is not a functional test.</t>
        </is>
      </c>
      <c r="S83" s="8" t="inlineStr">
        <is>
          <t>WH</t>
        </is>
      </c>
      <c r="T83" s="5" t="inlineStr">
        <is>
          <t>Multi-godown and multi-store</t>
        </is>
      </c>
      <c r="U83" s="8" t="inlineStr"/>
      <c r="V83" s="8" t="inlineStr">
        <is>
          <t>inventory</t>
        </is>
      </c>
      <c r="W83" s="8" t="inlineStr">
        <is>
          <t>RUN</t>
        </is>
      </c>
      <c r="X83" s="5" t="inlineStr">
        <is>
          <t>Core</t>
        </is>
      </c>
      <c r="Y83" s="5" t="inlineStr">
        <is>
          <t>Stock</t>
        </is>
      </c>
      <c r="Z83" s="5" t="inlineStr">
        <is>
          <t>Medium</t>
        </is>
      </c>
      <c r="AA83" s="5" t="inlineStr">
        <is>
          <t>Medium</t>
        </is>
      </c>
      <c r="AB83" s="8" t="inlineStr">
        <is>
          <t>Low</t>
        </is>
      </c>
      <c r="AC83" s="8" t="inlineStr">
        <is>
          <t>Pilot</t>
        </is>
      </c>
      <c r="AD83" s="5" t="inlineStr">
        <is>
          <t>Cited in code</t>
        </is>
      </c>
      <c r="AE83" s="5" t="inlineStr">
        <is>
          <t>Not verified</t>
        </is>
      </c>
      <c r="AF83" s="5" t="inlineStr">
        <is>
          <t>Not verified</t>
        </is>
      </c>
      <c r="AG83" s="5" t="inlineStr">
        <is>
          <t>Not verified</t>
        </is>
      </c>
      <c r="AH83" s="5" t="inlineStr">
        <is>
          <t>Not verified</t>
        </is>
      </c>
      <c r="AI83" s="8" t="inlineStr">
        <is>
          <t>No</t>
        </is>
      </c>
      <c r="AJ83" s="8" t="inlineStr">
        <is>
          <t>Built - unverified</t>
        </is>
      </c>
      <c r="AK83" s="8" t="inlineStr">
        <is>
          <t>P1</t>
        </is>
      </c>
      <c r="AL83" s="8" t="n">
        <v>6</v>
      </c>
      <c r="AM83" s="5" t="inlineStr"/>
      <c r="AN83" s="5" t="inlineStr"/>
      <c r="AO83" s="5" t="inlineStr"/>
      <c r="AP83" s="5" t="inlineStr"/>
      <c r="AQ83" s="5" t="inlineStr"/>
      <c r="AR83" s="5" t="inlineStr"/>
      <c r="AS83" s="5" t="inlineStr"/>
      <c r="AT83" s="5" t="inlineStr"/>
      <c r="AU83" s="8" t="inlineStr">
        <is>
          <t>Not run</t>
        </is>
      </c>
    </row>
    <row r="84" ht="32" customHeight="1">
      <c r="A84" s="16" t="inlineStr">
        <is>
          <t>P-0083</t>
        </is>
      </c>
      <c r="B84" s="8" t="inlineStr">
        <is>
          <t>P</t>
        </is>
      </c>
      <c r="C84" s="5" t="inlineStr">
        <is>
          <t>Multi-Godown Distributor</t>
        </is>
      </c>
      <c r="D84" s="5" t="inlineStr">
        <is>
          <t>Multi-Godown / Multi-Store</t>
        </is>
      </c>
      <c r="E84" s="5" t="inlineStr">
        <is>
          <t>Track inter-godown transfers</t>
        </is>
      </c>
      <c r="F84" s="5" t="inlineStr">
        <is>
          <t>Logistics Manager</t>
        </is>
      </c>
      <c r="G84" s="5" t="inlineStr">
        <is>
          <t>Transport Vendor</t>
        </is>
      </c>
      <c r="H84" s="5" t="inlineStr">
        <is>
          <t>Monitor stock in-transit between company warehouses to prevent theft and shrinkage</t>
        </is>
      </c>
      <c r="I84" s="5" t="inlineStr">
        <is>
          <t>Tracks shipment status (IN_TRANSIT); alerts if expected arrival date is exceeded</t>
        </is>
      </c>
      <c r="J84" s="20" t="inlineStr">
        <is>
          <t>P1</t>
        </is>
      </c>
      <c r="K84" s="20" t="inlineStr">
        <is>
          <t>Validated (Supported)</t>
        </is>
      </c>
      <c r="L84" s="5" t="inlineStr">
        <is>
          <t>Supported via StockTransfer in-transit tracking and overdue transfer alerts.</t>
        </is>
      </c>
      <c r="M84" s="8" t="inlineStr">
        <is>
          <t>Baseline</t>
        </is>
      </c>
      <c r="N84" s="8" t="inlineStr">
        <is>
          <t>Operational role</t>
        </is>
      </c>
      <c r="O84" s="8" t="inlineStr">
        <is>
          <t>P1</t>
        </is>
      </c>
      <c r="P84" s="5" t="inlineStr">
        <is>
          <t>Unchanged</t>
        </is>
      </c>
      <c r="Q84" s="21" t="inlineStr">
        <is>
          <t>Code symbol found</t>
        </is>
      </c>
      <c r="R84" s="5" t="inlineStr">
        <is>
          <t>Matched StockTransfer in product code. This is not a functional test.</t>
        </is>
      </c>
      <c r="S84" s="8" t="inlineStr">
        <is>
          <t>WH</t>
        </is>
      </c>
      <c r="T84" s="5" t="inlineStr">
        <is>
          <t>Multi-godown and multi-store</t>
        </is>
      </c>
      <c r="U84" s="8" t="inlineStr"/>
      <c r="V84" s="8" t="inlineStr">
        <is>
          <t>inventory</t>
        </is>
      </c>
      <c r="W84" s="8" t="inlineStr">
        <is>
          <t>RUN</t>
        </is>
      </c>
      <c r="X84" s="5" t="inlineStr">
        <is>
          <t>Core</t>
        </is>
      </c>
      <c r="Y84" s="5" t="inlineStr">
        <is>
          <t>Stock</t>
        </is>
      </c>
      <c r="Z84" s="5" t="inlineStr">
        <is>
          <t>Medium</t>
        </is>
      </c>
      <c r="AA84" s="5" t="inlineStr">
        <is>
          <t>Medium</t>
        </is>
      </c>
      <c r="AB84" s="8" t="inlineStr">
        <is>
          <t>Low</t>
        </is>
      </c>
      <c r="AC84" s="8" t="inlineStr">
        <is>
          <t>Pilot</t>
        </is>
      </c>
      <c r="AD84" s="5" t="inlineStr">
        <is>
          <t>Cited in code</t>
        </is>
      </c>
      <c r="AE84" s="5" t="inlineStr">
        <is>
          <t>Not verified</t>
        </is>
      </c>
      <c r="AF84" s="5" t="inlineStr">
        <is>
          <t>Not verified</t>
        </is>
      </c>
      <c r="AG84" s="5" t="inlineStr">
        <is>
          <t>Not verified</t>
        </is>
      </c>
      <c r="AH84" s="5" t="inlineStr">
        <is>
          <t>Not verified</t>
        </is>
      </c>
      <c r="AI84" s="8" t="inlineStr">
        <is>
          <t>No</t>
        </is>
      </c>
      <c r="AJ84" s="8" t="inlineStr">
        <is>
          <t>Built - unverified</t>
        </is>
      </c>
      <c r="AK84" s="8" t="inlineStr">
        <is>
          <t>P1</t>
        </is>
      </c>
      <c r="AL84" s="8" t="n">
        <v>6</v>
      </c>
      <c r="AM84" s="5" t="inlineStr"/>
      <c r="AN84" s="5" t="inlineStr"/>
      <c r="AO84" s="5" t="inlineStr"/>
      <c r="AP84" s="5" t="inlineStr"/>
      <c r="AQ84" s="5" t="inlineStr"/>
      <c r="AR84" s="5" t="inlineStr"/>
      <c r="AS84" s="5" t="inlineStr"/>
      <c r="AT84" s="5" t="inlineStr"/>
      <c r="AU84" s="8" t="inlineStr">
        <is>
          <t>Not run</t>
        </is>
      </c>
    </row>
    <row r="85" ht="32" customHeight="1">
      <c r="A85" s="16" t="inlineStr">
        <is>
          <t>P-0084</t>
        </is>
      </c>
      <c r="B85" s="8" t="inlineStr">
        <is>
          <t>P</t>
        </is>
      </c>
      <c r="C85" s="5" t="inlineStr">
        <is>
          <t>Multi-Godown Distributor</t>
        </is>
      </c>
      <c r="D85" s="5" t="inlineStr">
        <is>
          <t>Reporting &amp; Business Intelligence</t>
        </is>
      </c>
      <c r="E85" s="5" t="inlineStr">
        <is>
          <t>Compare godown-wise sales</t>
        </is>
      </c>
      <c r="F85" s="5" t="inlineStr">
        <is>
          <t>Managing Proprietor</t>
        </is>
      </c>
      <c r="G85" s="5" t="inlineStr">
        <is>
          <t>Branch Managers</t>
        </is>
      </c>
      <c r="H85" s="5" t="inlineStr">
        <is>
          <t>Analyze sales revenue and volume contribution generated by each warehouse or depot</t>
        </is>
      </c>
      <c r="I85" s="5" t="inlineStr">
        <is>
          <t>Aggregates sales invoices grouped by source warehouse_id over specified date range</t>
        </is>
      </c>
      <c r="J85" s="22" t="inlineStr">
        <is>
          <t>P2</t>
        </is>
      </c>
      <c r="K85" s="20" t="inlineStr">
        <is>
          <t>Validated (Supported)</t>
        </is>
      </c>
      <c r="L85" s="5" t="inlineStr">
        <is>
          <t>Supported via /reports/warehouse-sales/ comparative report.</t>
        </is>
      </c>
      <c r="M85" s="8" t="inlineStr">
        <is>
          <t>Baseline</t>
        </is>
      </c>
      <c r="N85" s="8" t="inlineStr">
        <is>
          <t>Operational role</t>
        </is>
      </c>
      <c r="O85" s="8" t="inlineStr">
        <is>
          <t>P2</t>
        </is>
      </c>
      <c r="P85" s="5" t="inlineStr">
        <is>
          <t>Restored to authored P2. The previous workbook had P3 after a keyword rebalance.</t>
        </is>
      </c>
      <c r="Q85" s="20" t="inlineStr">
        <is>
          <t>Author assertion</t>
        </is>
      </c>
      <c r="R85" s="5" t="inlineStr">
        <is>
          <t>Restored to authored P2. The previous workbook had P3 after a keyword rebalance.</t>
        </is>
      </c>
      <c r="S85" s="8" t="inlineStr">
        <is>
          <t>RPT</t>
        </is>
      </c>
      <c r="T85" s="5" t="inlineStr">
        <is>
          <t>Reporting and business intelligence</t>
        </is>
      </c>
      <c r="U85" s="8" t="inlineStr"/>
      <c r="V85" s="8" t="inlineStr">
        <is>
          <t>reporting</t>
        </is>
      </c>
      <c r="W85" s="8" t="inlineStr">
        <is>
          <t>CONTROL</t>
        </is>
      </c>
      <c r="X85" s="5" t="inlineStr">
        <is>
          <t>Core</t>
        </is>
      </c>
      <c r="Y85" s="5" t="inlineStr">
        <is>
          <t>Stock</t>
        </is>
      </c>
      <c r="Z85" s="5" t="inlineStr">
        <is>
          <t>Medium</t>
        </is>
      </c>
      <c r="AA85" s="5" t="inlineStr">
        <is>
          <t>Medium</t>
        </is>
      </c>
      <c r="AB85" s="8" t="inlineStr">
        <is>
          <t>Low</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P2</t>
        </is>
      </c>
      <c r="AL85" s="8" t="n">
        <v>6</v>
      </c>
      <c r="AM85" s="5" t="inlineStr"/>
      <c r="AN85" s="5" t="inlineStr"/>
      <c r="AO85" s="5" t="inlineStr"/>
      <c r="AP85" s="5" t="inlineStr"/>
      <c r="AQ85" s="5" t="inlineStr"/>
      <c r="AR85" s="5" t="inlineStr"/>
      <c r="AS85" s="5" t="inlineStr"/>
      <c r="AT85" s="5" t="inlineStr"/>
      <c r="AU85" s="8" t="inlineStr">
        <is>
          <t>Not run</t>
        </is>
      </c>
    </row>
    <row r="86" ht="32" customHeight="1">
      <c r="A86" s="16" t="inlineStr">
        <is>
          <t>P-0085</t>
        </is>
      </c>
      <c r="B86" s="8" t="inlineStr">
        <is>
          <t>P</t>
        </is>
      </c>
      <c r="C86" s="5" t="inlineStr">
        <is>
          <t>Multi-Godown Distributor</t>
        </is>
      </c>
      <c r="D86" s="5" t="inlineStr">
        <is>
          <t>Reporting &amp; Business Intelligence</t>
        </is>
      </c>
      <c r="E86" s="5" t="inlineStr">
        <is>
          <t>Compare godown-wise profitability</t>
        </is>
      </c>
      <c r="F86" s="5" t="inlineStr">
        <is>
          <t>Managing Proprietor</t>
        </is>
      </c>
      <c r="G86" s="5" t="inlineStr">
        <is>
          <t>Accountant</t>
        </is>
      </c>
      <c r="H86" s="5" t="inlineStr">
        <is>
          <t>Evaluate gross profit and operating efficiency across different regional godowns</t>
        </is>
      </c>
      <c r="I86" s="5" t="inlineStr">
        <is>
          <t>Computes location-specific gross margin and cross-references localized handling expenses</t>
        </is>
      </c>
      <c r="J86" s="22" t="inlineStr">
        <is>
          <t>P2</t>
        </is>
      </c>
      <c r="K86" s="20" t="inlineStr">
        <is>
          <t>Validated (Supported)</t>
        </is>
      </c>
      <c r="L86" s="5" t="inlineStr">
        <is>
          <t>Supported via Branch/Warehouse Profit &amp; Loss breakdown report.</t>
        </is>
      </c>
      <c r="M86" s="8" t="inlineStr">
        <is>
          <t>Baseline</t>
        </is>
      </c>
      <c r="N86" s="8" t="inlineStr">
        <is>
          <t>Operational role</t>
        </is>
      </c>
      <c r="O86" s="8" t="inlineStr">
        <is>
          <t>P2</t>
        </is>
      </c>
      <c r="P86" s="5" t="inlineStr">
        <is>
          <t>Restored to authored P2. The previous workbook had P3 after a keyword rebalance.</t>
        </is>
      </c>
      <c r="Q86" s="20" t="inlineStr">
        <is>
          <t>Author assertion</t>
        </is>
      </c>
      <c r="R86" s="5" t="inlineStr">
        <is>
          <t>Restored to authored P2. The previous workbook had P3 after a keyword rebalance.</t>
        </is>
      </c>
      <c r="S86" s="8" t="inlineStr">
        <is>
          <t>RPT</t>
        </is>
      </c>
      <c r="T86" s="5" t="inlineStr">
        <is>
          <t>Reporting and business intelligence</t>
        </is>
      </c>
      <c r="U86" s="8" t="inlineStr"/>
      <c r="V86" s="8" t="inlineStr">
        <is>
          <t>reporting</t>
        </is>
      </c>
      <c r="W86" s="8" t="inlineStr">
        <is>
          <t>CONTROL</t>
        </is>
      </c>
      <c r="X86" s="5" t="inlineStr">
        <is>
          <t>Core</t>
        </is>
      </c>
      <c r="Y86" s="5" t="inlineStr">
        <is>
          <t>Stock</t>
        </is>
      </c>
      <c r="Z86" s="5" t="inlineStr">
        <is>
          <t>Medium</t>
        </is>
      </c>
      <c r="AA86" s="5" t="inlineStr">
        <is>
          <t>Medium</t>
        </is>
      </c>
      <c r="AB86" s="8" t="inlineStr">
        <is>
          <t>Low</t>
        </is>
      </c>
      <c r="AC86" s="8" t="inlineStr">
        <is>
          <t>Later</t>
        </is>
      </c>
      <c r="AD86" s="5" t="inlineStr">
        <is>
          <t>Not independently checked</t>
        </is>
      </c>
      <c r="AE86" s="5" t="inlineStr">
        <is>
          <t>Not verified</t>
        </is>
      </c>
      <c r="AF86" s="5" t="inlineStr">
        <is>
          <t>Not verified</t>
        </is>
      </c>
      <c r="AG86" s="5" t="inlineStr">
        <is>
          <t>Not verified</t>
        </is>
      </c>
      <c r="AH86" s="5" t="inlineStr">
        <is>
          <t>Not verified</t>
        </is>
      </c>
      <c r="AI86" s="8" t="inlineStr">
        <is>
          <t>No</t>
        </is>
      </c>
      <c r="AJ86" s="8" t="inlineStr">
        <is>
          <t>Claimed - unverified</t>
        </is>
      </c>
      <c r="AK86" s="8" t="inlineStr">
        <is>
          <t>P2</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P-0086</t>
        </is>
      </c>
      <c r="B87" s="8" t="inlineStr">
        <is>
          <t>P</t>
        </is>
      </c>
      <c r="C87" s="5" t="inlineStr">
        <is>
          <t>Multi-Godown Distributor</t>
        </is>
      </c>
      <c r="D87" s="5" t="inlineStr">
        <is>
          <t>Multi-Godown / Multi-Store</t>
        </is>
      </c>
      <c r="E87" s="5" t="inlineStr">
        <is>
          <t>Identify stock imbalance</t>
        </is>
      </c>
      <c r="F87" s="5" t="inlineStr">
        <is>
          <t>Logistics Coordinator</t>
        </is>
      </c>
      <c r="G87" s="5" t="inlineStr">
        <is>
          <t>Godown Managers</t>
        </is>
      </c>
      <c r="H87" s="5" t="inlineStr">
        <is>
          <t>Detect overstocked items in one depot and stockouts in another to trigger rebalancing</t>
        </is>
      </c>
      <c r="I87" s="5" t="inlineStr">
        <is>
          <t>Compares days of stock cover per SKU across warehouses; highlights rebalance candidates</t>
        </is>
      </c>
      <c r="J87" s="22" t="inlineStr">
        <is>
          <t>P2</t>
        </is>
      </c>
      <c r="K87" s="20" t="inlineStr">
        <is>
          <t>Validated (Supported)</t>
        </is>
      </c>
      <c r="L87" s="5" t="inlineStr">
        <is>
          <t>Supported via Inventory Balancing report with auto-generated StockTransfer draft.</t>
        </is>
      </c>
      <c r="M87" s="8" t="inlineStr">
        <is>
          <t>Baseline</t>
        </is>
      </c>
      <c r="N87" s="8" t="inlineStr">
        <is>
          <t>Operational role</t>
        </is>
      </c>
      <c r="O87" s="8" t="inlineStr">
        <is>
          <t>P2</t>
        </is>
      </c>
      <c r="P87" s="5" t="inlineStr">
        <is>
          <t>Restored to authored P2. The previous workbook had P3 after a keyword rebalance.</t>
        </is>
      </c>
      <c r="Q87" s="21" t="inlineStr">
        <is>
          <t>Code symbol found</t>
        </is>
      </c>
      <c r="R87" s="5" t="inlineStr">
        <is>
          <t>Matched StockTransfer in product code. This is not a functional test. Restored to authored P2. The previous workbook had P3 after a keyword rebalance.</t>
        </is>
      </c>
      <c r="S87" s="8" t="inlineStr">
        <is>
          <t>WH</t>
        </is>
      </c>
      <c r="T87" s="5" t="inlineStr">
        <is>
          <t>Multi-godown and multi-store</t>
        </is>
      </c>
      <c r="U87" s="8" t="inlineStr"/>
      <c r="V87" s="8" t="inlineStr">
        <is>
          <t>inventory</t>
        </is>
      </c>
      <c r="W87" s="8" t="inlineStr">
        <is>
          <t>RUN</t>
        </is>
      </c>
      <c r="X87" s="5" t="inlineStr">
        <is>
          <t>Core</t>
        </is>
      </c>
      <c r="Y87" s="5" t="inlineStr">
        <is>
          <t>Stock</t>
        </is>
      </c>
      <c r="Z87" s="5" t="inlineStr">
        <is>
          <t>Medium</t>
        </is>
      </c>
      <c r="AA87" s="5" t="inlineStr">
        <is>
          <t>Medium</t>
        </is>
      </c>
      <c r="AB87" s="8" t="inlineStr">
        <is>
          <t>Low</t>
        </is>
      </c>
      <c r="AC87" s="8" t="inlineStr">
        <is>
          <t>Later</t>
        </is>
      </c>
      <c r="AD87" s="5" t="inlineStr">
        <is>
          <t>Cited in code</t>
        </is>
      </c>
      <c r="AE87" s="5" t="inlineStr">
        <is>
          <t>Not verified</t>
        </is>
      </c>
      <c r="AF87" s="5" t="inlineStr">
        <is>
          <t>Not verified</t>
        </is>
      </c>
      <c r="AG87" s="5" t="inlineStr">
        <is>
          <t>Not verified</t>
        </is>
      </c>
      <c r="AH87" s="5" t="inlineStr">
        <is>
          <t>Not verified</t>
        </is>
      </c>
      <c r="AI87" s="8" t="inlineStr">
        <is>
          <t>No</t>
        </is>
      </c>
      <c r="AJ87" s="8" t="inlineStr">
        <is>
          <t>Built - unverified</t>
        </is>
      </c>
      <c r="AK87" s="8" t="inlineStr">
        <is>
          <t>P2</t>
        </is>
      </c>
      <c r="AL87" s="8" t="n">
        <v>6</v>
      </c>
      <c r="AM87" s="5" t="inlineStr"/>
      <c r="AN87" s="5" t="inlineStr"/>
      <c r="AO87" s="5" t="inlineStr"/>
      <c r="AP87" s="5" t="inlineStr"/>
      <c r="AQ87" s="5" t="inlineStr"/>
      <c r="AR87" s="5" t="inlineStr"/>
      <c r="AS87" s="5" t="inlineStr"/>
      <c r="AT87" s="5" t="inlineStr"/>
      <c r="AU87" s="8" t="inlineStr">
        <is>
          <t>Not run</t>
        </is>
      </c>
    </row>
    <row r="88" ht="32" customHeight="1">
      <c r="A88" s="16" t="inlineStr">
        <is>
          <t>P-0087</t>
        </is>
      </c>
      <c r="B88" s="8" t="inlineStr">
        <is>
          <t>P</t>
        </is>
      </c>
      <c r="C88" s="5" t="inlineStr">
        <is>
          <t>Multi-Godown Distributor</t>
        </is>
      </c>
      <c r="D88" s="5" t="inlineStr">
        <is>
          <t>Inventory Lifecycle</t>
        </is>
      </c>
      <c r="E88" s="5" t="inlineStr">
        <is>
          <t>Perform location-wise stock audits</t>
        </is>
      </c>
      <c r="F88" s="5" t="inlineStr">
        <is>
          <t>Internal Audit Team</t>
        </is>
      </c>
      <c r="G88" s="5" t="inlineStr">
        <is>
          <t>Local Godown Keepers</t>
        </is>
      </c>
      <c r="H88" s="5" t="inlineStr">
        <is>
          <t>Conduct physical inventory counts independently at specific regional warehouses</t>
        </is>
      </c>
      <c r="I88" s="5" t="inlineStr">
        <is>
          <t>Scoped StockCountSession locked to a specific warehouse_id without halting other depots</t>
        </is>
      </c>
      <c r="J88" s="20" t="inlineStr">
        <is>
          <t>P1</t>
        </is>
      </c>
      <c r="K88" s="20" t="inlineStr">
        <is>
          <t>Validated (Supported)</t>
        </is>
      </c>
      <c r="L88" s="5" t="inlineStr">
        <is>
          <t>Supported in /inventory/stock-counts/ with warehouse-isolated audit sessions.</t>
        </is>
      </c>
      <c r="M88" s="8" t="inlineStr">
        <is>
          <t>Baseline</t>
        </is>
      </c>
      <c r="N88" s="8" t="inlineStr">
        <is>
          <t>Operational role</t>
        </is>
      </c>
      <c r="O88" s="8" t="inlineStr">
        <is>
          <t>P1</t>
        </is>
      </c>
      <c r="P88" s="5" t="inlineStr">
        <is>
          <t>Unchanged</t>
        </is>
      </c>
      <c r="Q88" s="20" t="inlineStr">
        <is>
          <t>Author assertion</t>
        </is>
      </c>
      <c r="R88" s="5" t="inlineStr"/>
      <c r="S88" s="8" t="inlineStr">
        <is>
          <t>INV</t>
        </is>
      </c>
      <c r="T88" s="5" t="inlineStr">
        <is>
          <t>Inventory lifecycle</t>
        </is>
      </c>
      <c r="U88" s="8" t="inlineStr"/>
      <c r="V88" s="8" t="inlineStr">
        <is>
          <t>inventory</t>
        </is>
      </c>
      <c r="W88" s="8" t="inlineStr">
        <is>
          <t>RUN</t>
        </is>
      </c>
      <c r="X88" s="5" t="inlineStr">
        <is>
          <t>Core</t>
        </is>
      </c>
      <c r="Y88" s="5" t="inlineStr">
        <is>
          <t>Stock</t>
        </is>
      </c>
      <c r="Z88" s="5" t="inlineStr">
        <is>
          <t>High</t>
        </is>
      </c>
      <c r="AA88" s="5" t="inlineStr">
        <is>
          <t>High</t>
        </is>
      </c>
      <c r="AB88" s="8" t="inlineStr">
        <is>
          <t>Low</t>
        </is>
      </c>
      <c r="AC88" s="8" t="inlineStr">
        <is>
          <t>Pilot</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9</v>
      </c>
      <c r="AM88" s="5" t="inlineStr"/>
      <c r="AN88" s="5" t="inlineStr"/>
      <c r="AO88" s="5" t="inlineStr"/>
      <c r="AP88" s="5" t="inlineStr"/>
      <c r="AQ88" s="5" t="inlineStr"/>
      <c r="AR88" s="5" t="inlineStr"/>
      <c r="AS88" s="5" t="inlineStr"/>
      <c r="AT88" s="5" t="inlineStr"/>
      <c r="AU88" s="8" t="inlineStr">
        <is>
          <t>Not run</t>
        </is>
      </c>
    </row>
    <row r="89" ht="32" customHeight="1">
      <c r="A89" s="16" t="inlineStr">
        <is>
          <t>P-0088</t>
        </is>
      </c>
      <c r="B89" s="8" t="inlineStr">
        <is>
          <t>P</t>
        </is>
      </c>
      <c r="C89" s="5" t="inlineStr">
        <is>
          <t>Multi-Godown Distributor</t>
        </is>
      </c>
      <c r="D89" s="5" t="inlineStr">
        <is>
          <t>Multi-Godown / Multi-Store</t>
        </is>
      </c>
      <c r="E89" s="5" t="inlineStr">
        <is>
          <t>Track inventory movement across locations</t>
        </is>
      </c>
      <c r="F89" s="5" t="inlineStr">
        <is>
          <t>Logistics Manager</t>
        </is>
      </c>
      <c r="G89" s="5" t="inlineStr">
        <is>
          <t>Auditor</t>
        </is>
      </c>
      <c r="H89" s="5" t="inlineStr">
        <is>
          <t>Complete audit trail of all inward, outward, and transfer movements for any SKU across locations</t>
        </is>
      </c>
      <c r="I89" s="5" t="inlineStr">
        <is>
          <t>Queries immutable StockMovement ledger filtered by SKU and warehouse_id with chronological replay</t>
        </is>
      </c>
      <c r="J89" s="20" t="inlineStr">
        <is>
          <t>P1</t>
        </is>
      </c>
      <c r="K89" s="20" t="inlineStr">
        <is>
          <t>Validated (Supported)</t>
        </is>
      </c>
      <c r="L89" s="5" t="inlineStr">
        <is>
          <t>Supported via SKU Movement Ledger (/inventory/products/{id}/movements/).</t>
        </is>
      </c>
      <c r="M89" s="8" t="inlineStr">
        <is>
          <t>Baseline</t>
        </is>
      </c>
      <c r="N89" s="8" t="inlineStr">
        <is>
          <t>Operational role</t>
        </is>
      </c>
      <c r="O89" s="8" t="inlineStr">
        <is>
          <t>P1</t>
        </is>
      </c>
      <c r="P89" s="5" t="inlineStr">
        <is>
          <t>Unchanged</t>
        </is>
      </c>
      <c r="Q89" s="20" t="inlineStr">
        <is>
          <t>Author assertion</t>
        </is>
      </c>
      <c r="R89" s="5" t="inlineStr"/>
      <c r="S89" s="8" t="inlineStr">
        <is>
          <t>WH</t>
        </is>
      </c>
      <c r="T89" s="5" t="inlineStr">
        <is>
          <t>Multi-godown and multi-store</t>
        </is>
      </c>
      <c r="U89" s="8" t="inlineStr"/>
      <c r="V89" s="8" t="inlineStr">
        <is>
          <t>inventory</t>
        </is>
      </c>
      <c r="W89" s="8" t="inlineStr">
        <is>
          <t>RUN</t>
        </is>
      </c>
      <c r="X89" s="5" t="inlineStr">
        <is>
          <t>Core</t>
        </is>
      </c>
      <c r="Y89" s="5" t="inlineStr">
        <is>
          <t>Stock</t>
        </is>
      </c>
      <c r="Z89" s="5" t="inlineStr">
        <is>
          <t>Medium</t>
        </is>
      </c>
      <c r="AA89" s="5" t="inlineStr">
        <is>
          <t>Medium</t>
        </is>
      </c>
      <c r="AB89" s="8" t="inlineStr">
        <is>
          <t>Low</t>
        </is>
      </c>
      <c r="AC89" s="8" t="inlineStr">
        <is>
          <t>Pilot</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P-0089</t>
        </is>
      </c>
      <c r="B90" s="8" t="inlineStr">
        <is>
          <t>P</t>
        </is>
      </c>
      <c r="C90" s="5" t="inlineStr">
        <is>
          <t>Multi-Shop Owner</t>
        </is>
      </c>
      <c r="D90" s="5" t="inlineStr">
        <is>
          <t>Multi-Godown / Multi-Store</t>
        </is>
      </c>
      <c r="E90" s="5" t="inlineStr">
        <is>
          <t>View all shops from one dashboard</t>
        </is>
      </c>
      <c r="F90" s="5" t="inlineStr">
        <is>
          <t>Multi-Shop Managing Proprietor</t>
        </is>
      </c>
      <c r="G90" s="5" t="inlineStr">
        <is>
          <t>Store Managers</t>
        </is>
      </c>
      <c r="H90" s="5" t="inlineStr">
        <is>
          <t>Executive real-time visibility into consolidated revenue, cash collections, and stock across all outlets</t>
        </is>
      </c>
      <c r="I90" s="5" t="inlineStr">
        <is>
          <t>Consolidates live data across all retail branch locations on a single unified screen</t>
        </is>
      </c>
      <c r="J90" s="19" t="inlineStr">
        <is>
          <t>P0</t>
        </is>
      </c>
      <c r="K90" s="20" t="inlineStr">
        <is>
          <t>Validated (Supported)</t>
        </is>
      </c>
      <c r="L90" s="5" t="inlineStr">
        <is>
          <t>Supported via Multi-Store Executive Dashboard with outlet switching and consolidated totals.</t>
        </is>
      </c>
      <c r="M90" s="8" t="inlineStr">
        <is>
          <t>Baseline</t>
        </is>
      </c>
      <c r="N90" s="8" t="inlineStr">
        <is>
          <t>Operational role</t>
        </is>
      </c>
      <c r="O90" s="8" t="inlineStr">
        <is>
          <t>P0</t>
        </is>
      </c>
      <c r="P90" s="5" t="inlineStr">
        <is>
          <t>Unchanged</t>
        </is>
      </c>
      <c r="Q90" s="20" t="inlineStr">
        <is>
          <t>Author assertion</t>
        </is>
      </c>
      <c r="R90" s="5" t="inlineStr"/>
      <c r="S90" s="8" t="inlineStr">
        <is>
          <t>WH</t>
        </is>
      </c>
      <c r="T90" s="5" t="inlineStr">
        <is>
          <t>Multi-godown and multi-store</t>
        </is>
      </c>
      <c r="U90" s="8" t="inlineStr"/>
      <c r="V90" s="8" t="inlineStr">
        <is>
          <t>inventory</t>
        </is>
      </c>
      <c r="W90" s="8" t="inlineStr">
        <is>
          <t>RUN</t>
        </is>
      </c>
      <c r="X90" s="5" t="inlineStr">
        <is>
          <t>Core</t>
        </is>
      </c>
      <c r="Y90" s="5" t="inlineStr">
        <is>
          <t>Owner</t>
        </is>
      </c>
      <c r="Z90" s="5" t="inlineStr">
        <is>
          <t>Medium</t>
        </is>
      </c>
      <c r="AA90" s="5" t="inlineStr">
        <is>
          <t>Medium</t>
        </is>
      </c>
      <c r="AB90" s="8" t="inlineStr">
        <is>
          <t>Low</t>
        </is>
      </c>
      <c r="AC90" s="8" t="inlineStr">
        <is>
          <t>MVP</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P0</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P-0090</t>
        </is>
      </c>
      <c r="B91" s="8" t="inlineStr">
        <is>
          <t>P</t>
        </is>
      </c>
      <c r="C91" s="5" t="inlineStr">
        <is>
          <t>Multi-Shop Owner</t>
        </is>
      </c>
      <c r="D91" s="5" t="inlineStr">
        <is>
          <t>Reporting &amp; Business Intelligence</t>
        </is>
      </c>
      <c r="E91" s="5" t="inlineStr">
        <is>
          <t>Compare shop sales</t>
        </is>
      </c>
      <c r="F91" s="5" t="inlineStr">
        <is>
          <t>Managing Proprietor</t>
        </is>
      </c>
      <c r="G91" s="5" t="inlineStr">
        <is>
          <t>Store Managers</t>
        </is>
      </c>
      <c r="H91" s="5" t="inlineStr">
        <is>
          <t>Benchmark daily and monthly sales performance between retail store branches</t>
        </is>
      </c>
      <c r="I91" s="5" t="inlineStr">
        <is>
          <t>Generates comparative sales bar charts and tabular metrics broken down by store outlet</t>
        </is>
      </c>
      <c r="J91" s="20" t="inlineStr">
        <is>
          <t>P1</t>
        </is>
      </c>
      <c r="K91" s="20" t="inlineStr">
        <is>
          <t>Validated (Supported)</t>
        </is>
      </c>
      <c r="L91" s="5" t="inlineStr">
        <is>
          <t>Supported via /reports/multi-store-comparison/ with ranking by sales and footfall.</t>
        </is>
      </c>
      <c r="M91" s="8" t="inlineStr">
        <is>
          <t>Baseline</t>
        </is>
      </c>
      <c r="N91" s="8" t="inlineStr">
        <is>
          <t>Operational role</t>
        </is>
      </c>
      <c r="O91" s="8" t="inlineStr">
        <is>
          <t>P1</t>
        </is>
      </c>
      <c r="P91" s="5" t="inlineStr">
        <is>
          <t>Unchanged</t>
        </is>
      </c>
      <c r="Q91" s="20" t="inlineStr">
        <is>
          <t>Author assertion</t>
        </is>
      </c>
      <c r="R91" s="5" t="inlineStr"/>
      <c r="S91" s="8" t="inlineStr">
        <is>
          <t>RPT</t>
        </is>
      </c>
      <c r="T91" s="5" t="inlineStr">
        <is>
          <t>Reporting and business intelligence</t>
        </is>
      </c>
      <c r="U91" s="8" t="inlineStr"/>
      <c r="V91" s="8" t="inlineStr">
        <is>
          <t>reporting</t>
        </is>
      </c>
      <c r="W91" s="8" t="inlineStr">
        <is>
          <t>CONTROL</t>
        </is>
      </c>
      <c r="X91" s="5" t="inlineStr">
        <is>
          <t>Core</t>
        </is>
      </c>
      <c r="Y91" s="5" t="inlineStr">
        <is>
          <t>Owner</t>
        </is>
      </c>
      <c r="Z91" s="5" t="inlineStr">
        <is>
          <t>Medium</t>
        </is>
      </c>
      <c r="AA91" s="5" t="inlineStr">
        <is>
          <t>Medium</t>
        </is>
      </c>
      <c r="AB91" s="8" t="inlineStr">
        <is>
          <t>Low</t>
        </is>
      </c>
      <c r="AC91" s="8" t="inlineStr">
        <is>
          <t>Pilot</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P1</t>
        </is>
      </c>
      <c r="AL91" s="8" t="n">
        <v>6</v>
      </c>
      <c r="AM91" s="5" t="inlineStr"/>
      <c r="AN91" s="5" t="inlineStr"/>
      <c r="AO91" s="5" t="inlineStr"/>
      <c r="AP91" s="5" t="inlineStr"/>
      <c r="AQ91" s="5" t="inlineStr"/>
      <c r="AR91" s="5" t="inlineStr"/>
      <c r="AS91" s="5" t="inlineStr"/>
      <c r="AT91" s="5" t="inlineStr"/>
      <c r="AU91" s="8" t="inlineStr">
        <is>
          <t>Not run</t>
        </is>
      </c>
    </row>
    <row r="92" ht="32" customHeight="1">
      <c r="A92" s="16" t="inlineStr">
        <is>
          <t>P-0091</t>
        </is>
      </c>
      <c r="B92" s="8" t="inlineStr">
        <is>
          <t>P</t>
        </is>
      </c>
      <c r="C92" s="5" t="inlineStr">
        <is>
          <t>Multi-Shop Owner</t>
        </is>
      </c>
      <c r="D92" s="5" t="inlineStr">
        <is>
          <t>Reporting &amp; Business Intelligence</t>
        </is>
      </c>
      <c r="E92" s="5" t="inlineStr">
        <is>
          <t>Compare shop profitability</t>
        </is>
      </c>
      <c r="F92" s="5" t="inlineStr">
        <is>
          <t>Managing Proprietor</t>
        </is>
      </c>
      <c r="G92" s="5" t="inlineStr">
        <is>
          <t>Accountant</t>
        </is>
      </c>
      <c r="H92" s="5" t="inlineStr">
        <is>
          <t>Analyze net profit contributions of individual store locations after outlet operating expenses</t>
        </is>
      </c>
      <c r="I92" s="5" t="inlineStr">
        <is>
          <t>Matches outlet revenue against localized cost of goods sold, rent, utilities, and payroll</t>
        </is>
      </c>
      <c r="J92" s="22" t="inlineStr">
        <is>
          <t>P2</t>
        </is>
      </c>
      <c r="K92" s="20" t="inlineStr">
        <is>
          <t>Validated (Supported)</t>
        </is>
      </c>
      <c r="L92" s="5" t="inlineStr">
        <is>
          <t>Supported via Cost Center / Store P&amp;L report (/accounting/cost-centers/).</t>
        </is>
      </c>
      <c r="M92" s="8" t="inlineStr">
        <is>
          <t>Baseline</t>
        </is>
      </c>
      <c r="N92" s="8" t="inlineStr">
        <is>
          <t>Operational role</t>
        </is>
      </c>
      <c r="O92" s="8" t="inlineStr">
        <is>
          <t>P2</t>
        </is>
      </c>
      <c r="P92" s="5" t="inlineStr">
        <is>
          <t>Restored to authored P2. The previous workbook had P3 after a keyword rebalance.</t>
        </is>
      </c>
      <c r="Q92" s="20" t="inlineStr">
        <is>
          <t>Author assertion</t>
        </is>
      </c>
      <c r="R92" s="5" t="inlineStr">
        <is>
          <t>Restored to authored P2. The previous workbook had P3 after a keyword rebalance.</t>
        </is>
      </c>
      <c r="S92" s="8" t="inlineStr">
        <is>
          <t>RPT</t>
        </is>
      </c>
      <c r="T92" s="5" t="inlineStr">
        <is>
          <t>Reporting and business intelligence</t>
        </is>
      </c>
      <c r="U92" s="8" t="inlineStr"/>
      <c r="V92" s="8" t="inlineStr">
        <is>
          <t>reporting</t>
        </is>
      </c>
      <c r="W92" s="8" t="inlineStr">
        <is>
          <t>CONTROL</t>
        </is>
      </c>
      <c r="X92" s="5" t="inlineStr">
        <is>
          <t>Core</t>
        </is>
      </c>
      <c r="Y92" s="5" t="inlineStr">
        <is>
          <t>Owner</t>
        </is>
      </c>
      <c r="Z92" s="5" t="inlineStr">
        <is>
          <t>Medium</t>
        </is>
      </c>
      <c r="AA92" s="5" t="inlineStr">
        <is>
          <t>Medium</t>
        </is>
      </c>
      <c r="AB92" s="8" t="inlineStr">
        <is>
          <t>Low</t>
        </is>
      </c>
      <c r="AC92" s="8" t="inlineStr">
        <is>
          <t>Later</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P2</t>
        </is>
      </c>
      <c r="AL92" s="8" t="n">
        <v>6</v>
      </c>
      <c r="AM92" s="5" t="inlineStr"/>
      <c r="AN92" s="5" t="inlineStr"/>
      <c r="AO92" s="5" t="inlineStr"/>
      <c r="AP92" s="5" t="inlineStr"/>
      <c r="AQ92" s="5" t="inlineStr"/>
      <c r="AR92" s="5" t="inlineStr"/>
      <c r="AS92" s="5" t="inlineStr"/>
      <c r="AT92" s="5" t="inlineStr"/>
      <c r="AU92" s="8" t="inlineStr">
        <is>
          <t>Not run</t>
        </is>
      </c>
    </row>
    <row r="93" ht="32" customHeight="1">
      <c r="A93" s="16" t="inlineStr">
        <is>
          <t>P-0092</t>
        </is>
      </c>
      <c r="B93" s="8" t="inlineStr">
        <is>
          <t>P</t>
        </is>
      </c>
      <c r="C93" s="5" t="inlineStr">
        <is>
          <t>Multi-Shop Owner</t>
        </is>
      </c>
      <c r="D93" s="5" t="inlineStr">
        <is>
          <t>Multi-Godown / Multi-Store</t>
        </is>
      </c>
      <c r="E93" s="5" t="inlineStr">
        <is>
          <t>Transfer inventory between shops</t>
        </is>
      </c>
      <c r="F93" s="5" t="inlineStr">
        <is>
          <t>Store Manager / Central Coordinator</t>
        </is>
      </c>
      <c r="G93" s="5" t="inlineStr">
        <is>
          <t>Store Cashiers</t>
        </is>
      </c>
      <c r="H93" s="5" t="inlineStr">
        <is>
          <t>Quick transfer of fast-moving items from low-demand shop to high-demand shop</t>
        </is>
      </c>
      <c r="I93" s="5" t="inlineStr">
        <is>
          <t>Generates inter-shop delivery challan; updates source and destination shop stock balances</t>
        </is>
      </c>
      <c r="J93" s="20" t="inlineStr">
        <is>
          <t>P1</t>
        </is>
      </c>
      <c r="K93" s="20" t="inlineStr">
        <is>
          <t>Validated (Supported)</t>
        </is>
      </c>
      <c r="L93" s="5" t="inlineStr">
        <is>
          <t>Supported via StockTransfer mechanism with store-to-store transfer presets.</t>
        </is>
      </c>
      <c r="M93" s="8" t="inlineStr">
        <is>
          <t>Baseline</t>
        </is>
      </c>
      <c r="N93" s="8" t="inlineStr">
        <is>
          <t>Operational role</t>
        </is>
      </c>
      <c r="O93" s="8" t="inlineStr">
        <is>
          <t>P1</t>
        </is>
      </c>
      <c r="P93" s="5" t="inlineStr">
        <is>
          <t>Unchanged</t>
        </is>
      </c>
      <c r="Q93" s="21" t="inlineStr">
        <is>
          <t>Code symbol found</t>
        </is>
      </c>
      <c r="R93" s="5" t="inlineStr">
        <is>
          <t>Matched StockTransfer in product code. This is not a functional test.</t>
        </is>
      </c>
      <c r="S93" s="8" t="inlineStr">
        <is>
          <t>WH</t>
        </is>
      </c>
      <c r="T93" s="5" t="inlineStr">
        <is>
          <t>Multi-godown and multi-store</t>
        </is>
      </c>
      <c r="U93" s="8" t="inlineStr"/>
      <c r="V93" s="8" t="inlineStr">
        <is>
          <t>inventory</t>
        </is>
      </c>
      <c r="W93" s="8" t="inlineStr">
        <is>
          <t>RUN</t>
        </is>
      </c>
      <c r="X93" s="5" t="inlineStr">
        <is>
          <t>Core</t>
        </is>
      </c>
      <c r="Y93" s="5" t="inlineStr">
        <is>
          <t>Owner</t>
        </is>
      </c>
      <c r="Z93" s="5" t="inlineStr">
        <is>
          <t>Medium</t>
        </is>
      </c>
      <c r="AA93" s="5" t="inlineStr">
        <is>
          <t>Medium</t>
        </is>
      </c>
      <c r="AB93" s="8" t="inlineStr">
        <is>
          <t>Low</t>
        </is>
      </c>
      <c r="AC93" s="8" t="inlineStr">
        <is>
          <t>Pilot</t>
        </is>
      </c>
      <c r="AD93" s="5" t="inlineStr">
        <is>
          <t>Cited in code</t>
        </is>
      </c>
      <c r="AE93" s="5" t="inlineStr">
        <is>
          <t>Not verified</t>
        </is>
      </c>
      <c r="AF93" s="5" t="inlineStr">
        <is>
          <t>Not verified</t>
        </is>
      </c>
      <c r="AG93" s="5" t="inlineStr">
        <is>
          <t>Not verified</t>
        </is>
      </c>
      <c r="AH93" s="5" t="inlineStr">
        <is>
          <t>Not verified</t>
        </is>
      </c>
      <c r="AI93" s="8" t="inlineStr">
        <is>
          <t>No</t>
        </is>
      </c>
      <c r="AJ93" s="8" t="inlineStr">
        <is>
          <t>Built - unverified</t>
        </is>
      </c>
      <c r="AK93" s="8" t="inlineStr">
        <is>
          <t>P1</t>
        </is>
      </c>
      <c r="AL93" s="8" t="n">
        <v>6</v>
      </c>
      <c r="AM93" s="5" t="inlineStr"/>
      <c r="AN93" s="5" t="inlineStr"/>
      <c r="AO93" s="5" t="inlineStr"/>
      <c r="AP93" s="5" t="inlineStr"/>
      <c r="AQ93" s="5" t="inlineStr"/>
      <c r="AR93" s="5" t="inlineStr"/>
      <c r="AS93" s="5" t="inlineStr"/>
      <c r="AT93" s="5" t="inlineStr"/>
      <c r="AU93" s="8" t="inlineStr">
        <is>
          <t>Not run</t>
        </is>
      </c>
    </row>
    <row r="94" ht="32" customHeight="1">
      <c r="A94" s="16" t="inlineStr">
        <is>
          <t>P-0093</t>
        </is>
      </c>
      <c r="B94" s="8" t="inlineStr">
        <is>
          <t>P</t>
        </is>
      </c>
      <c r="C94" s="5" t="inlineStr">
        <is>
          <t>Multi-Shop Owner</t>
        </is>
      </c>
      <c r="D94" s="5" t="inlineStr">
        <is>
          <t>Multi-Godown / Multi-Store</t>
        </is>
      </c>
      <c r="E94" s="5" t="inlineStr">
        <is>
          <t>Monitor shop-wise inventory</t>
        </is>
      </c>
      <c r="F94" s="5" t="inlineStr">
        <is>
          <t>Inventory Controller</t>
        </is>
      </c>
      <c r="G94" s="5" t="inlineStr">
        <is>
          <t>Store Keepers</t>
        </is>
      </c>
      <c r="H94" s="5" t="inlineStr">
        <is>
          <t>Audit stock holding levels at each individual retail outlet to prevent stockouts</t>
        </is>
      </c>
      <c r="I94" s="5" t="inlineStr">
        <is>
          <t>Displays real-time inventory balances broken down by store location</t>
        </is>
      </c>
      <c r="J94" s="20" t="inlineStr">
        <is>
          <t>P1</t>
        </is>
      </c>
      <c r="K94" s="20" t="inlineStr">
        <is>
          <t>Validated (Supported)</t>
        </is>
      </c>
      <c r="L94" s="5" t="inlineStr">
        <is>
          <t>Supported via /inventory/ with outlet-specific balance views.</t>
        </is>
      </c>
      <c r="M94" s="8" t="inlineStr">
        <is>
          <t>Baseline</t>
        </is>
      </c>
      <c r="N94" s="8" t="inlineStr">
        <is>
          <t>Operational role</t>
        </is>
      </c>
      <c r="O94" s="8" t="inlineStr">
        <is>
          <t>P1</t>
        </is>
      </c>
      <c r="P94" s="5" t="inlineStr">
        <is>
          <t>Unchanged</t>
        </is>
      </c>
      <c r="Q94" s="20" t="inlineStr">
        <is>
          <t>Author assertion</t>
        </is>
      </c>
      <c r="R94" s="5" t="inlineStr"/>
      <c r="S94" s="8" t="inlineStr">
        <is>
          <t>WH</t>
        </is>
      </c>
      <c r="T94" s="5" t="inlineStr">
        <is>
          <t>Multi-godown and multi-store</t>
        </is>
      </c>
      <c r="U94" s="8" t="inlineStr"/>
      <c r="V94" s="8" t="inlineStr">
        <is>
          <t>inventory</t>
        </is>
      </c>
      <c r="W94" s="8" t="inlineStr">
        <is>
          <t>RUN</t>
        </is>
      </c>
      <c r="X94" s="5" t="inlineStr">
        <is>
          <t>Core</t>
        </is>
      </c>
      <c r="Y94" s="5" t="inlineStr">
        <is>
          <t>Owner</t>
        </is>
      </c>
      <c r="Z94" s="5" t="inlineStr">
        <is>
          <t>Medium</t>
        </is>
      </c>
      <c r="AA94" s="5" t="inlineStr">
        <is>
          <t>Medium</t>
        </is>
      </c>
      <c r="AB94" s="8" t="inlineStr">
        <is>
          <t>Low</t>
        </is>
      </c>
      <c r="AC94" s="8" t="inlineStr">
        <is>
          <t>Pilot</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6</v>
      </c>
      <c r="AM94" s="5" t="inlineStr"/>
      <c r="AN94" s="5" t="inlineStr"/>
      <c r="AO94" s="5" t="inlineStr"/>
      <c r="AP94" s="5" t="inlineStr"/>
      <c r="AQ94" s="5" t="inlineStr"/>
      <c r="AR94" s="5" t="inlineStr"/>
      <c r="AS94" s="5" t="inlineStr"/>
      <c r="AT94" s="5" t="inlineStr"/>
      <c r="AU94" s="8" t="inlineStr">
        <is>
          <t>Not run</t>
        </is>
      </c>
    </row>
    <row r="95" ht="32" customHeight="1">
      <c r="A95" s="16" t="inlineStr">
        <is>
          <t>P-0094</t>
        </is>
      </c>
      <c r="B95" s="8" t="inlineStr">
        <is>
          <t>P</t>
        </is>
      </c>
      <c r="C95" s="5" t="inlineStr">
        <is>
          <t>Multi-Shop Owner</t>
        </is>
      </c>
      <c r="D95" s="5" t="inlineStr">
        <is>
          <t>Payments &amp; Reconciliation</t>
        </is>
      </c>
      <c r="E95" s="5" t="inlineStr">
        <is>
          <t>Monitor shop-wise cash collections</t>
        </is>
      </c>
      <c r="F95" s="5" t="inlineStr">
        <is>
          <t>Managing Proprietor / Auditor</t>
        </is>
      </c>
      <c r="G95" s="5" t="inlineStr">
        <is>
          <t>Store Cashiers</t>
        </is>
      </c>
      <c r="H95" s="5" t="inlineStr">
        <is>
          <t>Track physical cash collected at each store drawer and verify bank deposits</t>
        </is>
      </c>
      <c r="I95" s="5" t="inlineStr">
        <is>
          <t>Aggregates daily shift-close cash reports per branch; highlights cash deposit variances</t>
        </is>
      </c>
      <c r="J95" s="20" t="inlineStr">
        <is>
          <t>P1</t>
        </is>
      </c>
      <c r="K95" s="20" t="inlineStr">
        <is>
          <t>Validated (Supported)</t>
        </is>
      </c>
      <c r="L95" s="5" t="inlineStr">
        <is>
          <t>Supported via /accounting/cash-desks/ with store-wise till reconciliation.</t>
        </is>
      </c>
      <c r="M95" s="8" t="inlineStr">
        <is>
          <t>Baseline</t>
        </is>
      </c>
      <c r="N95" s="8" t="inlineStr">
        <is>
          <t>Operational role</t>
        </is>
      </c>
      <c r="O95" s="8" t="inlineStr">
        <is>
          <t>P1</t>
        </is>
      </c>
      <c r="P95" s="5" t="inlineStr">
        <is>
          <t>Unchanged</t>
        </is>
      </c>
      <c r="Q95" s="20" t="inlineStr">
        <is>
          <t>Author assertion</t>
        </is>
      </c>
      <c r="R95" s="5" t="inlineStr"/>
      <c r="S95" s="8" t="inlineStr">
        <is>
          <t>PAYREC</t>
        </is>
      </c>
      <c r="T95" s="5" t="inlineStr">
        <is>
          <t>Payments and reconciliation</t>
        </is>
      </c>
      <c r="U95" s="8" t="inlineStr"/>
      <c r="V95" s="8" t="inlineStr">
        <is>
          <t>payments</t>
        </is>
      </c>
      <c r="W95" s="8" t="inlineStr">
        <is>
          <t>RUN</t>
        </is>
      </c>
      <c r="X95" s="5" t="inlineStr">
        <is>
          <t>Core</t>
        </is>
      </c>
      <c r="Y95" s="5" t="inlineStr">
        <is>
          <t>Owner</t>
        </is>
      </c>
      <c r="Z95" s="5" t="inlineStr">
        <is>
          <t>High</t>
        </is>
      </c>
      <c r="AA95" s="5" t="inlineStr">
        <is>
          <t>High</t>
        </is>
      </c>
      <c r="AB95" s="8" t="inlineStr">
        <is>
          <t>Low</t>
        </is>
      </c>
      <c r="AC95" s="8" t="inlineStr">
        <is>
          <t>Pilot</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P1</t>
        </is>
      </c>
      <c r="AL95" s="8" t="n">
        <v>9</v>
      </c>
      <c r="AM95" s="5" t="inlineStr"/>
      <c r="AN95" s="5" t="inlineStr"/>
      <c r="AO95" s="5" t="inlineStr"/>
      <c r="AP95" s="5" t="inlineStr"/>
      <c r="AQ95" s="5" t="inlineStr"/>
      <c r="AR95" s="5" t="inlineStr"/>
      <c r="AS95" s="5" t="inlineStr"/>
      <c r="AT95" s="5" t="inlineStr"/>
      <c r="AU95" s="8" t="inlineStr">
        <is>
          <t>Not run</t>
        </is>
      </c>
    </row>
    <row r="96" ht="32" customHeight="1">
      <c r="A96" s="16" t="inlineStr">
        <is>
          <t>P-0095</t>
        </is>
      </c>
      <c r="B96" s="8" t="inlineStr">
        <is>
          <t>P</t>
        </is>
      </c>
      <c r="C96" s="5" t="inlineStr">
        <is>
          <t>Multi-Shop Owner</t>
        </is>
      </c>
      <c r="D96" s="5" t="inlineStr">
        <is>
          <t>Receivables &amp; Payables</t>
        </is>
      </c>
      <c r="E96" s="5" t="inlineStr">
        <is>
          <t>Monitor shop-wise outstanding</t>
        </is>
      </c>
      <c r="F96" s="5" t="inlineStr">
        <is>
          <t>Managing Proprietor</t>
        </is>
      </c>
      <c r="G96" s="5" t="inlineStr">
        <is>
          <t>Store Credit Staff</t>
        </is>
      </c>
      <c r="H96" s="5" t="inlineStr">
        <is>
          <t>Monitor customer khata and credit receivables originated across different retail stores</t>
        </is>
      </c>
      <c r="I96" s="5" t="inlineStr">
        <is>
          <t>Segments accounts receivable ledger by originating store location; tracks local recovery</t>
        </is>
      </c>
      <c r="J96" s="20" t="inlineStr">
        <is>
          <t>P1</t>
        </is>
      </c>
      <c r="K96" s="20" t="inlineStr">
        <is>
          <t>Validated (Supported)</t>
        </is>
      </c>
      <c r="L96" s="5" t="inlineStr">
        <is>
          <t>Supported via Customer Ledger filtered by branch/store origin.</t>
        </is>
      </c>
      <c r="M96" s="8" t="inlineStr">
        <is>
          <t>Baseline</t>
        </is>
      </c>
      <c r="N96" s="8" t="inlineStr">
        <is>
          <t>Operational role</t>
        </is>
      </c>
      <c r="O96" s="8" t="inlineStr">
        <is>
          <t>P1</t>
        </is>
      </c>
      <c r="P96" s="5" t="inlineStr">
        <is>
          <t>Unchanged</t>
        </is>
      </c>
      <c r="Q96" s="20" t="inlineStr">
        <is>
          <t>Author assertion</t>
        </is>
      </c>
      <c r="R96" s="5" t="inlineStr"/>
      <c r="S96" s="8" t="inlineStr">
        <is>
          <t>ARAP</t>
        </is>
      </c>
      <c r="T96" s="5" t="inlineStr">
        <is>
          <t>Receivables and payables</t>
        </is>
      </c>
      <c r="U96" s="8" t="inlineStr"/>
      <c r="V96" s="8" t="inlineStr">
        <is>
          <t>ledgers</t>
        </is>
      </c>
      <c r="W96" s="8" t="inlineStr">
        <is>
          <t>CONTROL</t>
        </is>
      </c>
      <c r="X96" s="5" t="inlineStr">
        <is>
          <t>Core</t>
        </is>
      </c>
      <c r="Y96" s="5" t="inlineStr">
        <is>
          <t>Owner</t>
        </is>
      </c>
      <c r="Z96" s="5" t="inlineStr">
        <is>
          <t>Critical</t>
        </is>
      </c>
      <c r="AA96" s="5" t="inlineStr">
        <is>
          <t>High</t>
        </is>
      </c>
      <c r="AB96" s="8" t="inlineStr">
        <is>
          <t>Medium</t>
        </is>
      </c>
      <c r="AC96" s="8" t="inlineStr">
        <is>
          <t>Pilot</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P1</t>
        </is>
      </c>
      <c r="AL96" s="8" t="n">
        <v>18</v>
      </c>
      <c r="AM96" s="5" t="inlineStr"/>
      <c r="AN96" s="5" t="inlineStr"/>
      <c r="AO96" s="5" t="inlineStr"/>
      <c r="AP96" s="5" t="inlineStr"/>
      <c r="AQ96" s="5" t="inlineStr"/>
      <c r="AR96" s="5" t="inlineStr"/>
      <c r="AS96" s="5" t="inlineStr"/>
      <c r="AT96" s="5" t="inlineStr"/>
      <c r="AU96" s="8" t="inlineStr">
        <is>
          <t>Not run</t>
        </is>
      </c>
    </row>
    <row r="97" ht="32" customHeight="1">
      <c r="A97" s="16" t="inlineStr">
        <is>
          <t>P-0096</t>
        </is>
      </c>
      <c r="B97" s="8" t="inlineStr">
        <is>
          <t>P</t>
        </is>
      </c>
      <c r="C97" s="5" t="inlineStr">
        <is>
          <t>Multi-Shop Owner</t>
        </is>
      </c>
      <c r="D97" s="5" t="inlineStr">
        <is>
          <t>Reporting &amp; Business Intelligence</t>
        </is>
      </c>
      <c r="E97" s="5" t="inlineStr">
        <is>
          <t>Consolidate business performance</t>
        </is>
      </c>
      <c r="F97" s="5" t="inlineStr">
        <is>
          <t>Managing Proprietor</t>
        </is>
      </c>
      <c r="G97" s="5" t="inlineStr">
        <is>
          <t>External CA</t>
        </is>
      </c>
      <c r="H97" s="5" t="inlineStr">
        <is>
          <t>Generate company-wide Profit &amp; Loss statement, Balance Sheet, and Trial Balance</t>
        </is>
      </c>
      <c r="I97" s="5" t="inlineStr">
        <is>
          <t>Consolidates all financial journal entries into master double-entry general ledger</t>
        </is>
      </c>
      <c r="J97" s="20" t="inlineStr">
        <is>
          <t>P1</t>
        </is>
      </c>
      <c r="K97" s="20" t="inlineStr">
        <is>
          <t>Validated (Supported)</t>
        </is>
      </c>
      <c r="L97" s="5" t="inlineStr">
        <is>
          <t>Supported via /accounting/reports/ (Trial Balance, P&amp;L, Balance Sheet) with consolidated rollup.</t>
        </is>
      </c>
      <c r="M97" s="8" t="inlineStr">
        <is>
          <t>Baseline</t>
        </is>
      </c>
      <c r="N97" s="8" t="inlineStr">
        <is>
          <t>Operational role</t>
        </is>
      </c>
      <c r="O97" s="8" t="inlineStr">
        <is>
          <t>P1</t>
        </is>
      </c>
      <c r="P97" s="5" t="inlineStr">
        <is>
          <t>Unchanged</t>
        </is>
      </c>
      <c r="Q97" s="20" t="inlineStr">
        <is>
          <t>Author assertion</t>
        </is>
      </c>
      <c r="R97" s="5" t="inlineStr"/>
      <c r="S97" s="8" t="inlineStr">
        <is>
          <t>RPT</t>
        </is>
      </c>
      <c r="T97" s="5" t="inlineStr">
        <is>
          <t>Reporting and business intelligence</t>
        </is>
      </c>
      <c r="U97" s="8" t="inlineStr"/>
      <c r="V97" s="8" t="inlineStr">
        <is>
          <t>reporting</t>
        </is>
      </c>
      <c r="W97" s="8" t="inlineStr">
        <is>
          <t>CONTROL</t>
        </is>
      </c>
      <c r="X97" s="5" t="inlineStr">
        <is>
          <t>Core</t>
        </is>
      </c>
      <c r="Y97" s="5" t="inlineStr">
        <is>
          <t>Owner</t>
        </is>
      </c>
      <c r="Z97" s="5" t="inlineStr">
        <is>
          <t>Medium</t>
        </is>
      </c>
      <c r="AA97" s="5" t="inlineStr">
        <is>
          <t>Medium</t>
        </is>
      </c>
      <c r="AB97" s="8" t="inlineStr">
        <is>
          <t>Low</t>
        </is>
      </c>
      <c r="AC97" s="8" t="inlineStr">
        <is>
          <t>Pilot</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P-0097</t>
        </is>
      </c>
      <c r="B98" s="8" t="inlineStr">
        <is>
          <t>P</t>
        </is>
      </c>
      <c r="C98" s="5" t="inlineStr">
        <is>
          <t>Multi-Shop Owner</t>
        </is>
      </c>
      <c r="D98" s="5" t="inlineStr">
        <is>
          <t>Reporting &amp; Business Intelligence</t>
        </is>
      </c>
      <c r="E98" s="5" t="inlineStr">
        <is>
          <t>Identify underperforming locations</t>
        </is>
      </c>
      <c r="F98" s="5" t="inlineStr">
        <is>
          <t>Managing Proprietor</t>
        </is>
      </c>
      <c r="G98" s="5" t="inlineStr">
        <is>
          <t>Regional Manager</t>
        </is>
      </c>
      <c r="H98" s="5" t="inlineStr">
        <is>
          <t>Identify stores failing to meet sales targets, gross margin benchmarks, or inventory turnover</t>
        </is>
      </c>
      <c r="I98" s="5" t="inlineStr">
        <is>
          <t>Highlights outlets with falling sales velocity, high discount rates, or excessive dead stock</t>
        </is>
      </c>
      <c r="J98" s="22" t="inlineStr">
        <is>
          <t>P2</t>
        </is>
      </c>
      <c r="K98" s="20" t="inlineStr">
        <is>
          <t>Validated (Supported)</t>
        </is>
      </c>
      <c r="L98" s="5" t="inlineStr">
        <is>
          <t>Supported via Store Performance Matrix in Insights module.</t>
        </is>
      </c>
      <c r="M98" s="8" t="inlineStr">
        <is>
          <t>Baseline</t>
        </is>
      </c>
      <c r="N98" s="8" t="inlineStr">
        <is>
          <t>Operational role</t>
        </is>
      </c>
      <c r="O98" s="8" t="inlineStr">
        <is>
          <t>P2</t>
        </is>
      </c>
      <c r="P98" s="5" t="inlineStr">
        <is>
          <t>Restored to authored P2. The previous workbook had P3 after a keyword rebalance.</t>
        </is>
      </c>
      <c r="Q98" s="20" t="inlineStr">
        <is>
          <t>Author assertion</t>
        </is>
      </c>
      <c r="R98" s="5" t="inlineStr">
        <is>
          <t>Restored to authored P2. The previous workbook had P3 after a keyword rebalance.</t>
        </is>
      </c>
      <c r="S98" s="8" t="inlineStr">
        <is>
          <t>RPT</t>
        </is>
      </c>
      <c r="T98" s="5" t="inlineStr">
        <is>
          <t>Reporting and business intelligence</t>
        </is>
      </c>
      <c r="U98" s="8" t="inlineStr"/>
      <c r="V98" s="8" t="inlineStr">
        <is>
          <t>reporting</t>
        </is>
      </c>
      <c r="W98" s="8" t="inlineStr">
        <is>
          <t>CONTROL</t>
        </is>
      </c>
      <c r="X98" s="5" t="inlineStr">
        <is>
          <t>Core</t>
        </is>
      </c>
      <c r="Y98" s="5" t="inlineStr">
        <is>
          <t>Owner</t>
        </is>
      </c>
      <c r="Z98" s="5" t="inlineStr">
        <is>
          <t>Medium</t>
        </is>
      </c>
      <c r="AA98" s="5" t="inlineStr">
        <is>
          <t>Medium</t>
        </is>
      </c>
      <c r="AB98" s="8" t="inlineStr">
        <is>
          <t>Low</t>
        </is>
      </c>
      <c r="AC98" s="8" t="inlineStr">
        <is>
          <t>Later</t>
        </is>
      </c>
      <c r="AD98" s="5" t="inlineStr">
        <is>
          <t>Not independently checked</t>
        </is>
      </c>
      <c r="AE98" s="5" t="inlineStr">
        <is>
          <t>Not verified</t>
        </is>
      </c>
      <c r="AF98" s="5" t="inlineStr">
        <is>
          <t>Not verified</t>
        </is>
      </c>
      <c r="AG98" s="5" t="inlineStr">
        <is>
          <t>Not verified</t>
        </is>
      </c>
      <c r="AH98" s="5" t="inlineStr">
        <is>
          <t>Not verified</t>
        </is>
      </c>
      <c r="AI98" s="8" t="inlineStr">
        <is>
          <t>No</t>
        </is>
      </c>
      <c r="AJ98" s="8" t="inlineStr">
        <is>
          <t>Claimed - unverified</t>
        </is>
      </c>
      <c r="AK98" s="8" t="inlineStr">
        <is>
          <t>P2</t>
        </is>
      </c>
      <c r="AL98" s="8" t="n">
        <v>6</v>
      </c>
      <c r="AM98" s="5" t="inlineStr"/>
      <c r="AN98" s="5" t="inlineStr"/>
      <c r="AO98" s="5" t="inlineStr"/>
      <c r="AP98" s="5" t="inlineStr"/>
      <c r="AQ98" s="5" t="inlineStr"/>
      <c r="AR98" s="5" t="inlineStr"/>
      <c r="AS98" s="5" t="inlineStr"/>
      <c r="AT98" s="5" t="inlineStr"/>
      <c r="AU98" s="8" t="inlineStr">
        <is>
          <t>Not run</t>
        </is>
      </c>
    </row>
    <row r="99" ht="32" customHeight="1">
      <c r="A99" s="16" t="inlineStr">
        <is>
          <t>P-0098</t>
        </is>
      </c>
      <c r="B99" s="8" t="inlineStr">
        <is>
          <t>P</t>
        </is>
      </c>
      <c r="C99" s="5" t="inlineStr">
        <is>
          <t>Multi-Shop Owner</t>
        </is>
      </c>
      <c r="D99" s="5" t="inlineStr">
        <is>
          <t>Master Data &amp; Authorization</t>
        </is>
      </c>
      <c r="E99" s="5" t="inlineStr">
        <is>
          <t>Manage centralized product masters</t>
        </is>
      </c>
      <c r="F99" s="5" t="inlineStr">
        <is>
          <t>Catalog Manager / Admin</t>
        </is>
      </c>
      <c r="G99" s="5" t="inlineStr">
        <is>
          <t>Store Cashiers</t>
        </is>
      </c>
      <c r="H99" s="5" t="inlineStr">
        <is>
          <t>Maintain uniform product catalog, barcodes, HSN codes, and standard pricing across all outlets</t>
        </is>
      </c>
      <c r="I99" s="5" t="inlineStr">
        <is>
          <t>Changes made to central Product master propagate instantly to all store POS terminals</t>
        </is>
      </c>
      <c r="J99" s="20" t="inlineStr">
        <is>
          <t>P1</t>
        </is>
      </c>
      <c r="K99" s="20" t="inlineStr">
        <is>
          <t>Validated (Supported)</t>
        </is>
      </c>
      <c r="L99" s="5" t="inlineStr">
        <is>
          <t>Core system invariant: Product catalog is company-scoped; synchronized across all branches.</t>
        </is>
      </c>
      <c r="M99" s="8" t="inlineStr">
        <is>
          <t>Baseline</t>
        </is>
      </c>
      <c r="N99" s="8" t="inlineStr">
        <is>
          <t>Operational role</t>
        </is>
      </c>
      <c r="O99" s="8" t="inlineStr">
        <is>
          <t>P1</t>
        </is>
      </c>
      <c r="P99" s="5" t="inlineStr">
        <is>
          <t>Unchanged</t>
        </is>
      </c>
      <c r="Q99" s="20" t="inlineStr">
        <is>
          <t>Author assertion</t>
        </is>
      </c>
      <c r="R99" s="5" t="inlineStr"/>
      <c r="S99" s="8" t="inlineStr">
        <is>
          <t>MASTER</t>
        </is>
      </c>
      <c r="T99" s="5" t="inlineStr">
        <is>
          <t>Master data and authorization</t>
        </is>
      </c>
      <c r="U99" s="8" t="inlineStr"/>
      <c r="V99" s="8" t="inlineStr">
        <is>
          <t>masters</t>
        </is>
      </c>
      <c r="W99" s="8" t="inlineStr">
        <is>
          <t>KERNEL</t>
        </is>
      </c>
      <c r="X99" s="5" t="inlineStr">
        <is>
          <t>Core</t>
        </is>
      </c>
      <c r="Y99" s="5" t="inlineStr">
        <is>
          <t>Owner</t>
        </is>
      </c>
      <c r="Z99" s="5" t="inlineStr">
        <is>
          <t>Medium</t>
        </is>
      </c>
      <c r="AA99" s="5" t="inlineStr">
        <is>
          <t>Medium</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P-0099</t>
        </is>
      </c>
      <c r="B100" s="8" t="inlineStr">
        <is>
          <t>P</t>
        </is>
      </c>
      <c r="C100" s="5" t="inlineStr">
        <is>
          <t>Multi-Shop Owner</t>
        </is>
      </c>
      <c r="D100" s="5" t="inlineStr">
        <is>
          <t>Security / Exception / Recovery</t>
        </is>
      </c>
      <c r="E100" s="5" t="inlineStr">
        <is>
          <t>Control user access by shop</t>
        </is>
      </c>
      <c r="F100" s="5" t="inlineStr">
        <is>
          <t>System Administrator</t>
        </is>
      </c>
      <c r="G100" s="5" t="inlineStr">
        <is>
          <t>Store Staff</t>
        </is>
      </c>
      <c r="H100" s="5" t="inlineStr">
        <is>
          <t>Restrict store staff to accessing only their assigned shop's billing and inventory records</t>
        </is>
      </c>
      <c r="I100" s="5" t="inlineStr">
        <is>
          <t>Enforces Row-Level Security (RLS) and warehouse assignment guards on API and UI</t>
        </is>
      </c>
      <c r="J100" s="19" t="inlineStr">
        <is>
          <t>P0</t>
        </is>
      </c>
      <c r="K100" s="20" t="inlineStr">
        <is>
          <t>Validated (Supported)</t>
        </is>
      </c>
      <c r="L100" s="5" t="inlineStr">
        <is>
          <t>Supported via CompanyUser.assigned_warehouses and tenant permission boundaries.</t>
        </is>
      </c>
      <c r="M100" s="8" t="inlineStr">
        <is>
          <t>Baseline</t>
        </is>
      </c>
      <c r="N100" s="8" t="inlineStr">
        <is>
          <t>Operational role</t>
        </is>
      </c>
      <c r="O100" s="8" t="inlineStr">
        <is>
          <t>P0</t>
        </is>
      </c>
      <c r="P100" s="5" t="inlineStr">
        <is>
          <t>Unchanged</t>
        </is>
      </c>
      <c r="Q100" s="21" t="inlineStr">
        <is>
          <t>Code symbol found</t>
        </is>
      </c>
      <c r="R100" s="5" t="inlineStr">
        <is>
          <t>Matched CompanyUser in product code. This is not a functional test.</t>
        </is>
      </c>
      <c r="S100" s="8" t="inlineStr">
        <is>
          <t>OTHER</t>
        </is>
      </c>
      <c r="T100" s="5" t="inlineStr">
        <is>
          <t>Security / Exception / Recovery</t>
        </is>
      </c>
      <c r="U100" s="8" t="inlineStr"/>
      <c r="V100" s="8" t="inlineStr"/>
      <c r="W100" s="8" t="inlineStr">
        <is>
          <t>CONTROL</t>
        </is>
      </c>
      <c r="X100" s="5" t="inlineStr">
        <is>
          <t>Core</t>
        </is>
      </c>
      <c r="Y100" s="5" t="inlineStr">
        <is>
          <t>Owner</t>
        </is>
      </c>
      <c r="Z100" s="5" t="inlineStr">
        <is>
          <t>High</t>
        </is>
      </c>
      <c r="AA100" s="5" t="inlineStr">
        <is>
          <t>Medium</t>
        </is>
      </c>
      <c r="AB100" s="8" t="inlineStr">
        <is>
          <t>Medium</t>
        </is>
      </c>
      <c r="AC100" s="8" t="inlineStr">
        <is>
          <t>MVP</t>
        </is>
      </c>
      <c r="AD100" s="5" t="inlineStr">
        <is>
          <t>Cited in code</t>
        </is>
      </c>
      <c r="AE100" s="5" t="inlineStr">
        <is>
          <t>Not verified</t>
        </is>
      </c>
      <c r="AF100" s="5" t="inlineStr">
        <is>
          <t>Not verified</t>
        </is>
      </c>
      <c r="AG100" s="5" t="inlineStr">
        <is>
          <t>Not verified</t>
        </is>
      </c>
      <c r="AH100" s="5" t="inlineStr">
        <is>
          <t>Not verified</t>
        </is>
      </c>
      <c r="AI100" s="8" t="inlineStr">
        <is>
          <t>No</t>
        </is>
      </c>
      <c r="AJ100" s="8" t="inlineStr">
        <is>
          <t>Built - unverified</t>
        </is>
      </c>
      <c r="AK100" s="8" t="inlineStr">
        <is>
          <t>P0</t>
        </is>
      </c>
      <c r="AL100" s="8" t="n">
        <v>12</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P-0100</t>
        </is>
      </c>
      <c r="B101" s="8" t="inlineStr">
        <is>
          <t>P</t>
        </is>
      </c>
      <c r="C101" s="5" t="inlineStr">
        <is>
          <t>Accountant / GST Operator</t>
        </is>
      </c>
      <c r="D101" s="5" t="inlineStr">
        <is>
          <t>GST / Tax / Compliance</t>
        </is>
      </c>
      <c r="E101" s="5" t="inlineStr">
        <is>
          <t>Review sales transactions</t>
        </is>
      </c>
      <c r="F101" s="5" t="inlineStr">
        <is>
          <t>In-house Accountant</t>
        </is>
      </c>
      <c r="G101" s="5" t="inlineStr">
        <is>
          <t>Billing Operators</t>
        </is>
      </c>
      <c r="H101" s="5" t="inlineStr">
        <is>
          <t>Audit all sales invoices for correct customer GSTIN, tax classification, and rate splits</t>
        </is>
      </c>
      <c r="I101" s="5" t="inlineStr">
        <is>
          <t>Validates tax calculation accuracy; confirms invoice number sequencing and ledger postings</t>
        </is>
      </c>
      <c r="J101" s="20" t="inlineStr">
        <is>
          <t>P1</t>
        </is>
      </c>
      <c r="K101" s="20" t="inlineStr">
        <is>
          <t>Validated (Supported)</t>
        </is>
      </c>
      <c r="L101" s="5" t="inlineStr">
        <is>
          <t>Supported via /sales/invoices/ with audit status filters and tax split breakdown.</t>
        </is>
      </c>
      <c r="M101" s="8" t="inlineStr">
        <is>
          <t>Baseline</t>
        </is>
      </c>
      <c r="N101" s="8" t="inlineStr">
        <is>
          <t>Operational role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Core</t>
        </is>
      </c>
      <c r="Y101" s="5" t="inlineStr">
        <is>
          <t>Accountant</t>
        </is>
      </c>
      <c r="Z101" s="5" t="inlineStr">
        <is>
          <t>Critical</t>
        </is>
      </c>
      <c r="AA101" s="5" t="inlineStr">
        <is>
          <t>High</t>
        </is>
      </c>
      <c r="AB101" s="8" t="inlineStr">
        <is>
          <t>High</t>
        </is>
      </c>
      <c r="AC101" s="8" t="inlineStr">
        <is>
          <t>Pilot</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27</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P-0101</t>
        </is>
      </c>
      <c r="B102" s="8" t="inlineStr">
        <is>
          <t>P</t>
        </is>
      </c>
      <c r="C102" s="5" t="inlineStr">
        <is>
          <t>Accountant / GST Operator</t>
        </is>
      </c>
      <c r="D102" s="5" t="inlineStr">
        <is>
          <t>GST / Tax / Compliance</t>
        </is>
      </c>
      <c r="E102" s="5" t="inlineStr">
        <is>
          <t>Review purchase transactions</t>
        </is>
      </c>
      <c r="F102" s="5" t="inlineStr">
        <is>
          <t>In-house Accountant</t>
        </is>
      </c>
      <c r="G102" s="5" t="inlineStr">
        <is>
          <t>Purchase Manager</t>
        </is>
      </c>
      <c r="H102" s="5" t="inlineStr">
        <is>
          <t>Verify supplier bills for accurate Input Tax Credit (ITC) eligibility and reverse charge</t>
        </is>
      </c>
      <c r="I102" s="5" t="inlineStr">
        <is>
          <t>Matches invoice amounts against purchase entries; validates supplier GSTIN active status</t>
        </is>
      </c>
      <c r="J102" s="20" t="inlineStr">
        <is>
          <t>P1</t>
        </is>
      </c>
      <c r="K102" s="20" t="inlineStr">
        <is>
          <t>Validated (Supported)</t>
        </is>
      </c>
      <c r="L102" s="5" t="inlineStr">
        <is>
          <t>Supported via /purchases/invoices/ with ITC eligibility flags.</t>
        </is>
      </c>
      <c r="M102" s="8" t="inlineStr">
        <is>
          <t>Baseline</t>
        </is>
      </c>
      <c r="N102" s="8" t="inlineStr">
        <is>
          <t>Operational role</t>
        </is>
      </c>
      <c r="O102" s="8" t="inlineStr">
        <is>
          <t>P1</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Core</t>
        </is>
      </c>
      <c r="Y102" s="5" t="inlineStr">
        <is>
          <t>Accountant</t>
        </is>
      </c>
      <c r="Z102" s="5" t="inlineStr">
        <is>
          <t>Critical</t>
        </is>
      </c>
      <c r="AA102" s="5" t="inlineStr">
        <is>
          <t>High</t>
        </is>
      </c>
      <c r="AB102" s="8" t="inlineStr">
        <is>
          <t>High</t>
        </is>
      </c>
      <c r="AC102" s="8" t="inlineStr">
        <is>
          <t>Pilot</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P1</t>
        </is>
      </c>
      <c r="AL102" s="8" t="n">
        <v>27</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P-0102</t>
        </is>
      </c>
      <c r="B103" s="8" t="inlineStr">
        <is>
          <t>P</t>
        </is>
      </c>
      <c r="C103" s="5" t="inlineStr">
        <is>
          <t>Accountant / GST Operator</t>
        </is>
      </c>
      <c r="D103" s="5" t="inlineStr">
        <is>
          <t>GST / Tax / Compliance</t>
        </is>
      </c>
      <c r="E103" s="5" t="inlineStr">
        <is>
          <t>Validate GST data</t>
        </is>
      </c>
      <c r="F103" s="5" t="inlineStr">
        <is>
          <t>In-house Accountant</t>
        </is>
      </c>
      <c r="G103" s="5" t="inlineStr">
        <is>
          <t>External CA</t>
        </is>
      </c>
      <c r="H103" s="5" t="inlineStr">
        <is>
          <t>Automated validation of all outward and inward transactions before statutory return generation</t>
        </is>
      </c>
      <c r="I103" s="5" t="inlineStr">
        <is>
          <t>Runs GST Guard rules: checks GSTIN checksum, HSN mandatory digits, state code vs Place of Supply</t>
        </is>
      </c>
      <c r="J103" s="19" t="inlineStr">
        <is>
          <t>P0</t>
        </is>
      </c>
      <c r="K103" s="20" t="inlineStr">
        <is>
          <t>Validated (Supported)</t>
        </is>
      </c>
      <c r="L103" s="5" t="inlineStr">
        <is>
          <t>Supported via GST Guard validation engine; surfaces actionable error cards on invalid records.</t>
        </is>
      </c>
      <c r="M103" s="8" t="inlineStr">
        <is>
          <t>Baseline</t>
        </is>
      </c>
      <c r="N103" s="8" t="inlineStr">
        <is>
          <t>Operational role</t>
        </is>
      </c>
      <c r="O103" s="8" t="inlineStr">
        <is>
          <t>P0</t>
        </is>
      </c>
      <c r="P103" s="5" t="inlineStr">
        <is>
          <t>Unchanged</t>
        </is>
      </c>
      <c r="Q103" s="20" t="inlineStr">
        <is>
          <t>Author assertion</t>
        </is>
      </c>
      <c r="R103" s="5" t="inlineStr"/>
      <c r="S103" s="8" t="inlineStr">
        <is>
          <t>GST</t>
        </is>
      </c>
      <c r="T103" s="5" t="inlineStr">
        <is>
          <t>GST and tax compliance</t>
        </is>
      </c>
      <c r="U103" s="8" t="inlineStr"/>
      <c r="V103" s="8" t="inlineStr">
        <is>
          <t>accounting</t>
        </is>
      </c>
      <c r="W103" s="8" t="inlineStr">
        <is>
          <t>CONTROL</t>
        </is>
      </c>
      <c r="X103" s="5" t="inlineStr">
        <is>
          <t>Core</t>
        </is>
      </c>
      <c r="Y103" s="5" t="inlineStr">
        <is>
          <t>Accountant</t>
        </is>
      </c>
      <c r="Z103" s="5" t="inlineStr">
        <is>
          <t>Critical</t>
        </is>
      </c>
      <c r="AA103" s="5" t="inlineStr">
        <is>
          <t>High</t>
        </is>
      </c>
      <c r="AB103" s="8" t="inlineStr">
        <is>
          <t>High</t>
        </is>
      </c>
      <c r="AC103" s="8" t="inlineStr">
        <is>
          <t>MVP</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P0</t>
        </is>
      </c>
      <c r="AL103" s="8" t="n">
        <v>27</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P-0103</t>
        </is>
      </c>
      <c r="B104" s="8" t="inlineStr">
        <is>
          <t>P</t>
        </is>
      </c>
      <c r="C104" s="5" t="inlineStr">
        <is>
          <t>Accountant / GST Operator</t>
        </is>
      </c>
      <c r="D104" s="5" t="inlineStr">
        <is>
          <t>GST / Tax / Compliance</t>
        </is>
      </c>
      <c r="E104" s="5" t="inlineStr">
        <is>
          <t>Identify missing GST information</t>
        </is>
      </c>
      <c r="F104" s="5" t="inlineStr">
        <is>
          <t>In-house Accountant</t>
        </is>
      </c>
      <c r="G104" s="5" t="inlineStr">
        <is>
          <t>Billing Clerk</t>
        </is>
      </c>
      <c r="H104" s="5" t="inlineStr">
        <is>
          <t>Detect customer or supplier records with missing GSTIN, state code, or blank HSN</t>
        </is>
      </c>
      <c r="I104" s="5" t="inlineStr">
        <is>
          <t>Filters transactions with missing statutory fields; flags documents blocking clean tax filing</t>
        </is>
      </c>
      <c r="J104" s="20" t="inlineStr">
        <is>
          <t>P1</t>
        </is>
      </c>
      <c r="K104" s="20" t="inlineStr">
        <is>
          <t>Validated (Supported)</t>
        </is>
      </c>
      <c r="L104" s="5" t="inlineStr">
        <is>
          <t>Supported via /gst/missing-data/ exception queue with inline resolution.</t>
        </is>
      </c>
      <c r="M104" s="8" t="inlineStr">
        <is>
          <t>Baseline</t>
        </is>
      </c>
      <c r="N104" s="8" t="inlineStr">
        <is>
          <t>Operational role</t>
        </is>
      </c>
      <c r="O104" s="8" t="inlineStr">
        <is>
          <t>P1</t>
        </is>
      </c>
      <c r="P104" s="5" t="inlineStr">
        <is>
          <t>Unchanged</t>
        </is>
      </c>
      <c r="Q104" s="20" t="inlineStr">
        <is>
          <t>Author assertion</t>
        </is>
      </c>
      <c r="R104" s="5" t="inlineStr"/>
      <c r="S104" s="8" t="inlineStr">
        <is>
          <t>GST</t>
        </is>
      </c>
      <c r="T104" s="5" t="inlineStr">
        <is>
          <t>GST and tax compliance</t>
        </is>
      </c>
      <c r="U104" s="8" t="inlineStr"/>
      <c r="V104" s="8" t="inlineStr">
        <is>
          <t>accounting</t>
        </is>
      </c>
      <c r="W104" s="8" t="inlineStr">
        <is>
          <t>CONTROL</t>
        </is>
      </c>
      <c r="X104" s="5" t="inlineStr">
        <is>
          <t>Core</t>
        </is>
      </c>
      <c r="Y104" s="5" t="inlineStr">
        <is>
          <t>Accountant</t>
        </is>
      </c>
      <c r="Z104" s="5" t="inlineStr">
        <is>
          <t>Critical</t>
        </is>
      </c>
      <c r="AA104" s="5" t="inlineStr">
        <is>
          <t>High</t>
        </is>
      </c>
      <c r="AB104" s="8" t="inlineStr">
        <is>
          <t>High</t>
        </is>
      </c>
      <c r="AC104" s="8" t="inlineStr">
        <is>
          <t>Pilot</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27</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P-0104</t>
        </is>
      </c>
      <c r="B105" s="8" t="inlineStr">
        <is>
          <t>P</t>
        </is>
      </c>
      <c r="C105" s="5" t="inlineStr">
        <is>
          <t>Accountant / GST Operator</t>
        </is>
      </c>
      <c r="D105" s="5" t="inlineStr">
        <is>
          <t>GST / Tax / Compliance</t>
        </is>
      </c>
      <c r="E105" s="5" t="inlineStr">
        <is>
          <t>Reconcile purchase records with GST data</t>
        </is>
      </c>
      <c r="F105" s="5" t="inlineStr">
        <is>
          <t>In-house Accountant</t>
        </is>
      </c>
      <c r="G105" s="5" t="inlineStr">
        <is>
          <t>Supplier / Tax Consultant</t>
        </is>
      </c>
      <c r="H105" s="5" t="inlineStr">
        <is>
          <t>Reconcile inward purchase invoices recorded in books against government GSTR-2B portal data</t>
        </is>
      </c>
      <c r="I105" s="5" t="inlineStr">
        <is>
          <t>Matches supplier GSTIN, invoice number, date, taxable value, and tax amounts; categorizes matches</t>
        </is>
      </c>
      <c r="J105" s="19" t="inlineStr">
        <is>
          <t>P0</t>
        </is>
      </c>
      <c r="K105" s="20" t="inlineStr">
        <is>
          <t>Validated (Supported)</t>
        </is>
      </c>
      <c r="L105" s="5" t="inlineStr">
        <is>
          <t>Supported via GSTR-2B automated reconciliation engine (/gst/gstr2b-recon/).</t>
        </is>
      </c>
      <c r="M105" s="8" t="inlineStr">
        <is>
          <t>Baseline</t>
        </is>
      </c>
      <c r="N105" s="8" t="inlineStr">
        <is>
          <t>Operational role</t>
        </is>
      </c>
      <c r="O105" s="8" t="inlineStr">
        <is>
          <t>P0</t>
        </is>
      </c>
      <c r="P105" s="5" t="inlineStr">
        <is>
          <t>Unchanged</t>
        </is>
      </c>
      <c r="Q105" s="20" t="inlineStr">
        <is>
          <t>Author assertion</t>
        </is>
      </c>
      <c r="R105" s="5" t="inlineStr"/>
      <c r="S105" s="8" t="inlineStr">
        <is>
          <t>GST</t>
        </is>
      </c>
      <c r="T105" s="5" t="inlineStr">
        <is>
          <t>GST and tax compliance</t>
        </is>
      </c>
      <c r="U105" s="8" t="inlineStr"/>
      <c r="V105" s="8" t="inlineStr">
        <is>
          <t>accounting</t>
        </is>
      </c>
      <c r="W105" s="8" t="inlineStr">
        <is>
          <t>CONTROL</t>
        </is>
      </c>
      <c r="X105" s="5" t="inlineStr">
        <is>
          <t>Core</t>
        </is>
      </c>
      <c r="Y105" s="5" t="inlineStr">
        <is>
          <t>Accountant</t>
        </is>
      </c>
      <c r="Z105" s="5" t="inlineStr">
        <is>
          <t>Critical</t>
        </is>
      </c>
      <c r="AA105" s="5" t="inlineStr">
        <is>
          <t>High</t>
        </is>
      </c>
      <c r="AB105" s="8" t="inlineStr">
        <is>
          <t>High</t>
        </is>
      </c>
      <c r="AC105" s="8" t="inlineStr">
        <is>
          <t>MVP</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P0</t>
        </is>
      </c>
      <c r="AL105" s="8" t="n">
        <v>27</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P-0105</t>
        </is>
      </c>
      <c r="B106" s="8" t="inlineStr">
        <is>
          <t>P</t>
        </is>
      </c>
      <c r="C106" s="5" t="inlineStr">
        <is>
          <t>Accountant / GST Operator</t>
        </is>
      </c>
      <c r="D106" s="5" t="inlineStr">
        <is>
          <t>GST / Tax / Compliance</t>
        </is>
      </c>
      <c r="E106" s="5" t="inlineStr">
        <is>
          <t>Review GSTR-2B/IMS information</t>
        </is>
      </c>
      <c r="F106" s="5" t="inlineStr">
        <is>
          <t>In-house Accountant</t>
        </is>
      </c>
      <c r="G106" s="5" t="inlineStr">
        <is>
          <t>External CA</t>
        </is>
      </c>
      <c r="H106" s="5" t="inlineStr">
        <is>
          <t>Import and analyze official GSTR-2B JSON and Invoice Management System (IMS) feeds</t>
        </is>
      </c>
      <c r="I106" s="5" t="inlineStr">
        <is>
          <t>Parses official GSTR-2B JSON format; displays matched, mismatched, and supplier-missing invoices</t>
        </is>
      </c>
      <c r="J106" s="20" t="inlineStr">
        <is>
          <t>P1</t>
        </is>
      </c>
      <c r="K106" s="20" t="inlineStr">
        <is>
          <t>Validated (Supported)</t>
        </is>
      </c>
      <c r="L106" s="5" t="inlineStr">
        <is>
          <t>Supported via GSTR-2B JSON import parser and IMS reconciliation view.</t>
        </is>
      </c>
      <c r="M106" s="8" t="inlineStr">
        <is>
          <t>Baseline</t>
        </is>
      </c>
      <c r="N106" s="8" t="inlineStr">
        <is>
          <t>Operational role</t>
        </is>
      </c>
      <c r="O106" s="8" t="inlineStr">
        <is>
          <t>P1</t>
        </is>
      </c>
      <c r="P106" s="5" t="inlineStr">
        <is>
          <t>Unchanged</t>
        </is>
      </c>
      <c r="Q106" s="20" t="inlineStr">
        <is>
          <t>Author assertion</t>
        </is>
      </c>
      <c r="R106" s="5" t="inlineStr"/>
      <c r="S106" s="8" t="inlineStr">
        <is>
          <t>GST</t>
        </is>
      </c>
      <c r="T106" s="5" t="inlineStr">
        <is>
          <t>GST and tax compliance</t>
        </is>
      </c>
      <c r="U106" s="8" t="inlineStr"/>
      <c r="V106" s="8" t="inlineStr">
        <is>
          <t>accounting</t>
        </is>
      </c>
      <c r="W106" s="8" t="inlineStr">
        <is>
          <t>CONTROL</t>
        </is>
      </c>
      <c r="X106" s="5" t="inlineStr">
        <is>
          <t>Core</t>
        </is>
      </c>
      <c r="Y106" s="5" t="inlineStr">
        <is>
          <t>Accountant</t>
        </is>
      </c>
      <c r="Z106" s="5" t="inlineStr">
        <is>
          <t>Critical</t>
        </is>
      </c>
      <c r="AA106" s="5" t="inlineStr">
        <is>
          <t>High</t>
        </is>
      </c>
      <c r="AB106" s="8" t="inlineStr">
        <is>
          <t>High</t>
        </is>
      </c>
      <c r="AC106" s="8" t="inlineStr">
        <is>
          <t>Pilot</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27</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P-0106</t>
        </is>
      </c>
      <c r="B107" s="8" t="inlineStr">
        <is>
          <t>P</t>
        </is>
      </c>
      <c r="C107" s="5" t="inlineStr">
        <is>
          <t>Accountant / GST Operator</t>
        </is>
      </c>
      <c r="D107" s="5" t="inlineStr">
        <is>
          <t>GST / Tax / Compliance</t>
        </is>
      </c>
      <c r="E107" s="5" t="inlineStr">
        <is>
          <t>Accept/reject/pending invoice actions</t>
        </is>
      </c>
      <c r="F107" s="5" t="inlineStr">
        <is>
          <t>In-house Accountant</t>
        </is>
      </c>
      <c r="G107" s="5" t="inlineStr">
        <is>
          <t>Supplier</t>
        </is>
      </c>
      <c r="H107" s="5" t="inlineStr">
        <is>
          <t>Mark recipient actions (Accept, Reject, Keep Pending) on supplier invoices per IMS guidelines</t>
        </is>
      </c>
      <c r="I107" s="5" t="inlineStr">
        <is>
          <t>Records recipient decision; exports structured action JSON for upload to GST IMS portal</t>
        </is>
      </c>
      <c r="J107" s="20" t="inlineStr">
        <is>
          <t>P1</t>
        </is>
      </c>
      <c r="K107" s="20" t="inlineStr">
        <is>
          <t>Validated (Supported)</t>
        </is>
      </c>
      <c r="L107" s="5" t="inlineStr">
        <is>
          <t>Supported via IMS Action Dashboard with bulk Accept/Reject/Pending decision tagging.</t>
        </is>
      </c>
      <c r="M107" s="8" t="inlineStr">
        <is>
          <t>Baseline</t>
        </is>
      </c>
      <c r="N107" s="8" t="inlineStr">
        <is>
          <t>Operational role</t>
        </is>
      </c>
      <c r="O107" s="8" t="inlineStr">
        <is>
          <t>P1</t>
        </is>
      </c>
      <c r="P107" s="5" t="inlineStr">
        <is>
          <t>Unchanged</t>
        </is>
      </c>
      <c r="Q107" s="20" t="inlineStr">
        <is>
          <t>Author assertion</t>
        </is>
      </c>
      <c r="R107" s="5" t="inlineStr"/>
      <c r="S107" s="8" t="inlineStr">
        <is>
          <t>GST</t>
        </is>
      </c>
      <c r="T107" s="5" t="inlineStr">
        <is>
          <t>GST and tax compliance</t>
        </is>
      </c>
      <c r="U107" s="8" t="inlineStr"/>
      <c r="V107" s="8" t="inlineStr">
        <is>
          <t>accounting</t>
        </is>
      </c>
      <c r="W107" s="8" t="inlineStr">
        <is>
          <t>CONTROL</t>
        </is>
      </c>
      <c r="X107" s="5" t="inlineStr">
        <is>
          <t>Core</t>
        </is>
      </c>
      <c r="Y107" s="5" t="inlineStr">
        <is>
          <t>Accountant</t>
        </is>
      </c>
      <c r="Z107" s="5" t="inlineStr">
        <is>
          <t>Critical</t>
        </is>
      </c>
      <c r="AA107" s="5" t="inlineStr">
        <is>
          <t>High</t>
        </is>
      </c>
      <c r="AB107" s="8" t="inlineStr">
        <is>
          <t>High</t>
        </is>
      </c>
      <c r="AC107" s="8" t="inlineStr">
        <is>
          <t>Pilot</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P1</t>
        </is>
      </c>
      <c r="AL107" s="8" t="n">
        <v>27</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P-0107</t>
        </is>
      </c>
      <c r="B108" s="8" t="inlineStr">
        <is>
          <t>P</t>
        </is>
      </c>
      <c r="C108" s="5" t="inlineStr">
        <is>
          <t>Accountant / GST Operator</t>
        </is>
      </c>
      <c r="D108" s="5" t="inlineStr">
        <is>
          <t>GST / Tax / Compliance</t>
        </is>
      </c>
      <c r="E108" s="5" t="inlineStr">
        <is>
          <t>Identify ITC at risk</t>
        </is>
      </c>
      <c r="F108" s="5" t="inlineStr">
        <is>
          <t>In-house Accountant</t>
        </is>
      </c>
      <c r="G108" s="5" t="inlineStr">
        <is>
          <t>Managing Proprietor</t>
        </is>
      </c>
      <c r="H108" s="5" t="inlineStr">
        <is>
          <t>Flag inward invoices where supplier has not uploaded to GSTR-1, putting input tax credit at risk</t>
        </is>
      </c>
      <c r="I108" s="5" t="inlineStr">
        <is>
          <t>Quantifies blocked/risky ITC; generates automated supplier payment hold alert</t>
        </is>
      </c>
      <c r="J108" s="19" t="inlineStr">
        <is>
          <t>P0</t>
        </is>
      </c>
      <c r="K108" s="20" t="inlineStr">
        <is>
          <t>Validated (Supported)</t>
        </is>
      </c>
      <c r="L108" s="5" t="inlineStr">
        <is>
          <t>Supported via ITC at Risk dashboard with direct supplier notification generator.</t>
        </is>
      </c>
      <c r="M108" s="8" t="inlineStr">
        <is>
          <t>Baseline</t>
        </is>
      </c>
      <c r="N108" s="8" t="inlineStr">
        <is>
          <t>Operational role</t>
        </is>
      </c>
      <c r="O108" s="8" t="inlineStr">
        <is>
          <t>P0</t>
        </is>
      </c>
      <c r="P108" s="5" t="inlineStr">
        <is>
          <t>Unchanged</t>
        </is>
      </c>
      <c r="Q108" s="20" t="inlineStr">
        <is>
          <t>Author assertion</t>
        </is>
      </c>
      <c r="R108" s="5" t="inlineStr"/>
      <c r="S108" s="8" t="inlineStr">
        <is>
          <t>GST</t>
        </is>
      </c>
      <c r="T108" s="5" t="inlineStr">
        <is>
          <t>GST and tax compliance</t>
        </is>
      </c>
      <c r="U108" s="8" t="inlineStr"/>
      <c r="V108" s="8" t="inlineStr">
        <is>
          <t>accounting</t>
        </is>
      </c>
      <c r="W108" s="8" t="inlineStr">
        <is>
          <t>CONTROL</t>
        </is>
      </c>
      <c r="X108" s="5" t="inlineStr">
        <is>
          <t>Core</t>
        </is>
      </c>
      <c r="Y108" s="5" t="inlineStr">
        <is>
          <t>Accountant</t>
        </is>
      </c>
      <c r="Z108" s="5" t="inlineStr">
        <is>
          <t>Critical</t>
        </is>
      </c>
      <c r="AA108" s="5" t="inlineStr">
        <is>
          <t>High</t>
        </is>
      </c>
      <c r="AB108" s="8" t="inlineStr">
        <is>
          <t>High</t>
        </is>
      </c>
      <c r="AC108" s="8" t="inlineStr">
        <is>
          <t>MVP</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P0</t>
        </is>
      </c>
      <c r="AL108" s="8" t="n">
        <v>27</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P-0108</t>
        </is>
      </c>
      <c r="B109" s="8" t="inlineStr">
        <is>
          <t>P</t>
        </is>
      </c>
      <c r="C109" s="5" t="inlineStr">
        <is>
          <t>Accountant / GST Operator</t>
        </is>
      </c>
      <c r="D109" s="5" t="inlineStr">
        <is>
          <t>GST / Tax / Compliance</t>
        </is>
      </c>
      <c r="E109" s="5" t="inlineStr">
        <is>
          <t>Track Section 16(4) deadlines</t>
        </is>
      </c>
      <c r="F109" s="5" t="inlineStr">
        <is>
          <t>In-house Accountant</t>
        </is>
      </c>
      <c r="G109" s="5" t="inlineStr">
        <is>
          <t>External CA</t>
        </is>
      </c>
      <c r="H109" s="5" t="inlineStr">
        <is>
          <t>Track statutory deadlines (30th November following financial year) for claiming unclaimed ITC</t>
        </is>
      </c>
      <c r="I109" s="5" t="inlineStr">
        <is>
          <t>Alerts accountant to aging purchase invoices approaching Section 16(4) time-bar limit</t>
        </is>
      </c>
      <c r="J109" s="19" t="inlineStr">
        <is>
          <t>P0</t>
        </is>
      </c>
      <c r="K109" s="20" t="inlineStr">
        <is>
          <t>Validated (Supported)</t>
        </is>
      </c>
      <c r="L109" s="5" t="inlineStr">
        <is>
          <t>Supported via Section 16(4) Expiry Warning widget in GST Health report.</t>
        </is>
      </c>
      <c r="M109" s="8" t="inlineStr">
        <is>
          <t>Baseline</t>
        </is>
      </c>
      <c r="N109" s="8" t="inlineStr">
        <is>
          <t>Operational role</t>
        </is>
      </c>
      <c r="O109" s="8" t="inlineStr">
        <is>
          <t>P0</t>
        </is>
      </c>
      <c r="P109" s="5" t="inlineStr">
        <is>
          <t>Unchanged</t>
        </is>
      </c>
      <c r="Q109" s="20" t="inlineStr">
        <is>
          <t>Author assertion</t>
        </is>
      </c>
      <c r="R109" s="5" t="inlineStr"/>
      <c r="S109" s="8" t="inlineStr">
        <is>
          <t>GST</t>
        </is>
      </c>
      <c r="T109" s="5" t="inlineStr">
        <is>
          <t>GST and tax compliance</t>
        </is>
      </c>
      <c r="U109" s="8" t="inlineStr"/>
      <c r="V109" s="8" t="inlineStr">
        <is>
          <t>accounting</t>
        </is>
      </c>
      <c r="W109" s="8" t="inlineStr">
        <is>
          <t>CONTROL</t>
        </is>
      </c>
      <c r="X109" s="5" t="inlineStr">
        <is>
          <t>Core</t>
        </is>
      </c>
      <c r="Y109" s="5" t="inlineStr">
        <is>
          <t>Accountant</t>
        </is>
      </c>
      <c r="Z109" s="5" t="inlineStr">
        <is>
          <t>Critical</t>
        </is>
      </c>
      <c r="AA109" s="5" t="inlineStr">
        <is>
          <t>High</t>
        </is>
      </c>
      <c r="AB109" s="8" t="inlineStr">
        <is>
          <t>High</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27</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P-0109</t>
        </is>
      </c>
      <c r="B110" s="8" t="inlineStr">
        <is>
          <t>P</t>
        </is>
      </c>
      <c r="C110" s="5" t="inlineStr">
        <is>
          <t>Accountant / GST Operator</t>
        </is>
      </c>
      <c r="D110" s="5" t="inlineStr">
        <is>
          <t>GST / Tax / Compliance</t>
        </is>
      </c>
      <c r="E110" s="5" t="inlineStr">
        <is>
          <t>Identify supplier invoice defects</t>
        </is>
      </c>
      <c r="F110" s="5" t="inlineStr">
        <is>
          <t>In-house Accountant</t>
        </is>
      </c>
      <c r="G110" s="5" t="inlineStr">
        <is>
          <t>Purchase Manager</t>
        </is>
      </c>
      <c r="H110" s="5" t="inlineStr">
        <is>
          <t>Score and rank suppliers based on frequency of tax mismatches, delayed filing, and incorrect GSTINs</t>
        </is>
      </c>
      <c r="I110" s="5" t="inlineStr">
        <is>
          <t>Maintains supplier compliance score; alerts purchase team before issuing repeat orders</t>
        </is>
      </c>
      <c r="J110" s="20" t="inlineStr">
        <is>
          <t>P1</t>
        </is>
      </c>
      <c r="K110" s="20" t="inlineStr">
        <is>
          <t>Validated (Supported)</t>
        </is>
      </c>
      <c r="L110" s="5" t="inlineStr">
        <is>
          <t>Supported via Supplier Compliance &amp; Defect Matrix (/purchases/supplier-scores/).</t>
        </is>
      </c>
      <c r="M110" s="8" t="inlineStr">
        <is>
          <t>Baseline</t>
        </is>
      </c>
      <c r="N110" s="8" t="inlineStr">
        <is>
          <t>Operational role</t>
        </is>
      </c>
      <c r="O110" s="8" t="inlineStr">
        <is>
          <t>P1</t>
        </is>
      </c>
      <c r="P110" s="5" t="inlineStr">
        <is>
          <t>Unchanged</t>
        </is>
      </c>
      <c r="Q110" s="20" t="inlineStr">
        <is>
          <t>Author assertion</t>
        </is>
      </c>
      <c r="R110" s="5" t="inlineStr"/>
      <c r="S110" s="8" t="inlineStr">
        <is>
          <t>GST</t>
        </is>
      </c>
      <c r="T110" s="5" t="inlineStr">
        <is>
          <t>GST and tax compliance</t>
        </is>
      </c>
      <c r="U110" s="8" t="inlineStr"/>
      <c r="V110" s="8" t="inlineStr">
        <is>
          <t>accounting</t>
        </is>
      </c>
      <c r="W110" s="8" t="inlineStr">
        <is>
          <t>CONTROL</t>
        </is>
      </c>
      <c r="X110" s="5" t="inlineStr">
        <is>
          <t>Core</t>
        </is>
      </c>
      <c r="Y110" s="5" t="inlineStr">
        <is>
          <t>Accountant</t>
        </is>
      </c>
      <c r="Z110" s="5" t="inlineStr">
        <is>
          <t>Critical</t>
        </is>
      </c>
      <c r="AA110" s="5" t="inlineStr">
        <is>
          <t>High</t>
        </is>
      </c>
      <c r="AB110" s="8" t="inlineStr">
        <is>
          <t>High</t>
        </is>
      </c>
      <c r="AC110" s="8" t="inlineStr">
        <is>
          <t>Pilot</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P1</t>
        </is>
      </c>
      <c r="AL110" s="8" t="n">
        <v>27</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P-0110</t>
        </is>
      </c>
      <c r="B111" s="8" t="inlineStr">
        <is>
          <t>P</t>
        </is>
      </c>
      <c r="C111" s="5" t="inlineStr">
        <is>
          <t>Accountant / GST Operator</t>
        </is>
      </c>
      <c r="D111" s="5" t="inlineStr">
        <is>
          <t>GST / Tax / Compliance</t>
        </is>
      </c>
      <c r="E111" s="5" t="inlineStr">
        <is>
          <t>Prepare GST returns</t>
        </is>
      </c>
      <c r="F111" s="5" t="inlineStr">
        <is>
          <t>In-house Accountant</t>
        </is>
      </c>
      <c r="G111" s="5" t="inlineStr">
        <is>
          <t>External CA</t>
        </is>
      </c>
      <c r="H111" s="5" t="inlineStr">
        <is>
          <t>Generate offline computation worksheets for GSTR-1 (Outward), GSTR-3B (Summary), and CMP-08</t>
        </is>
      </c>
      <c r="I111" s="5" t="inlineStr">
        <is>
          <t>Compiles summary tables (B2B, B2CL, B2CS, CDNR, HSN summary); generates compliant offline JSON</t>
        </is>
      </c>
      <c r="J111" s="19" t="inlineStr">
        <is>
          <t>P0</t>
        </is>
      </c>
      <c r="K111" s="20" t="inlineStr">
        <is>
          <t>Validated (Supported)</t>
        </is>
      </c>
      <c r="L111" s="5" t="inlineStr">
        <is>
          <t>Supported via /gst/gstr1/ and /gst/gstr3b/ with government offline utility JSON export.</t>
        </is>
      </c>
      <c r="M111" s="8" t="inlineStr">
        <is>
          <t>Baseline</t>
        </is>
      </c>
      <c r="N111" s="8" t="inlineStr">
        <is>
          <t>Operational role</t>
        </is>
      </c>
      <c r="O111" s="8" t="inlineStr">
        <is>
          <t>P0</t>
        </is>
      </c>
      <c r="P111" s="5" t="inlineStr">
        <is>
          <t>Unchanged</t>
        </is>
      </c>
      <c r="Q111" s="20" t="inlineStr">
        <is>
          <t>Author assertion</t>
        </is>
      </c>
      <c r="R111" s="5" t="inlineStr"/>
      <c r="S111" s="8" t="inlineStr">
        <is>
          <t>GST</t>
        </is>
      </c>
      <c r="T111" s="5" t="inlineStr">
        <is>
          <t>GST and tax compliance</t>
        </is>
      </c>
      <c r="U111" s="8" t="inlineStr"/>
      <c r="V111" s="8" t="inlineStr">
        <is>
          <t>accounting</t>
        </is>
      </c>
      <c r="W111" s="8" t="inlineStr">
        <is>
          <t>CONTROL</t>
        </is>
      </c>
      <c r="X111" s="5" t="inlineStr">
        <is>
          <t>Core</t>
        </is>
      </c>
      <c r="Y111" s="5" t="inlineStr">
        <is>
          <t>Accountant</t>
        </is>
      </c>
      <c r="Z111" s="5" t="inlineStr">
        <is>
          <t>Critical</t>
        </is>
      </c>
      <c r="AA111" s="5" t="inlineStr">
        <is>
          <t>High</t>
        </is>
      </c>
      <c r="AB111" s="8" t="inlineStr">
        <is>
          <t>High</t>
        </is>
      </c>
      <c r="AC111" s="8" t="inlineStr">
        <is>
          <t>MVP</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P0</t>
        </is>
      </c>
      <c r="AL111" s="8" t="n">
        <v>27</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P-0111</t>
        </is>
      </c>
      <c r="B112" s="8" t="inlineStr">
        <is>
          <t>P</t>
        </is>
      </c>
      <c r="C112" s="5" t="inlineStr">
        <is>
          <t>Accountant / GST Operator</t>
        </is>
      </c>
      <c r="D112" s="5" t="inlineStr">
        <is>
          <t>Import / Export / Period Close</t>
        </is>
      </c>
      <c r="E112" s="5" t="inlineStr">
        <is>
          <t>Export accounting data</t>
        </is>
      </c>
      <c r="F112" s="5" t="inlineStr">
        <is>
          <t>In-house Accountant</t>
        </is>
      </c>
      <c r="G112" s="5" t="inlineStr">
        <is>
          <t>External CA (Tally Operator)</t>
        </is>
      </c>
      <c r="H112" s="5" t="inlineStr">
        <is>
          <t>Export complete financial books and vouchers into standard Tally XML or Excel format</t>
        </is>
      </c>
      <c r="I112" s="5" t="inlineStr">
        <is>
          <t>Exports chart of accounts, sales vouchers, purchase vouchers, and journal entries in Tally-compatible XML</t>
        </is>
      </c>
      <c r="J112" s="20" t="inlineStr">
        <is>
          <t>P1</t>
        </is>
      </c>
      <c r="K112" s="20" t="inlineStr">
        <is>
          <t>Validated (Supported)</t>
        </is>
      </c>
      <c r="L112" s="5" t="inlineStr">
        <is>
          <t>Supported via /accounting/export/tally-xml/ and standard CSV/Excel book exports.</t>
        </is>
      </c>
      <c r="M112" s="8" t="inlineStr">
        <is>
          <t>Baseline</t>
        </is>
      </c>
      <c r="N112" s="8" t="inlineStr">
        <is>
          <t>Operational role</t>
        </is>
      </c>
      <c r="O112" s="8" t="inlineStr">
        <is>
          <t>P1</t>
        </is>
      </c>
      <c r="P112" s="5" t="inlineStr">
        <is>
          <t>Unchanged</t>
        </is>
      </c>
      <c r="Q112" s="20" t="inlineStr">
        <is>
          <t>Author assertion</t>
        </is>
      </c>
      <c r="R112" s="5" t="inlineStr"/>
      <c r="S112" s="8" t="inlineStr">
        <is>
          <t>CLOSE</t>
        </is>
      </c>
      <c r="T112" s="5" t="inlineStr">
        <is>
          <t>Import, export, and period close</t>
        </is>
      </c>
      <c r="U112" s="8" t="inlineStr"/>
      <c r="V112" s="8" t="inlineStr">
        <is>
          <t>accounting</t>
        </is>
      </c>
      <c r="W112" s="8" t="inlineStr">
        <is>
          <t>CONTROL</t>
        </is>
      </c>
      <c r="X112" s="5" t="inlineStr">
        <is>
          <t>Core</t>
        </is>
      </c>
      <c r="Y112" s="5" t="inlineStr">
        <is>
          <t>Accountant</t>
        </is>
      </c>
      <c r="Z112" s="5" t="inlineStr">
        <is>
          <t>Medium</t>
        </is>
      </c>
      <c r="AA112" s="5" t="inlineStr">
        <is>
          <t>Medium</t>
        </is>
      </c>
      <c r="AB112" s="8" t="inlineStr">
        <is>
          <t>Low</t>
        </is>
      </c>
      <c r="AC112" s="8" t="inlineStr">
        <is>
          <t>Pilot</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6</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P-0112</t>
        </is>
      </c>
      <c r="B113" s="8" t="inlineStr">
        <is>
          <t>P</t>
        </is>
      </c>
      <c r="C113" s="5" t="inlineStr">
        <is>
          <t>Accountant / GST Operator</t>
        </is>
      </c>
      <c r="D113" s="5" t="inlineStr">
        <is>
          <t>GST / Tax / Compliance</t>
        </is>
      </c>
      <c r="E113" s="5" t="inlineStr">
        <is>
          <t>Reconcile books with GST records</t>
        </is>
      </c>
      <c r="F113" s="5" t="inlineStr">
        <is>
          <t>In-house Accountant</t>
        </is>
      </c>
      <c r="G113" s="5" t="inlineStr">
        <is>
          <t>External CA</t>
        </is>
      </c>
      <c r="H113" s="5" t="inlineStr">
        <is>
          <t>Cross-reconcile output tax ledgers with GSTR-1 and input tax ledgers with GSTR-3B/2B</t>
        </is>
      </c>
      <c r="I113" s="5" t="inlineStr">
        <is>
          <t>Generates tax liability reconciliation statement; identifies accounting ledger adjustments</t>
        </is>
      </c>
      <c r="J113" s="20" t="inlineStr">
        <is>
          <t>P1</t>
        </is>
      </c>
      <c r="K113" s="20" t="inlineStr">
        <is>
          <t>Validated (Supported)</t>
        </is>
      </c>
      <c r="L113" s="5" t="inlineStr">
        <is>
          <t>Supported via Book-to-GST Reconciliation worksheet.</t>
        </is>
      </c>
      <c r="M113" s="8" t="inlineStr">
        <is>
          <t>Baseline</t>
        </is>
      </c>
      <c r="N113" s="8" t="inlineStr">
        <is>
          <t>Operational role</t>
        </is>
      </c>
      <c r="O113" s="8" t="inlineStr">
        <is>
          <t>P1</t>
        </is>
      </c>
      <c r="P113" s="5" t="inlineStr">
        <is>
          <t>Unchanged</t>
        </is>
      </c>
      <c r="Q113" s="20" t="inlineStr">
        <is>
          <t>Author assertion</t>
        </is>
      </c>
      <c r="R113" s="5" t="inlineStr"/>
      <c r="S113" s="8" t="inlineStr">
        <is>
          <t>GST</t>
        </is>
      </c>
      <c r="T113" s="5" t="inlineStr">
        <is>
          <t>GST and tax compliance</t>
        </is>
      </c>
      <c r="U113" s="8" t="inlineStr"/>
      <c r="V113" s="8" t="inlineStr">
        <is>
          <t>accounting</t>
        </is>
      </c>
      <c r="W113" s="8" t="inlineStr">
        <is>
          <t>CONTROL</t>
        </is>
      </c>
      <c r="X113" s="5" t="inlineStr">
        <is>
          <t>Core</t>
        </is>
      </c>
      <c r="Y113" s="5" t="inlineStr">
        <is>
          <t>Accountant</t>
        </is>
      </c>
      <c r="Z113" s="5" t="inlineStr">
        <is>
          <t>Critical</t>
        </is>
      </c>
      <c r="AA113" s="5" t="inlineStr">
        <is>
          <t>High</t>
        </is>
      </c>
      <c r="AB113" s="8" t="inlineStr">
        <is>
          <t>High</t>
        </is>
      </c>
      <c r="AC113" s="8" t="inlineStr">
        <is>
          <t>Pilot</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27</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P-0113</t>
        </is>
      </c>
      <c r="B114" s="8" t="inlineStr">
        <is>
          <t>P</t>
        </is>
      </c>
      <c r="C114" s="5" t="inlineStr">
        <is>
          <t>Accountant / GST Operator</t>
        </is>
      </c>
      <c r="D114" s="5" t="inlineStr">
        <is>
          <t>Security / Exception / Recovery</t>
        </is>
      </c>
      <c r="E114" s="5" t="inlineStr">
        <is>
          <t>Identify duplicate transactions</t>
        </is>
      </c>
      <c r="F114" s="5" t="inlineStr">
        <is>
          <t>In-house Accountant</t>
        </is>
      </c>
      <c r="G114" s="5" t="inlineStr">
        <is>
          <t>Billing Clerk</t>
        </is>
      </c>
      <c r="H114" s="5" t="inlineStr">
        <is>
          <t>Detect duplicate sales or purchase entries with identical invoice number, date, or amount</t>
        </is>
      </c>
      <c r="I114" s="5" t="inlineStr">
        <is>
          <t>Scans transaction tables for duplicate signatures; alerts accountant before period close</t>
        </is>
      </c>
      <c r="J114" s="20" t="inlineStr">
        <is>
          <t>P1</t>
        </is>
      </c>
      <c r="K114" s="20" t="inlineStr">
        <is>
          <t>Validated (Supported)</t>
        </is>
      </c>
      <c r="L114" s="5" t="inlineStr">
        <is>
          <t>Built-in unique database constraint (company_id, supplier_id, invoice_number) and duplicate scanner.</t>
        </is>
      </c>
      <c r="M114" s="8" t="inlineStr">
        <is>
          <t>Baseline</t>
        </is>
      </c>
      <c r="N114" s="8" t="inlineStr">
        <is>
          <t>Operational role</t>
        </is>
      </c>
      <c r="O114" s="8" t="inlineStr">
        <is>
          <t>P1</t>
        </is>
      </c>
      <c r="P114" s="5" t="inlineStr">
        <is>
          <t>Unchanged</t>
        </is>
      </c>
      <c r="Q114" s="21" t="inlineStr">
        <is>
          <t>Code symbol found</t>
        </is>
      </c>
      <c r="R114" s="5" t="inlineStr">
        <is>
          <t>Matched invoice_number in product code. This is not a functional test.</t>
        </is>
      </c>
      <c r="S114" s="8" t="inlineStr">
        <is>
          <t>OTHER</t>
        </is>
      </c>
      <c r="T114" s="5" t="inlineStr">
        <is>
          <t>Security / Exception / Recovery</t>
        </is>
      </c>
      <c r="U114" s="8" t="inlineStr"/>
      <c r="V114" s="8" t="inlineStr"/>
      <c r="W114" s="8" t="inlineStr">
        <is>
          <t>CONTROL</t>
        </is>
      </c>
      <c r="X114" s="5" t="inlineStr">
        <is>
          <t>Core</t>
        </is>
      </c>
      <c r="Y114" s="5" t="inlineStr">
        <is>
          <t>Accountant</t>
        </is>
      </c>
      <c r="Z114" s="5" t="inlineStr">
        <is>
          <t>High</t>
        </is>
      </c>
      <c r="AA114" s="5" t="inlineStr">
        <is>
          <t>Medium</t>
        </is>
      </c>
      <c r="AB114" s="8" t="inlineStr">
        <is>
          <t>Medium</t>
        </is>
      </c>
      <c r="AC114" s="8" t="inlineStr">
        <is>
          <t>Pilot</t>
        </is>
      </c>
      <c r="AD114" s="5" t="inlineStr">
        <is>
          <t>Cited in code</t>
        </is>
      </c>
      <c r="AE114" s="5" t="inlineStr">
        <is>
          <t>Not verified</t>
        </is>
      </c>
      <c r="AF114" s="5" t="inlineStr">
        <is>
          <t>Not verified</t>
        </is>
      </c>
      <c r="AG114" s="5" t="inlineStr">
        <is>
          <t>Not verified</t>
        </is>
      </c>
      <c r="AH114" s="5" t="inlineStr">
        <is>
          <t>Not verified</t>
        </is>
      </c>
      <c r="AI114" s="8" t="inlineStr">
        <is>
          <t>No</t>
        </is>
      </c>
      <c r="AJ114" s="8" t="inlineStr">
        <is>
          <t>Built - unverified</t>
        </is>
      </c>
      <c r="AK114" s="8" t="inlineStr">
        <is>
          <t>P1</t>
        </is>
      </c>
      <c r="AL114" s="8" t="n">
        <v>12</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P-0114</t>
        </is>
      </c>
      <c r="B115" s="8" t="inlineStr">
        <is>
          <t>P</t>
        </is>
      </c>
      <c r="C115" s="5" t="inlineStr">
        <is>
          <t>Accountant / GST Operator</t>
        </is>
      </c>
      <c r="D115" s="5" t="inlineStr">
        <is>
          <t>GST / Tax / Compliance</t>
        </is>
      </c>
      <c r="E115" s="5" t="inlineStr">
        <is>
          <t>Identify tax calculation errors</t>
        </is>
      </c>
      <c r="F115" s="5" t="inlineStr">
        <is>
          <t>In-house Accountant</t>
        </is>
      </c>
      <c r="G115" s="5" t="inlineStr">
        <is>
          <t>System Admin</t>
        </is>
      </c>
      <c r="H115" s="5" t="inlineStr">
        <is>
          <t>Identify rounding discrepancies or incorrect tax rate applications across historical vouchers</t>
        </is>
      </c>
      <c r="I115" s="5" t="inlineStr">
        <is>
          <t>Validates line-item tax sum against invoice total tax; highlights fractional rounding variances</t>
        </is>
      </c>
      <c r="J115" s="19" t="inlineStr">
        <is>
          <t>P0</t>
        </is>
      </c>
      <c r="K115" s="20" t="inlineStr">
        <is>
          <t>Validated (Supported)</t>
        </is>
      </c>
      <c r="L115" s="5" t="inlineStr">
        <is>
          <t>Core system invariant: line-item and document total tax calculations strictly match Rule 46.</t>
        </is>
      </c>
      <c r="M115" s="8" t="inlineStr">
        <is>
          <t>Baseline</t>
        </is>
      </c>
      <c r="N115" s="8" t="inlineStr">
        <is>
          <t>Operational role</t>
        </is>
      </c>
      <c r="O115" s="8" t="inlineStr">
        <is>
          <t>P0</t>
        </is>
      </c>
      <c r="P115" s="5" t="inlineStr">
        <is>
          <t>Unchanged</t>
        </is>
      </c>
      <c r="Q115" s="20" t="inlineStr">
        <is>
          <t>Author assertion</t>
        </is>
      </c>
      <c r="R115" s="5" t="inlineStr"/>
      <c r="S115" s="8" t="inlineStr">
        <is>
          <t>GST</t>
        </is>
      </c>
      <c r="T115" s="5" t="inlineStr">
        <is>
          <t>GST and tax compliance</t>
        </is>
      </c>
      <c r="U115" s="8" t="inlineStr"/>
      <c r="V115" s="8" t="inlineStr">
        <is>
          <t>accounting</t>
        </is>
      </c>
      <c r="W115" s="8" t="inlineStr">
        <is>
          <t>CONTROL</t>
        </is>
      </c>
      <c r="X115" s="5" t="inlineStr">
        <is>
          <t>Core</t>
        </is>
      </c>
      <c r="Y115" s="5" t="inlineStr">
        <is>
          <t>Accountant</t>
        </is>
      </c>
      <c r="Z115" s="5" t="inlineStr">
        <is>
          <t>Critical</t>
        </is>
      </c>
      <c r="AA115" s="5" t="inlineStr">
        <is>
          <t>High</t>
        </is>
      </c>
      <c r="AB115" s="8" t="inlineStr">
        <is>
          <t>High</t>
        </is>
      </c>
      <c r="AC115" s="8" t="inlineStr">
        <is>
          <t>MVP</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P0</t>
        </is>
      </c>
      <c r="AL115" s="8" t="n">
        <v>27</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P-0115</t>
        </is>
      </c>
      <c r="B116" s="8" t="inlineStr">
        <is>
          <t>P</t>
        </is>
      </c>
      <c r="C116" s="5" t="inlineStr">
        <is>
          <t>Accountant / GST Operator</t>
        </is>
      </c>
      <c r="D116" s="5" t="inlineStr">
        <is>
          <t>Security / Exception / Recovery</t>
        </is>
      </c>
      <c r="E116" s="5" t="inlineStr">
        <is>
          <t>Maintain an audit trail</t>
        </is>
      </c>
      <c r="F116" s="5" t="inlineStr">
        <is>
          <t>In-house Accountant</t>
        </is>
      </c>
      <c r="G116" s="5" t="inlineStr">
        <is>
          <t>Statutory Auditor (MCA/GST)</t>
        </is>
      </c>
      <c r="H116" s="5" t="inlineStr">
        <is>
          <t>Immutable change log capturing who edited, approved, or cancelled any financial transaction</t>
        </is>
      </c>
      <c r="I116" s="5" t="inlineStr">
        <is>
          <t>Stores timestamp, user ID, IP address, previous value, and new value for every record mutation</t>
        </is>
      </c>
      <c r="J116" s="19" t="inlineStr">
        <is>
          <t>P0</t>
        </is>
      </c>
      <c r="K116" s="23" t="inlineStr">
        <is>
          <t>Partial</t>
        </is>
      </c>
      <c r="L116" s="5" t="inlineStr">
        <is>
          <t>Supported via Django SimpleHistory and immutable ActivityLog; satisfies MCA audit trail mandates.</t>
        </is>
      </c>
      <c r="M116" s="8" t="inlineStr">
        <is>
          <t>Baseline</t>
        </is>
      </c>
      <c r="N116" s="8" t="inlineStr">
        <is>
          <t>Operational role</t>
        </is>
      </c>
      <c r="O116" s="8" t="inlineStr">
        <is>
          <t>P0</t>
        </is>
      </c>
      <c r="P116" s="5" t="inlineStr">
        <is>
          <t>Unchanged</t>
        </is>
      </c>
      <c r="Q116" s="23" t="inlineStr">
        <is>
          <t>Partial</t>
        </is>
      </c>
      <c r="R116" s="5" t="inlineStr">
        <is>
          <t>django-simple-history is not a dependency. The note names the wrong audit mechanism.</t>
        </is>
      </c>
      <c r="S116" s="8" t="inlineStr">
        <is>
          <t>OTHER</t>
        </is>
      </c>
      <c r="T116" s="5" t="inlineStr">
        <is>
          <t>Security / Exception / Recovery</t>
        </is>
      </c>
      <c r="U116" s="8" t="inlineStr"/>
      <c r="V116" s="8" t="inlineStr"/>
      <c r="W116" s="8" t="inlineStr">
        <is>
          <t>CONTROL</t>
        </is>
      </c>
      <c r="X116" s="5" t="inlineStr">
        <is>
          <t>Core</t>
        </is>
      </c>
      <c r="Y116" s="5" t="inlineStr">
        <is>
          <t>Accountant</t>
        </is>
      </c>
      <c r="Z116" s="5" t="inlineStr">
        <is>
          <t>High</t>
        </is>
      </c>
      <c r="AA116" s="5" t="inlineStr">
        <is>
          <t>Medium</t>
        </is>
      </c>
      <c r="AB116" s="8" t="inlineStr">
        <is>
          <t>Medium</t>
        </is>
      </c>
      <c r="AC116" s="8" t="inlineStr">
        <is>
          <t>MVP</t>
        </is>
      </c>
      <c r="AD116" s="5" t="inlineStr">
        <is>
          <t>Partial</t>
        </is>
      </c>
      <c r="AE116" s="5" t="inlineStr">
        <is>
          <t>Not verified</t>
        </is>
      </c>
      <c r="AF116" s="5" t="inlineStr">
        <is>
          <t>Not verified</t>
        </is>
      </c>
      <c r="AG116" s="5" t="inlineStr">
        <is>
          <t>Not verified</t>
        </is>
      </c>
      <c r="AH116" s="5" t="inlineStr">
        <is>
          <t>Not verified</t>
        </is>
      </c>
      <c r="AI116" s="8" t="inlineStr">
        <is>
          <t>No</t>
        </is>
      </c>
      <c r="AJ116" s="8" t="inlineStr">
        <is>
          <t>Built - partial</t>
        </is>
      </c>
      <c r="AK116" s="8" t="inlineStr">
        <is>
          <t>P0</t>
        </is>
      </c>
      <c r="AL116" s="8" t="n">
        <v>12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P-0116</t>
        </is>
      </c>
      <c r="B117" s="8" t="inlineStr">
        <is>
          <t>P</t>
        </is>
      </c>
      <c r="C117" s="5" t="inlineStr">
        <is>
          <t>Business Owner</t>
        </is>
      </c>
      <c r="D117" s="5" t="inlineStr">
        <is>
          <t>Reporting &amp; Business Intelligence</t>
        </is>
      </c>
      <c r="E117" s="5" t="inlineStr">
        <is>
          <t>See today's business performance</t>
        </is>
      </c>
      <c r="F117" s="5" t="inlineStr">
        <is>
          <t>Business Owner ('Sethji')</t>
        </is>
      </c>
      <c r="G117" s="5" t="inlineStr">
        <is>
          <t>Store Managers</t>
        </is>
      </c>
      <c r="H117" s="5" t="inlineStr">
        <is>
          <t>Morning and evening executive snapshot of daily sales, cash collections, and pending orders</t>
        </is>
      </c>
      <c r="I117" s="5" t="inlineStr">
        <is>
          <t>Displays high-level KPI cards (Total Sales, Cash In, Unpaid Bills, Net Margin) on mobile or desktop</t>
        </is>
      </c>
      <c r="J117" s="19" t="inlineStr">
        <is>
          <t>P0</t>
        </is>
      </c>
      <c r="K117" s="20" t="inlineStr">
        <is>
          <t>Validated (Supported)</t>
        </is>
      </c>
      <c r="L117" s="5" t="inlineStr">
        <is>
          <t>Supported via Owner Executive Dashboard and automated daily summary WhatsApp/Email digest.</t>
        </is>
      </c>
      <c r="M117" s="8" t="inlineStr">
        <is>
          <t>Baseline</t>
        </is>
      </c>
      <c r="N117" s="8" t="inlineStr">
        <is>
          <t>Operational role</t>
        </is>
      </c>
      <c r="O117" s="8" t="inlineStr">
        <is>
          <t>P0</t>
        </is>
      </c>
      <c r="P117" s="5" t="inlineStr">
        <is>
          <t>Unchanged</t>
        </is>
      </c>
      <c r="Q117" s="21" t="inlineStr">
        <is>
          <t>Code symbol found</t>
        </is>
      </c>
      <c r="R117" s="5" t="inlineStr">
        <is>
          <t>Matched WhatsApp in product code. This is not a functional test.</t>
        </is>
      </c>
      <c r="S117" s="8" t="inlineStr">
        <is>
          <t>RPT</t>
        </is>
      </c>
      <c r="T117" s="5" t="inlineStr">
        <is>
          <t>Reporting and business intelligence</t>
        </is>
      </c>
      <c r="U117" s="8" t="inlineStr"/>
      <c r="V117" s="8" t="inlineStr">
        <is>
          <t>reporting</t>
        </is>
      </c>
      <c r="W117" s="8" t="inlineStr">
        <is>
          <t>CONTROL</t>
        </is>
      </c>
      <c r="X117" s="5" t="inlineStr">
        <is>
          <t>Core</t>
        </is>
      </c>
      <c r="Y117" s="5" t="inlineStr">
        <is>
          <t>Owner</t>
        </is>
      </c>
      <c r="Z117" s="5" t="inlineStr">
        <is>
          <t>Medium</t>
        </is>
      </c>
      <c r="AA117" s="5" t="inlineStr">
        <is>
          <t>Medium</t>
        </is>
      </c>
      <c r="AB117" s="8" t="inlineStr">
        <is>
          <t>Low</t>
        </is>
      </c>
      <c r="AC117" s="8" t="inlineStr">
        <is>
          <t>MVP</t>
        </is>
      </c>
      <c r="AD117" s="5" t="inlineStr">
        <is>
          <t>Cited in code</t>
        </is>
      </c>
      <c r="AE117" s="5" t="inlineStr">
        <is>
          <t>Not verified</t>
        </is>
      </c>
      <c r="AF117" s="5" t="inlineStr">
        <is>
          <t>Not verified</t>
        </is>
      </c>
      <c r="AG117" s="5" t="inlineStr">
        <is>
          <t>Not verified</t>
        </is>
      </c>
      <c r="AH117" s="5" t="inlineStr">
        <is>
          <t>Not verified</t>
        </is>
      </c>
      <c r="AI117" s="8" t="inlineStr">
        <is>
          <t>No</t>
        </is>
      </c>
      <c r="AJ117" s="8" t="inlineStr">
        <is>
          <t>Built - unverified</t>
        </is>
      </c>
      <c r="AK117" s="8" t="inlineStr">
        <is>
          <t>P0</t>
        </is>
      </c>
      <c r="AL117" s="8" t="n">
        <v>6</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P-0117</t>
        </is>
      </c>
      <c r="B118" s="8" t="inlineStr">
        <is>
          <t>P</t>
        </is>
      </c>
      <c r="C118" s="5" t="inlineStr">
        <is>
          <t>Business Owner</t>
        </is>
      </c>
      <c r="D118" s="5" t="inlineStr">
        <is>
          <t>Reporting &amp; Business Intelligence</t>
        </is>
      </c>
      <c r="E118" s="5" t="inlineStr">
        <is>
          <t>See sales, purchases and profit together</t>
        </is>
      </c>
      <c r="F118" s="5" t="inlineStr">
        <is>
          <t>Business Owner</t>
        </is>
      </c>
      <c r="G118" s="5" t="inlineStr">
        <is>
          <t>Accountant</t>
        </is>
      </c>
      <c r="H118" s="5" t="inlineStr">
        <is>
          <t>Unified bird's-eye view comparing revenue, procurement expenditure, and gross operating profit</t>
        </is>
      </c>
      <c r="I118" s="5" t="inlineStr">
        <is>
          <t>Aggregates monthly sales vs purchases vs gross margin on a synchronized comparative timeline</t>
        </is>
      </c>
      <c r="J118" s="20" t="inlineStr">
        <is>
          <t>P1</t>
        </is>
      </c>
      <c r="K118" s="20" t="inlineStr">
        <is>
          <t>Validated (Supported)</t>
        </is>
      </c>
      <c r="L118" s="5" t="inlineStr">
        <is>
          <t>Supported via Executive Business Overview dashboard (/insights/).</t>
        </is>
      </c>
      <c r="M118" s="8" t="inlineStr">
        <is>
          <t>Baseline</t>
        </is>
      </c>
      <c r="N118" s="8" t="inlineStr">
        <is>
          <t>Operational role</t>
        </is>
      </c>
      <c r="O118" s="8" t="inlineStr">
        <is>
          <t>P1</t>
        </is>
      </c>
      <c r="P118" s="5" t="inlineStr">
        <is>
          <t>Unchanged</t>
        </is>
      </c>
      <c r="Q118" s="20" t="inlineStr">
        <is>
          <t>Author assertion</t>
        </is>
      </c>
      <c r="R118" s="5" t="inlineStr"/>
      <c r="S118" s="8" t="inlineStr">
        <is>
          <t>RPT</t>
        </is>
      </c>
      <c r="T118" s="5" t="inlineStr">
        <is>
          <t>Reporting and business intelligence</t>
        </is>
      </c>
      <c r="U118" s="8" t="inlineStr"/>
      <c r="V118" s="8" t="inlineStr">
        <is>
          <t>reporting</t>
        </is>
      </c>
      <c r="W118" s="8" t="inlineStr">
        <is>
          <t>CONTROL</t>
        </is>
      </c>
      <c r="X118" s="5" t="inlineStr">
        <is>
          <t>Core</t>
        </is>
      </c>
      <c r="Y118" s="5" t="inlineStr">
        <is>
          <t>Owner</t>
        </is>
      </c>
      <c r="Z118" s="5" t="inlineStr">
        <is>
          <t>Medium</t>
        </is>
      </c>
      <c r="AA118" s="5" t="inlineStr">
        <is>
          <t>Medium</t>
        </is>
      </c>
      <c r="AB118" s="8" t="inlineStr">
        <is>
          <t>Low</t>
        </is>
      </c>
      <c r="AC118" s="8" t="inlineStr">
        <is>
          <t>Pilot</t>
        </is>
      </c>
      <c r="AD118" s="5" t="inlineStr">
        <is>
          <t>Not independently checked</t>
        </is>
      </c>
      <c r="AE118" s="5" t="inlineStr">
        <is>
          <t>Not verified</t>
        </is>
      </c>
      <c r="AF118" s="5" t="inlineStr">
        <is>
          <t>Not verified</t>
        </is>
      </c>
      <c r="AG118" s="5" t="inlineStr">
        <is>
          <t>Not verified</t>
        </is>
      </c>
      <c r="AH118" s="5" t="inlineStr">
        <is>
          <t>Not verified</t>
        </is>
      </c>
      <c r="AI118" s="8" t="inlineStr">
        <is>
          <t>No</t>
        </is>
      </c>
      <c r="AJ118" s="8" t="inlineStr">
        <is>
          <t>Claimed - unverified</t>
        </is>
      </c>
      <c r="AK118" s="8" t="inlineStr">
        <is>
          <t>P1</t>
        </is>
      </c>
      <c r="AL118" s="8" t="n">
        <v>6</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P-0118</t>
        </is>
      </c>
      <c r="B119" s="8" t="inlineStr">
        <is>
          <t>P</t>
        </is>
      </c>
      <c r="C119" s="5" t="inlineStr">
        <is>
          <t>Business Owner</t>
        </is>
      </c>
      <c r="D119" s="5" t="inlineStr">
        <is>
          <t>Receivables &amp; Payables</t>
        </is>
      </c>
      <c r="E119" s="5" t="inlineStr">
        <is>
          <t>Identify outstanding receivables</t>
        </is>
      </c>
      <c r="F119" s="5" t="inlineStr">
        <is>
          <t>Business Owner</t>
        </is>
      </c>
      <c r="G119" s="5" t="inlineStr">
        <is>
          <t>Sales Team</t>
        </is>
      </c>
      <c r="H119" s="5" t="inlineStr">
        <is>
          <t>Identify top debtors and total market credit outstanding to drive debt collection</t>
        </is>
      </c>
      <c r="I119" s="5" t="inlineStr">
        <is>
          <t>Ranks customers by total outstanding balance and oldest overdue days; enables instant chasing</t>
        </is>
      </c>
      <c r="J119" s="19" t="inlineStr">
        <is>
          <t>P0</t>
        </is>
      </c>
      <c r="K119" s="20" t="inlineStr">
        <is>
          <t>Validated (Supported)</t>
        </is>
      </c>
      <c r="L119" s="5" t="inlineStr">
        <is>
          <t>Supported via Debtor Summary card with one-click WhatsApp payment reminder dispatch.</t>
        </is>
      </c>
      <c r="M119" s="8" t="inlineStr">
        <is>
          <t>Baseline</t>
        </is>
      </c>
      <c r="N119" s="8" t="inlineStr">
        <is>
          <t>Operational role</t>
        </is>
      </c>
      <c r="O119" s="8" t="inlineStr">
        <is>
          <t>P0</t>
        </is>
      </c>
      <c r="P119" s="5" t="inlineStr">
        <is>
          <t>Unchanged</t>
        </is>
      </c>
      <c r="Q119" s="21" t="inlineStr">
        <is>
          <t>Code symbol found</t>
        </is>
      </c>
      <c r="R119" s="5" t="inlineStr">
        <is>
          <t>Matched WhatsApp in product code. This is not a functional test.</t>
        </is>
      </c>
      <c r="S119" s="8" t="inlineStr">
        <is>
          <t>ARAP</t>
        </is>
      </c>
      <c r="T119" s="5" t="inlineStr">
        <is>
          <t>Receivables and payables</t>
        </is>
      </c>
      <c r="U119" s="8" t="inlineStr"/>
      <c r="V119" s="8" t="inlineStr">
        <is>
          <t>ledgers</t>
        </is>
      </c>
      <c r="W119" s="8" t="inlineStr">
        <is>
          <t>CONTROL</t>
        </is>
      </c>
      <c r="X119" s="5" t="inlineStr">
        <is>
          <t>Core</t>
        </is>
      </c>
      <c r="Y119" s="5" t="inlineStr">
        <is>
          <t>Owner</t>
        </is>
      </c>
      <c r="Z119" s="5" t="inlineStr">
        <is>
          <t>Critical</t>
        </is>
      </c>
      <c r="AA119" s="5" t="inlineStr">
        <is>
          <t>High</t>
        </is>
      </c>
      <c r="AB119" s="8" t="inlineStr">
        <is>
          <t>Medium</t>
        </is>
      </c>
      <c r="AC119" s="8" t="inlineStr">
        <is>
          <t>MVP</t>
        </is>
      </c>
      <c r="AD119" s="5" t="inlineStr">
        <is>
          <t>Cited in code</t>
        </is>
      </c>
      <c r="AE119" s="5" t="inlineStr">
        <is>
          <t>Not verified</t>
        </is>
      </c>
      <c r="AF119" s="5" t="inlineStr">
        <is>
          <t>Not verified</t>
        </is>
      </c>
      <c r="AG119" s="5" t="inlineStr">
        <is>
          <t>Not verified</t>
        </is>
      </c>
      <c r="AH119" s="5" t="inlineStr">
        <is>
          <t>Not verified</t>
        </is>
      </c>
      <c r="AI119" s="8" t="inlineStr">
        <is>
          <t>No</t>
        </is>
      </c>
      <c r="AJ119" s="8" t="inlineStr">
        <is>
          <t>Built - unverified</t>
        </is>
      </c>
      <c r="AK119" s="8" t="inlineStr">
        <is>
          <t>P0</t>
        </is>
      </c>
      <c r="AL119" s="8" t="n">
        <v>18</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P-0119</t>
        </is>
      </c>
      <c r="B120" s="8" t="inlineStr">
        <is>
          <t>P</t>
        </is>
      </c>
      <c r="C120" s="5" t="inlineStr">
        <is>
          <t>Business Owner</t>
        </is>
      </c>
      <c r="D120" s="5" t="inlineStr">
        <is>
          <t>Receivables &amp; Payables</t>
        </is>
      </c>
      <c r="E120" s="5" t="inlineStr">
        <is>
          <t>Identify overdue payments</t>
        </is>
      </c>
      <c r="F120" s="5" t="inlineStr">
        <is>
          <t>Business Owner</t>
        </is>
      </c>
      <c r="G120" s="5" t="inlineStr">
        <is>
          <t>Credit Controller</t>
        </is>
      </c>
      <c r="H120" s="5" t="inlineStr">
        <is>
          <t>Pinpoint critically overdue bills crossing credit grace periods (30+ days)</t>
        </is>
      </c>
      <c r="I120" s="5" t="inlineStr">
        <is>
          <t>Filters receivables aging &gt; 30 days; calculates interest exposure and bad debt risk</t>
        </is>
      </c>
      <c r="J120" s="19" t="inlineStr">
        <is>
          <t>P0</t>
        </is>
      </c>
      <c r="K120" s="20" t="inlineStr">
        <is>
          <t>Validated (Supported)</t>
        </is>
      </c>
      <c r="L120" s="5" t="inlineStr">
        <is>
          <t>Supported via Overdue Invoices screen with priority chasing flags.</t>
        </is>
      </c>
      <c r="M120" s="8" t="inlineStr">
        <is>
          <t>Baseline</t>
        </is>
      </c>
      <c r="N120" s="8" t="inlineStr">
        <is>
          <t>Operational role</t>
        </is>
      </c>
      <c r="O120" s="8" t="inlineStr">
        <is>
          <t>P0</t>
        </is>
      </c>
      <c r="P120" s="5" t="inlineStr">
        <is>
          <t>Unchanged</t>
        </is>
      </c>
      <c r="Q120" s="20" t="inlineStr">
        <is>
          <t>Author assertion</t>
        </is>
      </c>
      <c r="R120" s="5" t="inlineStr"/>
      <c r="S120" s="8" t="inlineStr">
        <is>
          <t>ARAP</t>
        </is>
      </c>
      <c r="T120" s="5" t="inlineStr">
        <is>
          <t>Receivables and payables</t>
        </is>
      </c>
      <c r="U120" s="8" t="inlineStr"/>
      <c r="V120" s="8" t="inlineStr">
        <is>
          <t>ledgers</t>
        </is>
      </c>
      <c r="W120" s="8" t="inlineStr">
        <is>
          <t>CONTROL</t>
        </is>
      </c>
      <c r="X120" s="5" t="inlineStr">
        <is>
          <t>Core</t>
        </is>
      </c>
      <c r="Y120" s="5" t="inlineStr">
        <is>
          <t>Owner</t>
        </is>
      </c>
      <c r="Z120" s="5" t="inlineStr">
        <is>
          <t>Critical</t>
        </is>
      </c>
      <c r="AA120" s="5" t="inlineStr">
        <is>
          <t>High</t>
        </is>
      </c>
      <c r="AB120" s="8" t="inlineStr">
        <is>
          <t>Medium</t>
        </is>
      </c>
      <c r="AC120" s="8" t="inlineStr">
        <is>
          <t>MVP</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P0</t>
        </is>
      </c>
      <c r="AL120" s="8" t="n">
        <v>18</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P-0120</t>
        </is>
      </c>
      <c r="B121" s="8" t="inlineStr">
        <is>
          <t>P</t>
        </is>
      </c>
      <c r="C121" s="5" t="inlineStr">
        <is>
          <t>Business Owner</t>
        </is>
      </c>
      <c r="D121" s="5" t="inlineStr">
        <is>
          <t>Inventory Lifecycle</t>
        </is>
      </c>
      <c r="E121" s="5" t="inlineStr">
        <is>
          <t>Identify low-stock products</t>
        </is>
      </c>
      <c r="F121" s="5" t="inlineStr">
        <is>
          <t>Business Owner</t>
        </is>
      </c>
      <c r="G121" s="5" t="inlineStr">
        <is>
          <t>Purchase Manager</t>
        </is>
      </c>
      <c r="H121" s="5" t="inlineStr">
        <is>
          <t>Spot high-selling inventory running low to approve emergency supplier purchase orders</t>
        </is>
      </c>
      <c r="I121" s="5" t="inlineStr">
        <is>
          <t>Displays top 20 revenue-generating SKUs currently at or below minimum reorder buffer</t>
        </is>
      </c>
      <c r="J121" s="20" t="inlineStr">
        <is>
          <t>P1</t>
        </is>
      </c>
      <c r="K121" s="20" t="inlineStr">
        <is>
          <t>Validated (Supported)</t>
        </is>
      </c>
      <c r="L121" s="5" t="inlineStr">
        <is>
          <t>Supported via Executive Alert widget: 'Critical Stockout Threats'.</t>
        </is>
      </c>
      <c r="M121" s="8" t="inlineStr">
        <is>
          <t>Baseline</t>
        </is>
      </c>
      <c r="N121" s="8" t="inlineStr">
        <is>
          <t>Operational role</t>
        </is>
      </c>
      <c r="O121" s="8" t="inlineStr">
        <is>
          <t>P1</t>
        </is>
      </c>
      <c r="P121" s="5" t="inlineStr">
        <is>
          <t>Unchanged</t>
        </is>
      </c>
      <c r="Q121" s="20" t="inlineStr">
        <is>
          <t>Author assertion</t>
        </is>
      </c>
      <c r="R121" s="5" t="inlineStr"/>
      <c r="S121" s="8" t="inlineStr">
        <is>
          <t>INV</t>
        </is>
      </c>
      <c r="T121" s="5" t="inlineStr">
        <is>
          <t>Inventory lifecycle</t>
        </is>
      </c>
      <c r="U121" s="8" t="inlineStr"/>
      <c r="V121" s="8" t="inlineStr">
        <is>
          <t>inventory</t>
        </is>
      </c>
      <c r="W121" s="8" t="inlineStr">
        <is>
          <t>RUN</t>
        </is>
      </c>
      <c r="X121" s="5" t="inlineStr">
        <is>
          <t>Core</t>
        </is>
      </c>
      <c r="Y121" s="5" t="inlineStr">
        <is>
          <t>Owner</t>
        </is>
      </c>
      <c r="Z121" s="5" t="inlineStr">
        <is>
          <t>High</t>
        </is>
      </c>
      <c r="AA121" s="5" t="inlineStr">
        <is>
          <t>High</t>
        </is>
      </c>
      <c r="AB121" s="8" t="inlineStr">
        <is>
          <t>Low</t>
        </is>
      </c>
      <c r="AC121" s="8" t="inlineStr">
        <is>
          <t>Pilot</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P1</t>
        </is>
      </c>
      <c r="AL121" s="8" t="n">
        <v>9</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P-0121</t>
        </is>
      </c>
      <c r="B122" s="8" t="inlineStr">
        <is>
          <t>P</t>
        </is>
      </c>
      <c r="C122" s="5" t="inlineStr">
        <is>
          <t>Business Owner</t>
        </is>
      </c>
      <c r="D122" s="5" t="inlineStr">
        <is>
          <t>Reporting &amp; Business Intelligence</t>
        </is>
      </c>
      <c r="E122" s="5" t="inlineStr">
        <is>
          <t>Identify profitable products</t>
        </is>
      </c>
      <c r="F122" s="5" t="inlineStr">
        <is>
          <t>Business Owner</t>
        </is>
      </c>
      <c r="G122" s="5" t="inlineStr">
        <is>
          <t>Sales Team</t>
        </is>
      </c>
      <c r="H122" s="5" t="inlineStr">
        <is>
          <t>Discover products delivering highest gross margin percentage to promote in marketing campaigns</t>
        </is>
      </c>
      <c r="I122" s="5" t="inlineStr">
        <is>
          <t>Ranks catalog by gross margin contribution (Gross Profit / Sales Revenue)</t>
        </is>
      </c>
      <c r="J122" s="22" t="inlineStr">
        <is>
          <t>P2</t>
        </is>
      </c>
      <c r="K122" s="20" t="inlineStr">
        <is>
          <t>Validated (Supported)</t>
        </is>
      </c>
      <c r="L122" s="5" t="inlineStr">
        <is>
          <t>Supported via Product Margin Leaderboard in Insights module.</t>
        </is>
      </c>
      <c r="M122" s="8" t="inlineStr">
        <is>
          <t>Baseline</t>
        </is>
      </c>
      <c r="N122" s="8" t="inlineStr">
        <is>
          <t>Operational role</t>
        </is>
      </c>
      <c r="O122" s="8" t="inlineStr">
        <is>
          <t>P2</t>
        </is>
      </c>
      <c r="P122" s="5" t="inlineStr">
        <is>
          <t>Restored to authored P2. The previous workbook had P3 after a keyword rebalance.</t>
        </is>
      </c>
      <c r="Q122" s="20" t="inlineStr">
        <is>
          <t>Author assertion</t>
        </is>
      </c>
      <c r="R122" s="5" t="inlineStr">
        <is>
          <t>Restored to authored P2. The previous workbook had P3 after a keyword rebalance.</t>
        </is>
      </c>
      <c r="S122" s="8" t="inlineStr">
        <is>
          <t>RPT</t>
        </is>
      </c>
      <c r="T122" s="5" t="inlineStr">
        <is>
          <t>Reporting and business intelligence</t>
        </is>
      </c>
      <c r="U122" s="8" t="inlineStr"/>
      <c r="V122" s="8" t="inlineStr">
        <is>
          <t>reporting</t>
        </is>
      </c>
      <c r="W122" s="8" t="inlineStr">
        <is>
          <t>CONTROL</t>
        </is>
      </c>
      <c r="X122" s="5" t="inlineStr">
        <is>
          <t>Core</t>
        </is>
      </c>
      <c r="Y122" s="5" t="inlineStr">
        <is>
          <t>Owner</t>
        </is>
      </c>
      <c r="Z122" s="5" t="inlineStr">
        <is>
          <t>Medium</t>
        </is>
      </c>
      <c r="AA122" s="5" t="inlineStr">
        <is>
          <t>Medium</t>
        </is>
      </c>
      <c r="AB122" s="8" t="inlineStr">
        <is>
          <t>Low</t>
        </is>
      </c>
      <c r="AC122" s="8" t="inlineStr">
        <is>
          <t>Later</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P2</t>
        </is>
      </c>
      <c r="AL122" s="8" t="n">
        <v>6</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P-0122</t>
        </is>
      </c>
      <c r="B123" s="8" t="inlineStr">
        <is>
          <t>P</t>
        </is>
      </c>
      <c r="C123" s="5" t="inlineStr">
        <is>
          <t>Business Owner</t>
        </is>
      </c>
      <c r="D123" s="5" t="inlineStr">
        <is>
          <t>Reporting &amp; Business Intelligence</t>
        </is>
      </c>
      <c r="E123" s="5" t="inlineStr">
        <is>
          <t>Identify loss-making products</t>
        </is>
      </c>
      <c r="F123" s="5" t="inlineStr">
        <is>
          <t>Business Owner</t>
        </is>
      </c>
      <c r="G123" s="5" t="inlineStr">
        <is>
          <t>Purchase Manager</t>
        </is>
      </c>
      <c r="H123" s="5" t="inlineStr">
        <is>
          <t>Identify items being sold below purchase cost or suffering heavy discounting</t>
        </is>
      </c>
      <c r="I123" s="5" t="inlineStr">
        <is>
          <t>Flags transactions where Selling Price &lt; Unit Cost; alerts owner to pricing or discounting errors</t>
        </is>
      </c>
      <c r="J123" s="22" t="inlineStr">
        <is>
          <t>P2</t>
        </is>
      </c>
      <c r="K123" s="20" t="inlineStr">
        <is>
          <t>Validated (Supported)</t>
        </is>
      </c>
      <c r="L123" s="5" t="inlineStr">
        <is>
          <t>Supported via Negative Margin Alert audit report.</t>
        </is>
      </c>
      <c r="M123" s="8" t="inlineStr">
        <is>
          <t>Baseline</t>
        </is>
      </c>
      <c r="N123" s="8" t="inlineStr">
        <is>
          <t>Operational role</t>
        </is>
      </c>
      <c r="O123" s="8" t="inlineStr">
        <is>
          <t>P2</t>
        </is>
      </c>
      <c r="P123" s="5" t="inlineStr">
        <is>
          <t>Restored to authored P2. The previous workbook had P3 after a keyword rebalance.</t>
        </is>
      </c>
      <c r="Q123" s="20" t="inlineStr">
        <is>
          <t>Author assertion</t>
        </is>
      </c>
      <c r="R123" s="5" t="inlineStr">
        <is>
          <t>Restored to authored P2. The previous workbook had P3 after a keyword rebalance.</t>
        </is>
      </c>
      <c r="S123" s="8" t="inlineStr">
        <is>
          <t>RPT</t>
        </is>
      </c>
      <c r="T123" s="5" t="inlineStr">
        <is>
          <t>Reporting and business intelligence</t>
        </is>
      </c>
      <c r="U123" s="8" t="inlineStr"/>
      <c r="V123" s="8" t="inlineStr">
        <is>
          <t>reporting</t>
        </is>
      </c>
      <c r="W123" s="8" t="inlineStr">
        <is>
          <t>CONTROL</t>
        </is>
      </c>
      <c r="X123" s="5" t="inlineStr">
        <is>
          <t>Core</t>
        </is>
      </c>
      <c r="Y123" s="5" t="inlineStr">
        <is>
          <t>Owner</t>
        </is>
      </c>
      <c r="Z123" s="5" t="inlineStr">
        <is>
          <t>Medium</t>
        </is>
      </c>
      <c r="AA123" s="5" t="inlineStr">
        <is>
          <t>Medium</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P2</t>
        </is>
      </c>
      <c r="AL123" s="8" t="n">
        <v>6</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P-0123</t>
        </is>
      </c>
      <c r="B124" s="8" t="inlineStr">
        <is>
          <t>P</t>
        </is>
      </c>
      <c r="C124" s="5" t="inlineStr">
        <is>
          <t>Business Owner</t>
        </is>
      </c>
      <c r="D124" s="5" t="inlineStr">
        <is>
          <t>Reporting &amp; Business Intelligence</t>
        </is>
      </c>
      <c r="E124" s="5" t="inlineStr">
        <is>
          <t>Compare performance across periods</t>
        </is>
      </c>
      <c r="F124" s="5" t="inlineStr">
        <is>
          <t>Business Owner</t>
        </is>
      </c>
      <c r="G124" s="5" t="inlineStr">
        <is>
          <t>Accountant</t>
        </is>
      </c>
      <c r="H124" s="5" t="inlineStr">
        <is>
          <t>Compare current month/quarter revenue and profits against previous period or previous year (MoM/YoY)</t>
        </is>
      </c>
      <c r="I124" s="5" t="inlineStr">
        <is>
          <t>Generates comparative period graphs showing percentage growth or contraction across metrics</t>
        </is>
      </c>
      <c r="J124" s="22" t="inlineStr">
        <is>
          <t>P2</t>
        </is>
      </c>
      <c r="K124" s="20" t="inlineStr">
        <is>
          <t>Validated (Supported)</t>
        </is>
      </c>
      <c r="L124" s="5" t="inlineStr">
        <is>
          <t>Supported via Period Trend Analysis Report (/reports/period-comparison/).</t>
        </is>
      </c>
      <c r="M124" s="8" t="inlineStr">
        <is>
          <t>Baseline</t>
        </is>
      </c>
      <c r="N124" s="8" t="inlineStr">
        <is>
          <t>Operational role</t>
        </is>
      </c>
      <c r="O124" s="8" t="inlineStr">
        <is>
          <t>P2</t>
        </is>
      </c>
      <c r="P124" s="5" t="inlineStr">
        <is>
          <t>Restored to authored P2. The previous workbook had P3 after a keyword rebalance.</t>
        </is>
      </c>
      <c r="Q124" s="20" t="inlineStr">
        <is>
          <t>Author assertion</t>
        </is>
      </c>
      <c r="R124" s="5" t="inlineStr">
        <is>
          <t>Restored to authored P2. The previous workbook had P3 after a keyword rebalance.</t>
        </is>
      </c>
      <c r="S124" s="8" t="inlineStr">
        <is>
          <t>RPT</t>
        </is>
      </c>
      <c r="T124" s="5" t="inlineStr">
        <is>
          <t>Reporting and business intelligence</t>
        </is>
      </c>
      <c r="U124" s="8" t="inlineStr"/>
      <c r="V124" s="8" t="inlineStr">
        <is>
          <t>reporting</t>
        </is>
      </c>
      <c r="W124" s="8" t="inlineStr">
        <is>
          <t>CONTROL</t>
        </is>
      </c>
      <c r="X124" s="5" t="inlineStr">
        <is>
          <t>Core</t>
        </is>
      </c>
      <c r="Y124" s="5" t="inlineStr">
        <is>
          <t>Owner</t>
        </is>
      </c>
      <c r="Z124" s="5" t="inlineStr">
        <is>
          <t>Medium</t>
        </is>
      </c>
      <c r="AA124" s="5" t="inlineStr">
        <is>
          <t>Medium</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P2</t>
        </is>
      </c>
      <c r="AL124" s="8" t="n">
        <v>6</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P-0124</t>
        </is>
      </c>
      <c r="B125" s="8" t="inlineStr">
        <is>
          <t>P</t>
        </is>
      </c>
      <c r="C125" s="5" t="inlineStr">
        <is>
          <t>Business Owner</t>
        </is>
      </c>
      <c r="D125" s="5" t="inlineStr">
        <is>
          <t>GST / Tax / Compliance</t>
        </is>
      </c>
      <c r="E125" s="5" t="inlineStr">
        <is>
          <t>Monitor GST liability</t>
        </is>
      </c>
      <c r="F125" s="5" t="inlineStr">
        <is>
          <t>Business Owner</t>
        </is>
      </c>
      <c r="G125" s="5" t="inlineStr">
        <is>
          <t>Accountant</t>
        </is>
      </c>
      <c r="H125" s="5" t="inlineStr">
        <is>
          <t>Anticipate net GST cash tax payout due on the 20th of the month to plan cashflow reserves</t>
        </is>
      </c>
      <c r="I125" s="5" t="inlineStr">
        <is>
          <t>Computes estimated Net GST Payable = Output Tax Liability - Eligible Input Tax Credit (ITC)</t>
        </is>
      </c>
      <c r="J125" s="20" t="inlineStr">
        <is>
          <t>P1</t>
        </is>
      </c>
      <c r="K125" s="20" t="inlineStr">
        <is>
          <t>Validated (Supported)</t>
        </is>
      </c>
      <c r="L125" s="5" t="inlineStr">
        <is>
          <t>Supported via Real-time GST Liability Estimator in Insights module.</t>
        </is>
      </c>
      <c r="M125" s="8" t="inlineStr">
        <is>
          <t>Baseline</t>
        </is>
      </c>
      <c r="N125" s="8" t="inlineStr">
        <is>
          <t>Operational role</t>
        </is>
      </c>
      <c r="O125" s="8" t="inlineStr">
        <is>
          <t>P1</t>
        </is>
      </c>
      <c r="P125" s="5" t="inlineStr">
        <is>
          <t>Unchanged</t>
        </is>
      </c>
      <c r="Q125" s="20" t="inlineStr">
        <is>
          <t>Author assertion</t>
        </is>
      </c>
      <c r="R125" s="5" t="inlineStr"/>
      <c r="S125" s="8" t="inlineStr">
        <is>
          <t>GST</t>
        </is>
      </c>
      <c r="T125" s="5" t="inlineStr">
        <is>
          <t>GST and tax compliance</t>
        </is>
      </c>
      <c r="U125" s="8" t="inlineStr"/>
      <c r="V125" s="8" t="inlineStr">
        <is>
          <t>accounting</t>
        </is>
      </c>
      <c r="W125" s="8" t="inlineStr">
        <is>
          <t>CONTROL</t>
        </is>
      </c>
      <c r="X125" s="5" t="inlineStr">
        <is>
          <t>Core</t>
        </is>
      </c>
      <c r="Y125" s="5" t="inlineStr">
        <is>
          <t>Owner</t>
        </is>
      </c>
      <c r="Z125" s="5" t="inlineStr">
        <is>
          <t>Critical</t>
        </is>
      </c>
      <c r="AA125" s="5" t="inlineStr">
        <is>
          <t>High</t>
        </is>
      </c>
      <c r="AB125" s="8" t="inlineStr">
        <is>
          <t>High</t>
        </is>
      </c>
      <c r="AC125" s="8" t="inlineStr">
        <is>
          <t>Pilot</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P1</t>
        </is>
      </c>
      <c r="AL125" s="8" t="n">
        <v>27</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P-0125</t>
        </is>
      </c>
      <c r="B126" s="8" t="inlineStr">
        <is>
          <t>P</t>
        </is>
      </c>
      <c r="C126" s="5" t="inlineStr">
        <is>
          <t>Business Owner</t>
        </is>
      </c>
      <c r="D126" s="5" t="inlineStr">
        <is>
          <t>Payments &amp; Reconciliation</t>
        </is>
      </c>
      <c r="E126" s="5" t="inlineStr">
        <is>
          <t>Monitor cash flow</t>
        </is>
      </c>
      <c r="F126" s="5" t="inlineStr">
        <is>
          <t>Business Owner</t>
        </is>
      </c>
      <c r="G126" s="5" t="inlineStr">
        <is>
          <t>Accountant</t>
        </is>
      </c>
      <c r="H126" s="5" t="inlineStr">
        <is>
          <t>30-day forward-looking cash flow forecast balancing expected customer collections vs vendor payables</t>
        </is>
      </c>
      <c r="I126" s="5" t="inlineStr">
        <is>
          <t>Projects net bank balance based on invoice due dates, scheduled payables, and recurring expenses</t>
        </is>
      </c>
      <c r="J126" s="20" t="inlineStr">
        <is>
          <t>P1</t>
        </is>
      </c>
      <c r="K126" s="20" t="inlineStr">
        <is>
          <t>Validated (Supported)</t>
        </is>
      </c>
      <c r="L126" s="5" t="inlineStr">
        <is>
          <t>Supported via CashflowForecastRun engine in insights app (/insights/cashflow/).</t>
        </is>
      </c>
      <c r="M126" s="8" t="inlineStr">
        <is>
          <t>Baseline</t>
        </is>
      </c>
      <c r="N126" s="8" t="inlineStr">
        <is>
          <t>Operational role</t>
        </is>
      </c>
      <c r="O126" s="8" t="inlineStr">
        <is>
          <t>P1</t>
        </is>
      </c>
      <c r="P126" s="5" t="inlineStr">
        <is>
          <t>Unchanged</t>
        </is>
      </c>
      <c r="Q126" s="21" t="inlineStr">
        <is>
          <t>Code symbol found</t>
        </is>
      </c>
      <c r="R126" s="5" t="inlineStr">
        <is>
          <t>Matched CashflowForecastRun in product code. This is not a functional test.</t>
        </is>
      </c>
      <c r="S126" s="8" t="inlineStr">
        <is>
          <t>PAYREC</t>
        </is>
      </c>
      <c r="T126" s="5" t="inlineStr">
        <is>
          <t>Payments and reconciliation</t>
        </is>
      </c>
      <c r="U126" s="8" t="inlineStr"/>
      <c r="V126" s="8" t="inlineStr">
        <is>
          <t>payments</t>
        </is>
      </c>
      <c r="W126" s="8" t="inlineStr">
        <is>
          <t>RUN</t>
        </is>
      </c>
      <c r="X126" s="5" t="inlineStr">
        <is>
          <t>Core</t>
        </is>
      </c>
      <c r="Y126" s="5" t="inlineStr">
        <is>
          <t>Owner</t>
        </is>
      </c>
      <c r="Z126" s="5" t="inlineStr">
        <is>
          <t>High</t>
        </is>
      </c>
      <c r="AA126" s="5" t="inlineStr">
        <is>
          <t>High</t>
        </is>
      </c>
      <c r="AB126" s="8" t="inlineStr">
        <is>
          <t>Low</t>
        </is>
      </c>
      <c r="AC126" s="8" t="inlineStr">
        <is>
          <t>Pilot</t>
        </is>
      </c>
      <c r="AD126" s="5" t="inlineStr">
        <is>
          <t>Cited in code</t>
        </is>
      </c>
      <c r="AE126" s="5" t="inlineStr">
        <is>
          <t>Not verified</t>
        </is>
      </c>
      <c r="AF126" s="5" t="inlineStr">
        <is>
          <t>Not verified</t>
        </is>
      </c>
      <c r="AG126" s="5" t="inlineStr">
        <is>
          <t>Not verified</t>
        </is>
      </c>
      <c r="AH126" s="5" t="inlineStr">
        <is>
          <t>Not verified</t>
        </is>
      </c>
      <c r="AI126" s="8" t="inlineStr">
        <is>
          <t>No</t>
        </is>
      </c>
      <c r="AJ126" s="8" t="inlineStr">
        <is>
          <t>Built - unverified</t>
        </is>
      </c>
      <c r="AK126" s="8" t="inlineStr">
        <is>
          <t>P1</t>
        </is>
      </c>
      <c r="AL126" s="8" t="n">
        <v>9</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P-0126</t>
        </is>
      </c>
      <c r="B127" s="8" t="inlineStr">
        <is>
          <t>P</t>
        </is>
      </c>
      <c r="C127" s="5" t="inlineStr">
        <is>
          <t>Business Owner</t>
        </is>
      </c>
      <c r="D127" s="5" t="inlineStr">
        <is>
          <t>Reporting &amp; Business Intelligence</t>
        </is>
      </c>
      <c r="E127" s="5" t="inlineStr">
        <is>
          <t>Review business alerts</t>
        </is>
      </c>
      <c r="F127" s="5" t="inlineStr">
        <is>
          <t>Business Owner</t>
        </is>
      </c>
      <c r="G127" s="5" t="inlineStr">
        <is>
          <t>Store Managers</t>
        </is>
      </c>
      <c r="H127" s="5" t="inlineStr">
        <is>
          <t>Central notification feed highlighting critical operational exceptions (credit breach, negative stock, refund)</t>
        </is>
      </c>
      <c r="I127" s="5" t="inlineStr">
        <is>
          <t>Surfaces high-priority BusinessAlertEvent cards requiring owner attention or intervention</t>
        </is>
      </c>
      <c r="J127" s="20" t="inlineStr">
        <is>
          <t>P1</t>
        </is>
      </c>
      <c r="K127" s="20" t="inlineStr">
        <is>
          <t>Validated (Supported)</t>
        </is>
      </c>
      <c r="L127" s="5" t="inlineStr">
        <is>
          <t>Supported via Attention / Alert Feed on Owner Home Screen.</t>
        </is>
      </c>
      <c r="M127" s="8" t="inlineStr">
        <is>
          <t>Baseline</t>
        </is>
      </c>
      <c r="N127" s="8" t="inlineStr">
        <is>
          <t>Operational role</t>
        </is>
      </c>
      <c r="O127" s="8" t="inlineStr">
        <is>
          <t>P1</t>
        </is>
      </c>
      <c r="P127" s="5" t="inlineStr">
        <is>
          <t>Unchanged</t>
        </is>
      </c>
      <c r="Q127" s="20" t="inlineStr">
        <is>
          <t>Author assertion</t>
        </is>
      </c>
      <c r="R127" s="5" t="inlineStr"/>
      <c r="S127" s="8" t="inlineStr">
        <is>
          <t>RPT</t>
        </is>
      </c>
      <c r="T127" s="5" t="inlineStr">
        <is>
          <t>Reporting and business intelligence</t>
        </is>
      </c>
      <c r="U127" s="8" t="inlineStr"/>
      <c r="V127" s="8" t="inlineStr">
        <is>
          <t>reporting</t>
        </is>
      </c>
      <c r="W127" s="8" t="inlineStr">
        <is>
          <t>CONTROL</t>
        </is>
      </c>
      <c r="X127" s="5" t="inlineStr">
        <is>
          <t>Core</t>
        </is>
      </c>
      <c r="Y127" s="5" t="inlineStr">
        <is>
          <t>Owner</t>
        </is>
      </c>
      <c r="Z127" s="5" t="inlineStr">
        <is>
          <t>Medium</t>
        </is>
      </c>
      <c r="AA127" s="5" t="inlineStr">
        <is>
          <t>Medium</t>
        </is>
      </c>
      <c r="AB127" s="8" t="inlineStr">
        <is>
          <t>Low</t>
        </is>
      </c>
      <c r="AC127" s="8" t="inlineStr">
        <is>
          <t>Pilot</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6</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P-0127</t>
        </is>
      </c>
      <c r="B128" s="8" t="inlineStr">
        <is>
          <t>P</t>
        </is>
      </c>
      <c r="C128" s="5" t="inlineStr">
        <is>
          <t>Business Owner</t>
        </is>
      </c>
      <c r="D128" s="5" t="inlineStr">
        <is>
          <t>Reporting &amp; Business Intelligence</t>
        </is>
      </c>
      <c r="E128" s="5" t="inlineStr">
        <is>
          <t>Drill down from KPI to transactions</t>
        </is>
      </c>
      <c r="F128" s="5" t="inlineStr">
        <is>
          <t>Business Owner</t>
        </is>
      </c>
      <c r="G128" s="5" t="inlineStr">
        <is>
          <t>Accountant</t>
        </is>
      </c>
      <c r="H128" s="5" t="inlineStr">
        <is>
          <t>Click on any summary KPI number (e.g. Sales, Expenses) to inspect underlying source vouchers</t>
        </is>
      </c>
      <c r="I128" s="5" t="inlineStr">
        <is>
          <t>Opens filtered transaction ledger displaying the specific invoices or journal lines composing the KPI</t>
        </is>
      </c>
      <c r="J128" s="20" t="inlineStr">
        <is>
          <t>P1</t>
        </is>
      </c>
      <c r="K128" s="20" t="inlineStr">
        <is>
          <t>Validated (Supported)</t>
        </is>
      </c>
      <c r="L128" s="5" t="inlineStr">
        <is>
          <t>Supported across all dashboard metric cards; full bidirectional transaction drill-down.</t>
        </is>
      </c>
      <c r="M128" s="8" t="inlineStr">
        <is>
          <t>Baseline</t>
        </is>
      </c>
      <c r="N128" s="8" t="inlineStr">
        <is>
          <t>Operational role</t>
        </is>
      </c>
      <c r="O128" s="8" t="inlineStr">
        <is>
          <t>P1</t>
        </is>
      </c>
      <c r="P128" s="5" t="inlineStr">
        <is>
          <t>Unchanged</t>
        </is>
      </c>
      <c r="Q128" s="20" t="inlineStr">
        <is>
          <t>Author assertion</t>
        </is>
      </c>
      <c r="R128" s="5" t="inlineStr"/>
      <c r="S128" s="8" t="inlineStr">
        <is>
          <t>RPT</t>
        </is>
      </c>
      <c r="T128" s="5" t="inlineStr">
        <is>
          <t>Reporting and business intelligence</t>
        </is>
      </c>
      <c r="U128" s="8" t="inlineStr"/>
      <c r="V128" s="8" t="inlineStr">
        <is>
          <t>reporting</t>
        </is>
      </c>
      <c r="W128" s="8" t="inlineStr">
        <is>
          <t>CONTROL</t>
        </is>
      </c>
      <c r="X128" s="5" t="inlineStr">
        <is>
          <t>Core</t>
        </is>
      </c>
      <c r="Y128" s="5" t="inlineStr">
        <is>
          <t>Owner</t>
        </is>
      </c>
      <c r="Z128" s="5" t="inlineStr">
        <is>
          <t>Medium</t>
        </is>
      </c>
      <c r="AA128" s="5" t="inlineStr">
        <is>
          <t>Medium</t>
        </is>
      </c>
      <c r="AB128" s="8" t="inlineStr">
        <is>
          <t>Low</t>
        </is>
      </c>
      <c r="AC128" s="8" t="inlineStr">
        <is>
          <t>Pilot</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P-0128</t>
        </is>
      </c>
      <c r="B129" s="8" t="inlineStr">
        <is>
          <t>P</t>
        </is>
      </c>
      <c r="C129" s="5" t="inlineStr">
        <is>
          <t>Business Owner</t>
        </is>
      </c>
      <c r="D129" s="5" t="inlineStr">
        <is>
          <t>Security / Exception / Recovery</t>
        </is>
      </c>
      <c r="E129" s="5" t="inlineStr">
        <is>
          <t>Approve important business actions</t>
        </is>
      </c>
      <c r="F129" s="5" t="inlineStr">
        <is>
          <t>Business Owner</t>
        </is>
      </c>
      <c r="G129" s="5" t="inlineStr">
        <is>
          <t>Staff Requestors</t>
        </is>
      </c>
      <c r="H129" s="5" t="inlineStr">
        <is>
          <t>Authorize sensitive actions: credit limit overrides, manual stock write-offs, discount exceptions</t>
        </is>
      </c>
      <c r="I129" s="5" t="inlineStr">
        <is>
          <t>Review pending approval queue; approve or reject with recorded digital signature and comments</t>
        </is>
      </c>
      <c r="J129" s="19" t="inlineStr">
        <is>
          <t>P0</t>
        </is>
      </c>
      <c r="K129" s="20" t="inlineStr">
        <is>
          <t>Validated (Supported)</t>
        </is>
      </c>
      <c r="L129" s="5" t="inlineStr">
        <is>
          <t>Supported via Manager Approval workflow and authorization modal prompts.</t>
        </is>
      </c>
      <c r="M129" s="8" t="inlineStr">
        <is>
          <t>Baseline</t>
        </is>
      </c>
      <c r="N129" s="8" t="inlineStr">
        <is>
          <t>Operational role</t>
        </is>
      </c>
      <c r="O129" s="8" t="inlineStr">
        <is>
          <t>P0</t>
        </is>
      </c>
      <c r="P129" s="5" t="inlineStr">
        <is>
          <t>Unchanged</t>
        </is>
      </c>
      <c r="Q129" s="20" t="inlineStr">
        <is>
          <t>Author assertion</t>
        </is>
      </c>
      <c r="R129" s="5" t="inlineStr"/>
      <c r="S129" s="8" t="inlineStr">
        <is>
          <t>OTHER</t>
        </is>
      </c>
      <c r="T129" s="5" t="inlineStr">
        <is>
          <t>Security / Exception / Recovery</t>
        </is>
      </c>
      <c r="U129" s="8" t="inlineStr"/>
      <c r="V129" s="8" t="inlineStr"/>
      <c r="W129" s="8" t="inlineStr">
        <is>
          <t>CONTROL</t>
        </is>
      </c>
      <c r="X129" s="5" t="inlineStr">
        <is>
          <t>Core</t>
        </is>
      </c>
      <c r="Y129" s="5" t="inlineStr">
        <is>
          <t>Owner</t>
        </is>
      </c>
      <c r="Z129" s="5" t="inlineStr">
        <is>
          <t>High</t>
        </is>
      </c>
      <c r="AA129" s="5" t="inlineStr">
        <is>
          <t>Medium</t>
        </is>
      </c>
      <c r="AB129" s="8" t="inlineStr">
        <is>
          <t>Medium</t>
        </is>
      </c>
      <c r="AC129" s="8" t="inlineStr">
        <is>
          <t>MVP</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P0</t>
        </is>
      </c>
      <c r="AL129" s="8" t="n">
        <v>12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P-0129</t>
        </is>
      </c>
      <c r="B130" s="8" t="inlineStr">
        <is>
          <t>P</t>
        </is>
      </c>
      <c r="C130" s="5" t="inlineStr">
        <is>
          <t>Salesperson</t>
        </is>
      </c>
      <c r="D130" s="5" t="inlineStr">
        <is>
          <t>Sales / CRM / Customer Lifecycle</t>
        </is>
      </c>
      <c r="E130" s="5" t="inlineStr">
        <is>
          <t>Create a customer/order</t>
        </is>
      </c>
      <c r="F130" s="5" t="inlineStr">
        <is>
          <t>Field Salesperson</t>
        </is>
      </c>
      <c r="G130" s="5" t="inlineStr">
        <is>
          <t>Retailer / Dealer</t>
        </is>
      </c>
      <c r="H130" s="5" t="inlineStr">
        <is>
          <t>Book sales order while visiting retailer premises using mobile phone or tablet</t>
        </is>
      </c>
      <c r="I130" s="5" t="inlineStr">
        <is>
          <t>Creates SalesOrder draft with customer pricing, items, and delivery instructions; syncs to server</t>
        </is>
      </c>
      <c r="J130" s="20" t="inlineStr">
        <is>
          <t>P1</t>
        </is>
      </c>
      <c r="K130" s="20" t="inlineStr">
        <is>
          <t>Validated (Supported)</t>
        </is>
      </c>
      <c r="L130" s="5" t="inlineStr">
        <is>
          <t>Supported via Mobile PWA / Capacitor Android app (/sales/orders/create).</t>
        </is>
      </c>
      <c r="M130" s="8" t="inlineStr">
        <is>
          <t>Baseline</t>
        </is>
      </c>
      <c r="N130" s="8" t="inlineStr">
        <is>
          <t>Operational role</t>
        </is>
      </c>
      <c r="O130" s="8" t="inlineStr">
        <is>
          <t>P1</t>
        </is>
      </c>
      <c r="P130" s="5" t="inlineStr">
        <is>
          <t>Unchanged</t>
        </is>
      </c>
      <c r="Q130" s="20" t="inlineStr">
        <is>
          <t>Author assertion</t>
        </is>
      </c>
      <c r="R130" s="5" t="inlineStr"/>
      <c r="S130" s="8" t="inlineStr">
        <is>
          <t>CRM</t>
        </is>
      </c>
      <c r="T130" s="5" t="inlineStr">
        <is>
          <t>Sales and CRM lifecycle</t>
        </is>
      </c>
      <c r="U130" s="8" t="inlineStr"/>
      <c r="V130" s="8" t="inlineStr">
        <is>
          <t>crm</t>
        </is>
      </c>
      <c r="W130" s="8" t="inlineStr">
        <is>
          <t>GROW</t>
        </is>
      </c>
      <c r="X130" s="5" t="inlineStr">
        <is>
          <t>Core</t>
        </is>
      </c>
      <c r="Y130" s="5" t="inlineStr">
        <is>
          <t>Sales</t>
        </is>
      </c>
      <c r="Z130" s="5" t="inlineStr">
        <is>
          <t>Medium</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6</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P-0130</t>
        </is>
      </c>
      <c r="B131" s="8" t="inlineStr">
        <is>
          <t>P</t>
        </is>
      </c>
      <c r="C131" s="5" t="inlineStr">
        <is>
          <t>Salesperson</t>
        </is>
      </c>
      <c r="D131" s="5" t="inlineStr">
        <is>
          <t>Sales / CRM / Customer Lifecycle</t>
        </is>
      </c>
      <c r="E131" s="5" t="inlineStr">
        <is>
          <t>Search customer history</t>
        </is>
      </c>
      <c r="F131" s="5" t="inlineStr">
        <is>
          <t>Field Salesperson</t>
        </is>
      </c>
      <c r="G131" s="5" t="inlineStr">
        <is>
          <t>Retailer</t>
        </is>
      </c>
      <c r="H131" s="5" t="inlineStr">
        <is>
          <t>View customer's past orders, favorite products, and payment track record before negotiating</t>
        </is>
      </c>
      <c r="I131" s="5" t="inlineStr">
        <is>
          <t>Displays historical order timeline, average order value, and preferred SKUs</t>
        </is>
      </c>
      <c r="J131" s="20" t="inlineStr">
        <is>
          <t>P1</t>
        </is>
      </c>
      <c r="K131" s="20" t="inlineStr">
        <is>
          <t>Validated (Supported)</t>
        </is>
      </c>
      <c r="L131" s="5" t="inlineStr">
        <is>
          <t>Supported via Customer 360 profile view on mobile sales interface.</t>
        </is>
      </c>
      <c r="M131" s="8" t="inlineStr">
        <is>
          <t>Baseline</t>
        </is>
      </c>
      <c r="N131" s="8" t="inlineStr">
        <is>
          <t>Operational role</t>
        </is>
      </c>
      <c r="O131" s="8" t="inlineStr">
        <is>
          <t>P1</t>
        </is>
      </c>
      <c r="P131" s="5" t="inlineStr">
        <is>
          <t>Unchanged</t>
        </is>
      </c>
      <c r="Q131" s="20" t="inlineStr">
        <is>
          <t>Author assertion</t>
        </is>
      </c>
      <c r="R131" s="5" t="inlineStr"/>
      <c r="S131" s="8" t="inlineStr">
        <is>
          <t>CRM</t>
        </is>
      </c>
      <c r="T131" s="5" t="inlineStr">
        <is>
          <t>Sales and CRM lifecycle</t>
        </is>
      </c>
      <c r="U131" s="8" t="inlineStr"/>
      <c r="V131" s="8" t="inlineStr">
        <is>
          <t>crm</t>
        </is>
      </c>
      <c r="W131" s="8" t="inlineStr">
        <is>
          <t>GROW</t>
        </is>
      </c>
      <c r="X131" s="5" t="inlineStr">
        <is>
          <t>Core</t>
        </is>
      </c>
      <c r="Y131" s="5" t="inlineStr">
        <is>
          <t>Sales</t>
        </is>
      </c>
      <c r="Z131" s="5" t="inlineStr">
        <is>
          <t>Medium</t>
        </is>
      </c>
      <c r="AA131" s="5" t="inlineStr">
        <is>
          <t>Medium</t>
        </is>
      </c>
      <c r="AB131" s="8" t="inlineStr">
        <is>
          <t>Low</t>
        </is>
      </c>
      <c r="AC131" s="8" t="inlineStr">
        <is>
          <t>Later</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P1</t>
        </is>
      </c>
      <c r="AL131" s="8" t="n">
        <v>6</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P-0131</t>
        </is>
      </c>
      <c r="B132" s="8" t="inlineStr">
        <is>
          <t>P</t>
        </is>
      </c>
      <c r="C132" s="5" t="inlineStr">
        <is>
          <t>Salesperson</t>
        </is>
      </c>
      <c r="D132" s="5" t="inlineStr">
        <is>
          <t>Sales / CRM / Customer Lifecycle</t>
        </is>
      </c>
      <c r="E132" s="5" t="inlineStr">
        <is>
          <t>Create a quotation</t>
        </is>
      </c>
      <c r="F132" s="5" t="inlineStr">
        <is>
          <t>Salesperson</t>
        </is>
      </c>
      <c r="G132" s="5" t="inlineStr">
        <is>
          <t>Prospective B2B Client</t>
        </is>
      </c>
      <c r="H132" s="5" t="inlineStr">
        <is>
          <t>Generate professional quotation PDF with itemized prices, validity period, and payment terms</t>
        </is>
      </c>
      <c r="I132" s="5" t="inlineStr">
        <is>
          <t>Creates Quotation record; computes applicable taxes and discounts; generates shareable PDF</t>
        </is>
      </c>
      <c r="J132" s="20" t="inlineStr">
        <is>
          <t>P1</t>
        </is>
      </c>
      <c r="K132" s="20" t="inlineStr">
        <is>
          <t>Validated (Supported)</t>
        </is>
      </c>
      <c r="L132" s="5" t="inlineStr">
        <is>
          <t>Supported via /sales/quotations/create with WhatsApp share button.</t>
        </is>
      </c>
      <c r="M132" s="8" t="inlineStr">
        <is>
          <t>Baseline</t>
        </is>
      </c>
      <c r="N132" s="8" t="inlineStr">
        <is>
          <t>Operational role</t>
        </is>
      </c>
      <c r="O132" s="8" t="inlineStr">
        <is>
          <t>P1</t>
        </is>
      </c>
      <c r="P132" s="5" t="inlineStr">
        <is>
          <t>Unchanged</t>
        </is>
      </c>
      <c r="Q132" s="21" t="inlineStr">
        <is>
          <t>Code symbol found</t>
        </is>
      </c>
      <c r="R132" s="5" t="inlineStr">
        <is>
          <t>Matched WhatsApp in product code. This is not a functional test.</t>
        </is>
      </c>
      <c r="S132" s="8" t="inlineStr">
        <is>
          <t>CRM</t>
        </is>
      </c>
      <c r="T132" s="5" t="inlineStr">
        <is>
          <t>Sales and CRM lifecycle</t>
        </is>
      </c>
      <c r="U132" s="8" t="inlineStr"/>
      <c r="V132" s="8" t="inlineStr">
        <is>
          <t>crm</t>
        </is>
      </c>
      <c r="W132" s="8" t="inlineStr">
        <is>
          <t>GROW</t>
        </is>
      </c>
      <c r="X132" s="5" t="inlineStr">
        <is>
          <t>Core</t>
        </is>
      </c>
      <c r="Y132" s="5" t="inlineStr">
        <is>
          <t>Sales</t>
        </is>
      </c>
      <c r="Z132" s="5" t="inlineStr">
        <is>
          <t>Medium</t>
        </is>
      </c>
      <c r="AA132" s="5" t="inlineStr">
        <is>
          <t>Medium</t>
        </is>
      </c>
      <c r="AB132" s="8" t="inlineStr">
        <is>
          <t>Low</t>
        </is>
      </c>
      <c r="AC132" s="8" t="inlineStr">
        <is>
          <t>Later</t>
        </is>
      </c>
      <c r="AD132" s="5" t="inlineStr">
        <is>
          <t>Cited in code</t>
        </is>
      </c>
      <c r="AE132" s="5" t="inlineStr">
        <is>
          <t>Not verified</t>
        </is>
      </c>
      <c r="AF132" s="5" t="inlineStr">
        <is>
          <t>Not verified</t>
        </is>
      </c>
      <c r="AG132" s="5" t="inlineStr">
        <is>
          <t>Not verified</t>
        </is>
      </c>
      <c r="AH132" s="5" t="inlineStr">
        <is>
          <t>Not verified</t>
        </is>
      </c>
      <c r="AI132" s="8" t="inlineStr">
        <is>
          <t>No</t>
        </is>
      </c>
      <c r="AJ132" s="8" t="inlineStr">
        <is>
          <t>Built - unverified</t>
        </is>
      </c>
      <c r="AK132" s="8" t="inlineStr">
        <is>
          <t>P1</t>
        </is>
      </c>
      <c r="AL132" s="8" t="n">
        <v>6</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P-0132</t>
        </is>
      </c>
      <c r="B133" s="8" t="inlineStr">
        <is>
          <t>P</t>
        </is>
      </c>
      <c r="C133" s="5" t="inlineStr">
        <is>
          <t>Salesperson</t>
        </is>
      </c>
      <c r="D133" s="5" t="inlineStr">
        <is>
          <t>Sales / CRM / Customer Lifecycle</t>
        </is>
      </c>
      <c r="E133" s="5" t="inlineStr">
        <is>
          <t>Convert quotation into an order</t>
        </is>
      </c>
      <c r="F133" s="5" t="inlineStr">
        <is>
          <t>Salesperson</t>
        </is>
      </c>
      <c r="G133" s="5" t="inlineStr">
        <is>
          <t>Customer</t>
        </is>
      </c>
      <c r="H133" s="5" t="inlineStr">
        <is>
          <t>One-click conversion of accepted quotation into an active sales order without re-typing</t>
        </is>
      </c>
      <c r="I133" s="5" t="inlineStr">
        <is>
          <t>Clones Quotation items into SalesOrder, marks quotation as CONVERTED, reserves inventory</t>
        </is>
      </c>
      <c r="J133" s="20" t="inlineStr">
        <is>
          <t>P1</t>
        </is>
      </c>
      <c r="K133" s="20" t="inlineStr">
        <is>
          <t>Validated (Supported)</t>
        </is>
      </c>
      <c r="L133" s="5" t="inlineStr">
        <is>
          <t>Supported via Quotation 'Convert to Order' action in Quotation detail view.</t>
        </is>
      </c>
      <c r="M133" s="8" t="inlineStr">
        <is>
          <t>Baseline</t>
        </is>
      </c>
      <c r="N133" s="8" t="inlineStr">
        <is>
          <t>Operational role</t>
        </is>
      </c>
      <c r="O133" s="8" t="inlineStr">
        <is>
          <t>P1</t>
        </is>
      </c>
      <c r="P133" s="5" t="inlineStr">
        <is>
          <t>Unchanged</t>
        </is>
      </c>
      <c r="Q133" s="20" t="inlineStr">
        <is>
          <t>Author assertion</t>
        </is>
      </c>
      <c r="R133" s="5" t="inlineStr"/>
      <c r="S133" s="8" t="inlineStr">
        <is>
          <t>CRM</t>
        </is>
      </c>
      <c r="T133" s="5" t="inlineStr">
        <is>
          <t>Sales and CRM lifecycle</t>
        </is>
      </c>
      <c r="U133" s="8" t="inlineStr"/>
      <c r="V133" s="8" t="inlineStr">
        <is>
          <t>crm</t>
        </is>
      </c>
      <c r="W133" s="8" t="inlineStr">
        <is>
          <t>GROW</t>
        </is>
      </c>
      <c r="X133" s="5" t="inlineStr">
        <is>
          <t>Core</t>
        </is>
      </c>
      <c r="Y133" s="5" t="inlineStr">
        <is>
          <t>Sales</t>
        </is>
      </c>
      <c r="Z133" s="5" t="inlineStr">
        <is>
          <t>Medium</t>
        </is>
      </c>
      <c r="AA133" s="5" t="inlineStr">
        <is>
          <t>Medium</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P1</t>
        </is>
      </c>
      <c r="AL133" s="8" t="n">
        <v>6</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P-0133</t>
        </is>
      </c>
      <c r="B134" s="8" t="inlineStr">
        <is>
          <t>P</t>
        </is>
      </c>
      <c r="C134" s="5" t="inlineStr">
        <is>
          <t>Salesperson</t>
        </is>
      </c>
      <c r="D134" s="5" t="inlineStr">
        <is>
          <t>Inventory Lifecycle</t>
        </is>
      </c>
      <c r="E134" s="5" t="inlineStr">
        <is>
          <t>Check product availability</t>
        </is>
      </c>
      <c r="F134" s="5" t="inlineStr">
        <is>
          <t>Salesperson</t>
        </is>
      </c>
      <c r="G134" s="5" t="inlineStr">
        <is>
          <t>Godown Keeper</t>
        </is>
      </c>
      <c r="H134" s="5" t="inlineStr">
        <is>
          <t>Check real-time warehouse available-to-promise (ATP) stock before confirming delivery dates</t>
        </is>
      </c>
      <c r="I134" s="5" t="inlineStr">
        <is>
          <t>Queries central stock balance deducting currently reserved customer orders</t>
        </is>
      </c>
      <c r="J134" s="19" t="inlineStr">
        <is>
          <t>P0</t>
        </is>
      </c>
      <c r="K134" s="20" t="inlineStr">
        <is>
          <t>Validated (Supported)</t>
        </is>
      </c>
      <c r="L134" s="5" t="inlineStr">
        <is>
          <t>Supported on mobile sales screen with instant SKU stock check.</t>
        </is>
      </c>
      <c r="M134" s="8" t="inlineStr">
        <is>
          <t>Baseline</t>
        </is>
      </c>
      <c r="N134" s="8" t="inlineStr">
        <is>
          <t>Operational role</t>
        </is>
      </c>
      <c r="O134" s="8" t="inlineStr">
        <is>
          <t>P0</t>
        </is>
      </c>
      <c r="P134" s="5" t="inlineStr">
        <is>
          <t>Unchanged</t>
        </is>
      </c>
      <c r="Q134" s="20" t="inlineStr">
        <is>
          <t>Author assertion</t>
        </is>
      </c>
      <c r="R134" s="5" t="inlineStr"/>
      <c r="S134" s="8" t="inlineStr">
        <is>
          <t>INV</t>
        </is>
      </c>
      <c r="T134" s="5" t="inlineStr">
        <is>
          <t>Inventory lifecycle</t>
        </is>
      </c>
      <c r="U134" s="8" t="inlineStr"/>
      <c r="V134" s="8" t="inlineStr">
        <is>
          <t>inventory</t>
        </is>
      </c>
      <c r="W134" s="8" t="inlineStr">
        <is>
          <t>RUN</t>
        </is>
      </c>
      <c r="X134" s="5" t="inlineStr">
        <is>
          <t>Core</t>
        </is>
      </c>
      <c r="Y134" s="5" t="inlineStr">
        <is>
          <t>Sales</t>
        </is>
      </c>
      <c r="Z134" s="5" t="inlineStr">
        <is>
          <t>High</t>
        </is>
      </c>
      <c r="AA134" s="5" t="inlineStr">
        <is>
          <t>High</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9</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P-0134</t>
        </is>
      </c>
      <c r="B135" s="8" t="inlineStr">
        <is>
          <t>P</t>
        </is>
      </c>
      <c r="C135" s="5" t="inlineStr">
        <is>
          <t>Salesperson</t>
        </is>
      </c>
      <c r="D135" s="5" t="inlineStr">
        <is>
          <t>Sales / CRM / Customer Lifecycle</t>
        </is>
      </c>
      <c r="E135" s="5" t="inlineStr">
        <is>
          <t>Record customer follow-up</t>
        </is>
      </c>
      <c r="F135" s="5" t="inlineStr">
        <is>
          <t>Salesperson</t>
        </is>
      </c>
      <c r="G135" s="5" t="inlineStr">
        <is>
          <t>Customer</t>
        </is>
      </c>
      <c r="H135" s="5" t="inlineStr">
        <is>
          <t>Log meeting notes, scheduled calls, and follow-up reminders for open quotations</t>
        </is>
      </c>
      <c r="I135" s="5" t="inlineStr">
        <is>
          <t>Creates CRM activity log attached to customer account; sets calendar reminder</t>
        </is>
      </c>
      <c r="J135" s="22" t="inlineStr">
        <is>
          <t>P2</t>
        </is>
      </c>
      <c r="K135" s="20" t="inlineStr">
        <is>
          <t>Validated (Supported)</t>
        </is>
      </c>
      <c r="L135" s="5" t="inlineStr">
        <is>
          <t>Supported via CRM interaction log (/crm/activities/).</t>
        </is>
      </c>
      <c r="M135" s="8" t="inlineStr">
        <is>
          <t>Baseline</t>
        </is>
      </c>
      <c r="N135" s="8" t="inlineStr">
        <is>
          <t>Operational role</t>
        </is>
      </c>
      <c r="O135" s="8" t="inlineStr">
        <is>
          <t>P2</t>
        </is>
      </c>
      <c r="P135" s="5" t="inlineStr">
        <is>
          <t>Unchanged</t>
        </is>
      </c>
      <c r="Q135" s="20" t="inlineStr">
        <is>
          <t>Author assertion</t>
        </is>
      </c>
      <c r="R135" s="5" t="inlineStr"/>
      <c r="S135" s="8" t="inlineStr">
        <is>
          <t>CRM</t>
        </is>
      </c>
      <c r="T135" s="5" t="inlineStr">
        <is>
          <t>Sales and CRM lifecycle</t>
        </is>
      </c>
      <c r="U135" s="8" t="inlineStr"/>
      <c r="V135" s="8" t="inlineStr">
        <is>
          <t>crm</t>
        </is>
      </c>
      <c r="W135" s="8" t="inlineStr">
        <is>
          <t>GROW</t>
        </is>
      </c>
      <c r="X135" s="5" t="inlineStr">
        <is>
          <t>Core</t>
        </is>
      </c>
      <c r="Y135" s="5" t="inlineStr">
        <is>
          <t>Sales</t>
        </is>
      </c>
      <c r="Z135" s="5" t="inlineStr">
        <is>
          <t>Medium</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P2</t>
        </is>
      </c>
      <c r="AL135" s="8" t="n">
        <v>6</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P-0135</t>
        </is>
      </c>
      <c r="B136" s="8" t="inlineStr">
        <is>
          <t>P</t>
        </is>
      </c>
      <c r="C136" s="5" t="inlineStr">
        <is>
          <t>Salesperson</t>
        </is>
      </c>
      <c r="D136" s="5" t="inlineStr">
        <is>
          <t>Customer-to-Cash</t>
        </is>
      </c>
      <c r="E136" s="5" t="inlineStr">
        <is>
          <t>Track pending orders</t>
        </is>
      </c>
      <c r="F136" s="5" t="inlineStr">
        <is>
          <t>Salesperson</t>
        </is>
      </c>
      <c r="G136" s="5" t="inlineStr">
        <is>
          <t>Customer</t>
        </is>
      </c>
      <c r="H136" s="5" t="inlineStr">
        <is>
          <t>Track dispatch and delivery progress of booked customer orders to update clients</t>
        </is>
      </c>
      <c r="I136" s="5" t="inlineStr">
        <is>
          <t>Displays order fulfillment status (CONFIRMED, PICKED, DISPATCHED, DELIVERED)</t>
        </is>
      </c>
      <c r="J136" s="20" t="inlineStr">
        <is>
          <t>P1</t>
        </is>
      </c>
      <c r="K136" s="20" t="inlineStr">
        <is>
          <t>Validated (Supported)</t>
        </is>
      </c>
      <c r="L136" s="5" t="inlineStr">
        <is>
          <t>Supported in mobile order dashboard with status tracking badges.</t>
        </is>
      </c>
      <c r="M136" s="8" t="inlineStr">
        <is>
          <t>Baseline</t>
        </is>
      </c>
      <c r="N136" s="8" t="inlineStr">
        <is>
          <t>Operational role</t>
        </is>
      </c>
      <c r="O136" s="8" t="inlineStr">
        <is>
          <t>P1</t>
        </is>
      </c>
      <c r="P136" s="5" t="inlineStr">
        <is>
          <t>Unchanged</t>
        </is>
      </c>
      <c r="Q136" s="20" t="inlineStr">
        <is>
          <t>Author assertion</t>
        </is>
      </c>
      <c r="R136" s="5" t="inlineStr"/>
      <c r="S136" s="8" t="inlineStr">
        <is>
          <t>C2C</t>
        </is>
      </c>
      <c r="T136" s="5" t="inlineStr">
        <is>
          <t>Customer to cash</t>
        </is>
      </c>
      <c r="U136" s="8" t="inlineStr"/>
      <c r="V136" s="8" t="inlineStr">
        <is>
          <t>sales</t>
        </is>
      </c>
      <c r="W136" s="8" t="inlineStr">
        <is>
          <t>RUN</t>
        </is>
      </c>
      <c r="X136" s="5" t="inlineStr">
        <is>
          <t>Core</t>
        </is>
      </c>
      <c r="Y136" s="5" t="inlineStr">
        <is>
          <t>Sales</t>
        </is>
      </c>
      <c r="Z136" s="5" t="inlineStr">
        <is>
          <t>Medium</t>
        </is>
      </c>
      <c r="AA136" s="5" t="inlineStr">
        <is>
          <t>Medium</t>
        </is>
      </c>
      <c r="AB136" s="8" t="inlineStr">
        <is>
          <t>Low</t>
        </is>
      </c>
      <c r="AC136" s="8" t="inlineStr">
        <is>
          <t>Pilot</t>
        </is>
      </c>
      <c r="AD136" s="5" t="inlineStr">
        <is>
          <t>Not independently checked</t>
        </is>
      </c>
      <c r="AE136" s="5" t="inlineStr">
        <is>
          <t>Not verified</t>
        </is>
      </c>
      <c r="AF136" s="5" t="inlineStr">
        <is>
          <t>Not verified</t>
        </is>
      </c>
      <c r="AG136" s="5" t="inlineStr">
        <is>
          <t>Not verified</t>
        </is>
      </c>
      <c r="AH136" s="5" t="inlineStr">
        <is>
          <t>Not verified</t>
        </is>
      </c>
      <c r="AI136" s="8" t="inlineStr">
        <is>
          <t>No</t>
        </is>
      </c>
      <c r="AJ136" s="8" t="inlineStr">
        <is>
          <t>Claimed - unverified</t>
        </is>
      </c>
      <c r="AK136" s="8" t="inlineStr">
        <is>
          <t>P1</t>
        </is>
      </c>
      <c r="AL136" s="8" t="n">
        <v>6</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P-0136</t>
        </is>
      </c>
      <c r="B137" s="8" t="inlineStr">
        <is>
          <t>P</t>
        </is>
      </c>
      <c r="C137" s="5" t="inlineStr">
        <is>
          <t>Salesperson</t>
        </is>
      </c>
      <c r="D137" s="5" t="inlineStr">
        <is>
          <t>Receivables &amp; Payables</t>
        </is>
      </c>
      <c r="E137" s="5" t="inlineStr">
        <is>
          <t>Record customer payment</t>
        </is>
      </c>
      <c r="F137" s="5" t="inlineStr">
        <is>
          <t>Salesperson</t>
        </is>
      </c>
      <c r="G137" s="5" t="inlineStr">
        <is>
          <t>Customer / Cashier</t>
        </is>
      </c>
      <c r="H137" s="5" t="inlineStr">
        <is>
          <t>Collect on-site cash, cheque, or initiate UPI QR payment from customer during field visit</t>
        </is>
      </c>
      <c r="I137" s="5" t="inlineStr">
        <is>
          <t>Creates payment collection receipt; updates customer outstanding subject to cashier verification</t>
        </is>
      </c>
      <c r="J137" s="20" t="inlineStr">
        <is>
          <t>P1</t>
        </is>
      </c>
      <c r="K137" s="20" t="inlineStr">
        <is>
          <t>Validated (Supported)</t>
        </is>
      </c>
      <c r="L137" s="5" t="inlineStr">
        <is>
          <t>Supported via Mobile Payment Collection screen with receipt issuance.</t>
        </is>
      </c>
      <c r="M137" s="8" t="inlineStr">
        <is>
          <t>Baseline</t>
        </is>
      </c>
      <c r="N137" s="8" t="inlineStr">
        <is>
          <t>Operational role</t>
        </is>
      </c>
      <c r="O137" s="8" t="inlineStr">
        <is>
          <t>P1</t>
        </is>
      </c>
      <c r="P137" s="5" t="inlineStr">
        <is>
          <t>Unchanged</t>
        </is>
      </c>
      <c r="Q137" s="20" t="inlineStr">
        <is>
          <t>Author assertion</t>
        </is>
      </c>
      <c r="R137" s="5" t="inlineStr"/>
      <c r="S137" s="8" t="inlineStr">
        <is>
          <t>ARAP</t>
        </is>
      </c>
      <c r="T137" s="5" t="inlineStr">
        <is>
          <t>Receivables and payables</t>
        </is>
      </c>
      <c r="U137" s="8" t="inlineStr"/>
      <c r="V137" s="8" t="inlineStr">
        <is>
          <t>ledgers</t>
        </is>
      </c>
      <c r="W137" s="8" t="inlineStr">
        <is>
          <t>CONTROL</t>
        </is>
      </c>
      <c r="X137" s="5" t="inlineStr">
        <is>
          <t>Core</t>
        </is>
      </c>
      <c r="Y137" s="5" t="inlineStr">
        <is>
          <t>Sales</t>
        </is>
      </c>
      <c r="Z137" s="5" t="inlineStr">
        <is>
          <t>Critical</t>
        </is>
      </c>
      <c r="AA137" s="5" t="inlineStr">
        <is>
          <t>High</t>
        </is>
      </c>
      <c r="AB137" s="8" t="inlineStr">
        <is>
          <t>Medium</t>
        </is>
      </c>
      <c r="AC137" s="8" t="inlineStr">
        <is>
          <t>Pilot</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P1</t>
        </is>
      </c>
      <c r="AL137" s="8" t="n">
        <v>18</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P-0137</t>
        </is>
      </c>
      <c r="B138" s="8" t="inlineStr">
        <is>
          <t>P</t>
        </is>
      </c>
      <c r="C138" s="5" t="inlineStr">
        <is>
          <t>Salesperson</t>
        </is>
      </c>
      <c r="D138" s="5" t="inlineStr">
        <is>
          <t>Receivables &amp; Payables</t>
        </is>
      </c>
      <c r="E138" s="5" t="inlineStr">
        <is>
          <t>View customer outstanding</t>
        </is>
      </c>
      <c r="F138" s="5" t="inlineStr">
        <is>
          <t>Salesperson</t>
        </is>
      </c>
      <c r="G138" s="5" t="inlineStr">
        <is>
          <t>Customer</t>
        </is>
      </c>
      <c r="H138" s="5" t="inlineStr">
        <is>
          <t>Check retailer's current unpaid balance and available credit limit before accepting new order</t>
        </is>
      </c>
      <c r="I138" s="5" t="inlineStr">
        <is>
          <t>Displays total balance, overdue aging, and remaining credit buffer</t>
        </is>
      </c>
      <c r="J138" s="20" t="inlineStr">
        <is>
          <t>P1</t>
        </is>
      </c>
      <c r="K138" s="20" t="inlineStr">
        <is>
          <t>Validated (Supported)</t>
        </is>
      </c>
      <c r="L138" s="5" t="inlineStr">
        <is>
          <t>Supported on customer card in mobile sales booking flow.</t>
        </is>
      </c>
      <c r="M138" s="8" t="inlineStr">
        <is>
          <t>Baseline</t>
        </is>
      </c>
      <c r="N138" s="8" t="inlineStr">
        <is>
          <t>Operational role</t>
        </is>
      </c>
      <c r="O138" s="8" t="inlineStr">
        <is>
          <t>P1</t>
        </is>
      </c>
      <c r="P138" s="5" t="inlineStr">
        <is>
          <t>Restored to authored P1. The previous workbook had P0 after a keyword rebalance.</t>
        </is>
      </c>
      <c r="Q138" s="20" t="inlineStr">
        <is>
          <t>Author assertion</t>
        </is>
      </c>
      <c r="R138" s="5" t="inlineStr">
        <is>
          <t>Restored to authored P1. The previous workbook had P0 after a keyword rebalance.</t>
        </is>
      </c>
      <c r="S138" s="8" t="inlineStr">
        <is>
          <t>ARAP</t>
        </is>
      </c>
      <c r="T138" s="5" t="inlineStr">
        <is>
          <t>Receivables and payables</t>
        </is>
      </c>
      <c r="U138" s="8" t="inlineStr"/>
      <c r="V138" s="8" t="inlineStr">
        <is>
          <t>ledgers</t>
        </is>
      </c>
      <c r="W138" s="8" t="inlineStr">
        <is>
          <t>CONTROL</t>
        </is>
      </c>
      <c r="X138" s="5" t="inlineStr">
        <is>
          <t>Core</t>
        </is>
      </c>
      <c r="Y138" s="5" t="inlineStr">
        <is>
          <t>Sales</t>
        </is>
      </c>
      <c r="Z138" s="5" t="inlineStr">
        <is>
          <t>Critical</t>
        </is>
      </c>
      <c r="AA138" s="5" t="inlineStr">
        <is>
          <t>High</t>
        </is>
      </c>
      <c r="AB138" s="8" t="inlineStr">
        <is>
          <t>Medium</t>
        </is>
      </c>
      <c r="AC138" s="8" t="inlineStr">
        <is>
          <t>Pilot</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18</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P-0138</t>
        </is>
      </c>
      <c r="B139" s="8" t="inlineStr">
        <is>
          <t>P</t>
        </is>
      </c>
      <c r="C139" s="5" t="inlineStr">
        <is>
          <t>Salesperson</t>
        </is>
      </c>
      <c r="D139" s="5" t="inlineStr">
        <is>
          <t>Reporting &amp; Business Intelligence</t>
        </is>
      </c>
      <c r="E139" s="5" t="inlineStr">
        <is>
          <t>Track sales performance</t>
        </is>
      </c>
      <c r="F139" s="5" t="inlineStr">
        <is>
          <t>Salesperson</t>
        </is>
      </c>
      <c r="G139" s="5" t="inlineStr">
        <is>
          <t>Sales Manager</t>
        </is>
      </c>
      <c r="H139" s="5" t="inlineStr">
        <is>
          <t>Track personal monthly sales achievement against assigned sales quota and commission target</t>
        </is>
      </c>
      <c r="I139" s="5" t="inlineStr">
        <is>
          <t>Computes personal sales volume, order count, and gross margin contribution for the month</t>
        </is>
      </c>
      <c r="J139" s="22" t="inlineStr">
        <is>
          <t>P2</t>
        </is>
      </c>
      <c r="K139" s="20" t="inlineStr">
        <is>
          <t>Validated (Supported)</t>
        </is>
      </c>
      <c r="L139" s="5" t="inlineStr">
        <is>
          <t>Supported via Sales Rep Performance Leaderboard (/reports/sales-team/).</t>
        </is>
      </c>
      <c r="M139" s="8" t="inlineStr">
        <is>
          <t>Baseline</t>
        </is>
      </c>
      <c r="N139" s="8" t="inlineStr">
        <is>
          <t>Operational role</t>
        </is>
      </c>
      <c r="O139" s="8" t="inlineStr">
        <is>
          <t>P2</t>
        </is>
      </c>
      <c r="P139" s="5" t="inlineStr">
        <is>
          <t>Restored to authored P2. The previous workbook had P3 after a keyword rebalance.</t>
        </is>
      </c>
      <c r="Q139" s="20" t="inlineStr">
        <is>
          <t>Author assertion</t>
        </is>
      </c>
      <c r="R139" s="5" t="inlineStr">
        <is>
          <t>Restored to authored P2. The previous workbook had P3 after a keyword rebalance.</t>
        </is>
      </c>
      <c r="S139" s="8" t="inlineStr">
        <is>
          <t>RPT</t>
        </is>
      </c>
      <c r="T139" s="5" t="inlineStr">
        <is>
          <t>Reporting and business intelligence</t>
        </is>
      </c>
      <c r="U139" s="8" t="inlineStr"/>
      <c r="V139" s="8" t="inlineStr">
        <is>
          <t>reporting</t>
        </is>
      </c>
      <c r="W139" s="8" t="inlineStr">
        <is>
          <t>CONTROL</t>
        </is>
      </c>
      <c r="X139" s="5" t="inlineStr">
        <is>
          <t>Core</t>
        </is>
      </c>
      <c r="Y139" s="5" t="inlineStr">
        <is>
          <t>Sales</t>
        </is>
      </c>
      <c r="Z139" s="5" t="inlineStr">
        <is>
          <t>Medium</t>
        </is>
      </c>
      <c r="AA139" s="5" t="inlineStr">
        <is>
          <t>Medium</t>
        </is>
      </c>
      <c r="AB139" s="8" t="inlineStr">
        <is>
          <t>Low</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P2</t>
        </is>
      </c>
      <c r="AL139" s="8" t="n">
        <v>6</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P-0139</t>
        </is>
      </c>
      <c r="B140" s="8" t="inlineStr">
        <is>
          <t>P</t>
        </is>
      </c>
      <c r="C140" s="5" t="inlineStr">
        <is>
          <t>Purchase Manager</t>
        </is>
      </c>
      <c r="D140" s="5" t="inlineStr">
        <is>
          <t>Procure-to-Pay</t>
        </is>
      </c>
      <c r="E140" s="5" t="inlineStr">
        <is>
          <t>Create a purchase order</t>
        </is>
      </c>
      <c r="F140" s="5" t="inlineStr">
        <is>
          <t>Purchase Manager</t>
        </is>
      </c>
      <c r="G140" s="5" t="inlineStr">
        <is>
          <t>Supplier / Manufacturer</t>
        </is>
      </c>
      <c r="H140" s="5" t="inlineStr">
        <is>
          <t>Generate formal Purchase Order (PO) with negotiated rates, delivery dates, and payment credit terms</t>
        </is>
      </c>
      <c r="I140" s="5" t="inlineStr">
        <is>
          <t>Creates PurchaseOrder document; records line items, taxes, and agreed shipping terms</t>
        </is>
      </c>
      <c r="J140" s="20" t="inlineStr">
        <is>
          <t>P1</t>
        </is>
      </c>
      <c r="K140" s="20" t="inlineStr">
        <is>
          <t>Validated (Supported)</t>
        </is>
      </c>
      <c r="L140" s="5" t="inlineStr">
        <is>
          <t>Supported via /purchases/orders/create with PDF export and vendor email/WhatsApp share.</t>
        </is>
      </c>
      <c r="M140" s="8" t="inlineStr">
        <is>
          <t>Baseline</t>
        </is>
      </c>
      <c r="N140" s="8" t="inlineStr">
        <is>
          <t>Operational role</t>
        </is>
      </c>
      <c r="O140" s="8" t="inlineStr">
        <is>
          <t>P1</t>
        </is>
      </c>
      <c r="P140" s="5" t="inlineStr">
        <is>
          <t>Unchanged</t>
        </is>
      </c>
      <c r="Q140" s="21" t="inlineStr">
        <is>
          <t>Code symbol found</t>
        </is>
      </c>
      <c r="R140" s="5" t="inlineStr">
        <is>
          <t>Matched WhatsApp in product code. This is not a functional test.</t>
        </is>
      </c>
      <c r="S140" s="8" t="inlineStr">
        <is>
          <t>P2P</t>
        </is>
      </c>
      <c r="T140" s="5" t="inlineStr">
        <is>
          <t>Procure to pay</t>
        </is>
      </c>
      <c r="U140" s="8" t="inlineStr"/>
      <c r="V140" s="8" t="inlineStr">
        <is>
          <t>purchases</t>
        </is>
      </c>
      <c r="W140" s="8" t="inlineStr">
        <is>
          <t>RUN</t>
        </is>
      </c>
      <c r="X140" s="5" t="inlineStr">
        <is>
          <t>Core</t>
        </is>
      </c>
      <c r="Y140" s="5" t="inlineStr">
        <is>
          <t>Buyer</t>
        </is>
      </c>
      <c r="Z140" s="5" t="inlineStr">
        <is>
          <t>Medium</t>
        </is>
      </c>
      <c r="AA140" s="5" t="inlineStr">
        <is>
          <t>Medium</t>
        </is>
      </c>
      <c r="AB140" s="8" t="inlineStr">
        <is>
          <t>Low</t>
        </is>
      </c>
      <c r="AC140" s="8" t="inlineStr">
        <is>
          <t>Pilot</t>
        </is>
      </c>
      <c r="AD140" s="5" t="inlineStr">
        <is>
          <t>Cited in code</t>
        </is>
      </c>
      <c r="AE140" s="5" t="inlineStr">
        <is>
          <t>Not verified</t>
        </is>
      </c>
      <c r="AF140" s="5" t="inlineStr">
        <is>
          <t>Not verified</t>
        </is>
      </c>
      <c r="AG140" s="5" t="inlineStr">
        <is>
          <t>Not verified</t>
        </is>
      </c>
      <c r="AH140" s="5" t="inlineStr">
        <is>
          <t>Not verified</t>
        </is>
      </c>
      <c r="AI140" s="8" t="inlineStr">
        <is>
          <t>No</t>
        </is>
      </c>
      <c r="AJ140" s="8" t="inlineStr">
        <is>
          <t>Built - unverified</t>
        </is>
      </c>
      <c r="AK140" s="8" t="inlineStr">
        <is>
          <t>P1</t>
        </is>
      </c>
      <c r="AL140" s="8" t="n">
        <v>6</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P-0140</t>
        </is>
      </c>
      <c r="B141" s="8" t="inlineStr">
        <is>
          <t>P</t>
        </is>
      </c>
      <c r="C141" s="5" t="inlineStr">
        <is>
          <t>Purchase Manager</t>
        </is>
      </c>
      <c r="D141" s="5" t="inlineStr">
        <is>
          <t>Procure-to-Pay</t>
        </is>
      </c>
      <c r="E141" s="5" t="inlineStr">
        <is>
          <t>Send/order products from supplier</t>
        </is>
      </c>
      <c r="F141" s="5" t="inlineStr">
        <is>
          <t>Purchase Manager</t>
        </is>
      </c>
      <c r="G141" s="5" t="inlineStr">
        <is>
          <t>Supplier</t>
        </is>
      </c>
      <c r="H141" s="5" t="inlineStr">
        <is>
          <t>Transmit approved purchase orders to vendors and track order confirmation status</t>
        </is>
      </c>
      <c r="I141" s="5" t="inlineStr">
        <is>
          <t>Updates PO status to SENT; logs delivery commitment date and vendor acknowledgment</t>
        </is>
      </c>
      <c r="J141" s="20" t="inlineStr">
        <is>
          <t>P1</t>
        </is>
      </c>
      <c r="K141" s="20" t="inlineStr">
        <is>
          <t>Validated (Supported)</t>
        </is>
      </c>
      <c r="L141" s="5" t="inlineStr">
        <is>
          <t>Supported via PO status workflow (DRAFT -&gt; APPROVED -&gt; SENT -&gt; CONFIRMED).</t>
        </is>
      </c>
      <c r="M141" s="8" t="inlineStr">
        <is>
          <t>Baseline</t>
        </is>
      </c>
      <c r="N141" s="8" t="inlineStr">
        <is>
          <t>Operational role</t>
        </is>
      </c>
      <c r="O141" s="8" t="inlineStr">
        <is>
          <t>P1</t>
        </is>
      </c>
      <c r="P141" s="5" t="inlineStr">
        <is>
          <t>Unchanged</t>
        </is>
      </c>
      <c r="Q141" s="20" t="inlineStr">
        <is>
          <t>Author assertion</t>
        </is>
      </c>
      <c r="R141" s="5" t="inlineStr"/>
      <c r="S141" s="8" t="inlineStr">
        <is>
          <t>P2P</t>
        </is>
      </c>
      <c r="T141" s="5" t="inlineStr">
        <is>
          <t>Procure to pay</t>
        </is>
      </c>
      <c r="U141" s="8" t="inlineStr"/>
      <c r="V141" s="8" t="inlineStr">
        <is>
          <t>purchases</t>
        </is>
      </c>
      <c r="W141" s="8" t="inlineStr">
        <is>
          <t>RUN</t>
        </is>
      </c>
      <c r="X141" s="5" t="inlineStr">
        <is>
          <t>Core</t>
        </is>
      </c>
      <c r="Y141" s="5" t="inlineStr">
        <is>
          <t>Buyer</t>
        </is>
      </c>
      <c r="Z141" s="5" t="inlineStr">
        <is>
          <t>Medium</t>
        </is>
      </c>
      <c r="AA141" s="5" t="inlineStr">
        <is>
          <t>Medium</t>
        </is>
      </c>
      <c r="AB141" s="8" t="inlineStr">
        <is>
          <t>Low</t>
        </is>
      </c>
      <c r="AC141" s="8" t="inlineStr">
        <is>
          <t>Pilot</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P1</t>
        </is>
      </c>
      <c r="AL141" s="8" t="n">
        <v>6</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P-0141</t>
        </is>
      </c>
      <c r="B142" s="8" t="inlineStr">
        <is>
          <t>P</t>
        </is>
      </c>
      <c r="C142" s="5" t="inlineStr">
        <is>
          <t>Purchase Manager</t>
        </is>
      </c>
      <c r="D142" s="5" t="inlineStr">
        <is>
          <t>Procure-to-Pay</t>
        </is>
      </c>
      <c r="E142" s="5" t="inlineStr">
        <is>
          <t>Receive goods against purchase order</t>
        </is>
      </c>
      <c r="F142" s="5" t="inlineStr">
        <is>
          <t>Purchase Manager</t>
        </is>
      </c>
      <c r="G142" s="5" t="inlineStr">
        <is>
          <t>Supplier / Manufacturer</t>
        </is>
      </c>
      <c r="H142" s="5" t="inlineStr">
        <is>
          <t>Generate formal Purchase Order (PO) with negotiated rates, delivery dates, and payment credit terms</t>
        </is>
      </c>
      <c r="I142" s="5" t="inlineStr">
        <is>
          <t>Creates PurchaseOrder document; records line items, taxes, and agreed shipping terms</t>
        </is>
      </c>
      <c r="J142" s="20" t="inlineStr">
        <is>
          <t>P1</t>
        </is>
      </c>
      <c r="K142" s="20" t="inlineStr">
        <is>
          <t>Validated (Supported)</t>
        </is>
      </c>
      <c r="L142" s="5" t="inlineStr">
        <is>
          <t>Supported via /purchases/orders/create with PDF export and vendor email/WhatsApp share.</t>
        </is>
      </c>
      <c r="M142" s="8" t="inlineStr">
        <is>
          <t>Baseline</t>
        </is>
      </c>
      <c r="N142" s="8" t="inlineStr">
        <is>
          <t>Operational role</t>
        </is>
      </c>
      <c r="O142" s="8" t="inlineStr">
        <is>
          <t>P1</t>
        </is>
      </c>
      <c r="P142" s="5" t="inlineStr">
        <is>
          <t>Unchanged</t>
        </is>
      </c>
      <c r="Q142" s="21" t="inlineStr">
        <is>
          <t>Code symbol found</t>
        </is>
      </c>
      <c r="R142" s="5" t="inlineStr">
        <is>
          <t>Matched WhatsApp in product code. This is not a functional test.</t>
        </is>
      </c>
      <c r="S142" s="8" t="inlineStr">
        <is>
          <t>P2P</t>
        </is>
      </c>
      <c r="T142" s="5" t="inlineStr">
        <is>
          <t>Procure to pay</t>
        </is>
      </c>
      <c r="U142" s="8" t="inlineStr"/>
      <c r="V142" s="8" t="inlineStr">
        <is>
          <t>purchases</t>
        </is>
      </c>
      <c r="W142" s="8" t="inlineStr">
        <is>
          <t>RUN</t>
        </is>
      </c>
      <c r="X142" s="5" t="inlineStr">
        <is>
          <t>Core</t>
        </is>
      </c>
      <c r="Y142" s="5" t="inlineStr">
        <is>
          <t>Buyer</t>
        </is>
      </c>
      <c r="Z142" s="5" t="inlineStr">
        <is>
          <t>Medium</t>
        </is>
      </c>
      <c r="AA142" s="5" t="inlineStr">
        <is>
          <t>Medium</t>
        </is>
      </c>
      <c r="AB142" s="8" t="inlineStr">
        <is>
          <t>Low</t>
        </is>
      </c>
      <c r="AC142" s="8" t="inlineStr">
        <is>
          <t>Pilot</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P1</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P-0142</t>
        </is>
      </c>
      <c r="B143" s="8" t="inlineStr">
        <is>
          <t>P</t>
        </is>
      </c>
      <c r="C143" s="5" t="inlineStr">
        <is>
          <t>Purchase Manager</t>
        </is>
      </c>
      <c r="D143" s="5" t="inlineStr">
        <is>
          <t>Procure-to-Pay</t>
        </is>
      </c>
      <c r="E143" s="5" t="inlineStr">
        <is>
          <t>Record GRN</t>
        </is>
      </c>
      <c r="F143" s="5" t="inlineStr">
        <is>
          <t>Purchase Manager / Godown Custodian</t>
        </is>
      </c>
      <c r="G143" s="5" t="inlineStr">
        <is>
          <t>Supplier</t>
        </is>
      </c>
      <c r="H143" s="5" t="inlineStr">
        <is>
          <t>Formalize physical goods receipt note documenting actual counted quantity, batch, and condition</t>
        </is>
      </c>
      <c r="I143" s="5" t="inlineStr">
        <is>
          <t>Increments warehouse inventory; creates physical receipt record before vendor bill arrives</t>
        </is>
      </c>
      <c r="J143" s="20" t="inlineStr">
        <is>
          <t>P1</t>
        </is>
      </c>
      <c r="K143" s="20" t="inlineStr">
        <is>
          <t>Validated (Supported)</t>
        </is>
      </c>
      <c r="L143" s="5" t="inlineStr">
        <is>
          <t>Supported via Goods Receipt Note (GRN) workflow in purchases app.</t>
        </is>
      </c>
      <c r="M143" s="8" t="inlineStr">
        <is>
          <t>Baseline</t>
        </is>
      </c>
      <c r="N143" s="8" t="inlineStr">
        <is>
          <t>Operational role</t>
        </is>
      </c>
      <c r="O143" s="8" t="inlineStr">
        <is>
          <t>P1</t>
        </is>
      </c>
      <c r="P143" s="5" t="inlineStr">
        <is>
          <t>Unchanged</t>
        </is>
      </c>
      <c r="Q143" s="20" t="inlineStr">
        <is>
          <t>Author assertion</t>
        </is>
      </c>
      <c r="R143" s="5" t="inlineStr"/>
      <c r="S143" s="8" t="inlineStr">
        <is>
          <t>P2P</t>
        </is>
      </c>
      <c r="T143" s="5" t="inlineStr">
        <is>
          <t>Procure to pay</t>
        </is>
      </c>
      <c r="U143" s="8" t="inlineStr"/>
      <c r="V143" s="8" t="inlineStr">
        <is>
          <t>purchases</t>
        </is>
      </c>
      <c r="W143" s="8" t="inlineStr">
        <is>
          <t>RUN</t>
        </is>
      </c>
      <c r="X143" s="5" t="inlineStr">
        <is>
          <t>Core</t>
        </is>
      </c>
      <c r="Y143" s="5" t="inlineStr">
        <is>
          <t>Buyer</t>
        </is>
      </c>
      <c r="Z143" s="5" t="inlineStr">
        <is>
          <t>Medium</t>
        </is>
      </c>
      <c r="AA143" s="5" t="inlineStr">
        <is>
          <t>Medium</t>
        </is>
      </c>
      <c r="AB143" s="8" t="inlineStr">
        <is>
          <t>Low</t>
        </is>
      </c>
      <c r="AC143" s="8" t="inlineStr">
        <is>
          <t>Pilot</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P1</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P-0143</t>
        </is>
      </c>
      <c r="B144" s="8" t="inlineStr">
        <is>
          <t>P</t>
        </is>
      </c>
      <c r="C144" s="5" t="inlineStr">
        <is>
          <t>Purchase Manager</t>
        </is>
      </c>
      <c r="D144" s="5" t="inlineStr">
        <is>
          <t>Procure-to-Pay</t>
        </is>
      </c>
      <c r="E144" s="5" t="inlineStr">
        <is>
          <t>Compare ordered versus received quantities</t>
        </is>
      </c>
      <c r="F144" s="5" t="inlineStr">
        <is>
          <t>Purchase Manager</t>
        </is>
      </c>
      <c r="G144" s="5" t="inlineStr">
        <is>
          <t>Supplier</t>
        </is>
      </c>
      <c r="H144" s="5" t="inlineStr">
        <is>
          <t>Detect short-shipments, excess shipments, or back-orders against original purchase order</t>
        </is>
      </c>
      <c r="I144" s="5" t="inlineStr">
        <is>
          <t>Calculates line-by-line quantity variance; keeps PO partially open if balance remains</t>
        </is>
      </c>
      <c r="J144" s="20" t="inlineStr">
        <is>
          <t>P1</t>
        </is>
      </c>
      <c r="K144" s="20" t="inlineStr">
        <is>
          <t>Validated (Supported)</t>
        </is>
      </c>
      <c r="L144" s="5" t="inlineStr">
        <is>
          <t>Automated 2-way matching in GRN/Purchase intake interface.</t>
        </is>
      </c>
      <c r="M144" s="8" t="inlineStr">
        <is>
          <t>Baseline</t>
        </is>
      </c>
      <c r="N144" s="8" t="inlineStr">
        <is>
          <t>Operational role</t>
        </is>
      </c>
      <c r="O144" s="8" t="inlineStr">
        <is>
          <t>P1</t>
        </is>
      </c>
      <c r="P144" s="5" t="inlineStr">
        <is>
          <t>Unchanged</t>
        </is>
      </c>
      <c r="Q144" s="20" t="inlineStr">
        <is>
          <t>Author assertion</t>
        </is>
      </c>
      <c r="R144" s="5" t="inlineStr"/>
      <c r="S144" s="8" t="inlineStr">
        <is>
          <t>P2P</t>
        </is>
      </c>
      <c r="T144" s="5" t="inlineStr">
        <is>
          <t>Procure to pay</t>
        </is>
      </c>
      <c r="U144" s="8" t="inlineStr"/>
      <c r="V144" s="8" t="inlineStr">
        <is>
          <t>purchases</t>
        </is>
      </c>
      <c r="W144" s="8" t="inlineStr">
        <is>
          <t>RUN</t>
        </is>
      </c>
      <c r="X144" s="5" t="inlineStr">
        <is>
          <t>Core</t>
        </is>
      </c>
      <c r="Y144" s="5" t="inlineStr">
        <is>
          <t>Buyer</t>
        </is>
      </c>
      <c r="Z144" s="5" t="inlineStr">
        <is>
          <t>Medium</t>
        </is>
      </c>
      <c r="AA144" s="5" t="inlineStr">
        <is>
          <t>Medium</t>
        </is>
      </c>
      <c r="AB144" s="8" t="inlineStr">
        <is>
          <t>Low</t>
        </is>
      </c>
      <c r="AC144" s="8" t="inlineStr">
        <is>
          <t>Pilot</t>
        </is>
      </c>
      <c r="AD144" s="5" t="inlineStr">
        <is>
          <t>Not independently checked</t>
        </is>
      </c>
      <c r="AE144" s="5" t="inlineStr">
        <is>
          <t>Not verified</t>
        </is>
      </c>
      <c r="AF144" s="5" t="inlineStr">
        <is>
          <t>Not verified</t>
        </is>
      </c>
      <c r="AG144" s="5" t="inlineStr">
        <is>
          <t>Not verified</t>
        </is>
      </c>
      <c r="AH144" s="5" t="inlineStr">
        <is>
          <t>Not verified</t>
        </is>
      </c>
      <c r="AI144" s="8" t="inlineStr">
        <is>
          <t>No</t>
        </is>
      </c>
      <c r="AJ144" s="8" t="inlineStr">
        <is>
          <t>Claimed - unverified</t>
        </is>
      </c>
      <c r="AK144" s="8" t="inlineStr">
        <is>
          <t>P1</t>
        </is>
      </c>
      <c r="AL144" s="8" t="n">
        <v>6</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P-0144</t>
        </is>
      </c>
      <c r="B145" s="8" t="inlineStr">
        <is>
          <t>P</t>
        </is>
      </c>
      <c r="C145" s="5" t="inlineStr">
        <is>
          <t>Purchase Manager</t>
        </is>
      </c>
      <c r="D145" s="5" t="inlineStr">
        <is>
          <t>Inventory Lifecycle</t>
        </is>
      </c>
      <c r="E145" s="5" t="inlineStr">
        <is>
          <t>Record damaged/short stock</t>
        </is>
      </c>
      <c r="F145" s="5" t="inlineStr">
        <is>
          <t>Purchase Manager / Godown Custodian</t>
        </is>
      </c>
      <c r="G145" s="5" t="inlineStr">
        <is>
          <t>Supplier</t>
        </is>
      </c>
      <c r="H145" s="5" t="inlineStr">
        <is>
          <t>Document transit breakage, shortages, or defective goods for debit note recovery</t>
        </is>
      </c>
      <c r="I145" s="5" t="inlineStr">
        <is>
          <t>Logs damaged quantity on GRN; routes damaged items to quarantine; triggers supplier claim</t>
        </is>
      </c>
      <c r="J145" s="20" t="inlineStr">
        <is>
          <t>P1</t>
        </is>
      </c>
      <c r="K145" s="20" t="inlineStr">
        <is>
          <t>Validated (Supported)</t>
        </is>
      </c>
      <c r="L145" s="5" t="inlineStr">
        <is>
          <t>Supported via GRN rejection / damage line items with photo attachment.</t>
        </is>
      </c>
      <c r="M145" s="8" t="inlineStr">
        <is>
          <t>Baseline</t>
        </is>
      </c>
      <c r="N145" s="8" t="inlineStr">
        <is>
          <t>Operational role</t>
        </is>
      </c>
      <c r="O145" s="8" t="inlineStr">
        <is>
          <t>P1</t>
        </is>
      </c>
      <c r="P145" s="5" t="inlineStr">
        <is>
          <t>Unchanged</t>
        </is>
      </c>
      <c r="Q145" s="20" t="inlineStr">
        <is>
          <t>Author assertion</t>
        </is>
      </c>
      <c r="R145" s="5" t="inlineStr"/>
      <c r="S145" s="8" t="inlineStr">
        <is>
          <t>INV</t>
        </is>
      </c>
      <c r="T145" s="5" t="inlineStr">
        <is>
          <t>Inventory lifecycle</t>
        </is>
      </c>
      <c r="U145" s="8" t="inlineStr"/>
      <c r="V145" s="8" t="inlineStr">
        <is>
          <t>inventory</t>
        </is>
      </c>
      <c r="W145" s="8" t="inlineStr">
        <is>
          <t>RUN</t>
        </is>
      </c>
      <c r="X145" s="5" t="inlineStr">
        <is>
          <t>Core</t>
        </is>
      </c>
      <c r="Y145" s="5" t="inlineStr">
        <is>
          <t>Buyer</t>
        </is>
      </c>
      <c r="Z145" s="5" t="inlineStr">
        <is>
          <t>High</t>
        </is>
      </c>
      <c r="AA145" s="5" t="inlineStr">
        <is>
          <t>High</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9</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P-0145</t>
        </is>
      </c>
      <c r="B146" s="8" t="inlineStr">
        <is>
          <t>P</t>
        </is>
      </c>
      <c r="C146" s="5" t="inlineStr">
        <is>
          <t>Purchase Manager</t>
        </is>
      </c>
      <c r="D146" s="5" t="inlineStr">
        <is>
          <t>Procure-to-Pay</t>
        </is>
      </c>
      <c r="E146" s="5" t="inlineStr">
        <is>
          <t>Update supplier invoice</t>
        </is>
      </c>
      <c r="F146" s="5" t="inlineStr">
        <is>
          <t>Purchase Manager / Accountant</t>
        </is>
      </c>
      <c r="G146" s="5" t="inlineStr">
        <is>
          <t>Supplier</t>
        </is>
      </c>
      <c r="H146" s="5" t="inlineStr">
        <is>
          <t>Enter final vendor tax invoice, matching line rates, GST, and extra freight charges against PO</t>
        </is>
      </c>
      <c r="I146" s="5" t="inlineStr">
        <is>
          <t>Completes PurchaseInvoice; updates Accounts Payable and finalizes inventory valuation</t>
        </is>
      </c>
      <c r="J146" s="20" t="inlineStr">
        <is>
          <t>P1</t>
        </is>
      </c>
      <c r="K146" s="20" t="inlineStr">
        <is>
          <t>Validated (Supported)</t>
        </is>
      </c>
      <c r="L146" s="5" t="inlineStr">
        <is>
          <t>Supported via /purchases/invoices/ with PO matching and 3-way reconciliation.</t>
        </is>
      </c>
      <c r="M146" s="8" t="inlineStr">
        <is>
          <t>Baseline</t>
        </is>
      </c>
      <c r="N146" s="8" t="inlineStr">
        <is>
          <t>Operational role</t>
        </is>
      </c>
      <c r="O146" s="8" t="inlineStr">
        <is>
          <t>P1</t>
        </is>
      </c>
      <c r="P146" s="5" t="inlineStr">
        <is>
          <t>Unchanged</t>
        </is>
      </c>
      <c r="Q146" s="20" t="inlineStr">
        <is>
          <t>Author assertion</t>
        </is>
      </c>
      <c r="R146" s="5" t="inlineStr"/>
      <c r="S146" s="8" t="inlineStr">
        <is>
          <t>P2P</t>
        </is>
      </c>
      <c r="T146" s="5" t="inlineStr">
        <is>
          <t>Procure to pay</t>
        </is>
      </c>
      <c r="U146" s="8" t="inlineStr"/>
      <c r="V146" s="8" t="inlineStr">
        <is>
          <t>purchases</t>
        </is>
      </c>
      <c r="W146" s="8" t="inlineStr">
        <is>
          <t>RUN</t>
        </is>
      </c>
      <c r="X146" s="5" t="inlineStr">
        <is>
          <t>Core</t>
        </is>
      </c>
      <c r="Y146" s="5" t="inlineStr">
        <is>
          <t>Buyer</t>
        </is>
      </c>
      <c r="Z146" s="5" t="inlineStr">
        <is>
          <t>Medium</t>
        </is>
      </c>
      <c r="AA146" s="5" t="inlineStr">
        <is>
          <t>Medium</t>
        </is>
      </c>
      <c r="AB146" s="8" t="inlineStr">
        <is>
          <t>Low</t>
        </is>
      </c>
      <c r="AC146" s="8" t="inlineStr">
        <is>
          <t>Pilot</t>
        </is>
      </c>
      <c r="AD146" s="5" t="inlineStr">
        <is>
          <t>Not independently checked</t>
        </is>
      </c>
      <c r="AE146" s="5" t="inlineStr">
        <is>
          <t>Not verified</t>
        </is>
      </c>
      <c r="AF146" s="5" t="inlineStr">
        <is>
          <t>Not verified</t>
        </is>
      </c>
      <c r="AG146" s="5" t="inlineStr">
        <is>
          <t>Not verified</t>
        </is>
      </c>
      <c r="AH146" s="5" t="inlineStr">
        <is>
          <t>Not verified</t>
        </is>
      </c>
      <c r="AI146" s="8" t="inlineStr">
        <is>
          <t>No</t>
        </is>
      </c>
      <c r="AJ146" s="8" t="inlineStr">
        <is>
          <t>Claimed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P-0146</t>
        </is>
      </c>
      <c r="B147" s="8" t="inlineStr">
        <is>
          <t>P</t>
        </is>
      </c>
      <c r="C147" s="5" t="inlineStr">
        <is>
          <t>Purchase Manager</t>
        </is>
      </c>
      <c r="D147" s="5" t="inlineStr">
        <is>
          <t>Receivables &amp; Payables</t>
        </is>
      </c>
      <c r="E147" s="5" t="inlineStr">
        <is>
          <t>Track supplier outstanding</t>
        </is>
      </c>
      <c r="F147" s="5" t="inlineStr">
        <is>
          <t>Purchase Manager</t>
        </is>
      </c>
      <c r="G147" s="5" t="inlineStr">
        <is>
          <t>Accounts Payable Munshi</t>
        </is>
      </c>
      <c r="H147" s="5" t="inlineStr">
        <is>
          <t>Monitor company liabilities to suppliers to ensure on-time settlement and preserve credit terms</t>
        </is>
      </c>
      <c r="I147" s="5" t="inlineStr">
        <is>
          <t>Displays total payables, due dates, and aging buckets across all active vendors</t>
        </is>
      </c>
      <c r="J147" s="20" t="inlineStr">
        <is>
          <t>P1</t>
        </is>
      </c>
      <c r="K147" s="20" t="inlineStr">
        <is>
          <t>Validated (Supported)</t>
        </is>
      </c>
      <c r="L147" s="5" t="inlineStr">
        <is>
          <t>Supported via Supplier Payables Aging Dashboard (/purchases/suppliers/).</t>
        </is>
      </c>
      <c r="M147" s="8" t="inlineStr">
        <is>
          <t>Baseline</t>
        </is>
      </c>
      <c r="N147" s="8" t="inlineStr">
        <is>
          <t>Operational role</t>
        </is>
      </c>
      <c r="O147" s="8" t="inlineStr">
        <is>
          <t>P1</t>
        </is>
      </c>
      <c r="P147" s="5" t="inlineStr">
        <is>
          <t>Unchanged</t>
        </is>
      </c>
      <c r="Q147" s="20" t="inlineStr">
        <is>
          <t>Author assertion</t>
        </is>
      </c>
      <c r="R147" s="5" t="inlineStr"/>
      <c r="S147" s="8" t="inlineStr">
        <is>
          <t>ARAP</t>
        </is>
      </c>
      <c r="T147" s="5" t="inlineStr">
        <is>
          <t>Receivables and payables</t>
        </is>
      </c>
      <c r="U147" s="8" t="inlineStr"/>
      <c r="V147" s="8" t="inlineStr">
        <is>
          <t>ledgers</t>
        </is>
      </c>
      <c r="W147" s="8" t="inlineStr">
        <is>
          <t>CONTROL</t>
        </is>
      </c>
      <c r="X147" s="5" t="inlineStr">
        <is>
          <t>Core</t>
        </is>
      </c>
      <c r="Y147" s="5" t="inlineStr">
        <is>
          <t>Buyer</t>
        </is>
      </c>
      <c r="Z147" s="5" t="inlineStr">
        <is>
          <t>Critical</t>
        </is>
      </c>
      <c r="AA147" s="5" t="inlineStr">
        <is>
          <t>High</t>
        </is>
      </c>
      <c r="AB147" s="8" t="inlineStr">
        <is>
          <t>Medium</t>
        </is>
      </c>
      <c r="AC147" s="8" t="inlineStr">
        <is>
          <t>Pilot</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P1</t>
        </is>
      </c>
      <c r="AL147" s="8" t="n">
        <v>18</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P-0147</t>
        </is>
      </c>
      <c r="B148" s="8" t="inlineStr">
        <is>
          <t>P</t>
        </is>
      </c>
      <c r="C148" s="5" t="inlineStr">
        <is>
          <t>Purchase Manager</t>
        </is>
      </c>
      <c r="D148" s="5" t="inlineStr">
        <is>
          <t>Procure-to-Pay</t>
        </is>
      </c>
      <c r="E148" s="5" t="inlineStr">
        <is>
          <t>Identify best-priced suppliers</t>
        </is>
      </c>
      <c r="F148" s="5" t="inlineStr">
        <is>
          <t>Purchase Manager</t>
        </is>
      </c>
      <c r="G148" s="5" t="inlineStr">
        <is>
          <t>None</t>
        </is>
      </c>
      <c r="H148" s="5" t="inlineStr">
        <is>
          <t>Compare historical purchase prices across multiple vendors for the same raw material or SKU</t>
        </is>
      </c>
      <c r="I148" s="5" t="inlineStr">
        <is>
          <t>Analyzes historical purchase bills; highlights supplier offering lowest landed cost</t>
        </is>
      </c>
      <c r="J148" s="22" t="inlineStr">
        <is>
          <t>P2</t>
        </is>
      </c>
      <c r="K148" s="20" t="inlineStr">
        <is>
          <t>Validated (Supported)</t>
        </is>
      </c>
      <c r="L148" s="5" t="inlineStr">
        <is>
          <t>Supported via Vendor Price Comparison Matrix report (/reports/vendor-rates/).</t>
        </is>
      </c>
      <c r="M148" s="8" t="inlineStr">
        <is>
          <t>Baseline</t>
        </is>
      </c>
      <c r="N148" s="8" t="inlineStr">
        <is>
          <t>Operational role</t>
        </is>
      </c>
      <c r="O148" s="8" t="inlineStr">
        <is>
          <t>P2</t>
        </is>
      </c>
      <c r="P148" s="5" t="inlineStr">
        <is>
          <t>Restored to authored P2. The previous workbook had P3 after a keyword rebalance.</t>
        </is>
      </c>
      <c r="Q148" s="20" t="inlineStr">
        <is>
          <t>Author assertion</t>
        </is>
      </c>
      <c r="R148" s="5" t="inlineStr">
        <is>
          <t>Restored to authored P2. The previous workbook had P3 after a keyword rebalance.</t>
        </is>
      </c>
      <c r="S148" s="8" t="inlineStr">
        <is>
          <t>P2P</t>
        </is>
      </c>
      <c r="T148" s="5" t="inlineStr">
        <is>
          <t>Procure to pay</t>
        </is>
      </c>
      <c r="U148" s="8" t="inlineStr"/>
      <c r="V148" s="8" t="inlineStr">
        <is>
          <t>purchases</t>
        </is>
      </c>
      <c r="W148" s="8" t="inlineStr">
        <is>
          <t>RUN</t>
        </is>
      </c>
      <c r="X148" s="5" t="inlineStr">
        <is>
          <t>Core</t>
        </is>
      </c>
      <c r="Y148" s="5" t="inlineStr">
        <is>
          <t>Buyer</t>
        </is>
      </c>
      <c r="Z148" s="5" t="inlineStr">
        <is>
          <t>Medium</t>
        </is>
      </c>
      <c r="AA148" s="5" t="inlineStr">
        <is>
          <t>Medium</t>
        </is>
      </c>
      <c r="AB148" s="8" t="inlineStr">
        <is>
          <t>Low</t>
        </is>
      </c>
      <c r="AC148" s="8" t="inlineStr">
        <is>
          <t>Later</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P2</t>
        </is>
      </c>
      <c r="AL148" s="8" t="n">
        <v>6</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P-0148</t>
        </is>
      </c>
      <c r="B149" s="8" t="inlineStr">
        <is>
          <t>P</t>
        </is>
      </c>
      <c r="C149" s="5" t="inlineStr">
        <is>
          <t>Purchase Manager</t>
        </is>
      </c>
      <c r="D149" s="5" t="inlineStr">
        <is>
          <t>Procure-to-Pay</t>
        </is>
      </c>
      <c r="E149" s="5" t="inlineStr">
        <is>
          <t>Review supplier performance</t>
        </is>
      </c>
      <c r="F149" s="5" t="inlineStr">
        <is>
          <t>Purchase Manager</t>
        </is>
      </c>
      <c r="G149" s="5" t="inlineStr">
        <is>
          <t>Business Owner</t>
        </is>
      </c>
      <c r="H149" s="5" t="inlineStr">
        <is>
          <t>Evaluate vendors on delivery punctuality, order fill rate, and quality rejection percentage</t>
        </is>
      </c>
      <c r="I149" s="5" t="inlineStr">
        <is>
          <t>Computes vendor score: on-time delivery %, fill rate %, defect %, and price stability</t>
        </is>
      </c>
      <c r="J149" s="22" t="inlineStr">
        <is>
          <t>P2</t>
        </is>
      </c>
      <c r="K149" s="20" t="inlineStr">
        <is>
          <t>Validated (Supported)</t>
        </is>
      </c>
      <c r="L149" s="5" t="inlineStr">
        <is>
          <t>Supported via Supplier Performance Scorecard (/purchases/vendor-metrics/).</t>
        </is>
      </c>
      <c r="M149" s="8" t="inlineStr">
        <is>
          <t>Baseline</t>
        </is>
      </c>
      <c r="N149" s="8" t="inlineStr">
        <is>
          <t>Operational role</t>
        </is>
      </c>
      <c r="O149" s="8" t="inlineStr">
        <is>
          <t>P2</t>
        </is>
      </c>
      <c r="P149" s="5" t="inlineStr">
        <is>
          <t>Restored to authored P2. The previous workbook had P3 after a keyword rebalance.</t>
        </is>
      </c>
      <c r="Q149" s="20" t="inlineStr">
        <is>
          <t>Author assertion</t>
        </is>
      </c>
      <c r="R149" s="5" t="inlineStr">
        <is>
          <t>Restored to authored P2. The previous workbook had P3 after a keyword rebalance.</t>
        </is>
      </c>
      <c r="S149" s="8" t="inlineStr">
        <is>
          <t>P2P</t>
        </is>
      </c>
      <c r="T149" s="5" t="inlineStr">
        <is>
          <t>Procure to pay</t>
        </is>
      </c>
      <c r="U149" s="8" t="inlineStr"/>
      <c r="V149" s="8" t="inlineStr">
        <is>
          <t>purchases</t>
        </is>
      </c>
      <c r="W149" s="8" t="inlineStr">
        <is>
          <t>RUN</t>
        </is>
      </c>
      <c r="X149" s="5" t="inlineStr">
        <is>
          <t>Core</t>
        </is>
      </c>
      <c r="Y149" s="5" t="inlineStr">
        <is>
          <t>Buyer</t>
        </is>
      </c>
      <c r="Z149" s="5" t="inlineStr">
        <is>
          <t>Medium</t>
        </is>
      </c>
      <c r="AA149" s="5" t="inlineStr">
        <is>
          <t>Medium</t>
        </is>
      </c>
      <c r="AB149" s="8" t="inlineStr">
        <is>
          <t>Low</t>
        </is>
      </c>
      <c r="AC149" s="8" t="inlineStr">
        <is>
          <t>Later</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P2</t>
        </is>
      </c>
      <c r="AL149" s="8" t="n">
        <v>6</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P-0149</t>
        </is>
      </c>
      <c r="B150" s="8" t="inlineStr">
        <is>
          <t>P</t>
        </is>
      </c>
      <c r="C150" s="5" t="inlineStr">
        <is>
          <t>Inventory Manager</t>
        </is>
      </c>
      <c r="D150" s="5" t="inlineStr">
        <is>
          <t>Inventory Lifecycle</t>
        </is>
      </c>
      <c r="E150" s="5" t="inlineStr">
        <is>
          <t>View current inventory</t>
        </is>
      </c>
      <c r="F150" s="5" t="inlineStr">
        <is>
          <t>Inventory Manager</t>
        </is>
      </c>
      <c r="G150" s="5" t="inlineStr">
        <is>
          <t>Godown Staff</t>
        </is>
      </c>
      <c r="H150" s="5" t="inlineStr">
        <is>
          <t>Comprehensive view of current on-hand, committed, and available stock across all product lines</t>
        </is>
      </c>
      <c r="I150" s="5" t="inlineStr">
        <is>
          <t>Displays real-time stock balances, warehouse distribution, reorder levels, and valuation</t>
        </is>
      </c>
      <c r="J150" s="19" t="inlineStr">
        <is>
          <t>P0</t>
        </is>
      </c>
      <c r="K150" s="20" t="inlineStr">
        <is>
          <t>Validated (Supported)</t>
        </is>
      </c>
      <c r="L150" s="5" t="inlineStr">
        <is>
          <t>Supported via /inventory/ with multi-warehouse filters and instant SKU search.</t>
        </is>
      </c>
      <c r="M150" s="8" t="inlineStr">
        <is>
          <t>Baseline</t>
        </is>
      </c>
      <c r="N150" s="8" t="inlineStr">
        <is>
          <t>Operational role</t>
        </is>
      </c>
      <c r="O150" s="8" t="inlineStr">
        <is>
          <t>P0</t>
        </is>
      </c>
      <c r="P150" s="5" t="inlineStr">
        <is>
          <t>Unchanged</t>
        </is>
      </c>
      <c r="Q150" s="20" t="inlineStr">
        <is>
          <t>Author assertion</t>
        </is>
      </c>
      <c r="R150" s="5" t="inlineStr"/>
      <c r="S150" s="8" t="inlineStr">
        <is>
          <t>INV</t>
        </is>
      </c>
      <c r="T150" s="5" t="inlineStr">
        <is>
          <t>Inventory lifecycle</t>
        </is>
      </c>
      <c r="U150" s="8" t="inlineStr"/>
      <c r="V150" s="8" t="inlineStr">
        <is>
          <t>inventory</t>
        </is>
      </c>
      <c r="W150" s="8" t="inlineStr">
        <is>
          <t>RUN</t>
        </is>
      </c>
      <c r="X150" s="5" t="inlineStr">
        <is>
          <t>Core</t>
        </is>
      </c>
      <c r="Y150" s="5" t="inlineStr">
        <is>
          <t>Stock</t>
        </is>
      </c>
      <c r="Z150" s="5" t="inlineStr">
        <is>
          <t>High</t>
        </is>
      </c>
      <c r="AA150" s="5" t="inlineStr">
        <is>
          <t>High</t>
        </is>
      </c>
      <c r="AB150" s="8" t="inlineStr">
        <is>
          <t>Low</t>
        </is>
      </c>
      <c r="AC150" s="8" t="inlineStr">
        <is>
          <t>MVP</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P0</t>
        </is>
      </c>
      <c r="AL150" s="8" t="n">
        <v>9</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P-0150</t>
        </is>
      </c>
      <c r="B151" s="8" t="inlineStr">
        <is>
          <t>P</t>
        </is>
      </c>
      <c r="C151" s="5" t="inlineStr">
        <is>
          <t>Inventory Manager</t>
        </is>
      </c>
      <c r="D151" s="5" t="inlineStr">
        <is>
          <t>Inventory Lifecycle</t>
        </is>
      </c>
      <c r="E151" s="5" t="inlineStr">
        <is>
          <t>Receive stock</t>
        </is>
      </c>
      <c r="F151" s="5" t="inlineStr">
        <is>
          <t>Inventory Manager / Custodian</t>
        </is>
      </c>
      <c r="G151" s="5" t="inlineStr">
        <is>
          <t>Supplier</t>
        </is>
      </c>
      <c r="H151" s="5" t="inlineStr">
        <is>
          <t>Authorize and record physical stock inwarding from supplier deliveries or internal transfers</t>
        </is>
      </c>
      <c r="I151" s="5" t="inlineStr">
        <is>
          <t>Generates StockMovement (INWARD_PURCHASE); updates warehouse inventory ledger</t>
        </is>
      </c>
      <c r="J151" s="20" t="inlineStr">
        <is>
          <t>P1</t>
        </is>
      </c>
      <c r="K151" s="20" t="inlineStr">
        <is>
          <t>Validated (Supported)</t>
        </is>
      </c>
      <c r="L151" s="5" t="inlineStr">
        <is>
          <t>Supported via Goods Receipt and Purchase completion flows.</t>
        </is>
      </c>
      <c r="M151" s="8" t="inlineStr">
        <is>
          <t>Baseline</t>
        </is>
      </c>
      <c r="N151" s="8" t="inlineStr">
        <is>
          <t>Operational role</t>
        </is>
      </c>
      <c r="O151" s="8" t="inlineStr">
        <is>
          <t>P1</t>
        </is>
      </c>
      <c r="P151" s="5" t="inlineStr">
        <is>
          <t>Unchanged</t>
        </is>
      </c>
      <c r="Q151" s="20" t="inlineStr">
        <is>
          <t>Author assertion</t>
        </is>
      </c>
      <c r="R151" s="5" t="inlineStr"/>
      <c r="S151" s="8" t="inlineStr">
        <is>
          <t>INV</t>
        </is>
      </c>
      <c r="T151" s="5" t="inlineStr">
        <is>
          <t>Inventory lifecycle</t>
        </is>
      </c>
      <c r="U151" s="8" t="inlineStr"/>
      <c r="V151" s="8" t="inlineStr">
        <is>
          <t>inventory</t>
        </is>
      </c>
      <c r="W151" s="8" t="inlineStr">
        <is>
          <t>RUN</t>
        </is>
      </c>
      <c r="X151" s="5" t="inlineStr">
        <is>
          <t>Core</t>
        </is>
      </c>
      <c r="Y151" s="5" t="inlineStr">
        <is>
          <t>Stock</t>
        </is>
      </c>
      <c r="Z151" s="5" t="inlineStr">
        <is>
          <t>High</t>
        </is>
      </c>
      <c r="AA151" s="5" t="inlineStr">
        <is>
          <t>High</t>
        </is>
      </c>
      <c r="AB151" s="8" t="inlineStr">
        <is>
          <t>Low</t>
        </is>
      </c>
      <c r="AC151" s="8" t="inlineStr">
        <is>
          <t>Pilot</t>
        </is>
      </c>
      <c r="AD151" s="5" t="inlineStr">
        <is>
          <t>Not independently checked</t>
        </is>
      </c>
      <c r="AE151" s="5" t="inlineStr">
        <is>
          <t>Not verified</t>
        </is>
      </c>
      <c r="AF151" s="5" t="inlineStr">
        <is>
          <t>Not verified</t>
        </is>
      </c>
      <c r="AG151" s="5" t="inlineStr">
        <is>
          <t>Not verified</t>
        </is>
      </c>
      <c r="AH151" s="5" t="inlineStr">
        <is>
          <t>Not verified</t>
        </is>
      </c>
      <c r="AI151" s="8" t="inlineStr">
        <is>
          <t>No</t>
        </is>
      </c>
      <c r="AJ151" s="8" t="inlineStr">
        <is>
          <t>Claimed - unverified</t>
        </is>
      </c>
      <c r="AK151" s="8" t="inlineStr">
        <is>
          <t>P1</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P-0151</t>
        </is>
      </c>
      <c r="B152" s="8" t="inlineStr">
        <is>
          <t>P</t>
        </is>
      </c>
      <c r="C152" s="5" t="inlineStr">
        <is>
          <t>Inventory Manager</t>
        </is>
      </c>
      <c r="D152" s="5" t="inlineStr">
        <is>
          <t>Multi-Godown / Multi-Store</t>
        </is>
      </c>
      <c r="E152" s="5" t="inlineStr">
        <is>
          <t>Transfer stock</t>
        </is>
      </c>
      <c r="F152" s="5" t="inlineStr">
        <is>
          <t>Inventory Manager</t>
        </is>
      </c>
      <c r="G152" s="5" t="inlineStr">
        <is>
          <t>Godown Keepers</t>
        </is>
      </c>
      <c r="H152" s="5" t="inlineStr">
        <is>
          <t>Direct and authorize movement of stock between storage godowns, packing areas, or retail floors</t>
        </is>
      </c>
      <c r="I152" s="5" t="inlineStr">
        <is>
          <t>Creates and dispatches StockTransfer; adjusts source and destination ledger balances</t>
        </is>
      </c>
      <c r="J152" s="20" t="inlineStr">
        <is>
          <t>P1</t>
        </is>
      </c>
      <c r="K152" s="20" t="inlineStr">
        <is>
          <t>Validated (Supported)</t>
        </is>
      </c>
      <c r="L152" s="5" t="inlineStr">
        <is>
          <t>Supported via /inventory/transfers/ with transfer challan generation.</t>
        </is>
      </c>
      <c r="M152" s="8" t="inlineStr">
        <is>
          <t>Baseline</t>
        </is>
      </c>
      <c r="N152" s="8" t="inlineStr">
        <is>
          <t>Operational role</t>
        </is>
      </c>
      <c r="O152" s="8" t="inlineStr">
        <is>
          <t>P1</t>
        </is>
      </c>
      <c r="P152" s="5" t="inlineStr">
        <is>
          <t>Unchanged</t>
        </is>
      </c>
      <c r="Q152" s="20" t="inlineStr">
        <is>
          <t>Author assertion</t>
        </is>
      </c>
      <c r="R152" s="5" t="inlineStr"/>
      <c r="S152" s="8" t="inlineStr">
        <is>
          <t>WH</t>
        </is>
      </c>
      <c r="T152" s="5" t="inlineStr">
        <is>
          <t>Multi-godown and multi-store</t>
        </is>
      </c>
      <c r="U152" s="8" t="inlineStr"/>
      <c r="V152" s="8" t="inlineStr">
        <is>
          <t>inventory</t>
        </is>
      </c>
      <c r="W152" s="8" t="inlineStr">
        <is>
          <t>RUN</t>
        </is>
      </c>
      <c r="X152" s="5" t="inlineStr">
        <is>
          <t>Core</t>
        </is>
      </c>
      <c r="Y152" s="5" t="inlineStr">
        <is>
          <t>Stock</t>
        </is>
      </c>
      <c r="Z152" s="5" t="inlineStr">
        <is>
          <t>Medium</t>
        </is>
      </c>
      <c r="AA152" s="5" t="inlineStr">
        <is>
          <t>Medium</t>
        </is>
      </c>
      <c r="AB152" s="8" t="inlineStr">
        <is>
          <t>Low</t>
        </is>
      </c>
      <c r="AC152" s="8" t="inlineStr">
        <is>
          <t>Pilot</t>
        </is>
      </c>
      <c r="AD152" s="5" t="inlineStr">
        <is>
          <t>Not independently checked</t>
        </is>
      </c>
      <c r="AE152" s="5" t="inlineStr">
        <is>
          <t>Not verified</t>
        </is>
      </c>
      <c r="AF152" s="5" t="inlineStr">
        <is>
          <t>Not verified</t>
        </is>
      </c>
      <c r="AG152" s="5" t="inlineStr">
        <is>
          <t>Not verified</t>
        </is>
      </c>
      <c r="AH152" s="5" t="inlineStr">
        <is>
          <t>Not verified</t>
        </is>
      </c>
      <c r="AI152" s="8" t="inlineStr">
        <is>
          <t>No</t>
        </is>
      </c>
      <c r="AJ152" s="8" t="inlineStr">
        <is>
          <t>Claimed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P-0152</t>
        </is>
      </c>
      <c r="B153" s="8" t="inlineStr">
        <is>
          <t>P</t>
        </is>
      </c>
      <c r="C153" s="5" t="inlineStr">
        <is>
          <t>Inventory Manager</t>
        </is>
      </c>
      <c r="D153" s="5" t="inlineStr">
        <is>
          <t>Inventory Lifecycle</t>
        </is>
      </c>
      <c r="E153" s="5" t="inlineStr">
        <is>
          <t>Adjust stock with authorization</t>
        </is>
      </c>
      <c r="F153" s="5" t="inlineStr">
        <is>
          <t>Inventory Manager</t>
        </is>
      </c>
      <c r="G153" s="5" t="inlineStr">
        <is>
          <t>Business Owner / Auditor</t>
        </is>
      </c>
      <c r="H153" s="5" t="inlineStr">
        <is>
          <t>Make formal manual stock adjustments for shrinkage, breakage, or opening stock corrections</t>
        </is>
      </c>
      <c r="I153" s="5" t="inlineStr">
        <is>
          <t>Requires manager authorization; writes StockMovement (COUNT_ADJUSTMENT) with mandatory reason</t>
        </is>
      </c>
      <c r="J153" s="19" t="inlineStr">
        <is>
          <t>P0</t>
        </is>
      </c>
      <c r="K153" s="20" t="inlineStr">
        <is>
          <t>Validated (Supported)</t>
        </is>
      </c>
      <c r="L153" s="5" t="inlineStr">
        <is>
          <t>Supported via /inventory/adjustments/ with dual-approval requirement.</t>
        </is>
      </c>
      <c r="M153" s="8" t="inlineStr">
        <is>
          <t>Baseline</t>
        </is>
      </c>
      <c r="N153" s="8" t="inlineStr">
        <is>
          <t>Operational role</t>
        </is>
      </c>
      <c r="O153" s="8" t="inlineStr">
        <is>
          <t>P0</t>
        </is>
      </c>
      <c r="P153" s="5" t="inlineStr">
        <is>
          <t>Unchanged</t>
        </is>
      </c>
      <c r="Q153" s="20" t="inlineStr">
        <is>
          <t>Author assertion</t>
        </is>
      </c>
      <c r="R153" s="5" t="inlineStr"/>
      <c r="S153" s="8" t="inlineStr">
        <is>
          <t>INV</t>
        </is>
      </c>
      <c r="T153" s="5" t="inlineStr">
        <is>
          <t>Inventory lifecycle</t>
        </is>
      </c>
      <c r="U153" s="8" t="inlineStr"/>
      <c r="V153" s="8" t="inlineStr">
        <is>
          <t>inventory</t>
        </is>
      </c>
      <c r="W153" s="8" t="inlineStr">
        <is>
          <t>RUN</t>
        </is>
      </c>
      <c r="X153" s="5" t="inlineStr">
        <is>
          <t>Core</t>
        </is>
      </c>
      <c r="Y153" s="5" t="inlineStr">
        <is>
          <t>Stock</t>
        </is>
      </c>
      <c r="Z153" s="5" t="inlineStr">
        <is>
          <t>High</t>
        </is>
      </c>
      <c r="AA153" s="5" t="inlineStr">
        <is>
          <t>High</t>
        </is>
      </c>
      <c r="AB153" s="8" t="inlineStr">
        <is>
          <t>Low</t>
        </is>
      </c>
      <c r="AC153" s="8" t="inlineStr">
        <is>
          <t>MVP</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P0</t>
        </is>
      </c>
      <c r="AL153" s="8" t="n">
        <v>9</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P-0153</t>
        </is>
      </c>
      <c r="B154" s="8" t="inlineStr">
        <is>
          <t>P</t>
        </is>
      </c>
      <c r="C154" s="5" t="inlineStr">
        <is>
          <t>Inventory Manager</t>
        </is>
      </c>
      <c r="D154" s="5" t="inlineStr">
        <is>
          <t>Inventory Lifecycle</t>
        </is>
      </c>
      <c r="E154" s="5" t="inlineStr">
        <is>
          <t>Record damaged stock</t>
        </is>
      </c>
      <c r="F154" s="5" t="inlineStr">
        <is>
          <t>Inventory Manager</t>
        </is>
      </c>
      <c r="G154" s="5" t="inlineStr">
        <is>
          <t>Scrap Dealer / Insurance Adjuster</t>
        </is>
      </c>
      <c r="H154" s="5" t="inlineStr">
        <is>
          <t>Record and isolate damaged or spoiled goods into designated non-saleable bin</t>
        </is>
      </c>
      <c r="I154" s="5" t="inlineStr">
        <is>
          <t>Transfers items out of active saleable stock into damaged holding; logs write-off value</t>
        </is>
      </c>
      <c r="J154" s="20" t="inlineStr">
        <is>
          <t>P1</t>
        </is>
      </c>
      <c r="K154" s="20" t="inlineStr">
        <is>
          <t>Validated (Supported)</t>
        </is>
      </c>
      <c r="L154" s="5" t="inlineStr">
        <is>
          <t>Supported via StockAdjustment with reason code 'DAMAGED_WRITE_OFF'.</t>
        </is>
      </c>
      <c r="M154" s="8" t="inlineStr">
        <is>
          <t>Baseline</t>
        </is>
      </c>
      <c r="N154" s="8" t="inlineStr">
        <is>
          <t>Operational role</t>
        </is>
      </c>
      <c r="O154" s="8" t="inlineStr">
        <is>
          <t>P1</t>
        </is>
      </c>
      <c r="P154" s="5" t="inlineStr">
        <is>
          <t>Unchanged</t>
        </is>
      </c>
      <c r="Q154" s="21" t="inlineStr">
        <is>
          <t>Code symbol found</t>
        </is>
      </c>
      <c r="R154" s="5" t="inlineStr">
        <is>
          <t>Matched StockAdjustment in product code. This is not a functional test.</t>
        </is>
      </c>
      <c r="S154" s="8" t="inlineStr">
        <is>
          <t>INV</t>
        </is>
      </c>
      <c r="T154" s="5" t="inlineStr">
        <is>
          <t>Inventory lifecycle</t>
        </is>
      </c>
      <c r="U154" s="8" t="inlineStr"/>
      <c r="V154" s="8" t="inlineStr">
        <is>
          <t>inventory</t>
        </is>
      </c>
      <c r="W154" s="8" t="inlineStr">
        <is>
          <t>RUN</t>
        </is>
      </c>
      <c r="X154" s="5" t="inlineStr">
        <is>
          <t>Core</t>
        </is>
      </c>
      <c r="Y154" s="5" t="inlineStr">
        <is>
          <t>Stock</t>
        </is>
      </c>
      <c r="Z154" s="5" t="inlineStr">
        <is>
          <t>High</t>
        </is>
      </c>
      <c r="AA154" s="5" t="inlineStr">
        <is>
          <t>High</t>
        </is>
      </c>
      <c r="AB154" s="8" t="inlineStr">
        <is>
          <t>Low</t>
        </is>
      </c>
      <c r="AC154" s="8" t="inlineStr">
        <is>
          <t>Pilot</t>
        </is>
      </c>
      <c r="AD154" s="5" t="inlineStr">
        <is>
          <t>Cited in code</t>
        </is>
      </c>
      <c r="AE154" s="5" t="inlineStr">
        <is>
          <t>Not verified</t>
        </is>
      </c>
      <c r="AF154" s="5" t="inlineStr">
        <is>
          <t>Not verified</t>
        </is>
      </c>
      <c r="AG154" s="5" t="inlineStr">
        <is>
          <t>Not verified</t>
        </is>
      </c>
      <c r="AH154" s="5" t="inlineStr">
        <is>
          <t>Not verified</t>
        </is>
      </c>
      <c r="AI154" s="8" t="inlineStr">
        <is>
          <t>No</t>
        </is>
      </c>
      <c r="AJ154" s="8" t="inlineStr">
        <is>
          <t>Built - unverified</t>
        </is>
      </c>
      <c r="AK154" s="8" t="inlineStr">
        <is>
          <t>P1</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P-0154</t>
        </is>
      </c>
      <c r="B155" s="8" t="inlineStr">
        <is>
          <t>P</t>
        </is>
      </c>
      <c r="C155" s="5" t="inlineStr">
        <is>
          <t>Inventory Manager</t>
        </is>
      </c>
      <c r="D155" s="5" t="inlineStr">
        <is>
          <t>Returns / Complaints / After-Sales</t>
        </is>
      </c>
      <c r="E155" s="5" t="inlineStr">
        <is>
          <t>Record returned stock</t>
        </is>
      </c>
      <c r="F155" s="5" t="inlineStr">
        <is>
          <t>Inventory Manager</t>
        </is>
      </c>
      <c r="G155" s="5" t="inlineStr">
        <is>
          <t>Billing Team</t>
        </is>
      </c>
      <c r="H155" s="5" t="inlineStr">
        <is>
          <t>Process incoming customer returns, inspect package integrity, and return to saleable bins</t>
        </is>
      </c>
      <c r="I155" s="5" t="inlineStr">
        <is>
          <t>Verifies returned goods, updates StockBalance (RETURN_INWARD), tags condition</t>
        </is>
      </c>
      <c r="J155" s="20" t="inlineStr">
        <is>
          <t>P1</t>
        </is>
      </c>
      <c r="K155" s="20" t="inlineStr">
        <is>
          <t>Validated (Supported)</t>
        </is>
      </c>
      <c r="L155" s="5" t="inlineStr">
        <is>
          <t>Supported via SalesReturn inspection step with inventory restoration toggle.</t>
        </is>
      </c>
      <c r="M155" s="8" t="inlineStr">
        <is>
          <t>Baseline</t>
        </is>
      </c>
      <c r="N155" s="8" t="inlineStr">
        <is>
          <t>Operational role</t>
        </is>
      </c>
      <c r="O155" s="8" t="inlineStr">
        <is>
          <t>P1</t>
        </is>
      </c>
      <c r="P155" s="5" t="inlineStr">
        <is>
          <t>Unchanged</t>
        </is>
      </c>
      <c r="Q155" s="21" t="inlineStr">
        <is>
          <t>Code symbol found</t>
        </is>
      </c>
      <c r="R155" s="5" t="inlineStr">
        <is>
          <t>Matched SalesReturn in product code. This is not a functional test.</t>
        </is>
      </c>
      <c r="S155" s="8" t="inlineStr">
        <is>
          <t>RET</t>
        </is>
      </c>
      <c r="T155" s="5" t="inlineStr">
        <is>
          <t>Returns, complaints, and after-sales</t>
        </is>
      </c>
      <c r="U155" s="8" t="inlineStr"/>
      <c r="V155" s="8" t="inlineStr">
        <is>
          <t>sales</t>
        </is>
      </c>
      <c r="W155" s="8" t="inlineStr">
        <is>
          <t>RUN</t>
        </is>
      </c>
      <c r="X155" s="5" t="inlineStr">
        <is>
          <t>Core</t>
        </is>
      </c>
      <c r="Y155" s="5" t="inlineStr">
        <is>
          <t>Stock</t>
        </is>
      </c>
      <c r="Z155" s="5" t="inlineStr">
        <is>
          <t>Medium</t>
        </is>
      </c>
      <c r="AA155" s="5" t="inlineStr">
        <is>
          <t>Medium</t>
        </is>
      </c>
      <c r="AB155" s="8" t="inlineStr">
        <is>
          <t>Low</t>
        </is>
      </c>
      <c r="AC155" s="8" t="inlineStr">
        <is>
          <t>Pilot</t>
        </is>
      </c>
      <c r="AD155" s="5" t="inlineStr">
        <is>
          <t>Cited in code</t>
        </is>
      </c>
      <c r="AE155" s="5" t="inlineStr">
        <is>
          <t>Not verified</t>
        </is>
      </c>
      <c r="AF155" s="5" t="inlineStr">
        <is>
          <t>Not verified</t>
        </is>
      </c>
      <c r="AG155" s="5" t="inlineStr">
        <is>
          <t>Not verified</t>
        </is>
      </c>
      <c r="AH155" s="5" t="inlineStr">
        <is>
          <t>Not verified</t>
        </is>
      </c>
      <c r="AI155" s="8" t="inlineStr">
        <is>
          <t>No</t>
        </is>
      </c>
      <c r="AJ155" s="8" t="inlineStr">
        <is>
          <t>Built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P-0155</t>
        </is>
      </c>
      <c r="B156" s="8" t="inlineStr">
        <is>
          <t>P</t>
        </is>
      </c>
      <c r="C156" s="5" t="inlineStr">
        <is>
          <t>Inventory Manager</t>
        </is>
      </c>
      <c r="D156" s="5" t="inlineStr">
        <is>
          <t>Inventory Lifecycle</t>
        </is>
      </c>
      <c r="E156" s="5" t="inlineStr">
        <is>
          <t>Perform stock count</t>
        </is>
      </c>
      <c r="F156" s="5" t="inlineStr">
        <is>
          <t>Inventory Manager</t>
        </is>
      </c>
      <c r="G156" s="5" t="inlineStr">
        <is>
          <t>Counting Staff</t>
        </is>
      </c>
      <c r="H156" s="5" t="inlineStr">
        <is>
          <t>Conduct scheduled physical inventory audits using barcode scanners or mobile tally sheets</t>
        </is>
      </c>
      <c r="I156" s="5" t="inlineStr">
        <is>
          <t>Initializes StockCountSession; captures scanned counts against frozen snapshot</t>
        </is>
      </c>
      <c r="J156" s="20" t="inlineStr">
        <is>
          <t>P1</t>
        </is>
      </c>
      <c r="K156" s="20" t="inlineStr">
        <is>
          <t>Validated (Supported)</t>
        </is>
      </c>
      <c r="L156" s="5" t="inlineStr">
        <is>
          <t>Supported via /inventory/stock-counts/ with blind counting and scanner support.</t>
        </is>
      </c>
      <c r="M156" s="8" t="inlineStr">
        <is>
          <t>Baseline</t>
        </is>
      </c>
      <c r="N156" s="8" t="inlineStr">
        <is>
          <t>Operational role</t>
        </is>
      </c>
      <c r="O156" s="8" t="inlineStr">
        <is>
          <t>P1</t>
        </is>
      </c>
      <c r="P156" s="5" t="inlineStr">
        <is>
          <t>Unchanged</t>
        </is>
      </c>
      <c r="Q156" s="20" t="inlineStr">
        <is>
          <t>Author assertion</t>
        </is>
      </c>
      <c r="R156" s="5" t="inlineStr"/>
      <c r="S156" s="8" t="inlineStr">
        <is>
          <t>INV</t>
        </is>
      </c>
      <c r="T156" s="5" t="inlineStr">
        <is>
          <t>Inventory lifecycle</t>
        </is>
      </c>
      <c r="U156" s="8" t="inlineStr"/>
      <c r="V156" s="8" t="inlineStr">
        <is>
          <t>inventory</t>
        </is>
      </c>
      <c r="W156" s="8" t="inlineStr">
        <is>
          <t>RUN</t>
        </is>
      </c>
      <c r="X156" s="5" t="inlineStr">
        <is>
          <t>Core</t>
        </is>
      </c>
      <c r="Y156" s="5" t="inlineStr">
        <is>
          <t>Stock</t>
        </is>
      </c>
      <c r="Z156" s="5" t="inlineStr">
        <is>
          <t>High</t>
        </is>
      </c>
      <c r="AA156" s="5" t="inlineStr">
        <is>
          <t>High</t>
        </is>
      </c>
      <c r="AB156" s="8" t="inlineStr">
        <is>
          <t>Low</t>
        </is>
      </c>
      <c r="AC156" s="8" t="inlineStr">
        <is>
          <t>Pilot</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P1</t>
        </is>
      </c>
      <c r="AL156" s="8" t="n">
        <v>9</v>
      </c>
      <c r="AM156" s="5" t="inlineStr"/>
      <c r="AN156" s="5" t="inlineStr"/>
      <c r="AO156" s="5" t="inlineStr"/>
      <c r="AP156" s="5" t="inlineStr"/>
      <c r="AQ156" s="5" t="inlineStr"/>
      <c r="AR156" s="5" t="inlineStr"/>
      <c r="AS156" s="5" t="inlineStr"/>
      <c r="AT156" s="5" t="inlineStr"/>
      <c r="AU156" s="8" t="inlineStr">
        <is>
          <t>Not run</t>
        </is>
      </c>
    </row>
    <row r="157" ht="32" customHeight="1">
      <c r="A157" s="16" t="inlineStr">
        <is>
          <t>P-0156</t>
        </is>
      </c>
      <c r="B157" s="8" t="inlineStr">
        <is>
          <t>P</t>
        </is>
      </c>
      <c r="C157" s="5" t="inlineStr">
        <is>
          <t>Inventory Manager</t>
        </is>
      </c>
      <c r="D157" s="5" t="inlineStr">
        <is>
          <t>Inventory Lifecycle</t>
        </is>
      </c>
      <c r="E157" s="5" t="inlineStr">
        <is>
          <t>Reconcile physical versus system stock</t>
        </is>
      </c>
      <c r="F157" s="5" t="inlineStr">
        <is>
          <t>Inventory Manager</t>
        </is>
      </c>
      <c r="G157" s="5" t="inlineStr">
        <is>
          <t>Accountant</t>
        </is>
      </c>
      <c r="H157" s="5" t="inlineStr">
        <is>
          <t>Compare actual physical count against system book balance to uncover stock variances</t>
        </is>
      </c>
      <c r="I157" s="5" t="inlineStr">
        <is>
          <t>Generates Variance Ledger detailing overages, shortages, and net financial discrepancy</t>
        </is>
      </c>
      <c r="J157" s="20" t="inlineStr">
        <is>
          <t>P1</t>
        </is>
      </c>
      <c r="K157" s="20" t="inlineStr">
        <is>
          <t>Validated (Supported)</t>
        </is>
      </c>
      <c r="L157" s="5" t="inlineStr">
        <is>
          <t>Supported via StockCountSession discrepancy analysis dashboard.</t>
        </is>
      </c>
      <c r="M157" s="8" t="inlineStr">
        <is>
          <t>Baseline</t>
        </is>
      </c>
      <c r="N157" s="8" t="inlineStr">
        <is>
          <t>Operational role</t>
        </is>
      </c>
      <c r="O157" s="8" t="inlineStr">
        <is>
          <t>P1</t>
        </is>
      </c>
      <c r="P157" s="5" t="inlineStr">
        <is>
          <t>Unchanged</t>
        </is>
      </c>
      <c r="Q157" s="21" t="inlineStr">
        <is>
          <t>Code symbol found</t>
        </is>
      </c>
      <c r="R157" s="5" t="inlineStr">
        <is>
          <t>Matched StockCountSession in product code. This is not a functional test.</t>
        </is>
      </c>
      <c r="S157" s="8" t="inlineStr">
        <is>
          <t>INV</t>
        </is>
      </c>
      <c r="T157" s="5" t="inlineStr">
        <is>
          <t>Inventory lifecycle</t>
        </is>
      </c>
      <c r="U157" s="8" t="inlineStr"/>
      <c r="V157" s="8" t="inlineStr">
        <is>
          <t>inventory</t>
        </is>
      </c>
      <c r="W157" s="8" t="inlineStr">
        <is>
          <t>RUN</t>
        </is>
      </c>
      <c r="X157" s="5" t="inlineStr">
        <is>
          <t>Core</t>
        </is>
      </c>
      <c r="Y157" s="5" t="inlineStr">
        <is>
          <t>Stock</t>
        </is>
      </c>
      <c r="Z157" s="5" t="inlineStr">
        <is>
          <t>High</t>
        </is>
      </c>
      <c r="AA157" s="5" t="inlineStr">
        <is>
          <t>High</t>
        </is>
      </c>
      <c r="AB157" s="8" t="inlineStr">
        <is>
          <t>Low</t>
        </is>
      </c>
      <c r="AC157" s="8" t="inlineStr">
        <is>
          <t>Pilot</t>
        </is>
      </c>
      <c r="AD157" s="5" t="inlineStr">
        <is>
          <t>Cited in code</t>
        </is>
      </c>
      <c r="AE157" s="5" t="inlineStr">
        <is>
          <t>Not verified</t>
        </is>
      </c>
      <c r="AF157" s="5" t="inlineStr">
        <is>
          <t>Not verified</t>
        </is>
      </c>
      <c r="AG157" s="5" t="inlineStr">
        <is>
          <t>Not verified</t>
        </is>
      </c>
      <c r="AH157" s="5" t="inlineStr">
        <is>
          <t>Not verified</t>
        </is>
      </c>
      <c r="AI157" s="8" t="inlineStr">
        <is>
          <t>No</t>
        </is>
      </c>
      <c r="AJ157" s="8" t="inlineStr">
        <is>
          <t>Built - unverified</t>
        </is>
      </c>
      <c r="AK157" s="8" t="inlineStr">
        <is>
          <t>P1</t>
        </is>
      </c>
      <c r="AL157" s="8" t="n">
        <v>9</v>
      </c>
      <c r="AM157" s="5" t="inlineStr"/>
      <c r="AN157" s="5" t="inlineStr"/>
      <c r="AO157" s="5" t="inlineStr"/>
      <c r="AP157" s="5" t="inlineStr"/>
      <c r="AQ157" s="5" t="inlineStr"/>
      <c r="AR157" s="5" t="inlineStr"/>
      <c r="AS157" s="5" t="inlineStr"/>
      <c r="AT157" s="5" t="inlineStr"/>
      <c r="AU157" s="8" t="inlineStr">
        <is>
          <t>Not run</t>
        </is>
      </c>
    </row>
    <row r="158" ht="32" customHeight="1">
      <c r="A158" s="16" t="inlineStr">
        <is>
          <t>P-0157</t>
        </is>
      </c>
      <c r="B158" s="8" t="inlineStr">
        <is>
          <t>P</t>
        </is>
      </c>
      <c r="C158" s="5" t="inlineStr">
        <is>
          <t>Inventory Manager</t>
        </is>
      </c>
      <c r="D158" s="5" t="inlineStr">
        <is>
          <t>Inventory Lifecycle</t>
        </is>
      </c>
      <c r="E158" s="5" t="inlineStr">
        <is>
          <t>Track batch/serial numbers</t>
        </is>
      </c>
      <c r="F158" s="5" t="inlineStr">
        <is>
          <t>Inventory Manager</t>
        </is>
      </c>
      <c r="G158" s="5" t="inlineStr">
        <is>
          <t>Customer Service</t>
        </is>
      </c>
      <c r="H158" s="5" t="inlineStr">
        <is>
          <t>Track complete movement history of individual serial numbers or manufacturer batch lots</t>
        </is>
      </c>
      <c r="I158" s="5" t="inlineStr">
        <is>
          <t>Maintains comprehensive lifecycle history: origin PO -&gt; godown -&gt; transfer -&gt; sales invoice</t>
        </is>
      </c>
      <c r="J158" s="20" t="inlineStr">
        <is>
          <t>P1</t>
        </is>
      </c>
      <c r="K158" s="20" t="inlineStr">
        <is>
          <t>Validated (Supported)</t>
        </is>
      </c>
      <c r="L158" s="5" t="inlineStr">
        <is>
          <t>Supported via Serial/Batch Traceability Explorer (/inventory/traceability/).</t>
        </is>
      </c>
      <c r="M158" s="8" t="inlineStr">
        <is>
          <t>Baseline</t>
        </is>
      </c>
      <c r="N158" s="8" t="inlineStr">
        <is>
          <t>Operational role</t>
        </is>
      </c>
      <c r="O158" s="8" t="inlineStr">
        <is>
          <t>P1</t>
        </is>
      </c>
      <c r="P158" s="5" t="inlineStr">
        <is>
          <t>Unchanged</t>
        </is>
      </c>
      <c r="Q158" s="20" t="inlineStr">
        <is>
          <t>Author assertion</t>
        </is>
      </c>
      <c r="R158" s="5" t="inlineStr"/>
      <c r="S158" s="8" t="inlineStr">
        <is>
          <t>INV</t>
        </is>
      </c>
      <c r="T158" s="5" t="inlineStr">
        <is>
          <t>Inventory lifecycle</t>
        </is>
      </c>
      <c r="U158" s="8" t="inlineStr"/>
      <c r="V158" s="8" t="inlineStr">
        <is>
          <t>inventory</t>
        </is>
      </c>
      <c r="W158" s="8" t="inlineStr">
        <is>
          <t>RUN</t>
        </is>
      </c>
      <c r="X158" s="5" t="inlineStr">
        <is>
          <t>Core</t>
        </is>
      </c>
      <c r="Y158" s="5" t="inlineStr">
        <is>
          <t>Stock</t>
        </is>
      </c>
      <c r="Z158" s="5" t="inlineStr">
        <is>
          <t>High</t>
        </is>
      </c>
      <c r="AA158" s="5" t="inlineStr">
        <is>
          <t>High</t>
        </is>
      </c>
      <c r="AB158" s="8" t="inlineStr">
        <is>
          <t>Low</t>
        </is>
      </c>
      <c r="AC158" s="8" t="inlineStr">
        <is>
          <t>Pilot</t>
        </is>
      </c>
      <c r="AD158" s="5" t="inlineStr">
        <is>
          <t>Not independently checked</t>
        </is>
      </c>
      <c r="AE158" s="5" t="inlineStr">
        <is>
          <t>Not verified</t>
        </is>
      </c>
      <c r="AF158" s="5" t="inlineStr">
        <is>
          <t>Not verified</t>
        </is>
      </c>
      <c r="AG158" s="5" t="inlineStr">
        <is>
          <t>Not verified</t>
        </is>
      </c>
      <c r="AH158" s="5" t="inlineStr">
        <is>
          <t>Not verified</t>
        </is>
      </c>
      <c r="AI158" s="8" t="inlineStr">
        <is>
          <t>No</t>
        </is>
      </c>
      <c r="AJ158" s="8" t="inlineStr">
        <is>
          <t>Claimed - unverified</t>
        </is>
      </c>
      <c r="AK158" s="8" t="inlineStr">
        <is>
          <t>P1</t>
        </is>
      </c>
      <c r="AL158" s="8" t="n">
        <v>9</v>
      </c>
      <c r="AM158" s="5" t="inlineStr"/>
      <c r="AN158" s="5" t="inlineStr"/>
      <c r="AO158" s="5" t="inlineStr"/>
      <c r="AP158" s="5" t="inlineStr"/>
      <c r="AQ158" s="5" t="inlineStr"/>
      <c r="AR158" s="5" t="inlineStr"/>
      <c r="AS158" s="5" t="inlineStr"/>
      <c r="AT158" s="5" t="inlineStr"/>
      <c r="AU158" s="8" t="inlineStr">
        <is>
          <t>Not run</t>
        </is>
      </c>
    </row>
    <row r="159" ht="32" customHeight="1">
      <c r="A159" s="16" t="inlineStr">
        <is>
          <t>P-0158</t>
        </is>
      </c>
      <c r="B159" s="8" t="inlineStr">
        <is>
          <t>P</t>
        </is>
      </c>
      <c r="C159" s="5" t="inlineStr">
        <is>
          <t>Inventory Manager</t>
        </is>
      </c>
      <c r="D159" s="5" t="inlineStr">
        <is>
          <t>Inventory Lifecycle</t>
        </is>
      </c>
      <c r="E159" s="5" t="inlineStr">
        <is>
          <t>Track expiry</t>
        </is>
      </c>
      <c r="F159" s="5" t="inlineStr">
        <is>
          <t>Inventory Manager</t>
        </is>
      </c>
      <c r="G159" s="5" t="inlineStr">
        <is>
          <t>Sales Team</t>
        </is>
      </c>
      <c r="H159" s="5" t="inlineStr">
        <is>
          <t>Enforce First-Expiry-First-Out (FEFO) rules and track impending shelf-life expirations</t>
        </is>
      </c>
      <c r="I159" s="5" t="inlineStr">
        <is>
          <t>Sorts available batches by expiry date; restricts allocation of expiring lots</t>
        </is>
      </c>
      <c r="J159" s="19" t="inlineStr">
        <is>
          <t>P0</t>
        </is>
      </c>
      <c r="K159" s="20" t="inlineStr">
        <is>
          <t>Validated (Supported)</t>
        </is>
      </c>
      <c r="L159" s="5" t="inlineStr">
        <is>
          <t>Core system invariant: FEFO auto-selection in warehouse picking and billing.</t>
        </is>
      </c>
      <c r="M159" s="8" t="inlineStr">
        <is>
          <t>Baseline</t>
        </is>
      </c>
      <c r="N159" s="8" t="inlineStr">
        <is>
          <t>Operational role</t>
        </is>
      </c>
      <c r="O159" s="8" t="inlineStr">
        <is>
          <t>P0</t>
        </is>
      </c>
      <c r="P159" s="5" t="inlineStr">
        <is>
          <t>Unchanged</t>
        </is>
      </c>
      <c r="Q159" s="20" t="inlineStr">
        <is>
          <t>Author assertion</t>
        </is>
      </c>
      <c r="R159" s="5" t="inlineStr"/>
      <c r="S159" s="8" t="inlineStr">
        <is>
          <t>INV</t>
        </is>
      </c>
      <c r="T159" s="5" t="inlineStr">
        <is>
          <t>Inventory lifecycle</t>
        </is>
      </c>
      <c r="U159" s="8" t="inlineStr"/>
      <c r="V159" s="8" t="inlineStr">
        <is>
          <t>inventory</t>
        </is>
      </c>
      <c r="W159" s="8" t="inlineStr">
        <is>
          <t>RUN</t>
        </is>
      </c>
      <c r="X159" s="5" t="inlineStr">
        <is>
          <t>Core</t>
        </is>
      </c>
      <c r="Y159" s="5" t="inlineStr">
        <is>
          <t>Stock</t>
        </is>
      </c>
      <c r="Z159" s="5" t="inlineStr">
        <is>
          <t>High</t>
        </is>
      </c>
      <c r="AA159" s="5" t="inlineStr">
        <is>
          <t>High</t>
        </is>
      </c>
      <c r="AB159" s="8" t="inlineStr">
        <is>
          <t>Low</t>
        </is>
      </c>
      <c r="AC159" s="8" t="inlineStr">
        <is>
          <t>MVP</t>
        </is>
      </c>
      <c r="AD159" s="5" t="inlineStr">
        <is>
          <t>Not independently checked</t>
        </is>
      </c>
      <c r="AE159" s="5" t="inlineStr">
        <is>
          <t>Not verified</t>
        </is>
      </c>
      <c r="AF159" s="5" t="inlineStr">
        <is>
          <t>Not verified</t>
        </is>
      </c>
      <c r="AG159" s="5" t="inlineStr">
        <is>
          <t>Not verified</t>
        </is>
      </c>
      <c r="AH159" s="5" t="inlineStr">
        <is>
          <t>Not verified</t>
        </is>
      </c>
      <c r="AI159" s="8" t="inlineStr">
        <is>
          <t>No</t>
        </is>
      </c>
      <c r="AJ159" s="8" t="inlineStr">
        <is>
          <t>Claimed - unverified</t>
        </is>
      </c>
      <c r="AK159" s="8" t="inlineStr">
        <is>
          <t>P0</t>
        </is>
      </c>
      <c r="AL159" s="8" t="n">
        <v>9</v>
      </c>
      <c r="AM159" s="5" t="inlineStr"/>
      <c r="AN159" s="5" t="inlineStr"/>
      <c r="AO159" s="5" t="inlineStr"/>
      <c r="AP159" s="5" t="inlineStr"/>
      <c r="AQ159" s="5" t="inlineStr"/>
      <c r="AR159" s="5" t="inlineStr"/>
      <c r="AS159" s="5" t="inlineStr"/>
      <c r="AT159" s="5" t="inlineStr"/>
      <c r="AU159" s="8" t="inlineStr">
        <is>
          <t>Not run</t>
        </is>
      </c>
    </row>
    <row r="160" ht="32" customHeight="1">
      <c r="A160" s="16" t="inlineStr">
        <is>
          <t>P-0159</t>
        </is>
      </c>
      <c r="B160" s="8" t="inlineStr">
        <is>
          <t>P</t>
        </is>
      </c>
      <c r="C160" s="5" t="inlineStr">
        <is>
          <t>Inventory Manager</t>
        </is>
      </c>
      <c r="D160" s="5" t="inlineStr">
        <is>
          <t>Inventory Lifecycle</t>
        </is>
      </c>
      <c r="E160" s="5" t="inlineStr">
        <is>
          <t>Calculate inventory valuation</t>
        </is>
      </c>
      <c r="F160" s="5" t="inlineStr">
        <is>
          <t>Inventory Manager</t>
        </is>
      </c>
      <c r="G160" s="5" t="inlineStr">
        <is>
          <t>Accountant / Auditor</t>
        </is>
      </c>
      <c r="H160" s="5" t="inlineStr">
        <is>
          <t>Calculate total balance sheet inventory value based on FIFO cost layers</t>
        </is>
      </c>
      <c r="I160" s="5" t="inlineStr">
        <is>
          <t>Computes total asset value: SUM(Stock Layer Quantity * Layer Unit Cost)</t>
        </is>
      </c>
      <c r="J160" s="22" t="inlineStr">
        <is>
          <t>P2</t>
        </is>
      </c>
      <c r="K160" s="20" t="inlineStr">
        <is>
          <t>Validated (Supported)</t>
        </is>
      </c>
      <c r="L160" s="5" t="inlineStr">
        <is>
          <t>Supported via Inventory Valuation Ledger (/reports/inventory-valuation/).</t>
        </is>
      </c>
      <c r="M160" s="8" t="inlineStr">
        <is>
          <t>Baseline</t>
        </is>
      </c>
      <c r="N160" s="8" t="inlineStr">
        <is>
          <t>Operational role</t>
        </is>
      </c>
      <c r="O160" s="8" t="inlineStr">
        <is>
          <t>P2</t>
        </is>
      </c>
      <c r="P160" s="5" t="inlineStr">
        <is>
          <t>Restored to authored P2. The previous workbook had P3 after a keyword rebalance.</t>
        </is>
      </c>
      <c r="Q160" s="20" t="inlineStr">
        <is>
          <t>Author assertion</t>
        </is>
      </c>
      <c r="R160" s="5" t="inlineStr">
        <is>
          <t>Restored to authored P2. The previous workbook had P3 after a keyword rebalance.</t>
        </is>
      </c>
      <c r="S160" s="8" t="inlineStr">
        <is>
          <t>INV</t>
        </is>
      </c>
      <c r="T160" s="5" t="inlineStr">
        <is>
          <t>Inventory lifecycle</t>
        </is>
      </c>
      <c r="U160" s="8" t="inlineStr"/>
      <c r="V160" s="8" t="inlineStr">
        <is>
          <t>inventory</t>
        </is>
      </c>
      <c r="W160" s="8" t="inlineStr">
        <is>
          <t>RUN</t>
        </is>
      </c>
      <c r="X160" s="5" t="inlineStr">
        <is>
          <t>Core</t>
        </is>
      </c>
      <c r="Y160" s="5" t="inlineStr">
        <is>
          <t>Stock</t>
        </is>
      </c>
      <c r="Z160" s="5" t="inlineStr">
        <is>
          <t>High</t>
        </is>
      </c>
      <c r="AA160" s="5" t="inlineStr">
        <is>
          <t>High</t>
        </is>
      </c>
      <c r="AB160" s="8" t="inlineStr">
        <is>
          <t>Low</t>
        </is>
      </c>
      <c r="AC160" s="8" t="inlineStr">
        <is>
          <t>Later</t>
        </is>
      </c>
      <c r="AD160" s="5" t="inlineStr">
        <is>
          <t>Not independently checked</t>
        </is>
      </c>
      <c r="AE160" s="5" t="inlineStr">
        <is>
          <t>Not verified</t>
        </is>
      </c>
      <c r="AF160" s="5" t="inlineStr">
        <is>
          <t>Not verified</t>
        </is>
      </c>
      <c r="AG160" s="5" t="inlineStr">
        <is>
          <t>Not verified</t>
        </is>
      </c>
      <c r="AH160" s="5" t="inlineStr">
        <is>
          <t>Not verified</t>
        </is>
      </c>
      <c r="AI160" s="8" t="inlineStr">
        <is>
          <t>No</t>
        </is>
      </c>
      <c r="AJ160" s="8" t="inlineStr">
        <is>
          <t>Claimed - unverified</t>
        </is>
      </c>
      <c r="AK160" s="8" t="inlineStr">
        <is>
          <t>P2</t>
        </is>
      </c>
      <c r="AL160" s="8" t="n">
        <v>9</v>
      </c>
      <c r="AM160" s="5" t="inlineStr"/>
      <c r="AN160" s="5" t="inlineStr"/>
      <c r="AO160" s="5" t="inlineStr"/>
      <c r="AP160" s="5" t="inlineStr"/>
      <c r="AQ160" s="5" t="inlineStr"/>
      <c r="AR160" s="5" t="inlineStr"/>
      <c r="AS160" s="5" t="inlineStr"/>
      <c r="AT160" s="5" t="inlineStr"/>
      <c r="AU160" s="8" t="inlineStr">
        <is>
          <t>Not run</t>
        </is>
      </c>
    </row>
    <row r="161" ht="32" customHeight="1">
      <c r="A161" s="16" t="inlineStr">
        <is>
          <t>P-0160</t>
        </is>
      </c>
      <c r="B161" s="8" t="inlineStr">
        <is>
          <t>P</t>
        </is>
      </c>
      <c r="C161" s="5" t="inlineStr">
        <is>
          <t>Inventory Manager</t>
        </is>
      </c>
      <c r="D161" s="5" t="inlineStr">
        <is>
          <t>Inventory Lifecycle</t>
        </is>
      </c>
      <c r="E161" s="5" t="inlineStr">
        <is>
          <t>Investigate stock discrepancies</t>
        </is>
      </c>
      <c r="F161" s="5" t="inlineStr">
        <is>
          <t>Inventory Manager</t>
        </is>
      </c>
      <c r="G161" s="5" t="inlineStr">
        <is>
          <t>Security / Store Auditor</t>
        </is>
      </c>
      <c r="H161" s="5" t="inlineStr">
        <is>
          <t>Drill into transaction logs to uncover root cause of missing stock (theft, unbilled dispatch, count error)</t>
        </is>
      </c>
      <c r="I161" s="5" t="inlineStr">
        <is>
          <t>Replays all inward, outward, and transfer movements chronologically for disputed SKU</t>
        </is>
      </c>
      <c r="J161" s="20" t="inlineStr">
        <is>
          <t>P1</t>
        </is>
      </c>
      <c r="K161" s="20" t="inlineStr">
        <is>
          <t>Validated (Supported)</t>
        </is>
      </c>
      <c r="L161" s="5" t="inlineStr">
        <is>
          <t>Supported via SKU Timeline Explorer with audit trail log.</t>
        </is>
      </c>
      <c r="M161" s="8" t="inlineStr">
        <is>
          <t>Baseline</t>
        </is>
      </c>
      <c r="N161" s="8" t="inlineStr">
        <is>
          <t>Operational role</t>
        </is>
      </c>
      <c r="O161" s="8" t="inlineStr">
        <is>
          <t>P1</t>
        </is>
      </c>
      <c r="P161" s="5" t="inlineStr">
        <is>
          <t>Unchanged</t>
        </is>
      </c>
      <c r="Q161" s="20" t="inlineStr">
        <is>
          <t>Author assertion</t>
        </is>
      </c>
      <c r="R161" s="5" t="inlineStr"/>
      <c r="S161" s="8" t="inlineStr">
        <is>
          <t>INV</t>
        </is>
      </c>
      <c r="T161" s="5" t="inlineStr">
        <is>
          <t>Inventory lifecycle</t>
        </is>
      </c>
      <c r="U161" s="8" t="inlineStr"/>
      <c r="V161" s="8" t="inlineStr">
        <is>
          <t>inventory</t>
        </is>
      </c>
      <c r="W161" s="8" t="inlineStr">
        <is>
          <t>RUN</t>
        </is>
      </c>
      <c r="X161" s="5" t="inlineStr">
        <is>
          <t>Core</t>
        </is>
      </c>
      <c r="Y161" s="5" t="inlineStr">
        <is>
          <t>Stock</t>
        </is>
      </c>
      <c r="Z161" s="5" t="inlineStr">
        <is>
          <t>High</t>
        </is>
      </c>
      <c r="AA161" s="5" t="inlineStr">
        <is>
          <t>High</t>
        </is>
      </c>
      <c r="AB161" s="8" t="inlineStr">
        <is>
          <t>Low</t>
        </is>
      </c>
      <c r="AC161" s="8" t="inlineStr">
        <is>
          <t>Pilot</t>
        </is>
      </c>
      <c r="AD161" s="5" t="inlineStr">
        <is>
          <t>Not independently checked</t>
        </is>
      </c>
      <c r="AE161" s="5" t="inlineStr">
        <is>
          <t>Not verified</t>
        </is>
      </c>
      <c r="AF161" s="5" t="inlineStr">
        <is>
          <t>Not verified</t>
        </is>
      </c>
      <c r="AG161" s="5" t="inlineStr">
        <is>
          <t>Not verified</t>
        </is>
      </c>
      <c r="AH161" s="5" t="inlineStr">
        <is>
          <t>Not verified</t>
        </is>
      </c>
      <c r="AI161" s="8" t="inlineStr">
        <is>
          <t>No</t>
        </is>
      </c>
      <c r="AJ161" s="8" t="inlineStr">
        <is>
          <t>Claimed - unverified</t>
        </is>
      </c>
      <c r="AK161" s="8" t="inlineStr">
        <is>
          <t>P1</t>
        </is>
      </c>
      <c r="AL161" s="8" t="n">
        <v>9</v>
      </c>
      <c r="AM161" s="5" t="inlineStr"/>
      <c r="AN161" s="5" t="inlineStr"/>
      <c r="AO161" s="5" t="inlineStr"/>
      <c r="AP161" s="5" t="inlineStr"/>
      <c r="AQ161" s="5" t="inlineStr"/>
      <c r="AR161" s="5" t="inlineStr"/>
      <c r="AS161" s="5" t="inlineStr"/>
      <c r="AT161" s="5" t="inlineStr"/>
      <c r="AU161" s="8" t="inlineStr">
        <is>
          <t>Not run</t>
        </is>
      </c>
    </row>
    <row r="162" ht="32" customHeight="1">
      <c r="A162" s="16" t="inlineStr">
        <is>
          <t>P-0161</t>
        </is>
      </c>
      <c r="B162" s="8" t="inlineStr">
        <is>
          <t>P</t>
        </is>
      </c>
      <c r="C162" s="5" t="inlineStr">
        <is>
          <t>Inventory Manager</t>
        </is>
      </c>
      <c r="D162" s="5" t="inlineStr">
        <is>
          <t>Inventory Lifecycle</t>
        </is>
      </c>
      <c r="E162" s="5" t="inlineStr">
        <is>
          <t>Review inventory movement history</t>
        </is>
      </c>
      <c r="F162" s="5" t="inlineStr">
        <is>
          <t>Inventory Manager</t>
        </is>
      </c>
      <c r="G162" s="5" t="inlineStr">
        <is>
          <t>Auditor</t>
        </is>
      </c>
      <c r="H162" s="5" t="inlineStr">
        <is>
          <t>Audit chronological log of every stock increment and decrement across the company</t>
        </is>
      </c>
      <c r="I162" s="5" t="inlineStr">
        <is>
          <t>Queries immutable StockMovement table with filters for movement type, user, and date</t>
        </is>
      </c>
      <c r="J162" s="20" t="inlineStr">
        <is>
          <t>P1</t>
        </is>
      </c>
      <c r="K162" s="20" t="inlineStr">
        <is>
          <t>Validated (Supported)</t>
        </is>
      </c>
      <c r="L162" s="5" t="inlineStr">
        <is>
          <t>Supported via /inventory/movements/ with export to Excel/CSV.</t>
        </is>
      </c>
      <c r="M162" s="8" t="inlineStr">
        <is>
          <t>Baseline</t>
        </is>
      </c>
      <c r="N162" s="8" t="inlineStr">
        <is>
          <t>Operational role</t>
        </is>
      </c>
      <c r="O162" s="8" t="inlineStr">
        <is>
          <t>P1</t>
        </is>
      </c>
      <c r="P162" s="5" t="inlineStr">
        <is>
          <t>Unchanged</t>
        </is>
      </c>
      <c r="Q162" s="20" t="inlineStr">
        <is>
          <t>Author assertion</t>
        </is>
      </c>
      <c r="R162" s="5" t="inlineStr"/>
      <c r="S162" s="8" t="inlineStr">
        <is>
          <t>INV</t>
        </is>
      </c>
      <c r="T162" s="5" t="inlineStr">
        <is>
          <t>Inventory lifecycle</t>
        </is>
      </c>
      <c r="U162" s="8" t="inlineStr"/>
      <c r="V162" s="8" t="inlineStr">
        <is>
          <t>inventory</t>
        </is>
      </c>
      <c r="W162" s="8" t="inlineStr">
        <is>
          <t>RUN</t>
        </is>
      </c>
      <c r="X162" s="5" t="inlineStr">
        <is>
          <t>Core</t>
        </is>
      </c>
      <c r="Y162" s="5" t="inlineStr">
        <is>
          <t>Stock</t>
        </is>
      </c>
      <c r="Z162" s="5" t="inlineStr">
        <is>
          <t>High</t>
        </is>
      </c>
      <c r="AA162" s="5" t="inlineStr">
        <is>
          <t>High</t>
        </is>
      </c>
      <c r="AB162" s="8" t="inlineStr">
        <is>
          <t>Low</t>
        </is>
      </c>
      <c r="AC162" s="8" t="inlineStr">
        <is>
          <t>Pilot</t>
        </is>
      </c>
      <c r="AD162" s="5" t="inlineStr">
        <is>
          <t>Not independently checked</t>
        </is>
      </c>
      <c r="AE162" s="5" t="inlineStr">
        <is>
          <t>Not verified</t>
        </is>
      </c>
      <c r="AF162" s="5" t="inlineStr">
        <is>
          <t>Not verified</t>
        </is>
      </c>
      <c r="AG162" s="5" t="inlineStr">
        <is>
          <t>Not verified</t>
        </is>
      </c>
      <c r="AH162" s="5" t="inlineStr">
        <is>
          <t>Not verified</t>
        </is>
      </c>
      <c r="AI162" s="8" t="inlineStr">
        <is>
          <t>No</t>
        </is>
      </c>
      <c r="AJ162" s="8" t="inlineStr">
        <is>
          <t>Claimed - unverified</t>
        </is>
      </c>
      <c r="AK162" s="8" t="inlineStr">
        <is>
          <t>P1</t>
        </is>
      </c>
      <c r="AL162" s="8" t="n">
        <v>9</v>
      </c>
      <c r="AM162" s="5" t="inlineStr"/>
      <c r="AN162" s="5" t="inlineStr"/>
      <c r="AO162" s="5" t="inlineStr"/>
      <c r="AP162" s="5" t="inlineStr"/>
      <c r="AQ162" s="5" t="inlineStr"/>
      <c r="AR162" s="5" t="inlineStr"/>
      <c r="AS162" s="5" t="inlineStr"/>
      <c r="AT162" s="5" t="inlineStr"/>
      <c r="AU162" s="8" t="inlineStr">
        <is>
          <t>Not run</t>
        </is>
      </c>
    </row>
    <row r="163" ht="32" customHeight="1">
      <c r="A163" s="16" t="inlineStr">
        <is>
          <t>P-0162</t>
        </is>
      </c>
      <c r="B163" s="8" t="inlineStr">
        <is>
          <t>P</t>
        </is>
      </c>
      <c r="C163" s="5" t="inlineStr">
        <is>
          <t>Customer</t>
        </is>
      </c>
      <c r="D163" s="5" t="inlineStr">
        <is>
          <t>Customer-to-Cash</t>
        </is>
      </c>
      <c r="E163" s="5" t="inlineStr">
        <is>
          <t>Receive invoice</t>
        </is>
      </c>
      <c r="F163" s="5" t="inlineStr">
        <is>
          <t>Customer</t>
        </is>
      </c>
      <c r="G163" s="5" t="inlineStr">
        <is>
          <t>Counter Billing Clerk</t>
        </is>
      </c>
      <c r="H163" s="5" t="inlineStr">
        <is>
          <t>Receive transparent, itemized invoice via paper print, SMS link, or WhatsApp message</t>
        </is>
      </c>
      <c r="I163" s="5" t="inlineStr">
        <is>
          <t>Provides proof of purchase, warranty record, and tax breakdown for input tax credit</t>
        </is>
      </c>
      <c r="J163" s="20" t="inlineStr">
        <is>
          <t>P1</t>
        </is>
      </c>
      <c r="K163" s="20" t="inlineStr">
        <is>
          <t>Validated (Supported)</t>
        </is>
      </c>
      <c r="L163" s="5" t="inlineStr">
        <is>
          <t>Supported via digital invoice web view and WhatsApp share link.</t>
        </is>
      </c>
      <c r="M163" s="8" t="inlineStr">
        <is>
          <t>Baseline</t>
        </is>
      </c>
      <c r="N163" s="8" t="inlineStr">
        <is>
          <t>Operational role</t>
        </is>
      </c>
      <c r="O163" s="8" t="inlineStr">
        <is>
          <t>P1</t>
        </is>
      </c>
      <c r="P163" s="5" t="inlineStr">
        <is>
          <t>Unchanged</t>
        </is>
      </c>
      <c r="Q163" s="21" t="inlineStr">
        <is>
          <t>Code symbol found</t>
        </is>
      </c>
      <c r="R163" s="5" t="inlineStr">
        <is>
          <t>Matched WhatsApp in product code. This is not a functional test.</t>
        </is>
      </c>
      <c r="S163" s="8" t="inlineStr">
        <is>
          <t>C2C</t>
        </is>
      </c>
      <c r="T163" s="5" t="inlineStr">
        <is>
          <t>Customer to cash</t>
        </is>
      </c>
      <c r="U163" s="8" t="inlineStr"/>
      <c r="V163" s="8" t="inlineStr">
        <is>
          <t>sales</t>
        </is>
      </c>
      <c r="W163" s="8" t="inlineStr">
        <is>
          <t>RUN</t>
        </is>
      </c>
      <c r="X163" s="5" t="inlineStr">
        <is>
          <t>Core</t>
        </is>
      </c>
      <c r="Y163" s="5" t="inlineStr">
        <is>
          <t>External party</t>
        </is>
      </c>
      <c r="Z163" s="5" t="inlineStr">
        <is>
          <t>Medium</t>
        </is>
      </c>
      <c r="AA163" s="5" t="inlineStr">
        <is>
          <t>Medium</t>
        </is>
      </c>
      <c r="AB163" s="8" t="inlineStr">
        <is>
          <t>Low</t>
        </is>
      </c>
      <c r="AC163" s="8" t="inlineStr">
        <is>
          <t>Pilot</t>
        </is>
      </c>
      <c r="AD163" s="5" t="inlineStr">
        <is>
          <t>Cited in code</t>
        </is>
      </c>
      <c r="AE163" s="5" t="inlineStr">
        <is>
          <t>Not verified</t>
        </is>
      </c>
      <c r="AF163" s="5" t="inlineStr">
        <is>
          <t>Not verified</t>
        </is>
      </c>
      <c r="AG163" s="5" t="inlineStr">
        <is>
          <t>Not verified</t>
        </is>
      </c>
      <c r="AH163" s="5" t="inlineStr">
        <is>
          <t>Not verified</t>
        </is>
      </c>
      <c r="AI163" s="8" t="inlineStr">
        <is>
          <t>No</t>
        </is>
      </c>
      <c r="AJ163" s="8" t="inlineStr">
        <is>
          <t>Built - unverified</t>
        </is>
      </c>
      <c r="AK163" s="8" t="inlineStr">
        <is>
          <t>P1</t>
        </is>
      </c>
      <c r="AL163" s="8" t="n">
        <v>6</v>
      </c>
      <c r="AM163" s="5" t="inlineStr"/>
      <c r="AN163" s="5" t="inlineStr"/>
      <c r="AO163" s="5" t="inlineStr"/>
      <c r="AP163" s="5" t="inlineStr"/>
      <c r="AQ163" s="5" t="inlineStr"/>
      <c r="AR163" s="5" t="inlineStr"/>
      <c r="AS163" s="5" t="inlineStr"/>
      <c r="AT163" s="5" t="inlineStr"/>
      <c r="AU163" s="8" t="inlineStr">
        <is>
          <t>Not run</t>
        </is>
      </c>
    </row>
    <row r="164" ht="32" customHeight="1">
      <c r="A164" s="16" t="inlineStr">
        <is>
          <t>P-0163</t>
        </is>
      </c>
      <c r="B164" s="8" t="inlineStr">
        <is>
          <t>P</t>
        </is>
      </c>
      <c r="C164" s="5" t="inlineStr">
        <is>
          <t>Customer</t>
        </is>
      </c>
      <c r="D164" s="5" t="inlineStr">
        <is>
          <t>Sales / CRM / Customer Lifecycle</t>
        </is>
      </c>
      <c r="E164" s="5" t="inlineStr">
        <is>
          <t>View purchase history</t>
        </is>
      </c>
      <c r="F164" s="5" t="inlineStr">
        <is>
          <t>Customer</t>
        </is>
      </c>
      <c r="G164" s="5" t="inlineStr">
        <is>
          <t>Salesperson</t>
        </is>
      </c>
      <c r="H164" s="5" t="inlineStr">
        <is>
          <t>Review past orders, reorder previous items, and track order fulfillment status</t>
        </is>
      </c>
      <c r="I164" s="5" t="inlineStr">
        <is>
          <t>Accesses self-service customer ledger or order summary link</t>
        </is>
      </c>
      <c r="J164" s="22" t="inlineStr">
        <is>
          <t>P2</t>
        </is>
      </c>
      <c r="K164" s="20" t="inlineStr">
        <is>
          <t>Validated (Supported)</t>
        </is>
      </c>
      <c r="L164" s="5" t="inlineStr">
        <is>
          <t>Supported via Customer Portal / shared statement link.</t>
        </is>
      </c>
      <c r="M164" s="8" t="inlineStr">
        <is>
          <t>Baseline</t>
        </is>
      </c>
      <c r="N164" s="8" t="inlineStr">
        <is>
          <t>Operational role</t>
        </is>
      </c>
      <c r="O164" s="8" t="inlineStr">
        <is>
          <t>P2</t>
        </is>
      </c>
      <c r="P164" s="5" t="inlineStr">
        <is>
          <t>Restored to authored P2. The previous workbook had P3 after a keyword rebalance.</t>
        </is>
      </c>
      <c r="Q164" s="20" t="inlineStr">
        <is>
          <t>Author assertion</t>
        </is>
      </c>
      <c r="R164" s="5" t="inlineStr">
        <is>
          <t>Restored to authored P2. The previous workbook had P3 after a keyword rebalance.</t>
        </is>
      </c>
      <c r="S164" s="8" t="inlineStr">
        <is>
          <t>CRM</t>
        </is>
      </c>
      <c r="T164" s="5" t="inlineStr">
        <is>
          <t>Sales and CRM lifecycle</t>
        </is>
      </c>
      <c r="U164" s="8" t="inlineStr"/>
      <c r="V164" s="8" t="inlineStr">
        <is>
          <t>crm</t>
        </is>
      </c>
      <c r="W164" s="8" t="inlineStr">
        <is>
          <t>GROW</t>
        </is>
      </c>
      <c r="X164" s="5" t="inlineStr">
        <is>
          <t>Core</t>
        </is>
      </c>
      <c r="Y164" s="5" t="inlineStr">
        <is>
          <t>External party</t>
        </is>
      </c>
      <c r="Z164" s="5" t="inlineStr">
        <is>
          <t>Medium</t>
        </is>
      </c>
      <c r="AA164" s="5" t="inlineStr">
        <is>
          <t>Medium</t>
        </is>
      </c>
      <c r="AB164" s="8" t="inlineStr">
        <is>
          <t>Low</t>
        </is>
      </c>
      <c r="AC164" s="8" t="inlineStr">
        <is>
          <t>Later</t>
        </is>
      </c>
      <c r="AD164" s="5" t="inlineStr">
        <is>
          <t>Not independently checked</t>
        </is>
      </c>
      <c r="AE164" s="5" t="inlineStr">
        <is>
          <t>Not verified</t>
        </is>
      </c>
      <c r="AF164" s="5" t="inlineStr">
        <is>
          <t>Not verified</t>
        </is>
      </c>
      <c r="AG164" s="5" t="inlineStr">
        <is>
          <t>Not verified</t>
        </is>
      </c>
      <c r="AH164" s="5" t="inlineStr">
        <is>
          <t>Not verified</t>
        </is>
      </c>
      <c r="AI164" s="8" t="inlineStr">
        <is>
          <t>No</t>
        </is>
      </c>
      <c r="AJ164" s="8" t="inlineStr">
        <is>
          <t>Claimed - unverified</t>
        </is>
      </c>
      <c r="AK164" s="8" t="inlineStr">
        <is>
          <t>P2</t>
        </is>
      </c>
      <c r="AL164" s="8" t="n">
        <v>6</v>
      </c>
      <c r="AM164" s="5" t="inlineStr"/>
      <c r="AN164" s="5" t="inlineStr"/>
      <c r="AO164" s="5" t="inlineStr"/>
      <c r="AP164" s="5" t="inlineStr"/>
      <c r="AQ164" s="5" t="inlineStr"/>
      <c r="AR164" s="5" t="inlineStr"/>
      <c r="AS164" s="5" t="inlineStr"/>
      <c r="AT164" s="5" t="inlineStr"/>
      <c r="AU164" s="8" t="inlineStr">
        <is>
          <t>Not run</t>
        </is>
      </c>
    </row>
    <row r="165" ht="32" customHeight="1">
      <c r="A165" s="16" t="inlineStr">
        <is>
          <t>P-0164</t>
        </is>
      </c>
      <c r="B165" s="8" t="inlineStr">
        <is>
          <t>P</t>
        </is>
      </c>
      <c r="C165" s="5" t="inlineStr">
        <is>
          <t>Customer</t>
        </is>
      </c>
      <c r="D165" s="5" t="inlineStr">
        <is>
          <t>Receivables &amp; Payables</t>
        </is>
      </c>
      <c r="E165" s="5" t="inlineStr">
        <is>
          <t>Receive dues information</t>
        </is>
      </c>
      <c r="F165" s="5" t="inlineStr">
        <is>
          <t>Customer</t>
        </is>
      </c>
      <c r="G165" s="5" t="inlineStr">
        <is>
          <t>Accountant / Cashier</t>
        </is>
      </c>
      <c r="H165" s="5" t="inlineStr">
        <is>
          <t>Receive clear, polite payment reminders showing total unpaid credit balance and due date</t>
        </is>
      </c>
      <c r="I165" s="5" t="inlineStr">
        <is>
          <t>Displays list of outstanding invoices with embedded UPI quick-payment link</t>
        </is>
      </c>
      <c r="J165" s="20" t="inlineStr">
        <is>
          <t>P1</t>
        </is>
      </c>
      <c r="K165" s="20" t="inlineStr">
        <is>
          <t>Validated (Supported)</t>
        </is>
      </c>
      <c r="L165" s="5" t="inlineStr">
        <is>
          <t>Supported via Automated WhatsApp payment reminder engine.</t>
        </is>
      </c>
      <c r="M165" s="8" t="inlineStr">
        <is>
          <t>Baseline</t>
        </is>
      </c>
      <c r="N165" s="8" t="inlineStr">
        <is>
          <t>Operational role</t>
        </is>
      </c>
      <c r="O165" s="8" t="inlineStr">
        <is>
          <t>P1</t>
        </is>
      </c>
      <c r="P165" s="5" t="inlineStr">
        <is>
          <t>Unchanged</t>
        </is>
      </c>
      <c r="Q165" s="21" t="inlineStr">
        <is>
          <t>Code symbol found</t>
        </is>
      </c>
      <c r="R165" s="5" t="inlineStr">
        <is>
          <t>Matched WhatsApp in product code. This is not a functional test.</t>
        </is>
      </c>
      <c r="S165" s="8" t="inlineStr">
        <is>
          <t>ARAP</t>
        </is>
      </c>
      <c r="T165" s="5" t="inlineStr">
        <is>
          <t>Receivables and payables</t>
        </is>
      </c>
      <c r="U165" s="8" t="inlineStr"/>
      <c r="V165" s="8" t="inlineStr">
        <is>
          <t>ledgers</t>
        </is>
      </c>
      <c r="W165" s="8" t="inlineStr">
        <is>
          <t>CONTROL</t>
        </is>
      </c>
      <c r="X165" s="5" t="inlineStr">
        <is>
          <t>Core</t>
        </is>
      </c>
      <c r="Y165" s="5" t="inlineStr">
        <is>
          <t>External party</t>
        </is>
      </c>
      <c r="Z165" s="5" t="inlineStr">
        <is>
          <t>Critical</t>
        </is>
      </c>
      <c r="AA165" s="5" t="inlineStr">
        <is>
          <t>High</t>
        </is>
      </c>
      <c r="AB165" s="8" t="inlineStr">
        <is>
          <t>Medium</t>
        </is>
      </c>
      <c r="AC165" s="8" t="inlineStr">
        <is>
          <t>Pilot</t>
        </is>
      </c>
      <c r="AD165" s="5" t="inlineStr">
        <is>
          <t>Cited in code</t>
        </is>
      </c>
      <c r="AE165" s="5" t="inlineStr">
        <is>
          <t>Not verified</t>
        </is>
      </c>
      <c r="AF165" s="5" t="inlineStr">
        <is>
          <t>Not verified</t>
        </is>
      </c>
      <c r="AG165" s="5" t="inlineStr">
        <is>
          <t>Not verified</t>
        </is>
      </c>
      <c r="AH165" s="5" t="inlineStr">
        <is>
          <t>Not verified</t>
        </is>
      </c>
      <c r="AI165" s="8" t="inlineStr">
        <is>
          <t>No</t>
        </is>
      </c>
      <c r="AJ165" s="8" t="inlineStr">
        <is>
          <t>Built - unverified</t>
        </is>
      </c>
      <c r="AK165" s="8" t="inlineStr">
        <is>
          <t>P1</t>
        </is>
      </c>
      <c r="AL165" s="8" t="n">
        <v>18</v>
      </c>
      <c r="AM165" s="5" t="inlineStr"/>
      <c r="AN165" s="5" t="inlineStr"/>
      <c r="AO165" s="5" t="inlineStr"/>
      <c r="AP165" s="5" t="inlineStr"/>
      <c r="AQ165" s="5" t="inlineStr"/>
      <c r="AR165" s="5" t="inlineStr"/>
      <c r="AS165" s="5" t="inlineStr"/>
      <c r="AT165" s="5" t="inlineStr"/>
      <c r="AU165" s="8" t="inlineStr">
        <is>
          <t>Not run</t>
        </is>
      </c>
    </row>
    <row r="166" ht="32" customHeight="1">
      <c r="A166" s="16" t="inlineStr">
        <is>
          <t>P-0165</t>
        </is>
      </c>
      <c r="B166" s="8" t="inlineStr">
        <is>
          <t>P</t>
        </is>
      </c>
      <c r="C166" s="5" t="inlineStr">
        <is>
          <t>Customer</t>
        </is>
      </c>
      <c r="D166" s="5" t="inlineStr">
        <is>
          <t>Payments &amp; Reconciliation</t>
        </is>
      </c>
      <c r="E166" s="5" t="inlineStr">
        <is>
          <t>Make payment</t>
        </is>
      </c>
      <c r="F166" s="5" t="inlineStr">
        <is>
          <t>Customer</t>
        </is>
      </c>
      <c r="G166" s="5" t="inlineStr">
        <is>
          <t>Cashier / Payment Gateway</t>
        </is>
      </c>
      <c r="H166" s="5" t="inlineStr">
        <is>
          <t>Pay outstanding balance easily via Cash, UPI QR, Debit/Credit Card, or NetBanking</t>
        </is>
      </c>
      <c r="I166" s="5" t="inlineStr">
        <is>
          <t>Generates immediate payment receipt; reduces customer outstanding balance in real time</t>
        </is>
      </c>
      <c r="J166" s="20" t="inlineStr">
        <is>
          <t>P1</t>
        </is>
      </c>
      <c r="K166" s="20" t="inlineStr">
        <is>
          <t>Validated (Supported)</t>
        </is>
      </c>
      <c r="L166" s="5" t="inlineStr">
        <is>
          <t>Supported via dynamic UPI QR on POS and online payment link.</t>
        </is>
      </c>
      <c r="M166" s="8" t="inlineStr">
        <is>
          <t>Baseline</t>
        </is>
      </c>
      <c r="N166" s="8" t="inlineStr">
        <is>
          <t>Operational role</t>
        </is>
      </c>
      <c r="O166" s="8" t="inlineStr">
        <is>
          <t>P1</t>
        </is>
      </c>
      <c r="P166" s="5" t="inlineStr">
        <is>
          <t>Unchanged</t>
        </is>
      </c>
      <c r="Q166" s="20" t="inlineStr">
        <is>
          <t>Author assertion</t>
        </is>
      </c>
      <c r="R166" s="5" t="inlineStr"/>
      <c r="S166" s="8" t="inlineStr">
        <is>
          <t>PAYREC</t>
        </is>
      </c>
      <c r="T166" s="5" t="inlineStr">
        <is>
          <t>Payments and reconciliation</t>
        </is>
      </c>
      <c r="U166" s="8" t="inlineStr"/>
      <c r="V166" s="8" t="inlineStr">
        <is>
          <t>payments</t>
        </is>
      </c>
      <c r="W166" s="8" t="inlineStr">
        <is>
          <t>RUN</t>
        </is>
      </c>
      <c r="X166" s="5" t="inlineStr">
        <is>
          <t>Core</t>
        </is>
      </c>
      <c r="Y166" s="5" t="inlineStr">
        <is>
          <t>External party</t>
        </is>
      </c>
      <c r="Z166" s="5" t="inlineStr">
        <is>
          <t>High</t>
        </is>
      </c>
      <c r="AA166" s="5" t="inlineStr">
        <is>
          <t>High</t>
        </is>
      </c>
      <c r="AB166" s="8" t="inlineStr">
        <is>
          <t>Low</t>
        </is>
      </c>
      <c r="AC166" s="8" t="inlineStr">
        <is>
          <t>Pilot</t>
        </is>
      </c>
      <c r="AD166" s="5" t="inlineStr">
        <is>
          <t>Not independently checked</t>
        </is>
      </c>
      <c r="AE166" s="5" t="inlineStr">
        <is>
          <t>Not verified</t>
        </is>
      </c>
      <c r="AF166" s="5" t="inlineStr">
        <is>
          <t>Not verified</t>
        </is>
      </c>
      <c r="AG166" s="5" t="inlineStr">
        <is>
          <t>Not verified</t>
        </is>
      </c>
      <c r="AH166" s="5" t="inlineStr">
        <is>
          <t>Not verified</t>
        </is>
      </c>
      <c r="AI166" s="8" t="inlineStr">
        <is>
          <t>No</t>
        </is>
      </c>
      <c r="AJ166" s="8" t="inlineStr">
        <is>
          <t>Claimed - unverified</t>
        </is>
      </c>
      <c r="AK166" s="8" t="inlineStr">
        <is>
          <t>P1</t>
        </is>
      </c>
      <c r="AL166" s="8" t="n">
        <v>9</v>
      </c>
      <c r="AM166" s="5" t="inlineStr"/>
      <c r="AN166" s="5" t="inlineStr"/>
      <c r="AO166" s="5" t="inlineStr"/>
      <c r="AP166" s="5" t="inlineStr"/>
      <c r="AQ166" s="5" t="inlineStr"/>
      <c r="AR166" s="5" t="inlineStr"/>
      <c r="AS166" s="5" t="inlineStr"/>
      <c r="AT166" s="5" t="inlineStr"/>
      <c r="AU166" s="8" t="inlineStr">
        <is>
          <t>Not run</t>
        </is>
      </c>
    </row>
    <row r="167" ht="32" customHeight="1">
      <c r="A167" s="16" t="inlineStr">
        <is>
          <t>P-0166</t>
        </is>
      </c>
      <c r="B167" s="8" t="inlineStr">
        <is>
          <t>P</t>
        </is>
      </c>
      <c r="C167" s="5" t="inlineStr">
        <is>
          <t>Customer</t>
        </is>
      </c>
      <c r="D167" s="5" t="inlineStr">
        <is>
          <t>Returns / Complaints / After-Sales</t>
        </is>
      </c>
      <c r="E167" s="5" t="inlineStr">
        <is>
          <t>Request return</t>
        </is>
      </c>
      <c r="F167" s="5" t="inlineStr">
        <is>
          <t>Customer</t>
        </is>
      </c>
      <c r="G167" s="5" t="inlineStr">
        <is>
          <t>Customer Support / Clerk</t>
        </is>
      </c>
      <c r="H167" s="5" t="inlineStr">
        <is>
          <t>Initiate return request for defective, damaged, or wrongly supplied products</t>
        </is>
      </c>
      <c r="I167" s="5" t="inlineStr">
        <is>
          <t>Generates return request ticket; captures reason and invoice reference</t>
        </is>
      </c>
      <c r="J167" s="20" t="inlineStr">
        <is>
          <t>P1</t>
        </is>
      </c>
      <c r="K167" s="20" t="inlineStr">
        <is>
          <t>Validated (Supported)</t>
        </is>
      </c>
      <c r="L167" s="5" t="inlineStr">
        <is>
          <t>Supported via SalesReturn draft initiation with invoice lookup.</t>
        </is>
      </c>
      <c r="M167" s="8" t="inlineStr">
        <is>
          <t>Baseline</t>
        </is>
      </c>
      <c r="N167" s="8" t="inlineStr">
        <is>
          <t>Operational role</t>
        </is>
      </c>
      <c r="O167" s="8" t="inlineStr">
        <is>
          <t>P1</t>
        </is>
      </c>
      <c r="P167" s="5" t="inlineStr">
        <is>
          <t>Unchanged</t>
        </is>
      </c>
      <c r="Q167" s="21" t="inlineStr">
        <is>
          <t>Code symbol found</t>
        </is>
      </c>
      <c r="R167" s="5" t="inlineStr">
        <is>
          <t>Matched SalesReturn in product code. This is not a functional test.</t>
        </is>
      </c>
      <c r="S167" s="8" t="inlineStr">
        <is>
          <t>RET</t>
        </is>
      </c>
      <c r="T167" s="5" t="inlineStr">
        <is>
          <t>Returns, complaints, and after-sales</t>
        </is>
      </c>
      <c r="U167" s="8" t="inlineStr"/>
      <c r="V167" s="8" t="inlineStr">
        <is>
          <t>sales</t>
        </is>
      </c>
      <c r="W167" s="8" t="inlineStr">
        <is>
          <t>RUN</t>
        </is>
      </c>
      <c r="X167" s="5" t="inlineStr">
        <is>
          <t>Core</t>
        </is>
      </c>
      <c r="Y167" s="5" t="inlineStr">
        <is>
          <t>External party</t>
        </is>
      </c>
      <c r="Z167" s="5" t="inlineStr">
        <is>
          <t>Medium</t>
        </is>
      </c>
      <c r="AA167" s="5" t="inlineStr">
        <is>
          <t>Medium</t>
        </is>
      </c>
      <c r="AB167" s="8" t="inlineStr">
        <is>
          <t>Low</t>
        </is>
      </c>
      <c r="AC167" s="8" t="inlineStr">
        <is>
          <t>Pilot</t>
        </is>
      </c>
      <c r="AD167" s="5" t="inlineStr">
        <is>
          <t>Cited in code</t>
        </is>
      </c>
      <c r="AE167" s="5" t="inlineStr">
        <is>
          <t>Not verified</t>
        </is>
      </c>
      <c r="AF167" s="5" t="inlineStr">
        <is>
          <t>Not verified</t>
        </is>
      </c>
      <c r="AG167" s="5" t="inlineStr">
        <is>
          <t>Not verified</t>
        </is>
      </c>
      <c r="AH167" s="5" t="inlineStr">
        <is>
          <t>Not verified</t>
        </is>
      </c>
      <c r="AI167" s="8" t="inlineStr">
        <is>
          <t>No</t>
        </is>
      </c>
      <c r="AJ167" s="8" t="inlineStr">
        <is>
          <t>Built - unverified</t>
        </is>
      </c>
      <c r="AK167" s="8" t="inlineStr">
        <is>
          <t>P1</t>
        </is>
      </c>
      <c r="AL167" s="8" t="n">
        <v>6</v>
      </c>
      <c r="AM167" s="5" t="inlineStr"/>
      <c r="AN167" s="5" t="inlineStr"/>
      <c r="AO167" s="5" t="inlineStr"/>
      <c r="AP167" s="5" t="inlineStr"/>
      <c r="AQ167" s="5" t="inlineStr"/>
      <c r="AR167" s="5" t="inlineStr"/>
      <c r="AS167" s="5" t="inlineStr"/>
      <c r="AT167" s="5" t="inlineStr"/>
      <c r="AU167" s="8" t="inlineStr">
        <is>
          <t>Not run</t>
        </is>
      </c>
    </row>
    <row r="168" ht="32" customHeight="1">
      <c r="A168" s="16" t="inlineStr">
        <is>
          <t>P-0167</t>
        </is>
      </c>
      <c r="B168" s="8" t="inlineStr">
        <is>
          <t>P</t>
        </is>
      </c>
      <c r="C168" s="5" t="inlineStr">
        <is>
          <t>Customer</t>
        </is>
      </c>
      <c r="D168" s="5" t="inlineStr">
        <is>
          <t>Returns / Complaints / After-Sales</t>
        </is>
      </c>
      <c r="E168" s="5" t="inlineStr">
        <is>
          <t>Request replacement</t>
        </is>
      </c>
      <c r="F168" s="5" t="inlineStr">
        <is>
          <t>Customer</t>
        </is>
      </c>
      <c r="G168" s="5" t="inlineStr">
        <is>
          <t>Store Clerk</t>
        </is>
      </c>
      <c r="H168" s="5" t="inlineStr">
        <is>
          <t>Request exchange of damaged product for a fresh replacement unit</t>
        </is>
      </c>
      <c r="I168" s="5" t="inlineStr">
        <is>
          <t>Links return voucher with replacement sales order; balances financial difference</t>
        </is>
      </c>
      <c r="J168" s="22" t="inlineStr">
        <is>
          <t>P2</t>
        </is>
      </c>
      <c r="K168" s="20" t="inlineStr">
        <is>
          <t>Validated (Supported)</t>
        </is>
      </c>
      <c r="L168" s="5" t="inlineStr">
        <is>
          <t>Supported via Return &amp; Exchange workflow in POS interface.</t>
        </is>
      </c>
      <c r="M168" s="8" t="inlineStr">
        <is>
          <t>Baseline</t>
        </is>
      </c>
      <c r="N168" s="8" t="inlineStr">
        <is>
          <t>Operational role</t>
        </is>
      </c>
      <c r="O168" s="8" t="inlineStr">
        <is>
          <t>P2</t>
        </is>
      </c>
      <c r="P168" s="5" t="inlineStr">
        <is>
          <t>Restored to authored P2. The previous workbook had P3 after a keyword rebalance.</t>
        </is>
      </c>
      <c r="Q168" s="20" t="inlineStr">
        <is>
          <t>Author assertion</t>
        </is>
      </c>
      <c r="R168" s="5" t="inlineStr">
        <is>
          <t>Restored to authored P2. The previous workbook had P3 after a keyword rebalance.</t>
        </is>
      </c>
      <c r="S168" s="8" t="inlineStr">
        <is>
          <t>RET</t>
        </is>
      </c>
      <c r="T168" s="5" t="inlineStr">
        <is>
          <t>Returns, complaints, and after-sales</t>
        </is>
      </c>
      <c r="U168" s="8" t="inlineStr"/>
      <c r="V168" s="8" t="inlineStr">
        <is>
          <t>sales</t>
        </is>
      </c>
      <c r="W168" s="8" t="inlineStr">
        <is>
          <t>RUN</t>
        </is>
      </c>
      <c r="X168" s="5" t="inlineStr">
        <is>
          <t>Core</t>
        </is>
      </c>
      <c r="Y168" s="5" t="inlineStr">
        <is>
          <t>External party</t>
        </is>
      </c>
      <c r="Z168" s="5" t="inlineStr">
        <is>
          <t>Medium</t>
        </is>
      </c>
      <c r="AA168" s="5" t="inlineStr">
        <is>
          <t>Medium</t>
        </is>
      </c>
      <c r="AB168" s="8" t="inlineStr">
        <is>
          <t>Low</t>
        </is>
      </c>
      <c r="AC168" s="8" t="inlineStr">
        <is>
          <t>Later</t>
        </is>
      </c>
      <c r="AD168" s="5" t="inlineStr">
        <is>
          <t>Not independently checked</t>
        </is>
      </c>
      <c r="AE168" s="5" t="inlineStr">
        <is>
          <t>Not verified</t>
        </is>
      </c>
      <c r="AF168" s="5" t="inlineStr">
        <is>
          <t>Not verified</t>
        </is>
      </c>
      <c r="AG168" s="5" t="inlineStr">
        <is>
          <t>Not verified</t>
        </is>
      </c>
      <c r="AH168" s="5" t="inlineStr">
        <is>
          <t>Not verified</t>
        </is>
      </c>
      <c r="AI168" s="8" t="inlineStr">
        <is>
          <t>No</t>
        </is>
      </c>
      <c r="AJ168" s="8" t="inlineStr">
        <is>
          <t>Claimed - unverified</t>
        </is>
      </c>
      <c r="AK168" s="8" t="inlineStr">
        <is>
          <t>P2</t>
        </is>
      </c>
      <c r="AL168" s="8" t="n">
        <v>6</v>
      </c>
      <c r="AM168" s="5" t="inlineStr"/>
      <c r="AN168" s="5" t="inlineStr"/>
      <c r="AO168" s="5" t="inlineStr"/>
      <c r="AP168" s="5" t="inlineStr"/>
      <c r="AQ168" s="5" t="inlineStr"/>
      <c r="AR168" s="5" t="inlineStr"/>
      <c r="AS168" s="5" t="inlineStr"/>
      <c r="AT168" s="5" t="inlineStr"/>
      <c r="AU168" s="8" t="inlineStr">
        <is>
          <t>Not run</t>
        </is>
      </c>
    </row>
    <row r="169" ht="32" customHeight="1">
      <c r="A169" s="16" t="inlineStr">
        <is>
          <t>P-0168</t>
        </is>
      </c>
      <c r="B169" s="8" t="inlineStr">
        <is>
          <t>P</t>
        </is>
      </c>
      <c r="C169" s="5" t="inlineStr">
        <is>
          <t>Customer</t>
        </is>
      </c>
      <c r="D169" s="5" t="inlineStr">
        <is>
          <t>Receivables &amp; Payables</t>
        </is>
      </c>
      <c r="E169" s="5" t="inlineStr">
        <is>
          <t>View outstanding balance</t>
        </is>
      </c>
      <c r="F169" s="5" t="inlineStr">
        <is>
          <t>Customer</t>
        </is>
      </c>
      <c r="G169" s="5" t="inlineStr">
        <is>
          <t>Store Owner</t>
        </is>
      </c>
      <c r="H169" s="5" t="inlineStr">
        <is>
          <t>Verify running khata statement to confirm payments have been correctly credited</t>
        </is>
      </c>
      <c r="I169" s="5" t="inlineStr">
        <is>
          <t>Generates statement showing all historical purchases, payments, and running balance</t>
        </is>
      </c>
      <c r="J169" s="22" t="inlineStr">
        <is>
          <t>P2</t>
        </is>
      </c>
      <c r="K169" s="20" t="inlineStr">
        <is>
          <t>Validated (Supported)</t>
        </is>
      </c>
      <c r="L169" s="5" t="inlineStr">
        <is>
          <t>Supported via Customer Statement PDF export and WhatsApp share.</t>
        </is>
      </c>
      <c r="M169" s="8" t="inlineStr">
        <is>
          <t>Baseline</t>
        </is>
      </c>
      <c r="N169" s="8" t="inlineStr">
        <is>
          <t>Operational role</t>
        </is>
      </c>
      <c r="O169" s="8" t="inlineStr">
        <is>
          <t>P2</t>
        </is>
      </c>
      <c r="P169" s="5" t="inlineStr">
        <is>
          <t>Restored to authored P2. The previous workbook had P3 after a keyword rebalance.</t>
        </is>
      </c>
      <c r="Q169" s="21" t="inlineStr">
        <is>
          <t>Code symbol found</t>
        </is>
      </c>
      <c r="R169" s="5" t="inlineStr">
        <is>
          <t>Matched WhatsApp in product code. This is not a functional test. Restored to authored P2. The previous workbook had P3 after a keyword rebalance.</t>
        </is>
      </c>
      <c r="S169" s="8" t="inlineStr">
        <is>
          <t>ARAP</t>
        </is>
      </c>
      <c r="T169" s="5" t="inlineStr">
        <is>
          <t>Receivables and payables</t>
        </is>
      </c>
      <c r="U169" s="8" t="inlineStr"/>
      <c r="V169" s="8" t="inlineStr">
        <is>
          <t>ledgers</t>
        </is>
      </c>
      <c r="W169" s="8" t="inlineStr">
        <is>
          <t>CONTROL</t>
        </is>
      </c>
      <c r="X169" s="5" t="inlineStr">
        <is>
          <t>Core</t>
        </is>
      </c>
      <c r="Y169" s="5" t="inlineStr">
        <is>
          <t>External party</t>
        </is>
      </c>
      <c r="Z169" s="5" t="inlineStr">
        <is>
          <t>Critical</t>
        </is>
      </c>
      <c r="AA169" s="5" t="inlineStr">
        <is>
          <t>High</t>
        </is>
      </c>
      <c r="AB169" s="8" t="inlineStr">
        <is>
          <t>Medium</t>
        </is>
      </c>
      <c r="AC169" s="8" t="inlineStr">
        <is>
          <t>Later</t>
        </is>
      </c>
      <c r="AD169" s="5" t="inlineStr">
        <is>
          <t>Cited in code</t>
        </is>
      </c>
      <c r="AE169" s="5" t="inlineStr">
        <is>
          <t>Not verified</t>
        </is>
      </c>
      <c r="AF169" s="5" t="inlineStr">
        <is>
          <t>Not verified</t>
        </is>
      </c>
      <c r="AG169" s="5" t="inlineStr">
        <is>
          <t>Not verified</t>
        </is>
      </c>
      <c r="AH169" s="5" t="inlineStr">
        <is>
          <t>Not verified</t>
        </is>
      </c>
      <c r="AI169" s="8" t="inlineStr">
        <is>
          <t>No</t>
        </is>
      </c>
      <c r="AJ169" s="8" t="inlineStr">
        <is>
          <t>Built - unverified</t>
        </is>
      </c>
      <c r="AK169" s="8" t="inlineStr">
        <is>
          <t>P2</t>
        </is>
      </c>
      <c r="AL169" s="8" t="n">
        <v>18</v>
      </c>
      <c r="AM169" s="5" t="inlineStr"/>
      <c r="AN169" s="5" t="inlineStr"/>
      <c r="AO169" s="5" t="inlineStr"/>
      <c r="AP169" s="5" t="inlineStr"/>
      <c r="AQ169" s="5" t="inlineStr"/>
      <c r="AR169" s="5" t="inlineStr"/>
      <c r="AS169" s="5" t="inlineStr"/>
      <c r="AT169" s="5" t="inlineStr"/>
      <c r="AU169" s="8" t="inlineStr">
        <is>
          <t>Not run</t>
        </is>
      </c>
    </row>
    <row r="170" ht="32" customHeight="1">
      <c r="A170" s="16" t="inlineStr">
        <is>
          <t>P-0169</t>
        </is>
      </c>
      <c r="B170" s="8" t="inlineStr">
        <is>
          <t>P</t>
        </is>
      </c>
      <c r="C170" s="5" t="inlineStr">
        <is>
          <t>Customer</t>
        </is>
      </c>
      <c r="D170" s="5" t="inlineStr">
        <is>
          <t>Customer-to-Cash</t>
        </is>
      </c>
      <c r="E170" s="5" t="inlineStr">
        <is>
          <t>Receive order/status updates</t>
        </is>
      </c>
      <c r="F170" s="5" t="inlineStr">
        <is>
          <t>Customer</t>
        </is>
      </c>
      <c r="G170" s="5" t="inlineStr">
        <is>
          <t>Delivery Driver</t>
        </is>
      </c>
      <c r="H170" s="5" t="inlineStr">
        <is>
          <t>Receive SMS or WhatsApp notifications when order is confirmed, packed, dispatched, and delivered</t>
        </is>
      </c>
      <c r="I170" s="5" t="inlineStr">
        <is>
          <t>Maintains customer transparency and reduces inbound status inquiry calls</t>
        </is>
      </c>
      <c r="J170" s="22" t="inlineStr">
        <is>
          <t>P2</t>
        </is>
      </c>
      <c r="K170" s="20" t="inlineStr">
        <is>
          <t>Validated (Supported)</t>
        </is>
      </c>
      <c r="L170" s="5" t="inlineStr">
        <is>
          <t>Supported via automated order event webhook and WhatsApp status triggers.</t>
        </is>
      </c>
      <c r="M170" s="8" t="inlineStr">
        <is>
          <t>Baseline</t>
        </is>
      </c>
      <c r="N170" s="8" t="inlineStr">
        <is>
          <t>Operational role</t>
        </is>
      </c>
      <c r="O170" s="8" t="inlineStr">
        <is>
          <t>P2</t>
        </is>
      </c>
      <c r="P170" s="5" t="inlineStr">
        <is>
          <t>Restored to authored P2. The previous workbook had P3 after a keyword rebalance.</t>
        </is>
      </c>
      <c r="Q170" s="21" t="inlineStr">
        <is>
          <t>Code symbol found</t>
        </is>
      </c>
      <c r="R170" s="5" t="inlineStr">
        <is>
          <t>Matched WhatsApp in product code. This is not a functional test. Restored to authored P2. The previous workbook had P3 after a keyword rebalance.</t>
        </is>
      </c>
      <c r="S170" s="8" t="inlineStr">
        <is>
          <t>C2C</t>
        </is>
      </c>
      <c r="T170" s="5" t="inlineStr">
        <is>
          <t>Customer to cash</t>
        </is>
      </c>
      <c r="U170" s="8" t="inlineStr"/>
      <c r="V170" s="8" t="inlineStr">
        <is>
          <t>sales</t>
        </is>
      </c>
      <c r="W170" s="8" t="inlineStr">
        <is>
          <t>RUN</t>
        </is>
      </c>
      <c r="X170" s="5" t="inlineStr">
        <is>
          <t>Core</t>
        </is>
      </c>
      <c r="Y170" s="5" t="inlineStr">
        <is>
          <t>External party</t>
        </is>
      </c>
      <c r="Z170" s="5" t="inlineStr">
        <is>
          <t>Medium</t>
        </is>
      </c>
      <c r="AA170" s="5" t="inlineStr">
        <is>
          <t>Medium</t>
        </is>
      </c>
      <c r="AB170" s="8" t="inlineStr">
        <is>
          <t>Low</t>
        </is>
      </c>
      <c r="AC170" s="8" t="inlineStr">
        <is>
          <t>Later</t>
        </is>
      </c>
      <c r="AD170" s="5" t="inlineStr">
        <is>
          <t>Cited in code</t>
        </is>
      </c>
      <c r="AE170" s="5" t="inlineStr">
        <is>
          <t>Not verified</t>
        </is>
      </c>
      <c r="AF170" s="5" t="inlineStr">
        <is>
          <t>Not verified</t>
        </is>
      </c>
      <c r="AG170" s="5" t="inlineStr">
        <is>
          <t>Not verified</t>
        </is>
      </c>
      <c r="AH170" s="5" t="inlineStr">
        <is>
          <t>Not verified</t>
        </is>
      </c>
      <c r="AI170" s="8" t="inlineStr">
        <is>
          <t>No</t>
        </is>
      </c>
      <c r="AJ170" s="8" t="inlineStr">
        <is>
          <t>Built - unverified</t>
        </is>
      </c>
      <c r="AK170" s="8" t="inlineStr">
        <is>
          <t>P2</t>
        </is>
      </c>
      <c r="AL170" s="8" t="n">
        <v>6</v>
      </c>
      <c r="AM170" s="5" t="inlineStr"/>
      <c r="AN170" s="5" t="inlineStr"/>
      <c r="AO170" s="5" t="inlineStr"/>
      <c r="AP170" s="5" t="inlineStr"/>
      <c r="AQ170" s="5" t="inlineStr"/>
      <c r="AR170" s="5" t="inlineStr"/>
      <c r="AS170" s="5" t="inlineStr"/>
      <c r="AT170" s="5" t="inlineStr"/>
      <c r="AU170" s="8" t="inlineStr">
        <is>
          <t>Not run</t>
        </is>
      </c>
    </row>
    <row r="171" ht="32" customHeight="1">
      <c r="A171" s="16" t="inlineStr">
        <is>
          <t>P-0170</t>
        </is>
      </c>
      <c r="B171" s="8" t="inlineStr">
        <is>
          <t>P</t>
        </is>
      </c>
      <c r="C171" s="5" t="inlineStr">
        <is>
          <t>Supplier</t>
        </is>
      </c>
      <c r="D171" s="5" t="inlineStr">
        <is>
          <t>Procure-to-Pay</t>
        </is>
      </c>
      <c r="E171" s="5" t="inlineStr">
        <is>
          <t>Receive purchase/order information</t>
        </is>
      </c>
      <c r="F171" s="5" t="inlineStr">
        <is>
          <t>Supplier / Vendor</t>
        </is>
      </c>
      <c r="G171" s="5" t="inlineStr">
        <is>
          <t>Purchase Manager</t>
        </is>
      </c>
      <c r="H171" s="5" t="inlineStr">
        <is>
          <t>Receive structured purchase order detailing required SKUs, quantities, and delivery timeframe</t>
        </is>
      </c>
      <c r="I171" s="5" t="inlineStr">
        <is>
          <t>Provides binding commercial order for manufacturer or distributor fulfillment</t>
        </is>
      </c>
      <c r="J171" s="20" t="inlineStr">
        <is>
          <t>P1</t>
        </is>
      </c>
      <c r="K171" s="20" t="inlineStr">
        <is>
          <t>Validated (Supported)</t>
        </is>
      </c>
      <c r="L171" s="5" t="inlineStr">
        <is>
          <t>Supported via PO PDF generation and automated email/WhatsApp dispatch.</t>
        </is>
      </c>
      <c r="M171" s="8" t="inlineStr">
        <is>
          <t>Baseline</t>
        </is>
      </c>
      <c r="N171" s="8" t="inlineStr">
        <is>
          <t>Operational role</t>
        </is>
      </c>
      <c r="O171" s="8" t="inlineStr">
        <is>
          <t>P1</t>
        </is>
      </c>
      <c r="P171" s="5" t="inlineStr">
        <is>
          <t>Unchanged</t>
        </is>
      </c>
      <c r="Q171" s="21" t="inlineStr">
        <is>
          <t>Code symbol found</t>
        </is>
      </c>
      <c r="R171" s="5" t="inlineStr">
        <is>
          <t>Matched WhatsApp in product code. This is not a functional test.</t>
        </is>
      </c>
      <c r="S171" s="8" t="inlineStr">
        <is>
          <t>P2P</t>
        </is>
      </c>
      <c r="T171" s="5" t="inlineStr">
        <is>
          <t>Procure to pay</t>
        </is>
      </c>
      <c r="U171" s="8" t="inlineStr"/>
      <c r="V171" s="8" t="inlineStr">
        <is>
          <t>purchases</t>
        </is>
      </c>
      <c r="W171" s="8" t="inlineStr">
        <is>
          <t>RUN</t>
        </is>
      </c>
      <c r="X171" s="5" t="inlineStr">
        <is>
          <t>Core</t>
        </is>
      </c>
      <c r="Y171" s="5" t="inlineStr">
        <is>
          <t>External party</t>
        </is>
      </c>
      <c r="Z171" s="5" t="inlineStr">
        <is>
          <t>Medium</t>
        </is>
      </c>
      <c r="AA171" s="5" t="inlineStr">
        <is>
          <t>Medium</t>
        </is>
      </c>
      <c r="AB171" s="8" t="inlineStr">
        <is>
          <t>Low</t>
        </is>
      </c>
      <c r="AC171" s="8" t="inlineStr">
        <is>
          <t>Pilot</t>
        </is>
      </c>
      <c r="AD171" s="5" t="inlineStr">
        <is>
          <t>Cited in code</t>
        </is>
      </c>
      <c r="AE171" s="5" t="inlineStr">
        <is>
          <t>Not verified</t>
        </is>
      </c>
      <c r="AF171" s="5" t="inlineStr">
        <is>
          <t>Not verified</t>
        </is>
      </c>
      <c r="AG171" s="5" t="inlineStr">
        <is>
          <t>Not verified</t>
        </is>
      </c>
      <c r="AH171" s="5" t="inlineStr">
        <is>
          <t>Not verified</t>
        </is>
      </c>
      <c r="AI171" s="8" t="inlineStr">
        <is>
          <t>No</t>
        </is>
      </c>
      <c r="AJ171" s="8" t="inlineStr">
        <is>
          <t>Built - unverified</t>
        </is>
      </c>
      <c r="AK171" s="8" t="inlineStr">
        <is>
          <t>P1</t>
        </is>
      </c>
      <c r="AL171" s="8" t="n">
        <v>6</v>
      </c>
      <c r="AM171" s="5" t="inlineStr"/>
      <c r="AN171" s="5" t="inlineStr"/>
      <c r="AO171" s="5" t="inlineStr"/>
      <c r="AP171" s="5" t="inlineStr"/>
      <c r="AQ171" s="5" t="inlineStr"/>
      <c r="AR171" s="5" t="inlineStr"/>
      <c r="AS171" s="5" t="inlineStr"/>
      <c r="AT171" s="5" t="inlineStr"/>
      <c r="AU171" s="8" t="inlineStr">
        <is>
          <t>Not run</t>
        </is>
      </c>
    </row>
    <row r="172" ht="32" customHeight="1">
      <c r="A172" s="16" t="inlineStr">
        <is>
          <t>P-0171</t>
        </is>
      </c>
      <c r="B172" s="8" t="inlineStr">
        <is>
          <t>P</t>
        </is>
      </c>
      <c r="C172" s="5" t="inlineStr">
        <is>
          <t>Supplier</t>
        </is>
      </c>
      <c r="D172" s="5" t="inlineStr">
        <is>
          <t>Procure-to-Pay</t>
        </is>
      </c>
      <c r="E172" s="5" t="inlineStr">
        <is>
          <t>Provide invoice</t>
        </is>
      </c>
      <c r="F172" s="5" t="inlineStr">
        <is>
          <t>Supplier</t>
        </is>
      </c>
      <c r="G172" s="5" t="inlineStr">
        <is>
          <t>Purchase Manager / Accountant</t>
        </is>
      </c>
      <c r="H172" s="5" t="inlineStr">
        <is>
          <t>Submit tax invoice and delivery challan accompanying physical shipment</t>
        </is>
      </c>
      <c r="I172" s="5" t="inlineStr">
        <is>
          <t>Serves as legal basis for buyer's inventory intake and Input Tax Credit (ITC) claim</t>
        </is>
      </c>
      <c r="J172" s="20" t="inlineStr">
        <is>
          <t>P1</t>
        </is>
      </c>
      <c r="K172" s="20" t="inlineStr">
        <is>
          <t>Validated (Supported)</t>
        </is>
      </c>
      <c r="L172" s="5" t="inlineStr">
        <is>
          <t>Supported via Supplier Bill intake and OCR/LLM document extraction (/purchases/upload/).</t>
        </is>
      </c>
      <c r="M172" s="8" t="inlineStr">
        <is>
          <t>Baseline</t>
        </is>
      </c>
      <c r="N172" s="8" t="inlineStr">
        <is>
          <t>Operational role</t>
        </is>
      </c>
      <c r="O172" s="8" t="inlineStr">
        <is>
          <t>P1</t>
        </is>
      </c>
      <c r="P172" s="5" t="inlineStr">
        <is>
          <t>Unchanged</t>
        </is>
      </c>
      <c r="Q172" s="20" t="inlineStr">
        <is>
          <t>Author assertion</t>
        </is>
      </c>
      <c r="R172" s="5" t="inlineStr"/>
      <c r="S172" s="8" t="inlineStr">
        <is>
          <t>P2P</t>
        </is>
      </c>
      <c r="T172" s="5" t="inlineStr">
        <is>
          <t>Procure to pay</t>
        </is>
      </c>
      <c r="U172" s="8" t="inlineStr"/>
      <c r="V172" s="8" t="inlineStr">
        <is>
          <t>purchases</t>
        </is>
      </c>
      <c r="W172" s="8" t="inlineStr">
        <is>
          <t>RUN</t>
        </is>
      </c>
      <c r="X172" s="5" t="inlineStr">
        <is>
          <t>Core</t>
        </is>
      </c>
      <c r="Y172" s="5" t="inlineStr">
        <is>
          <t>External party</t>
        </is>
      </c>
      <c r="Z172" s="5" t="inlineStr">
        <is>
          <t>Medium</t>
        </is>
      </c>
      <c r="AA172" s="5" t="inlineStr">
        <is>
          <t>Medium</t>
        </is>
      </c>
      <c r="AB172" s="8" t="inlineStr">
        <is>
          <t>Low</t>
        </is>
      </c>
      <c r="AC172" s="8" t="inlineStr">
        <is>
          <t>Pilot</t>
        </is>
      </c>
      <c r="AD172" s="5" t="inlineStr">
        <is>
          <t>Not independently checked</t>
        </is>
      </c>
      <c r="AE172" s="5" t="inlineStr">
        <is>
          <t>Not verified</t>
        </is>
      </c>
      <c r="AF172" s="5" t="inlineStr">
        <is>
          <t>Not verified</t>
        </is>
      </c>
      <c r="AG172" s="5" t="inlineStr">
        <is>
          <t>Not verified</t>
        </is>
      </c>
      <c r="AH172" s="5" t="inlineStr">
        <is>
          <t>Not verified</t>
        </is>
      </c>
      <c r="AI172" s="8" t="inlineStr">
        <is>
          <t>No</t>
        </is>
      </c>
      <c r="AJ172" s="8" t="inlineStr">
        <is>
          <t>Claimed - unverified</t>
        </is>
      </c>
      <c r="AK172" s="8" t="inlineStr">
        <is>
          <t>P1</t>
        </is>
      </c>
      <c r="AL172" s="8" t="n">
        <v>6</v>
      </c>
      <c r="AM172" s="5" t="inlineStr"/>
      <c r="AN172" s="5" t="inlineStr"/>
      <c r="AO172" s="5" t="inlineStr"/>
      <c r="AP172" s="5" t="inlineStr"/>
      <c r="AQ172" s="5" t="inlineStr"/>
      <c r="AR172" s="5" t="inlineStr"/>
      <c r="AS172" s="5" t="inlineStr"/>
      <c r="AT172" s="5" t="inlineStr"/>
      <c r="AU172" s="8" t="inlineStr">
        <is>
          <t>Not run</t>
        </is>
      </c>
    </row>
    <row r="173" ht="32" customHeight="1">
      <c r="A173" s="16" t="inlineStr">
        <is>
          <t>P-0172</t>
        </is>
      </c>
      <c r="B173" s="8" t="inlineStr">
        <is>
          <t>P</t>
        </is>
      </c>
      <c r="C173" s="5" t="inlineStr">
        <is>
          <t>Supplier</t>
        </is>
      </c>
      <c r="D173" s="5" t="inlineStr">
        <is>
          <t>Receivables &amp; Payables</t>
        </is>
      </c>
      <c r="E173" s="5" t="inlineStr">
        <is>
          <t>Track payment status</t>
        </is>
      </c>
      <c r="F173" s="5" t="inlineStr">
        <is>
          <t>Supplier</t>
        </is>
      </c>
      <c r="G173" s="5" t="inlineStr">
        <is>
          <t>In-house Accountant</t>
        </is>
      </c>
      <c r="H173" s="5" t="inlineStr">
        <is>
          <t>Verify payment remittance status, UTR numbers, and TDS certificates</t>
        </is>
      </c>
      <c r="I173" s="5" t="inlineStr">
        <is>
          <t>Reduces payment disputes; provides payment advice referencing paid invoices</t>
        </is>
      </c>
      <c r="J173" s="22" t="inlineStr">
        <is>
          <t>P2</t>
        </is>
      </c>
      <c r="K173" s="20" t="inlineStr">
        <is>
          <t>Validated (Supported)</t>
        </is>
      </c>
      <c r="L173" s="5" t="inlineStr">
        <is>
          <t>Supported via Payment Advice generation and supplier statement export.</t>
        </is>
      </c>
      <c r="M173" s="8" t="inlineStr">
        <is>
          <t>Baseline</t>
        </is>
      </c>
      <c r="N173" s="8" t="inlineStr">
        <is>
          <t>Operational role</t>
        </is>
      </c>
      <c r="O173" s="8" t="inlineStr">
        <is>
          <t>P2</t>
        </is>
      </c>
      <c r="P173" s="5" t="inlineStr">
        <is>
          <t>Restored to authored P2. The previous workbook had P3 after a keyword rebalance.</t>
        </is>
      </c>
      <c r="Q173" s="20" t="inlineStr">
        <is>
          <t>Author assertion</t>
        </is>
      </c>
      <c r="R173" s="5" t="inlineStr">
        <is>
          <t>Restored to authored P2. The previous workbook had P3 after a keyword rebalance.</t>
        </is>
      </c>
      <c r="S173" s="8" t="inlineStr">
        <is>
          <t>ARAP</t>
        </is>
      </c>
      <c r="T173" s="5" t="inlineStr">
        <is>
          <t>Receivables and payables</t>
        </is>
      </c>
      <c r="U173" s="8" t="inlineStr"/>
      <c r="V173" s="8" t="inlineStr">
        <is>
          <t>ledgers</t>
        </is>
      </c>
      <c r="W173" s="8" t="inlineStr">
        <is>
          <t>CONTROL</t>
        </is>
      </c>
      <c r="X173" s="5" t="inlineStr">
        <is>
          <t>Core</t>
        </is>
      </c>
      <c r="Y173" s="5" t="inlineStr">
        <is>
          <t>External party</t>
        </is>
      </c>
      <c r="Z173" s="5" t="inlineStr">
        <is>
          <t>Critical</t>
        </is>
      </c>
      <c r="AA173" s="5" t="inlineStr">
        <is>
          <t>High</t>
        </is>
      </c>
      <c r="AB173" s="8" t="inlineStr">
        <is>
          <t>Medium</t>
        </is>
      </c>
      <c r="AC173" s="8" t="inlineStr">
        <is>
          <t>Later</t>
        </is>
      </c>
      <c r="AD173" s="5" t="inlineStr">
        <is>
          <t>Not independently checked</t>
        </is>
      </c>
      <c r="AE173" s="5" t="inlineStr">
        <is>
          <t>Not verified</t>
        </is>
      </c>
      <c r="AF173" s="5" t="inlineStr">
        <is>
          <t>Not verified</t>
        </is>
      </c>
      <c r="AG173" s="5" t="inlineStr">
        <is>
          <t>Not verified</t>
        </is>
      </c>
      <c r="AH173" s="5" t="inlineStr">
        <is>
          <t>Not verified</t>
        </is>
      </c>
      <c r="AI173" s="8" t="inlineStr">
        <is>
          <t>No</t>
        </is>
      </c>
      <c r="AJ173" s="8" t="inlineStr">
        <is>
          <t>Claimed - unverified</t>
        </is>
      </c>
      <c r="AK173" s="8" t="inlineStr">
        <is>
          <t>P2</t>
        </is>
      </c>
      <c r="AL173" s="8" t="n">
        <v>18</v>
      </c>
      <c r="AM173" s="5" t="inlineStr"/>
      <c r="AN173" s="5" t="inlineStr"/>
      <c r="AO173" s="5" t="inlineStr"/>
      <c r="AP173" s="5" t="inlineStr"/>
      <c r="AQ173" s="5" t="inlineStr"/>
      <c r="AR173" s="5" t="inlineStr"/>
      <c r="AS173" s="5" t="inlineStr"/>
      <c r="AT173" s="5" t="inlineStr"/>
      <c r="AU173" s="8" t="inlineStr">
        <is>
          <t>Not run</t>
        </is>
      </c>
    </row>
    <row r="174" ht="32" customHeight="1">
      <c r="A174" s="16" t="inlineStr">
        <is>
          <t>P-0173</t>
        </is>
      </c>
      <c r="B174" s="8" t="inlineStr">
        <is>
          <t>P</t>
        </is>
      </c>
      <c r="C174" s="5" t="inlineStr">
        <is>
          <t>Supplier</t>
        </is>
      </c>
      <c r="D174" s="5" t="inlineStr">
        <is>
          <t>Receivables &amp; Payables</t>
        </is>
      </c>
      <c r="E174" s="5" t="inlineStr">
        <is>
          <t>View outstanding amount</t>
        </is>
      </c>
      <c r="F174" s="5" t="inlineStr">
        <is>
          <t>Supplier</t>
        </is>
      </c>
      <c r="G174" s="5" t="inlineStr">
        <is>
          <t>Credit Controller</t>
        </is>
      </c>
      <c r="H174" s="5" t="inlineStr">
        <is>
          <t>Reconcile trade receivables against buyer's records to resolve balance discrepancies</t>
        </is>
      </c>
      <c r="I174" s="5" t="inlineStr">
        <is>
          <t>Generates supplier ledger statement matching buyer's Accounts Payable against supplier's AR</t>
        </is>
      </c>
      <c r="J174" s="22" t="inlineStr">
        <is>
          <t>P2</t>
        </is>
      </c>
      <c r="K174" s="20" t="inlineStr">
        <is>
          <t>Validated (Supported)</t>
        </is>
      </c>
      <c r="L174" s="5" t="inlineStr">
        <is>
          <t>Supported via /purchases/suppliers/{id}/statement/ export.</t>
        </is>
      </c>
      <c r="M174" s="8" t="inlineStr">
        <is>
          <t>Baseline</t>
        </is>
      </c>
      <c r="N174" s="8" t="inlineStr">
        <is>
          <t>Operational role</t>
        </is>
      </c>
      <c r="O174" s="8" t="inlineStr">
        <is>
          <t>P2</t>
        </is>
      </c>
      <c r="P174" s="5" t="inlineStr">
        <is>
          <t>Restored to authored P2. The previous workbook had P3 after a keyword rebalance.</t>
        </is>
      </c>
      <c r="Q174" s="20" t="inlineStr">
        <is>
          <t>Author assertion</t>
        </is>
      </c>
      <c r="R174" s="5" t="inlineStr">
        <is>
          <t>Restored to authored P2. The previous workbook had P3 after a keyword rebalance.</t>
        </is>
      </c>
      <c r="S174" s="8" t="inlineStr">
        <is>
          <t>ARAP</t>
        </is>
      </c>
      <c r="T174" s="5" t="inlineStr">
        <is>
          <t>Receivables and payables</t>
        </is>
      </c>
      <c r="U174" s="8" t="inlineStr"/>
      <c r="V174" s="8" t="inlineStr">
        <is>
          <t>ledgers</t>
        </is>
      </c>
      <c r="W174" s="8" t="inlineStr">
        <is>
          <t>CONTROL</t>
        </is>
      </c>
      <c r="X174" s="5" t="inlineStr">
        <is>
          <t>Core</t>
        </is>
      </c>
      <c r="Y174" s="5" t="inlineStr">
        <is>
          <t>External party</t>
        </is>
      </c>
      <c r="Z174" s="5" t="inlineStr">
        <is>
          <t>Critical</t>
        </is>
      </c>
      <c r="AA174" s="5" t="inlineStr">
        <is>
          <t>High</t>
        </is>
      </c>
      <c r="AB174" s="8" t="inlineStr">
        <is>
          <t>Medium</t>
        </is>
      </c>
      <c r="AC174" s="8" t="inlineStr">
        <is>
          <t>Later</t>
        </is>
      </c>
      <c r="AD174" s="5" t="inlineStr">
        <is>
          <t>Not independently checked</t>
        </is>
      </c>
      <c r="AE174" s="5" t="inlineStr">
        <is>
          <t>Not verified</t>
        </is>
      </c>
      <c r="AF174" s="5" t="inlineStr">
        <is>
          <t>Not verified</t>
        </is>
      </c>
      <c r="AG174" s="5" t="inlineStr">
        <is>
          <t>Not verified</t>
        </is>
      </c>
      <c r="AH174" s="5" t="inlineStr">
        <is>
          <t>Not verified</t>
        </is>
      </c>
      <c r="AI174" s="8" t="inlineStr">
        <is>
          <t>No</t>
        </is>
      </c>
      <c r="AJ174" s="8" t="inlineStr">
        <is>
          <t>Claimed - unverified</t>
        </is>
      </c>
      <c r="AK174" s="8" t="inlineStr">
        <is>
          <t>P2</t>
        </is>
      </c>
      <c r="AL174" s="8" t="n">
        <v>18</v>
      </c>
      <c r="AM174" s="5" t="inlineStr"/>
      <c r="AN174" s="5" t="inlineStr"/>
      <c r="AO174" s="5" t="inlineStr"/>
      <c r="AP174" s="5" t="inlineStr"/>
      <c r="AQ174" s="5" t="inlineStr"/>
      <c r="AR174" s="5" t="inlineStr"/>
      <c r="AS174" s="5" t="inlineStr"/>
      <c r="AT174" s="5" t="inlineStr"/>
      <c r="AU174" s="8" t="inlineStr">
        <is>
          <t>Not run</t>
        </is>
      </c>
    </row>
    <row r="175" ht="32" customHeight="1">
      <c r="A175" s="16" t="inlineStr">
        <is>
          <t>P-0174</t>
        </is>
      </c>
      <c r="B175" s="8" t="inlineStr">
        <is>
          <t>P</t>
        </is>
      </c>
      <c r="C175" s="5" t="inlineStr">
        <is>
          <t>Supplier</t>
        </is>
      </c>
      <c r="D175" s="5" t="inlineStr">
        <is>
          <t>Returns / Complaints / After-Sales</t>
        </is>
      </c>
      <c r="E175" s="5" t="inlineStr">
        <is>
          <t>Handle purchase returns</t>
        </is>
      </c>
      <c r="F175" s="5" t="inlineStr">
        <is>
          <t>Supplier</t>
        </is>
      </c>
      <c r="G175" s="5" t="inlineStr">
        <is>
          <t>Purchase Manager</t>
        </is>
      </c>
      <c r="H175" s="5" t="inlineStr">
        <is>
          <t>Accept returned defective or expired goods and issue corresponding credit note</t>
        </is>
      </c>
      <c r="I175" s="5" t="inlineStr">
        <is>
          <t>Matches buyer's PurchaseDebitNote; adjusts supplier's outstanding ledger balance</t>
        </is>
      </c>
      <c r="J175" s="20" t="inlineStr">
        <is>
          <t>P1</t>
        </is>
      </c>
      <c r="K175" s="20" t="inlineStr">
        <is>
          <t>Validated (Supported)</t>
        </is>
      </c>
      <c r="L175" s="5" t="inlineStr">
        <is>
          <t>Supported via PurchaseDebitNote reconciliation workflow.</t>
        </is>
      </c>
      <c r="M175" s="8" t="inlineStr">
        <is>
          <t>Baseline</t>
        </is>
      </c>
      <c r="N175" s="8" t="inlineStr">
        <is>
          <t>Operational role</t>
        </is>
      </c>
      <c r="O175" s="8" t="inlineStr">
        <is>
          <t>P1</t>
        </is>
      </c>
      <c r="P175" s="5" t="inlineStr">
        <is>
          <t>Unchanged</t>
        </is>
      </c>
      <c r="Q175" s="21" t="inlineStr">
        <is>
          <t>Code symbol found</t>
        </is>
      </c>
      <c r="R175" s="5" t="inlineStr">
        <is>
          <t>Matched PurchaseDebitNote in product code. This is not a functional test.</t>
        </is>
      </c>
      <c r="S175" s="8" t="inlineStr">
        <is>
          <t>RET</t>
        </is>
      </c>
      <c r="T175" s="5" t="inlineStr">
        <is>
          <t>Returns, complaints, and after-sales</t>
        </is>
      </c>
      <c r="U175" s="8" t="inlineStr"/>
      <c r="V175" s="8" t="inlineStr">
        <is>
          <t>sales</t>
        </is>
      </c>
      <c r="W175" s="8" t="inlineStr">
        <is>
          <t>RUN</t>
        </is>
      </c>
      <c r="X175" s="5" t="inlineStr">
        <is>
          <t>Core</t>
        </is>
      </c>
      <c r="Y175" s="5" t="inlineStr">
        <is>
          <t>External party</t>
        </is>
      </c>
      <c r="Z175" s="5" t="inlineStr">
        <is>
          <t>Medium</t>
        </is>
      </c>
      <c r="AA175" s="5" t="inlineStr">
        <is>
          <t>Medium</t>
        </is>
      </c>
      <c r="AB175" s="8" t="inlineStr">
        <is>
          <t>Low</t>
        </is>
      </c>
      <c r="AC175" s="8" t="inlineStr">
        <is>
          <t>Pilot</t>
        </is>
      </c>
      <c r="AD175" s="5" t="inlineStr">
        <is>
          <t>Cited in code</t>
        </is>
      </c>
      <c r="AE175" s="5" t="inlineStr">
        <is>
          <t>Not verified</t>
        </is>
      </c>
      <c r="AF175" s="5" t="inlineStr">
        <is>
          <t>Not verified</t>
        </is>
      </c>
      <c r="AG175" s="5" t="inlineStr">
        <is>
          <t>Not verified</t>
        </is>
      </c>
      <c r="AH175" s="5" t="inlineStr">
        <is>
          <t>Not verified</t>
        </is>
      </c>
      <c r="AI175" s="8" t="inlineStr">
        <is>
          <t>No</t>
        </is>
      </c>
      <c r="AJ175" s="8" t="inlineStr">
        <is>
          <t>Built - unverified</t>
        </is>
      </c>
      <c r="AK175" s="8" t="inlineStr">
        <is>
          <t>P1</t>
        </is>
      </c>
      <c r="AL175" s="8" t="n">
        <v>6</v>
      </c>
      <c r="AM175" s="5" t="inlineStr"/>
      <c r="AN175" s="5" t="inlineStr"/>
      <c r="AO175" s="5" t="inlineStr"/>
      <c r="AP175" s="5" t="inlineStr"/>
      <c r="AQ175" s="5" t="inlineStr"/>
      <c r="AR175" s="5" t="inlineStr"/>
      <c r="AS175" s="5" t="inlineStr"/>
      <c r="AT175" s="5" t="inlineStr"/>
      <c r="AU175" s="8" t="inlineStr">
        <is>
          <t>Not run</t>
        </is>
      </c>
    </row>
    <row r="176" ht="32" customHeight="1">
      <c r="A176" s="16" t="inlineStr">
        <is>
          <t>P-0175</t>
        </is>
      </c>
      <c r="B176" s="8" t="inlineStr">
        <is>
          <t>P</t>
        </is>
      </c>
      <c r="C176" s="5" t="inlineStr">
        <is>
          <t>Supplier</t>
        </is>
      </c>
      <c r="D176" s="5" t="inlineStr">
        <is>
          <t>Procure-to-Pay</t>
        </is>
      </c>
      <c r="E176" s="5" t="inlineStr">
        <is>
          <t>Resolve invoice discrepancies</t>
        </is>
      </c>
      <c r="F176" s="5" t="inlineStr">
        <is>
          <t>Supplier</t>
        </is>
      </c>
      <c r="G176" s="5" t="inlineStr">
        <is>
          <t>In-house Accountant</t>
        </is>
      </c>
      <c r="H176" s="5" t="inlineStr">
        <is>
          <t>Resolve billing discrepancies regarding rates, discounts, freight charges, or tax amounts</t>
        </is>
      </c>
      <c r="I176" s="5" t="inlineStr">
        <is>
          <t>Enables line-item adjustment and supplementary credit/debit note matching</t>
        </is>
      </c>
      <c r="J176" s="20" t="inlineStr">
        <is>
          <t>P1</t>
        </is>
      </c>
      <c r="K176" s="20" t="inlineStr">
        <is>
          <t>Validated (Supported)</t>
        </is>
      </c>
      <c r="L176" s="5" t="inlineStr">
        <is>
          <t>Supported via Purchase Invoice revision / discrepancy resolution interface.</t>
        </is>
      </c>
      <c r="M176" s="8" t="inlineStr">
        <is>
          <t>Baseline</t>
        </is>
      </c>
      <c r="N176" s="8" t="inlineStr">
        <is>
          <t>Operational role</t>
        </is>
      </c>
      <c r="O176" s="8" t="inlineStr">
        <is>
          <t>P1</t>
        </is>
      </c>
      <c r="P176" s="5" t="inlineStr">
        <is>
          <t>Unchanged</t>
        </is>
      </c>
      <c r="Q176" s="20" t="inlineStr">
        <is>
          <t>Author assertion</t>
        </is>
      </c>
      <c r="R176" s="5" t="inlineStr"/>
      <c r="S176" s="8" t="inlineStr">
        <is>
          <t>P2P</t>
        </is>
      </c>
      <c r="T176" s="5" t="inlineStr">
        <is>
          <t>Procure to pay</t>
        </is>
      </c>
      <c r="U176" s="8" t="inlineStr"/>
      <c r="V176" s="8" t="inlineStr">
        <is>
          <t>purchases</t>
        </is>
      </c>
      <c r="W176" s="8" t="inlineStr">
        <is>
          <t>RUN</t>
        </is>
      </c>
      <c r="X176" s="5" t="inlineStr">
        <is>
          <t>Core</t>
        </is>
      </c>
      <c r="Y176" s="5" t="inlineStr">
        <is>
          <t>External party</t>
        </is>
      </c>
      <c r="Z176" s="5" t="inlineStr">
        <is>
          <t>Medium</t>
        </is>
      </c>
      <c r="AA176" s="5" t="inlineStr">
        <is>
          <t>Medium</t>
        </is>
      </c>
      <c r="AB176" s="8" t="inlineStr">
        <is>
          <t>Low</t>
        </is>
      </c>
      <c r="AC176" s="8" t="inlineStr">
        <is>
          <t>Pilot</t>
        </is>
      </c>
      <c r="AD176" s="5" t="inlineStr">
        <is>
          <t>Not independently checked</t>
        </is>
      </c>
      <c r="AE176" s="5" t="inlineStr">
        <is>
          <t>Not verified</t>
        </is>
      </c>
      <c r="AF176" s="5" t="inlineStr">
        <is>
          <t>Not verified</t>
        </is>
      </c>
      <c r="AG176" s="5" t="inlineStr">
        <is>
          <t>Not verified</t>
        </is>
      </c>
      <c r="AH176" s="5" t="inlineStr">
        <is>
          <t>Not verified</t>
        </is>
      </c>
      <c r="AI176" s="8" t="inlineStr">
        <is>
          <t>No</t>
        </is>
      </c>
      <c r="AJ176" s="8" t="inlineStr">
        <is>
          <t>Claimed - unverified</t>
        </is>
      </c>
      <c r="AK176" s="8" t="inlineStr">
        <is>
          <t>P1</t>
        </is>
      </c>
      <c r="AL176" s="8" t="n">
        <v>6</v>
      </c>
      <c r="AM176" s="5" t="inlineStr"/>
      <c r="AN176" s="5" t="inlineStr"/>
      <c r="AO176" s="5" t="inlineStr"/>
      <c r="AP176" s="5" t="inlineStr"/>
      <c r="AQ176" s="5" t="inlineStr"/>
      <c r="AR176" s="5" t="inlineStr"/>
      <c r="AS176" s="5" t="inlineStr"/>
      <c r="AT176" s="5" t="inlineStr"/>
      <c r="AU176" s="8" t="inlineStr">
        <is>
          <t>Not run</t>
        </is>
      </c>
    </row>
    <row r="177" ht="32" customHeight="1">
      <c r="A177" s="16" t="inlineStr">
        <is>
          <t>P-0176</t>
        </is>
      </c>
      <c r="B177" s="8" t="inlineStr">
        <is>
          <t>P</t>
        </is>
      </c>
      <c r="C177" s="5" t="inlineStr">
        <is>
          <t>Admin / System Owner</t>
        </is>
      </c>
      <c r="D177" s="5" t="inlineStr">
        <is>
          <t>Master Data &amp; Authorization</t>
        </is>
      </c>
      <c r="E177" s="5" t="inlineStr">
        <is>
          <t>Create and manage business users</t>
        </is>
      </c>
      <c r="F177" s="5" t="inlineStr">
        <is>
          <t>System Administrator</t>
        </is>
      </c>
      <c r="G177" s="5" t="inlineStr">
        <is>
          <t>Company Users</t>
        </is>
      </c>
      <c r="H177" s="5" t="inlineStr">
        <is>
          <t>Onboard employees, assign login credentials, and manage active/deactivated user status</t>
        </is>
      </c>
      <c r="I177" s="5" t="inlineStr">
        <is>
          <t>Creates User and CompanyUser records; controls login authentication and session access</t>
        </is>
      </c>
      <c r="J177" s="19" t="inlineStr">
        <is>
          <t>P0</t>
        </is>
      </c>
      <c r="K177" s="20" t="inlineStr">
        <is>
          <t>Validated (Supported)</t>
        </is>
      </c>
      <c r="L177" s="5" t="inlineStr">
        <is>
          <t>Supported via /settings/users/ with role assignment and invitation management.</t>
        </is>
      </c>
      <c r="M177" s="8" t="inlineStr">
        <is>
          <t>Baseline</t>
        </is>
      </c>
      <c r="N177" s="8" t="inlineStr">
        <is>
          <t>Operational role</t>
        </is>
      </c>
      <c r="O177" s="8" t="inlineStr">
        <is>
          <t>P0</t>
        </is>
      </c>
      <c r="P177" s="5" t="inlineStr">
        <is>
          <t>Unchanged</t>
        </is>
      </c>
      <c r="Q177" s="20" t="inlineStr">
        <is>
          <t>Author assertion</t>
        </is>
      </c>
      <c r="R177" s="5" t="inlineStr"/>
      <c r="S177" s="8" t="inlineStr">
        <is>
          <t>MASTER</t>
        </is>
      </c>
      <c r="T177" s="5" t="inlineStr">
        <is>
          <t>Master data and authorization</t>
        </is>
      </c>
      <c r="U177" s="8" t="inlineStr"/>
      <c r="V177" s="8" t="inlineStr">
        <is>
          <t>masters</t>
        </is>
      </c>
      <c r="W177" s="8" t="inlineStr">
        <is>
          <t>KERNEL</t>
        </is>
      </c>
      <c r="X177" s="5" t="inlineStr">
        <is>
          <t>Core</t>
        </is>
      </c>
      <c r="Y177" s="5" t="inlineStr">
        <is>
          <t>Admin</t>
        </is>
      </c>
      <c r="Z177" s="5" t="inlineStr">
        <is>
          <t>Medium</t>
        </is>
      </c>
      <c r="AA177" s="5" t="inlineStr">
        <is>
          <t>Medium</t>
        </is>
      </c>
      <c r="AB177" s="8" t="inlineStr">
        <is>
          <t>Low</t>
        </is>
      </c>
      <c r="AC177" s="8" t="inlineStr">
        <is>
          <t>MVP</t>
        </is>
      </c>
      <c r="AD177" s="5" t="inlineStr">
        <is>
          <t>Not independently checked</t>
        </is>
      </c>
      <c r="AE177" s="5" t="inlineStr">
        <is>
          <t>Not verified</t>
        </is>
      </c>
      <c r="AF177" s="5" t="inlineStr">
        <is>
          <t>Not verified</t>
        </is>
      </c>
      <c r="AG177" s="5" t="inlineStr">
        <is>
          <t>Not verified</t>
        </is>
      </c>
      <c r="AH177" s="5" t="inlineStr">
        <is>
          <t>Not verified</t>
        </is>
      </c>
      <c r="AI177" s="8" t="inlineStr">
        <is>
          <t>No</t>
        </is>
      </c>
      <c r="AJ177" s="8" t="inlineStr">
        <is>
          <t>Claimed - unverified</t>
        </is>
      </c>
      <c r="AK177" s="8" t="inlineStr">
        <is>
          <t>P0</t>
        </is>
      </c>
      <c r="AL177" s="8" t="n">
        <v>6</v>
      </c>
      <c r="AM177" s="5" t="inlineStr"/>
      <c r="AN177" s="5" t="inlineStr"/>
      <c r="AO177" s="5" t="inlineStr"/>
      <c r="AP177" s="5" t="inlineStr"/>
      <c r="AQ177" s="5" t="inlineStr"/>
      <c r="AR177" s="5" t="inlineStr"/>
      <c r="AS177" s="5" t="inlineStr"/>
      <c r="AT177" s="5" t="inlineStr"/>
      <c r="AU177" s="8" t="inlineStr">
        <is>
          <t>Not run</t>
        </is>
      </c>
    </row>
    <row r="178" ht="32" customHeight="1">
      <c r="A178" s="16" t="inlineStr">
        <is>
          <t>P-0177</t>
        </is>
      </c>
      <c r="B178" s="8" t="inlineStr">
        <is>
          <t>P</t>
        </is>
      </c>
      <c r="C178" s="5" t="inlineStr">
        <is>
          <t>Admin / System Owner</t>
        </is>
      </c>
      <c r="D178" s="5" t="inlineStr">
        <is>
          <t>Master Data &amp; Authorization</t>
        </is>
      </c>
      <c r="E178" s="5" t="inlineStr">
        <is>
          <t>Configure roles and permissions</t>
        </is>
      </c>
      <c r="F178" s="5" t="inlineStr">
        <is>
          <t>System Administrator</t>
        </is>
      </c>
      <c r="G178" s="5" t="inlineStr">
        <is>
          <t>Department Heads</t>
        </is>
      </c>
      <c r="H178" s="5" t="inlineStr">
        <is>
          <t>Define granular access control rules (RBAC) across sales, purchases, inventory, and accounting</t>
        </is>
      </c>
      <c r="I178" s="5" t="inlineStr">
        <is>
          <t>Enforces permission checks across UI routes and REST API endpoints</t>
        </is>
      </c>
      <c r="J178" s="19" t="inlineStr">
        <is>
          <t>P0</t>
        </is>
      </c>
      <c r="K178" s="20" t="inlineStr">
        <is>
          <t>Validated (Supported)</t>
        </is>
      </c>
      <c r="L178" s="5" t="inlineStr">
        <is>
          <t>Supported via Role Permission Matrix (Owner, Manager, Sales Staff, Inventory Staff, Accountant).</t>
        </is>
      </c>
      <c r="M178" s="8" t="inlineStr">
        <is>
          <t>Baseline</t>
        </is>
      </c>
      <c r="N178" s="8" t="inlineStr">
        <is>
          <t>Operational role</t>
        </is>
      </c>
      <c r="O178" s="8" t="inlineStr">
        <is>
          <t>P0</t>
        </is>
      </c>
      <c r="P178" s="5" t="inlineStr">
        <is>
          <t>Unchanged</t>
        </is>
      </c>
      <c r="Q178" s="20" t="inlineStr">
        <is>
          <t>Author assertion</t>
        </is>
      </c>
      <c r="R178" s="5" t="inlineStr"/>
      <c r="S178" s="8" t="inlineStr">
        <is>
          <t>MASTER</t>
        </is>
      </c>
      <c r="T178" s="5" t="inlineStr">
        <is>
          <t>Master data and authorization</t>
        </is>
      </c>
      <c r="U178" s="8" t="inlineStr"/>
      <c r="V178" s="8" t="inlineStr">
        <is>
          <t>masters</t>
        </is>
      </c>
      <c r="W178" s="8" t="inlineStr">
        <is>
          <t>KERNEL</t>
        </is>
      </c>
      <c r="X178" s="5" t="inlineStr">
        <is>
          <t>Core</t>
        </is>
      </c>
      <c r="Y178" s="5" t="inlineStr">
        <is>
          <t>Admin</t>
        </is>
      </c>
      <c r="Z178" s="5" t="inlineStr">
        <is>
          <t>Medium</t>
        </is>
      </c>
      <c r="AA178" s="5" t="inlineStr">
        <is>
          <t>Medium</t>
        </is>
      </c>
      <c r="AB178" s="8" t="inlineStr">
        <is>
          <t>Low</t>
        </is>
      </c>
      <c r="AC178" s="8" t="inlineStr">
        <is>
          <t>MVP</t>
        </is>
      </c>
      <c r="AD178" s="5" t="inlineStr">
        <is>
          <t>Not independently checked</t>
        </is>
      </c>
      <c r="AE178" s="5" t="inlineStr">
        <is>
          <t>Not verified</t>
        </is>
      </c>
      <c r="AF178" s="5" t="inlineStr">
        <is>
          <t>Not verified</t>
        </is>
      </c>
      <c r="AG178" s="5" t="inlineStr">
        <is>
          <t>Not verified</t>
        </is>
      </c>
      <c r="AH178" s="5" t="inlineStr">
        <is>
          <t>Not verified</t>
        </is>
      </c>
      <c r="AI178" s="8" t="inlineStr">
        <is>
          <t>No</t>
        </is>
      </c>
      <c r="AJ178" s="8" t="inlineStr">
        <is>
          <t>Claimed - unverified</t>
        </is>
      </c>
      <c r="AK178" s="8" t="inlineStr">
        <is>
          <t>P0</t>
        </is>
      </c>
      <c r="AL178" s="8" t="n">
        <v>6</v>
      </c>
      <c r="AM178" s="5" t="inlineStr"/>
      <c r="AN178" s="5" t="inlineStr"/>
      <c r="AO178" s="5" t="inlineStr"/>
      <c r="AP178" s="5" t="inlineStr"/>
      <c r="AQ178" s="5" t="inlineStr"/>
      <c r="AR178" s="5" t="inlineStr"/>
      <c r="AS178" s="5" t="inlineStr"/>
      <c r="AT178" s="5" t="inlineStr"/>
      <c r="AU178" s="8" t="inlineStr">
        <is>
          <t>Not run</t>
        </is>
      </c>
    </row>
    <row r="179" ht="32" customHeight="1">
      <c r="A179" s="16" t="inlineStr">
        <is>
          <t>P-0178</t>
        </is>
      </c>
      <c r="B179" s="8" t="inlineStr">
        <is>
          <t>P</t>
        </is>
      </c>
      <c r="C179" s="5" t="inlineStr">
        <is>
          <t>Admin / System Owner</t>
        </is>
      </c>
      <c r="D179" s="5" t="inlineStr">
        <is>
          <t>Master Data &amp; Authorization</t>
        </is>
      </c>
      <c r="E179" s="5" t="inlineStr">
        <is>
          <t>Configure business settings</t>
        </is>
      </c>
      <c r="F179" s="5" t="inlineStr">
        <is>
          <t>System Administrator</t>
        </is>
      </c>
      <c r="G179" s="5" t="inlineStr">
        <is>
          <t>Business Owner</t>
        </is>
      </c>
      <c r="H179" s="5" t="inlineStr">
        <is>
          <t>Configure company profile, legal name, registered address, logo, currency, and financial year</t>
        </is>
      </c>
      <c r="I179" s="5" t="inlineStr">
        <is>
          <t>Updates Company master model; sets default behaviors for documents and system operations</t>
        </is>
      </c>
      <c r="J179" s="19" t="inlineStr">
        <is>
          <t>P0</t>
        </is>
      </c>
      <c r="K179" s="20" t="inlineStr">
        <is>
          <t>Validated (Supported)</t>
        </is>
      </c>
      <c r="L179" s="5" t="inlineStr">
        <is>
          <t>Supported via /settings/company/ profile management.</t>
        </is>
      </c>
      <c r="M179" s="8" t="inlineStr">
        <is>
          <t>Baseline</t>
        </is>
      </c>
      <c r="N179" s="8" t="inlineStr">
        <is>
          <t>Operational role</t>
        </is>
      </c>
      <c r="O179" s="8" t="inlineStr">
        <is>
          <t>P0</t>
        </is>
      </c>
      <c r="P179" s="5" t="inlineStr">
        <is>
          <t>Unchanged</t>
        </is>
      </c>
      <c r="Q179" s="20" t="inlineStr">
        <is>
          <t>Author assertion</t>
        </is>
      </c>
      <c r="R179" s="5" t="inlineStr"/>
      <c r="S179" s="8" t="inlineStr">
        <is>
          <t>MASTER</t>
        </is>
      </c>
      <c r="T179" s="5" t="inlineStr">
        <is>
          <t>Master data and authorization</t>
        </is>
      </c>
      <c r="U179" s="8" t="inlineStr"/>
      <c r="V179" s="8" t="inlineStr">
        <is>
          <t>masters</t>
        </is>
      </c>
      <c r="W179" s="8" t="inlineStr">
        <is>
          <t>KERNEL</t>
        </is>
      </c>
      <c r="X179" s="5" t="inlineStr">
        <is>
          <t>Core</t>
        </is>
      </c>
      <c r="Y179" s="5" t="inlineStr">
        <is>
          <t>Admin</t>
        </is>
      </c>
      <c r="Z179" s="5" t="inlineStr">
        <is>
          <t>Medium</t>
        </is>
      </c>
      <c r="AA179" s="5" t="inlineStr">
        <is>
          <t>Medium</t>
        </is>
      </c>
      <c r="AB179" s="8" t="inlineStr">
        <is>
          <t>Low</t>
        </is>
      </c>
      <c r="AC179" s="8" t="inlineStr">
        <is>
          <t>MVP</t>
        </is>
      </c>
      <c r="AD179" s="5" t="inlineStr">
        <is>
          <t>Not independently checked</t>
        </is>
      </c>
      <c r="AE179" s="5" t="inlineStr">
        <is>
          <t>Not verified</t>
        </is>
      </c>
      <c r="AF179" s="5" t="inlineStr">
        <is>
          <t>Not verified</t>
        </is>
      </c>
      <c r="AG179" s="5" t="inlineStr">
        <is>
          <t>Not verified</t>
        </is>
      </c>
      <c r="AH179" s="5" t="inlineStr">
        <is>
          <t>Not verified</t>
        </is>
      </c>
      <c r="AI179" s="8" t="inlineStr">
        <is>
          <t>No</t>
        </is>
      </c>
      <c r="AJ179" s="8" t="inlineStr">
        <is>
          <t>Claimed - unverified</t>
        </is>
      </c>
      <c r="AK179" s="8" t="inlineStr">
        <is>
          <t>P0</t>
        </is>
      </c>
      <c r="AL179" s="8" t="n">
        <v>6</v>
      </c>
      <c r="AM179" s="5" t="inlineStr"/>
      <c r="AN179" s="5" t="inlineStr"/>
      <c r="AO179" s="5" t="inlineStr"/>
      <c r="AP179" s="5" t="inlineStr"/>
      <c r="AQ179" s="5" t="inlineStr"/>
      <c r="AR179" s="5" t="inlineStr"/>
      <c r="AS179" s="5" t="inlineStr"/>
      <c r="AT179" s="5" t="inlineStr"/>
      <c r="AU179" s="8" t="inlineStr">
        <is>
          <t>Not run</t>
        </is>
      </c>
    </row>
    <row r="180" ht="32" customHeight="1">
      <c r="A180" s="16" t="inlineStr">
        <is>
          <t>P-0179</t>
        </is>
      </c>
      <c r="B180" s="8" t="inlineStr">
        <is>
          <t>P</t>
        </is>
      </c>
      <c r="C180" s="5" t="inlineStr">
        <is>
          <t>Admin / System Owner</t>
        </is>
      </c>
      <c r="D180" s="5" t="inlineStr">
        <is>
          <t>GST / Tax / Compliance</t>
        </is>
      </c>
      <c r="E180" s="5" t="inlineStr">
        <is>
          <t>Configure GST information</t>
        </is>
      </c>
      <c r="F180" s="5" t="inlineStr">
        <is>
          <t>System Administrator</t>
        </is>
      </c>
      <c r="G180" s="5" t="inlineStr">
        <is>
          <t>Accountant / External CA</t>
        </is>
      </c>
      <c r="H180" s="5" t="inlineStr">
        <is>
          <t>Configure company GSTIN, legal registered trade name, state code, and tax filing frequency</t>
        </is>
      </c>
      <c r="I180" s="5" t="inlineStr">
        <is>
          <t>Sets up CompanyGstin records; defines Place of Supply rules for intra-state vs inter-state taxes</t>
        </is>
      </c>
      <c r="J180" s="19" t="inlineStr">
        <is>
          <t>P0</t>
        </is>
      </c>
      <c r="K180" s="20" t="inlineStr">
        <is>
          <t>Validated (Supported)</t>
        </is>
      </c>
      <c r="L180" s="5" t="inlineStr">
        <is>
          <t>Supported via /settings/gst/ with active GSTIN validation and composition scheme toggles.</t>
        </is>
      </c>
      <c r="M180" s="8" t="inlineStr">
        <is>
          <t>Baseline</t>
        </is>
      </c>
      <c r="N180" s="8" t="inlineStr">
        <is>
          <t>Operational role</t>
        </is>
      </c>
      <c r="O180" s="8" t="inlineStr">
        <is>
          <t>P0</t>
        </is>
      </c>
      <c r="P180" s="5" t="inlineStr">
        <is>
          <t>Unchanged</t>
        </is>
      </c>
      <c r="Q180" s="20" t="inlineStr">
        <is>
          <t>Author assertion</t>
        </is>
      </c>
      <c r="R180" s="5" t="inlineStr"/>
      <c r="S180" s="8" t="inlineStr">
        <is>
          <t>GST</t>
        </is>
      </c>
      <c r="T180" s="5" t="inlineStr">
        <is>
          <t>GST and tax compliance</t>
        </is>
      </c>
      <c r="U180" s="8" t="inlineStr"/>
      <c r="V180" s="8" t="inlineStr">
        <is>
          <t>accounting</t>
        </is>
      </c>
      <c r="W180" s="8" t="inlineStr">
        <is>
          <t>CONTROL</t>
        </is>
      </c>
      <c r="X180" s="5" t="inlineStr">
        <is>
          <t>Core</t>
        </is>
      </c>
      <c r="Y180" s="5" t="inlineStr">
        <is>
          <t>Admin</t>
        </is>
      </c>
      <c r="Z180" s="5" t="inlineStr">
        <is>
          <t>Critical</t>
        </is>
      </c>
      <c r="AA180" s="5" t="inlineStr">
        <is>
          <t>High</t>
        </is>
      </c>
      <c r="AB180" s="8" t="inlineStr">
        <is>
          <t>High</t>
        </is>
      </c>
      <c r="AC180" s="8" t="inlineStr">
        <is>
          <t>MVP</t>
        </is>
      </c>
      <c r="AD180" s="5" t="inlineStr">
        <is>
          <t>Not independently checked</t>
        </is>
      </c>
      <c r="AE180" s="5" t="inlineStr">
        <is>
          <t>Not verified</t>
        </is>
      </c>
      <c r="AF180" s="5" t="inlineStr">
        <is>
          <t>Not verified</t>
        </is>
      </c>
      <c r="AG180" s="5" t="inlineStr">
        <is>
          <t>Not verified</t>
        </is>
      </c>
      <c r="AH180" s="5" t="inlineStr">
        <is>
          <t>Not verified</t>
        </is>
      </c>
      <c r="AI180" s="8" t="inlineStr">
        <is>
          <t>No</t>
        </is>
      </c>
      <c r="AJ180" s="8" t="inlineStr">
        <is>
          <t>Claimed - unverified</t>
        </is>
      </c>
      <c r="AK180" s="8" t="inlineStr">
        <is>
          <t>P0</t>
        </is>
      </c>
      <c r="AL180" s="8" t="n">
        <v>27</v>
      </c>
      <c r="AM180" s="5" t="inlineStr"/>
      <c r="AN180" s="5" t="inlineStr"/>
      <c r="AO180" s="5" t="inlineStr"/>
      <c r="AP180" s="5" t="inlineStr"/>
      <c r="AQ180" s="5" t="inlineStr"/>
      <c r="AR180" s="5" t="inlineStr"/>
      <c r="AS180" s="5" t="inlineStr"/>
      <c r="AT180" s="5" t="inlineStr"/>
      <c r="AU180" s="8" t="inlineStr">
        <is>
          <t>Not run</t>
        </is>
      </c>
    </row>
    <row r="181" ht="32" customHeight="1">
      <c r="A181" s="16" t="inlineStr">
        <is>
          <t>P-0180</t>
        </is>
      </c>
      <c r="B181" s="8" t="inlineStr">
        <is>
          <t>P</t>
        </is>
      </c>
      <c r="C181" s="5" t="inlineStr">
        <is>
          <t>Admin / System Owner</t>
        </is>
      </c>
      <c r="D181" s="5" t="inlineStr">
        <is>
          <t>Multi-Godown / Multi-Store</t>
        </is>
      </c>
      <c r="E181" s="5" t="inlineStr">
        <is>
          <t>Configure branches/godowns</t>
        </is>
      </c>
      <c r="F181" s="5" t="inlineStr">
        <is>
          <t>System Administrator</t>
        </is>
      </c>
      <c r="G181" s="5" t="inlineStr">
        <is>
          <t>Logistics Team</t>
        </is>
      </c>
      <c r="H181" s="5" t="inlineStr">
        <is>
          <t>Register company warehouse locations, storage godowns, and retail branch stores</t>
        </is>
      </c>
      <c r="I181" s="5" t="inlineStr">
        <is>
          <t>Creates Warehouse records; assigns default dispatch godowns and user location mappings</t>
        </is>
      </c>
      <c r="J181" s="19" t="inlineStr">
        <is>
          <t>P0</t>
        </is>
      </c>
      <c r="K181" s="20" t="inlineStr">
        <is>
          <t>Validated (Supported)</t>
        </is>
      </c>
      <c r="L181" s="5" t="inlineStr">
        <is>
          <t>Supported via /settings/warehouses/ with location address and contact details.</t>
        </is>
      </c>
      <c r="M181" s="8" t="inlineStr">
        <is>
          <t>Baseline</t>
        </is>
      </c>
      <c r="N181" s="8" t="inlineStr">
        <is>
          <t>Operational role</t>
        </is>
      </c>
      <c r="O181" s="8" t="inlineStr">
        <is>
          <t>P0</t>
        </is>
      </c>
      <c r="P181" s="5" t="inlineStr">
        <is>
          <t>Unchanged</t>
        </is>
      </c>
      <c r="Q181" s="20" t="inlineStr">
        <is>
          <t>Author assertion</t>
        </is>
      </c>
      <c r="R181" s="5" t="inlineStr"/>
      <c r="S181" s="8" t="inlineStr">
        <is>
          <t>WH</t>
        </is>
      </c>
      <c r="T181" s="5" t="inlineStr">
        <is>
          <t>Multi-godown and multi-store</t>
        </is>
      </c>
      <c r="U181" s="8" t="inlineStr"/>
      <c r="V181" s="8" t="inlineStr">
        <is>
          <t>inventory</t>
        </is>
      </c>
      <c r="W181" s="8" t="inlineStr">
        <is>
          <t>RUN</t>
        </is>
      </c>
      <c r="X181" s="5" t="inlineStr">
        <is>
          <t>Core</t>
        </is>
      </c>
      <c r="Y181" s="5" t="inlineStr">
        <is>
          <t>Admin</t>
        </is>
      </c>
      <c r="Z181" s="5" t="inlineStr">
        <is>
          <t>Medium</t>
        </is>
      </c>
      <c r="AA181" s="5" t="inlineStr">
        <is>
          <t>Medium</t>
        </is>
      </c>
      <c r="AB181" s="8" t="inlineStr">
        <is>
          <t>Low</t>
        </is>
      </c>
      <c r="AC181" s="8" t="inlineStr">
        <is>
          <t>MVP</t>
        </is>
      </c>
      <c r="AD181" s="5" t="inlineStr">
        <is>
          <t>Not independently checked</t>
        </is>
      </c>
      <c r="AE181" s="5" t="inlineStr">
        <is>
          <t>Not verified</t>
        </is>
      </c>
      <c r="AF181" s="5" t="inlineStr">
        <is>
          <t>Not verified</t>
        </is>
      </c>
      <c r="AG181" s="5" t="inlineStr">
        <is>
          <t>Not verified</t>
        </is>
      </c>
      <c r="AH181" s="5" t="inlineStr">
        <is>
          <t>Not verified</t>
        </is>
      </c>
      <c r="AI181" s="8" t="inlineStr">
        <is>
          <t>No</t>
        </is>
      </c>
      <c r="AJ181" s="8" t="inlineStr">
        <is>
          <t>Claimed - unverified</t>
        </is>
      </c>
      <c r="AK181" s="8" t="inlineStr">
        <is>
          <t>P0</t>
        </is>
      </c>
      <c r="AL181" s="8" t="n">
        <v>6</v>
      </c>
      <c r="AM181" s="5" t="inlineStr"/>
      <c r="AN181" s="5" t="inlineStr"/>
      <c r="AO181" s="5" t="inlineStr"/>
      <c r="AP181" s="5" t="inlineStr"/>
      <c r="AQ181" s="5" t="inlineStr"/>
      <c r="AR181" s="5" t="inlineStr"/>
      <c r="AS181" s="5" t="inlineStr"/>
      <c r="AT181" s="5" t="inlineStr"/>
      <c r="AU181" s="8" t="inlineStr">
        <is>
          <t>Not run</t>
        </is>
      </c>
    </row>
    <row r="182" ht="32" customHeight="1">
      <c r="A182" s="16" t="inlineStr">
        <is>
          <t>P-0181</t>
        </is>
      </c>
      <c r="B182" s="8" t="inlineStr">
        <is>
          <t>P</t>
        </is>
      </c>
      <c r="C182" s="5" t="inlineStr">
        <is>
          <t>Admin / System Owner</t>
        </is>
      </c>
      <c r="D182" s="5" t="inlineStr">
        <is>
          <t>GST / Tax / Compliance</t>
        </is>
      </c>
      <c r="E182" s="5" t="inlineStr">
        <is>
          <t>Configure taxes and HSN</t>
        </is>
      </c>
      <c r="F182" s="5" t="inlineStr">
        <is>
          <t>System Administrator</t>
        </is>
      </c>
      <c r="G182" s="5" t="inlineStr">
        <is>
          <t>Accountant</t>
        </is>
      </c>
      <c r="H182" s="5" t="inlineStr">
        <is>
          <t>Configure standard tax rate slabs (0%, 5%, 12%, 18%, 28%) and custom cess rules</t>
        </is>
      </c>
      <c r="I182" s="5" t="inlineStr">
        <is>
          <t>Configures TaxRate models; enables automated line-item tax calculation during billing</t>
        </is>
      </c>
      <c r="J182" s="19" t="inlineStr">
        <is>
          <t>P0</t>
        </is>
      </c>
      <c r="K182" s="20" t="inlineStr">
        <is>
          <t>Validated (Supported)</t>
        </is>
      </c>
      <c r="L182" s="5" t="inlineStr">
        <is>
          <t>Supported via /settings/taxes/ with support for per-unit cess and compensation cess.</t>
        </is>
      </c>
      <c r="M182" s="8" t="inlineStr">
        <is>
          <t>Baseline</t>
        </is>
      </c>
      <c r="N182" s="8" t="inlineStr">
        <is>
          <t>Operational role</t>
        </is>
      </c>
      <c r="O182" s="8" t="inlineStr">
        <is>
          <t>P0</t>
        </is>
      </c>
      <c r="P182" s="5" t="inlineStr">
        <is>
          <t>Unchanged</t>
        </is>
      </c>
      <c r="Q182" s="20" t="inlineStr">
        <is>
          <t>Author assertion</t>
        </is>
      </c>
      <c r="R182" s="5" t="inlineStr"/>
      <c r="S182" s="8" t="inlineStr">
        <is>
          <t>GST</t>
        </is>
      </c>
      <c r="T182" s="5" t="inlineStr">
        <is>
          <t>GST and tax compliance</t>
        </is>
      </c>
      <c r="U182" s="8" t="inlineStr"/>
      <c r="V182" s="8" t="inlineStr">
        <is>
          <t>accounting</t>
        </is>
      </c>
      <c r="W182" s="8" t="inlineStr">
        <is>
          <t>CONTROL</t>
        </is>
      </c>
      <c r="X182" s="5" t="inlineStr">
        <is>
          <t>Core</t>
        </is>
      </c>
      <c r="Y182" s="5" t="inlineStr">
        <is>
          <t>Admin</t>
        </is>
      </c>
      <c r="Z182" s="5" t="inlineStr">
        <is>
          <t>Critical</t>
        </is>
      </c>
      <c r="AA182" s="5" t="inlineStr">
        <is>
          <t>High</t>
        </is>
      </c>
      <c r="AB182" s="8" t="inlineStr">
        <is>
          <t>High</t>
        </is>
      </c>
      <c r="AC182" s="8" t="inlineStr">
        <is>
          <t>MVP</t>
        </is>
      </c>
      <c r="AD182" s="5" t="inlineStr">
        <is>
          <t>Not independently checked</t>
        </is>
      </c>
      <c r="AE182" s="5" t="inlineStr">
        <is>
          <t>Not verified</t>
        </is>
      </c>
      <c r="AF182" s="5" t="inlineStr">
        <is>
          <t>Not verified</t>
        </is>
      </c>
      <c r="AG182" s="5" t="inlineStr">
        <is>
          <t>Not verified</t>
        </is>
      </c>
      <c r="AH182" s="5" t="inlineStr">
        <is>
          <t>Not verified</t>
        </is>
      </c>
      <c r="AI182" s="8" t="inlineStr">
        <is>
          <t>No</t>
        </is>
      </c>
      <c r="AJ182" s="8" t="inlineStr">
        <is>
          <t>Claimed - unverified</t>
        </is>
      </c>
      <c r="AK182" s="8" t="inlineStr">
        <is>
          <t>P0</t>
        </is>
      </c>
      <c r="AL182" s="8" t="n">
        <v>27</v>
      </c>
      <c r="AM182" s="5" t="inlineStr"/>
      <c r="AN182" s="5" t="inlineStr"/>
      <c r="AO182" s="5" t="inlineStr"/>
      <c r="AP182" s="5" t="inlineStr"/>
      <c r="AQ182" s="5" t="inlineStr"/>
      <c r="AR182" s="5" t="inlineStr"/>
      <c r="AS182" s="5" t="inlineStr"/>
      <c r="AT182" s="5" t="inlineStr"/>
      <c r="AU182" s="8" t="inlineStr">
        <is>
          <t>Not run</t>
        </is>
      </c>
    </row>
    <row r="183" ht="32" customHeight="1">
      <c r="A183" s="16" t="inlineStr">
        <is>
          <t>P-0182</t>
        </is>
      </c>
      <c r="B183" s="8" t="inlineStr">
        <is>
          <t>P</t>
        </is>
      </c>
      <c r="C183" s="5" t="inlineStr">
        <is>
          <t>Admin / System Owner</t>
        </is>
      </c>
      <c r="D183" s="5" t="inlineStr">
        <is>
          <t>Customer-to-Cash</t>
        </is>
      </c>
      <c r="E183" s="5" t="inlineStr">
        <is>
          <t>Configure invoice templates</t>
        </is>
      </c>
      <c r="F183" s="5" t="inlineStr">
        <is>
          <t>System Administrator</t>
        </is>
      </c>
      <c r="G183" s="5" t="inlineStr">
        <is>
          <t>Billing Clerks</t>
        </is>
      </c>
      <c r="H183" s="5" t="inlineStr">
        <is>
          <t>Customize invoice layout, thermal slip sizes (2-inch vs 3-inch), bank account details, and terms</t>
        </is>
      </c>
      <c r="I183" s="5" t="inlineStr">
        <is>
          <t>Updates PDF rendering configuration; customizes header logo, signature block, and QR placement</t>
        </is>
      </c>
      <c r="J183" s="22" t="inlineStr">
        <is>
          <t>P2</t>
        </is>
      </c>
      <c r="K183" s="20" t="inlineStr">
        <is>
          <t>Validated (Supported)</t>
        </is>
      </c>
      <c r="L183" s="5" t="inlineStr">
        <is>
          <t>Supported via /settings/invoice-templates/ with live visual preview.</t>
        </is>
      </c>
      <c r="M183" s="8" t="inlineStr">
        <is>
          <t>Baseline</t>
        </is>
      </c>
      <c r="N183" s="8" t="inlineStr">
        <is>
          <t>Operational role</t>
        </is>
      </c>
      <c r="O183" s="8" t="inlineStr">
        <is>
          <t>P2</t>
        </is>
      </c>
      <c r="P183" s="5" t="inlineStr">
        <is>
          <t>Restored to authored P2. The previous workbook had P3 after a keyword rebalance.</t>
        </is>
      </c>
      <c r="Q183" s="20" t="inlineStr">
        <is>
          <t>Author assertion</t>
        </is>
      </c>
      <c r="R183" s="5" t="inlineStr">
        <is>
          <t>Restored to authored P2. The previous workbook had P3 after a keyword rebalance.</t>
        </is>
      </c>
      <c r="S183" s="8" t="inlineStr">
        <is>
          <t>C2C</t>
        </is>
      </c>
      <c r="T183" s="5" t="inlineStr">
        <is>
          <t>Customer to cash</t>
        </is>
      </c>
      <c r="U183" s="8" t="inlineStr"/>
      <c r="V183" s="8" t="inlineStr">
        <is>
          <t>sales</t>
        </is>
      </c>
      <c r="W183" s="8" t="inlineStr">
        <is>
          <t>RUN</t>
        </is>
      </c>
      <c r="X183" s="5" t="inlineStr">
        <is>
          <t>Core</t>
        </is>
      </c>
      <c r="Y183" s="5" t="inlineStr">
        <is>
          <t>Admin</t>
        </is>
      </c>
      <c r="Z183" s="5" t="inlineStr">
        <is>
          <t>Medium</t>
        </is>
      </c>
      <c r="AA183" s="5" t="inlineStr">
        <is>
          <t>Medium</t>
        </is>
      </c>
      <c r="AB183" s="8" t="inlineStr">
        <is>
          <t>Low</t>
        </is>
      </c>
      <c r="AC183" s="8" t="inlineStr">
        <is>
          <t>Later</t>
        </is>
      </c>
      <c r="AD183" s="5" t="inlineStr">
        <is>
          <t>Not independently checked</t>
        </is>
      </c>
      <c r="AE183" s="5" t="inlineStr">
        <is>
          <t>Not verified</t>
        </is>
      </c>
      <c r="AF183" s="5" t="inlineStr">
        <is>
          <t>Not verified</t>
        </is>
      </c>
      <c r="AG183" s="5" t="inlineStr">
        <is>
          <t>Not verified</t>
        </is>
      </c>
      <c r="AH183" s="5" t="inlineStr">
        <is>
          <t>Not verified</t>
        </is>
      </c>
      <c r="AI183" s="8" t="inlineStr">
        <is>
          <t>No</t>
        </is>
      </c>
      <c r="AJ183" s="8" t="inlineStr">
        <is>
          <t>Claimed - unverified</t>
        </is>
      </c>
      <c r="AK183" s="8" t="inlineStr">
        <is>
          <t>P2</t>
        </is>
      </c>
      <c r="AL183" s="8" t="n">
        <v>6</v>
      </c>
      <c r="AM183" s="5" t="inlineStr"/>
      <c r="AN183" s="5" t="inlineStr"/>
      <c r="AO183" s="5" t="inlineStr"/>
      <c r="AP183" s="5" t="inlineStr"/>
      <c r="AQ183" s="5" t="inlineStr"/>
      <c r="AR183" s="5" t="inlineStr"/>
      <c r="AS183" s="5" t="inlineStr"/>
      <c r="AT183" s="5" t="inlineStr"/>
      <c r="AU183" s="8" t="inlineStr">
        <is>
          <t>Not run</t>
        </is>
      </c>
    </row>
    <row r="184" ht="32" customHeight="1">
      <c r="A184" s="16" t="inlineStr">
        <is>
          <t>P-0183</t>
        </is>
      </c>
      <c r="B184" s="8" t="inlineStr">
        <is>
          <t>P</t>
        </is>
      </c>
      <c r="C184" s="5" t="inlineStr">
        <is>
          <t>Admin / System Owner</t>
        </is>
      </c>
      <c r="D184" s="5" t="inlineStr">
        <is>
          <t>Communication &amp; Integrations</t>
        </is>
      </c>
      <c r="E184" s="5" t="inlineStr">
        <is>
          <t>Configure integrations</t>
        </is>
      </c>
      <c r="F184" s="5" t="inlineStr">
        <is>
          <t>System Administrator</t>
        </is>
      </c>
      <c r="G184" s="5" t="inlineStr">
        <is>
          <t>None</t>
        </is>
      </c>
      <c r="H184" s="5" t="inlineStr">
        <is>
          <t>Set up external messaging (WhatsApp Web, SMS gateway), payment gateways, and printer settings</t>
        </is>
      </c>
      <c r="I184" s="5" t="inlineStr">
        <is>
          <t>Stores integration credentials safely; configures webhook endpoints and API keys</t>
        </is>
      </c>
      <c r="J184" s="20" t="inlineStr">
        <is>
          <t>P1</t>
        </is>
      </c>
      <c r="K184" s="20" t="inlineStr">
        <is>
          <t>Validated (Supported)</t>
        </is>
      </c>
      <c r="L184" s="5" t="inlineStr">
        <is>
          <t>Supported via /settings/integrations/ (WhatsApp Web, UPI QR, Thermal Printers).</t>
        </is>
      </c>
      <c r="M184" s="8" t="inlineStr">
        <is>
          <t>Baseline</t>
        </is>
      </c>
      <c r="N184" s="8" t="inlineStr">
        <is>
          <t>Operational role</t>
        </is>
      </c>
      <c r="O184" s="8" t="inlineStr">
        <is>
          <t>P1</t>
        </is>
      </c>
      <c r="P184" s="5" t="inlineStr">
        <is>
          <t>Unchanged</t>
        </is>
      </c>
      <c r="Q184" s="21" t="inlineStr">
        <is>
          <t>Code symbol found</t>
        </is>
      </c>
      <c r="R184" s="5" t="inlineStr">
        <is>
          <t>Matched WhatsApp in product code. This is not a functional test.</t>
        </is>
      </c>
      <c r="S184" s="8" t="inlineStr">
        <is>
          <t>INT</t>
        </is>
      </c>
      <c r="T184" s="5" t="inlineStr">
        <is>
          <t>Communication and integrations</t>
        </is>
      </c>
      <c r="U184" s="8" t="inlineStr"/>
      <c r="V184" s="8" t="inlineStr">
        <is>
          <t>integrations</t>
        </is>
      </c>
      <c r="W184" s="8" t="inlineStr">
        <is>
          <t>KERNEL</t>
        </is>
      </c>
      <c r="X184" s="5" t="inlineStr">
        <is>
          <t>Core</t>
        </is>
      </c>
      <c r="Y184" s="5" t="inlineStr">
        <is>
          <t>Admin</t>
        </is>
      </c>
      <c r="Z184" s="5" t="inlineStr">
        <is>
          <t>Medium</t>
        </is>
      </c>
      <c r="AA184" s="5" t="inlineStr">
        <is>
          <t>Medium</t>
        </is>
      </c>
      <c r="AB184" s="8" t="inlineStr">
        <is>
          <t>Low</t>
        </is>
      </c>
      <c r="AC184" s="8" t="inlineStr">
        <is>
          <t>Later</t>
        </is>
      </c>
      <c r="AD184" s="5" t="inlineStr">
        <is>
          <t>Cited in code</t>
        </is>
      </c>
      <c r="AE184" s="5" t="inlineStr">
        <is>
          <t>Not verified</t>
        </is>
      </c>
      <c r="AF184" s="5" t="inlineStr">
        <is>
          <t>Not verified</t>
        </is>
      </c>
      <c r="AG184" s="5" t="inlineStr">
        <is>
          <t>Not verified</t>
        </is>
      </c>
      <c r="AH184" s="5" t="inlineStr">
        <is>
          <t>Not verified</t>
        </is>
      </c>
      <c r="AI184" s="8" t="inlineStr">
        <is>
          <t>No</t>
        </is>
      </c>
      <c r="AJ184" s="8" t="inlineStr">
        <is>
          <t>Built - unverified</t>
        </is>
      </c>
      <c r="AK184" s="8" t="inlineStr">
        <is>
          <t>P1</t>
        </is>
      </c>
      <c r="AL184" s="8" t="n">
        <v>6</v>
      </c>
      <c r="AM184" s="5" t="inlineStr"/>
      <c r="AN184" s="5" t="inlineStr"/>
      <c r="AO184" s="5" t="inlineStr"/>
      <c r="AP184" s="5" t="inlineStr"/>
      <c r="AQ184" s="5" t="inlineStr"/>
      <c r="AR184" s="5" t="inlineStr"/>
      <c r="AS184" s="5" t="inlineStr"/>
      <c r="AT184" s="5" t="inlineStr"/>
      <c r="AU184" s="8" t="inlineStr">
        <is>
          <t>Not run</t>
        </is>
      </c>
    </row>
    <row r="185" ht="32" customHeight="1">
      <c r="A185" s="16" t="inlineStr">
        <is>
          <t>P-0184</t>
        </is>
      </c>
      <c r="B185" s="8" t="inlineStr">
        <is>
          <t>P</t>
        </is>
      </c>
      <c r="C185" s="5" t="inlineStr">
        <is>
          <t>Admin / System Owner</t>
        </is>
      </c>
      <c r="D185" s="5" t="inlineStr">
        <is>
          <t>Security / Exception / Recovery</t>
        </is>
      </c>
      <c r="E185" s="5" t="inlineStr">
        <is>
          <t>Review system activity</t>
        </is>
      </c>
      <c r="F185" s="5" t="inlineStr">
        <is>
          <t>System Administrator</t>
        </is>
      </c>
      <c r="G185" s="5" t="inlineStr">
        <is>
          <t>Security Auditor</t>
        </is>
      </c>
      <c r="H185" s="5" t="inlineStr">
        <is>
          <t>Monitor real-time user logins, transaction throughput, and active user sessions</t>
        </is>
      </c>
      <c r="I185" s="5" t="inlineStr">
        <is>
          <t>Surfaces operational event telemetry; highlights anomalous login attempts or high failure rates</t>
        </is>
      </c>
      <c r="J185" s="20" t="inlineStr">
        <is>
          <t>P1</t>
        </is>
      </c>
      <c r="K185" s="20" t="inlineStr">
        <is>
          <t>Validated (Supported)</t>
        </is>
      </c>
      <c r="L185" s="5" t="inlineStr">
        <is>
          <t>Supported via System Activity Dashboard and Django session monitoring.</t>
        </is>
      </c>
      <c r="M185" s="8" t="inlineStr">
        <is>
          <t>Baseline</t>
        </is>
      </c>
      <c r="N185" s="8" t="inlineStr">
        <is>
          <t>Operational role</t>
        </is>
      </c>
      <c r="O185" s="8" t="inlineStr">
        <is>
          <t>P1</t>
        </is>
      </c>
      <c r="P185" s="5" t="inlineStr">
        <is>
          <t>Unchanged</t>
        </is>
      </c>
      <c r="Q185" s="20" t="inlineStr">
        <is>
          <t>Author assertion</t>
        </is>
      </c>
      <c r="R185" s="5" t="inlineStr"/>
      <c r="S185" s="8" t="inlineStr">
        <is>
          <t>OTHER</t>
        </is>
      </c>
      <c r="T185" s="5" t="inlineStr">
        <is>
          <t>Security / Exception / Recovery</t>
        </is>
      </c>
      <c r="U185" s="8" t="inlineStr"/>
      <c r="V185" s="8" t="inlineStr"/>
      <c r="W185" s="8" t="inlineStr">
        <is>
          <t>CONTROL</t>
        </is>
      </c>
      <c r="X185" s="5" t="inlineStr">
        <is>
          <t>Core</t>
        </is>
      </c>
      <c r="Y185" s="5" t="inlineStr">
        <is>
          <t>Admin</t>
        </is>
      </c>
      <c r="Z185" s="5" t="inlineStr">
        <is>
          <t>High</t>
        </is>
      </c>
      <c r="AA185" s="5" t="inlineStr">
        <is>
          <t>Medium</t>
        </is>
      </c>
      <c r="AB185" s="8" t="inlineStr">
        <is>
          <t>Medium</t>
        </is>
      </c>
      <c r="AC185" s="8" t="inlineStr">
        <is>
          <t>Pilot</t>
        </is>
      </c>
      <c r="AD185" s="5" t="inlineStr">
        <is>
          <t>Not independently checked</t>
        </is>
      </c>
      <c r="AE185" s="5" t="inlineStr">
        <is>
          <t>Not verified</t>
        </is>
      </c>
      <c r="AF185" s="5" t="inlineStr">
        <is>
          <t>Not verified</t>
        </is>
      </c>
      <c r="AG185" s="5" t="inlineStr">
        <is>
          <t>Not verified</t>
        </is>
      </c>
      <c r="AH185" s="5" t="inlineStr">
        <is>
          <t>Not verified</t>
        </is>
      </c>
      <c r="AI185" s="8" t="inlineStr">
        <is>
          <t>No</t>
        </is>
      </c>
      <c r="AJ185" s="8" t="inlineStr">
        <is>
          <t>Claimed - unverified</t>
        </is>
      </c>
      <c r="AK185" s="8" t="inlineStr">
        <is>
          <t>P1</t>
        </is>
      </c>
      <c r="AL185" s="8" t="n">
        <v>12</v>
      </c>
      <c r="AM185" s="5" t="inlineStr"/>
      <c r="AN185" s="5" t="inlineStr"/>
      <c r="AO185" s="5" t="inlineStr"/>
      <c r="AP185" s="5" t="inlineStr"/>
      <c r="AQ185" s="5" t="inlineStr"/>
      <c r="AR185" s="5" t="inlineStr"/>
      <c r="AS185" s="5" t="inlineStr"/>
      <c r="AT185" s="5" t="inlineStr"/>
      <c r="AU185" s="8" t="inlineStr">
        <is>
          <t>Not run</t>
        </is>
      </c>
    </row>
    <row r="186" ht="32" customHeight="1">
      <c r="A186" s="16" t="inlineStr">
        <is>
          <t>P-0185</t>
        </is>
      </c>
      <c r="B186" s="8" t="inlineStr">
        <is>
          <t>P</t>
        </is>
      </c>
      <c r="C186" s="5" t="inlineStr">
        <is>
          <t>Admin / System Owner</t>
        </is>
      </c>
      <c r="D186" s="5" t="inlineStr">
        <is>
          <t>Security / Exception / Recovery</t>
        </is>
      </c>
      <c r="E186" s="5" t="inlineStr">
        <is>
          <t>Review audit logs</t>
        </is>
      </c>
      <c r="F186" s="5" t="inlineStr">
        <is>
          <t>System Administrator</t>
        </is>
      </c>
      <c r="G186" s="5" t="inlineStr">
        <is>
          <t>Statutory Auditor</t>
        </is>
      </c>
      <c r="H186" s="5" t="inlineStr">
        <is>
          <t>Inspect comprehensive immutable audit trail of all record creates, updates, and deletions</t>
        </is>
      </c>
      <c r="I186" s="5" t="inlineStr">
        <is>
          <t>Queries ActivityLog and simple_history tables; provides legal compliance evidence</t>
        </is>
      </c>
      <c r="J186" s="19" t="inlineStr">
        <is>
          <t>P0</t>
        </is>
      </c>
      <c r="K186" s="20" t="inlineStr">
        <is>
          <t>Validated (Supported)</t>
        </is>
      </c>
      <c r="L186" s="5" t="inlineStr">
        <is>
          <t>Supported via /settings/audit-logs/ with user, entity, and date filtering.</t>
        </is>
      </c>
      <c r="M186" s="8" t="inlineStr">
        <is>
          <t>Baseline</t>
        </is>
      </c>
      <c r="N186" s="8" t="inlineStr">
        <is>
          <t>Operational role</t>
        </is>
      </c>
      <c r="O186" s="8" t="inlineStr">
        <is>
          <t>P0</t>
        </is>
      </c>
      <c r="P186" s="5" t="inlineStr">
        <is>
          <t>Unchanged</t>
        </is>
      </c>
      <c r="Q186" s="20" t="inlineStr">
        <is>
          <t>Author assertion</t>
        </is>
      </c>
      <c r="R186" s="5" t="inlineStr"/>
      <c r="S186" s="8" t="inlineStr">
        <is>
          <t>OTHER</t>
        </is>
      </c>
      <c r="T186" s="5" t="inlineStr">
        <is>
          <t>Security / Exception / Recovery</t>
        </is>
      </c>
      <c r="U186" s="8" t="inlineStr"/>
      <c r="V186" s="8" t="inlineStr"/>
      <c r="W186" s="8" t="inlineStr">
        <is>
          <t>CONTROL</t>
        </is>
      </c>
      <c r="X186" s="5" t="inlineStr">
        <is>
          <t>Core</t>
        </is>
      </c>
      <c r="Y186" s="5" t="inlineStr">
        <is>
          <t>Admin</t>
        </is>
      </c>
      <c r="Z186" s="5" t="inlineStr">
        <is>
          <t>High</t>
        </is>
      </c>
      <c r="AA186" s="5" t="inlineStr">
        <is>
          <t>Medium</t>
        </is>
      </c>
      <c r="AB186" s="8" t="inlineStr">
        <is>
          <t>Medium</t>
        </is>
      </c>
      <c r="AC186" s="8" t="inlineStr">
        <is>
          <t>MVP</t>
        </is>
      </c>
      <c r="AD186" s="5" t="inlineStr">
        <is>
          <t>Not independently checked</t>
        </is>
      </c>
      <c r="AE186" s="5" t="inlineStr">
        <is>
          <t>Not verified</t>
        </is>
      </c>
      <c r="AF186" s="5" t="inlineStr">
        <is>
          <t>Not verified</t>
        </is>
      </c>
      <c r="AG186" s="5" t="inlineStr">
        <is>
          <t>Not verified</t>
        </is>
      </c>
      <c r="AH186" s="5" t="inlineStr">
        <is>
          <t>Not verified</t>
        </is>
      </c>
      <c r="AI186" s="8" t="inlineStr">
        <is>
          <t>No</t>
        </is>
      </c>
      <c r="AJ186" s="8" t="inlineStr">
        <is>
          <t>Claimed - unverified</t>
        </is>
      </c>
      <c r="AK186" s="8" t="inlineStr">
        <is>
          <t>P0</t>
        </is>
      </c>
      <c r="AL186" s="8" t="n">
        <v>12</v>
      </c>
      <c r="AM186" s="5" t="inlineStr"/>
      <c r="AN186" s="5" t="inlineStr"/>
      <c r="AO186" s="5" t="inlineStr"/>
      <c r="AP186" s="5" t="inlineStr"/>
      <c r="AQ186" s="5" t="inlineStr"/>
      <c r="AR186" s="5" t="inlineStr"/>
      <c r="AS186" s="5" t="inlineStr"/>
      <c r="AT186" s="5" t="inlineStr"/>
      <c r="AU186" s="8" t="inlineStr">
        <is>
          <t>Not run</t>
        </is>
      </c>
    </row>
    <row r="187" ht="32" customHeight="1">
      <c r="A187" s="16" t="inlineStr">
        <is>
          <t>P-0186</t>
        </is>
      </c>
      <c r="B187" s="8" t="inlineStr">
        <is>
          <t>P</t>
        </is>
      </c>
      <c r="C187" s="5" t="inlineStr">
        <is>
          <t>Admin / System Owner</t>
        </is>
      </c>
      <c r="D187" s="5" t="inlineStr">
        <is>
          <t>Import / Export / Period Close</t>
        </is>
      </c>
      <c r="E187" s="5" t="inlineStr">
        <is>
          <t>Manage data imports/exports</t>
        </is>
      </c>
      <c r="F187" s="5" t="inlineStr">
        <is>
          <t>System Administrator</t>
        </is>
      </c>
      <c r="G187" s="5" t="inlineStr">
        <is>
          <t>Accountant</t>
        </is>
      </c>
      <c r="H187" s="5" t="inlineStr">
        <is>
          <t>Manage bulk CSV/Excel data imports (Products, Customers, Stock) and full database backups</t>
        </is>
      </c>
      <c r="I187" s="5" t="inlineStr">
        <is>
          <t>Processes bulk asynchronous import jobs with error report generation; exports full datasets</t>
        </is>
      </c>
      <c r="J187" s="20" t="inlineStr">
        <is>
          <t>P1</t>
        </is>
      </c>
      <c r="K187" s="20" t="inlineStr">
        <is>
          <t>Validated (Supported)</t>
        </is>
      </c>
      <c r="L187" s="5" t="inlineStr">
        <is>
          <t>Supported via /settings/data-management/ with schema validation and dry-run previews.</t>
        </is>
      </c>
      <c r="M187" s="8" t="inlineStr">
        <is>
          <t>Baseline</t>
        </is>
      </c>
      <c r="N187" s="8" t="inlineStr">
        <is>
          <t>Operational role</t>
        </is>
      </c>
      <c r="O187" s="8" t="inlineStr">
        <is>
          <t>P1</t>
        </is>
      </c>
      <c r="P187" s="5" t="inlineStr">
        <is>
          <t>Unchanged</t>
        </is>
      </c>
      <c r="Q187" s="20" t="inlineStr">
        <is>
          <t>Author assertion</t>
        </is>
      </c>
      <c r="R187" s="5" t="inlineStr"/>
      <c r="S187" s="8" t="inlineStr">
        <is>
          <t>CLOSE</t>
        </is>
      </c>
      <c r="T187" s="5" t="inlineStr">
        <is>
          <t>Import, export, and period close</t>
        </is>
      </c>
      <c r="U187" s="8" t="inlineStr"/>
      <c r="V187" s="8" t="inlineStr">
        <is>
          <t>accounting</t>
        </is>
      </c>
      <c r="W187" s="8" t="inlineStr">
        <is>
          <t>CONTROL</t>
        </is>
      </c>
      <c r="X187" s="5" t="inlineStr">
        <is>
          <t>Core</t>
        </is>
      </c>
      <c r="Y187" s="5" t="inlineStr">
        <is>
          <t>Admin</t>
        </is>
      </c>
      <c r="Z187" s="5" t="inlineStr">
        <is>
          <t>Medium</t>
        </is>
      </c>
      <c r="AA187" s="5" t="inlineStr">
        <is>
          <t>Medium</t>
        </is>
      </c>
      <c r="AB187" s="8" t="inlineStr">
        <is>
          <t>Low</t>
        </is>
      </c>
      <c r="AC187" s="8" t="inlineStr">
        <is>
          <t>Pilot</t>
        </is>
      </c>
      <c r="AD187" s="5" t="inlineStr">
        <is>
          <t>Not independently checked</t>
        </is>
      </c>
      <c r="AE187" s="5" t="inlineStr">
        <is>
          <t>Not verified</t>
        </is>
      </c>
      <c r="AF187" s="5" t="inlineStr">
        <is>
          <t>Not verified</t>
        </is>
      </c>
      <c r="AG187" s="5" t="inlineStr">
        <is>
          <t>Not verified</t>
        </is>
      </c>
      <c r="AH187" s="5" t="inlineStr">
        <is>
          <t>Not verified</t>
        </is>
      </c>
      <c r="AI187" s="8" t="inlineStr">
        <is>
          <t>No</t>
        </is>
      </c>
      <c r="AJ187" s="8" t="inlineStr">
        <is>
          <t>Claimed - unverified</t>
        </is>
      </c>
      <c r="AK187" s="8" t="inlineStr">
        <is>
          <t>P1</t>
        </is>
      </c>
      <c r="AL187" s="8" t="n">
        <v>6</v>
      </c>
      <c r="AM187" s="5" t="inlineStr"/>
      <c r="AN187" s="5" t="inlineStr"/>
      <c r="AO187" s="5" t="inlineStr"/>
      <c r="AP187" s="5" t="inlineStr"/>
      <c r="AQ187" s="5" t="inlineStr"/>
      <c r="AR187" s="5" t="inlineStr"/>
      <c r="AS187" s="5" t="inlineStr"/>
      <c r="AT187" s="5" t="inlineStr"/>
      <c r="AU187" s="8" t="inlineStr">
        <is>
          <t>Not run</t>
        </is>
      </c>
    </row>
    <row r="188" ht="32" customHeight="1">
      <c r="A188" s="16" t="inlineStr">
        <is>
          <t>P-0187</t>
        </is>
      </c>
      <c r="B188" s="8" t="inlineStr">
        <is>
          <t>P</t>
        </is>
      </c>
      <c r="C188" s="5" t="inlineStr">
        <is>
          <t>Admin / System Owner</t>
        </is>
      </c>
      <c r="D188" s="5" t="inlineStr">
        <is>
          <t>Security / Exception / Recovery</t>
        </is>
      </c>
      <c r="E188" s="5" t="inlineStr">
        <is>
          <t>Manage backups/recovery</t>
        </is>
      </c>
      <c r="F188" s="5" t="inlineStr">
        <is>
          <t>System Administrator</t>
        </is>
      </c>
      <c r="G188" s="5" t="inlineStr">
        <is>
          <t>Business Owner</t>
        </is>
      </c>
      <c r="H188" s="5" t="inlineStr">
        <is>
          <t>Ensure automated daily database backups and test disaster recovery procedures</t>
        </is>
      </c>
      <c r="I188" s="5" t="inlineStr">
        <is>
          <t>Executes encrypted PostgreSQL pg_dump; archives to isolated secondary storage</t>
        </is>
      </c>
      <c r="J188" s="19" t="inlineStr">
        <is>
          <t>P0</t>
        </is>
      </c>
      <c r="K188" s="20" t="inlineStr">
        <is>
          <t>Validated (Supported)</t>
        </is>
      </c>
      <c r="L188" s="5" t="inlineStr">
        <is>
          <t>Supported via automated daily cron / scripts/backup.sh with point-in-time recovery capability.</t>
        </is>
      </c>
      <c r="M188" s="8" t="inlineStr">
        <is>
          <t>Baseline</t>
        </is>
      </c>
      <c r="N188" s="8" t="inlineStr">
        <is>
          <t>Operational role</t>
        </is>
      </c>
      <c r="O188" s="8" t="inlineStr">
        <is>
          <t>P0</t>
        </is>
      </c>
      <c r="P188" s="5" t="inlineStr">
        <is>
          <t>Unchanged</t>
        </is>
      </c>
      <c r="Q188" s="20" t="inlineStr">
        <is>
          <t>Author assertion</t>
        </is>
      </c>
      <c r="R188" s="5" t="inlineStr"/>
      <c r="S188" s="8" t="inlineStr">
        <is>
          <t>OTHER</t>
        </is>
      </c>
      <c r="T188" s="5" t="inlineStr">
        <is>
          <t>Security / Exception / Recovery</t>
        </is>
      </c>
      <c r="U188" s="8" t="inlineStr"/>
      <c r="V188" s="8" t="inlineStr"/>
      <c r="W188" s="8" t="inlineStr">
        <is>
          <t>CONTROL</t>
        </is>
      </c>
      <c r="X188" s="5" t="inlineStr">
        <is>
          <t>Core</t>
        </is>
      </c>
      <c r="Y188" s="5" t="inlineStr">
        <is>
          <t>Admin</t>
        </is>
      </c>
      <c r="Z188" s="5" t="inlineStr">
        <is>
          <t>High</t>
        </is>
      </c>
      <c r="AA188" s="5" t="inlineStr">
        <is>
          <t>Medium</t>
        </is>
      </c>
      <c r="AB188" s="8" t="inlineStr">
        <is>
          <t>Medium</t>
        </is>
      </c>
      <c r="AC188" s="8" t="inlineStr">
        <is>
          <t>MVP</t>
        </is>
      </c>
      <c r="AD188" s="5" t="inlineStr">
        <is>
          <t>Not independently checked</t>
        </is>
      </c>
      <c r="AE188" s="5" t="inlineStr">
        <is>
          <t>Not verified</t>
        </is>
      </c>
      <c r="AF188" s="5" t="inlineStr">
        <is>
          <t>Not verified</t>
        </is>
      </c>
      <c r="AG188" s="5" t="inlineStr">
        <is>
          <t>Not verified</t>
        </is>
      </c>
      <c r="AH188" s="5" t="inlineStr">
        <is>
          <t>Not verified</t>
        </is>
      </c>
      <c r="AI188" s="8" t="inlineStr">
        <is>
          <t>No</t>
        </is>
      </c>
      <c r="AJ188" s="8" t="inlineStr">
        <is>
          <t>Claimed - unverified</t>
        </is>
      </c>
      <c r="AK188" s="8" t="inlineStr">
        <is>
          <t>P0</t>
        </is>
      </c>
      <c r="AL188" s="8" t="n">
        <v>12</v>
      </c>
      <c r="AM188" s="5" t="inlineStr"/>
      <c r="AN188" s="5" t="inlineStr"/>
      <c r="AO188" s="5" t="inlineStr"/>
      <c r="AP188" s="5" t="inlineStr"/>
      <c r="AQ188" s="5" t="inlineStr"/>
      <c r="AR188" s="5" t="inlineStr"/>
      <c r="AS188" s="5" t="inlineStr"/>
      <c r="AT188" s="5" t="inlineStr"/>
      <c r="AU188" s="8" t="inlineStr">
        <is>
          <t>Not run</t>
        </is>
      </c>
    </row>
    <row r="189" ht="32" customHeight="1">
      <c r="A189" s="16" t="inlineStr">
        <is>
          <t>P-0188</t>
        </is>
      </c>
      <c r="B189" s="8" t="inlineStr">
        <is>
          <t>P</t>
        </is>
      </c>
      <c r="C189" s="5" t="inlineStr">
        <is>
          <t>Admin / System Owner</t>
        </is>
      </c>
      <c r="D189" s="5" t="inlineStr">
        <is>
          <t>Security / Exception / Recovery</t>
        </is>
      </c>
      <c r="E189" s="5" t="inlineStr">
        <is>
          <t>Monitor system health</t>
        </is>
      </c>
      <c r="F189" s="5" t="inlineStr">
        <is>
          <t>System Administrator</t>
        </is>
      </c>
      <c r="G189" s="5" t="inlineStr">
        <is>
          <t>None</t>
        </is>
      </c>
      <c r="H189" s="5" t="inlineStr">
        <is>
          <t>Monitor database connection pool, API latency, worker queue status, and disk storage usage</t>
        </is>
      </c>
      <c r="I189" s="5" t="inlineStr">
        <is>
          <t>Surfaces /health/ check endpoint metrics; alerts on memory exhaustion or queue lag</t>
        </is>
      </c>
      <c r="J189" s="20" t="inlineStr">
        <is>
          <t>P1</t>
        </is>
      </c>
      <c r="K189" s="20" t="inlineStr">
        <is>
          <t>Validated (Supported)</t>
        </is>
      </c>
      <c r="L189" s="5" t="inlineStr">
        <is>
          <t>Supported via /health/ endpoint and Prometheus/Grafana health probes.</t>
        </is>
      </c>
      <c r="M189" s="8" t="inlineStr">
        <is>
          <t>Baseline</t>
        </is>
      </c>
      <c r="N189" s="8" t="inlineStr">
        <is>
          <t>Operational role</t>
        </is>
      </c>
      <c r="O189" s="8" t="inlineStr">
        <is>
          <t>P1</t>
        </is>
      </c>
      <c r="P189" s="5" t="inlineStr">
        <is>
          <t>Unchanged</t>
        </is>
      </c>
      <c r="Q189" s="20" t="inlineStr">
        <is>
          <t>Author assertion</t>
        </is>
      </c>
      <c r="R189" s="5" t="inlineStr"/>
      <c r="S189" s="8" t="inlineStr">
        <is>
          <t>OTHER</t>
        </is>
      </c>
      <c r="T189" s="5" t="inlineStr">
        <is>
          <t>Security / Exception / Recovery</t>
        </is>
      </c>
      <c r="U189" s="8" t="inlineStr"/>
      <c r="V189" s="8" t="inlineStr"/>
      <c r="W189" s="8" t="inlineStr">
        <is>
          <t>CONTROL</t>
        </is>
      </c>
      <c r="X189" s="5" t="inlineStr">
        <is>
          <t>Core</t>
        </is>
      </c>
      <c r="Y189" s="5" t="inlineStr">
        <is>
          <t>Admin</t>
        </is>
      </c>
      <c r="Z189" s="5" t="inlineStr">
        <is>
          <t>High</t>
        </is>
      </c>
      <c r="AA189" s="5" t="inlineStr">
        <is>
          <t>Medium</t>
        </is>
      </c>
      <c r="AB189" s="8" t="inlineStr">
        <is>
          <t>Medium</t>
        </is>
      </c>
      <c r="AC189" s="8" t="inlineStr">
        <is>
          <t>Pilot</t>
        </is>
      </c>
      <c r="AD189" s="5" t="inlineStr">
        <is>
          <t>Not independently checked</t>
        </is>
      </c>
      <c r="AE189" s="5" t="inlineStr">
        <is>
          <t>Not verified</t>
        </is>
      </c>
      <c r="AF189" s="5" t="inlineStr">
        <is>
          <t>Not verified</t>
        </is>
      </c>
      <c r="AG189" s="5" t="inlineStr">
        <is>
          <t>Not verified</t>
        </is>
      </c>
      <c r="AH189" s="5" t="inlineStr">
        <is>
          <t>Not verified</t>
        </is>
      </c>
      <c r="AI189" s="8" t="inlineStr">
        <is>
          <t>No</t>
        </is>
      </c>
      <c r="AJ189" s="8" t="inlineStr">
        <is>
          <t>Claimed - unverified</t>
        </is>
      </c>
      <c r="AK189" s="8" t="inlineStr">
        <is>
          <t>P1</t>
        </is>
      </c>
      <c r="AL189" s="8" t="n">
        <v>12</v>
      </c>
      <c r="AM189" s="5" t="inlineStr"/>
      <c r="AN189" s="5" t="inlineStr"/>
      <c r="AO189" s="5" t="inlineStr"/>
      <c r="AP189" s="5" t="inlineStr"/>
      <c r="AQ189" s="5" t="inlineStr"/>
      <c r="AR189" s="5" t="inlineStr"/>
      <c r="AS189" s="5" t="inlineStr"/>
      <c r="AT189" s="5" t="inlineStr"/>
      <c r="AU189" s="8" t="inlineStr">
        <is>
          <t>Not run</t>
        </is>
      </c>
    </row>
    <row r="190" ht="32" customHeight="1">
      <c r="A190" s="16" t="inlineStr">
        <is>
          <t>X-0189</t>
        </is>
      </c>
      <c r="B190" s="8" t="inlineStr">
        <is>
          <t>X</t>
        </is>
      </c>
      <c r="C190" s="5" t="inlineStr">
        <is>
          <t>Multiple / Cross-persona</t>
        </is>
      </c>
      <c r="D190" s="5" t="inlineStr">
        <is>
          <t>Customer-to-Cash</t>
        </is>
      </c>
      <c r="E190" s="5" t="inlineStr">
        <is>
          <t>Customer order → salesperson records order → inventory availability is checked</t>
        </is>
      </c>
      <c r="F190" s="5" t="inlineStr">
        <is>
          <t>Field Salesperson</t>
        </is>
      </c>
      <c r="G190" s="5" t="inlineStr">
        <is>
          <t>Retailer / Godown Keeper</t>
        </is>
      </c>
      <c r="H190" s="5" t="inlineStr">
        <is>
          <t>Salesperson books customer order with real-time stock verification</t>
        </is>
      </c>
      <c r="I190" s="5" t="inlineStr">
        <is>
          <t>Creates SalesOrder in DRAFT status; checks available-to-promise (ATP) stock in real time</t>
        </is>
      </c>
      <c r="J190" s="20" t="inlineStr">
        <is>
          <t>P1</t>
        </is>
      </c>
      <c r="K190" s="20" t="inlineStr">
        <is>
          <t>Validated (Supported)</t>
        </is>
      </c>
      <c r="L190" s="5" t="inlineStr">
        <is>
          <t>Supported via /sales/orders/create with real-time inventory ATP verification.</t>
        </is>
      </c>
      <c r="M190" s="8" t="inlineStr">
        <is>
          <t>Baseline</t>
        </is>
      </c>
      <c r="N190" s="8" t="inlineStr">
        <is>
          <t>Cross-persona</t>
        </is>
      </c>
      <c r="O190" s="8" t="inlineStr">
        <is>
          <t>P1</t>
        </is>
      </c>
      <c r="P190" s="5" t="inlineStr">
        <is>
          <t>Unchanged</t>
        </is>
      </c>
      <c r="Q190" s="20" t="inlineStr">
        <is>
          <t>Author assertion</t>
        </is>
      </c>
      <c r="R190" s="5" t="inlineStr"/>
      <c r="S190" s="8" t="inlineStr">
        <is>
          <t>C2C</t>
        </is>
      </c>
      <c r="T190" s="5" t="inlineStr">
        <is>
          <t>Customer to cash</t>
        </is>
      </c>
      <c r="U190" s="8" t="inlineStr"/>
      <c r="V190" s="8" t="inlineStr">
        <is>
          <t>sales</t>
        </is>
      </c>
      <c r="W190" s="8" t="inlineStr">
        <is>
          <t>RUN</t>
        </is>
      </c>
      <c r="X190" s="5" t="inlineStr">
        <is>
          <t>Core</t>
        </is>
      </c>
      <c r="Y190" s="5" t="inlineStr">
        <is>
          <t>Cross-persona</t>
        </is>
      </c>
      <c r="Z190" s="5" t="inlineStr">
        <is>
          <t>Medium</t>
        </is>
      </c>
      <c r="AA190" s="5" t="inlineStr">
        <is>
          <t>Medium</t>
        </is>
      </c>
      <c r="AB190" s="8" t="inlineStr">
        <is>
          <t>Low</t>
        </is>
      </c>
      <c r="AC190" s="8" t="inlineStr">
        <is>
          <t>Pilot</t>
        </is>
      </c>
      <c r="AD190" s="5" t="inlineStr">
        <is>
          <t>Not independently checked</t>
        </is>
      </c>
      <c r="AE190" s="5" t="inlineStr">
        <is>
          <t>Not verified</t>
        </is>
      </c>
      <c r="AF190" s="5" t="inlineStr">
        <is>
          <t>Not verified</t>
        </is>
      </c>
      <c r="AG190" s="5" t="inlineStr">
        <is>
          <t>Not verified</t>
        </is>
      </c>
      <c r="AH190" s="5" t="inlineStr">
        <is>
          <t>Not verified</t>
        </is>
      </c>
      <c r="AI190" s="8" t="inlineStr">
        <is>
          <t>No</t>
        </is>
      </c>
      <c r="AJ190" s="8" t="inlineStr">
        <is>
          <t>Claimed - unverified</t>
        </is>
      </c>
      <c r="AK190" s="8" t="inlineStr">
        <is>
          <t>P1</t>
        </is>
      </c>
      <c r="AL190" s="8" t="n">
        <v>6</v>
      </c>
      <c r="AM190" s="5" t="inlineStr"/>
      <c r="AN190" s="5" t="inlineStr"/>
      <c r="AO190" s="5" t="inlineStr"/>
      <c r="AP190" s="5" t="inlineStr"/>
      <c r="AQ190" s="5" t="inlineStr"/>
      <c r="AR190" s="5" t="inlineStr"/>
      <c r="AS190" s="5" t="inlineStr"/>
      <c r="AT190" s="5" t="inlineStr"/>
      <c r="AU190" s="8" t="inlineStr">
        <is>
          <t>Not run</t>
        </is>
      </c>
    </row>
    <row r="191" ht="32" customHeight="1">
      <c r="A191" s="16" t="inlineStr">
        <is>
          <t>X-0190</t>
        </is>
      </c>
      <c r="B191" s="8" t="inlineStr">
        <is>
          <t>X</t>
        </is>
      </c>
      <c r="C191" s="5" t="inlineStr">
        <is>
          <t>Multiple / Cross-persona</t>
        </is>
      </c>
      <c r="D191" s="5" t="inlineStr">
        <is>
          <t>Customer-to-Cash</t>
        </is>
      </c>
      <c r="E191" s="5" t="inlineStr">
        <is>
          <t>Customer accepts quotation → quotation converts to sales order</t>
        </is>
      </c>
      <c r="F191" s="5" t="inlineStr">
        <is>
          <t>Salesperson</t>
        </is>
      </c>
      <c r="G191" s="5" t="inlineStr">
        <is>
          <t>Customer</t>
        </is>
      </c>
      <c r="H191" s="5" t="inlineStr">
        <is>
          <t>Approved quotation seamlessly converted to binding sales order without re-entry</t>
        </is>
      </c>
      <c r="I191" s="5" t="inlineStr">
        <is>
          <t>Marks Quotation as ACCEPTED; generates linked SalesOrder copying all line rates and terms</t>
        </is>
      </c>
      <c r="J191" s="20" t="inlineStr">
        <is>
          <t>P1</t>
        </is>
      </c>
      <c r="K191" s="20" t="inlineStr">
        <is>
          <t>Validated (Supported)</t>
        </is>
      </c>
      <c r="L191" s="5" t="inlineStr">
        <is>
          <t>Supported via Quotation 'Convert to Order' action in Quotation detail view.</t>
        </is>
      </c>
      <c r="M191" s="8" t="inlineStr">
        <is>
          <t>Baseline</t>
        </is>
      </c>
      <c r="N191" s="8" t="inlineStr">
        <is>
          <t>Cross-persona</t>
        </is>
      </c>
      <c r="O191" s="8" t="inlineStr">
        <is>
          <t>P1</t>
        </is>
      </c>
      <c r="P191" s="5" t="inlineStr">
        <is>
          <t>Unchanged</t>
        </is>
      </c>
      <c r="Q191" s="20" t="inlineStr">
        <is>
          <t>Author assertion</t>
        </is>
      </c>
      <c r="R191" s="5" t="inlineStr"/>
      <c r="S191" s="8" t="inlineStr">
        <is>
          <t>C2C</t>
        </is>
      </c>
      <c r="T191" s="5" t="inlineStr">
        <is>
          <t>Customer to cash</t>
        </is>
      </c>
      <c r="U191" s="8" t="inlineStr"/>
      <c r="V191" s="8" t="inlineStr">
        <is>
          <t>sales</t>
        </is>
      </c>
      <c r="W191" s="8" t="inlineStr">
        <is>
          <t>RUN</t>
        </is>
      </c>
      <c r="X191" s="5" t="inlineStr">
        <is>
          <t>Core</t>
        </is>
      </c>
      <c r="Y191" s="5" t="inlineStr">
        <is>
          <t>Cross-persona</t>
        </is>
      </c>
      <c r="Z191" s="5" t="inlineStr">
        <is>
          <t>Medium</t>
        </is>
      </c>
      <c r="AA191" s="5" t="inlineStr">
        <is>
          <t>Medium</t>
        </is>
      </c>
      <c r="AB191" s="8" t="inlineStr">
        <is>
          <t>Low</t>
        </is>
      </c>
      <c r="AC191" s="8" t="inlineStr">
        <is>
          <t>Pilot</t>
        </is>
      </c>
      <c r="AD191" s="5" t="inlineStr">
        <is>
          <t>Not independently checked</t>
        </is>
      </c>
      <c r="AE191" s="5" t="inlineStr">
        <is>
          <t>Not verified</t>
        </is>
      </c>
      <c r="AF191" s="5" t="inlineStr">
        <is>
          <t>Not verified</t>
        </is>
      </c>
      <c r="AG191" s="5" t="inlineStr">
        <is>
          <t>Not verified</t>
        </is>
      </c>
      <c r="AH191" s="5" t="inlineStr">
        <is>
          <t>Not verified</t>
        </is>
      </c>
      <c r="AI191" s="8" t="inlineStr">
        <is>
          <t>No</t>
        </is>
      </c>
      <c r="AJ191" s="8" t="inlineStr">
        <is>
          <t>Claimed - unverified</t>
        </is>
      </c>
      <c r="AK191" s="8" t="inlineStr">
        <is>
          <t>P1</t>
        </is>
      </c>
      <c r="AL191" s="8" t="n">
        <v>6</v>
      </c>
      <c r="AM191" s="5" t="inlineStr"/>
      <c r="AN191" s="5" t="inlineStr"/>
      <c r="AO191" s="5" t="inlineStr"/>
      <c r="AP191" s="5" t="inlineStr"/>
      <c r="AQ191" s="5" t="inlineStr"/>
      <c r="AR191" s="5" t="inlineStr"/>
      <c r="AS191" s="5" t="inlineStr"/>
      <c r="AT191" s="5" t="inlineStr"/>
      <c r="AU191" s="8" t="inlineStr">
        <is>
          <t>Not run</t>
        </is>
      </c>
    </row>
    <row r="192" ht="32" customHeight="1">
      <c r="A192" s="16" t="inlineStr">
        <is>
          <t>X-0191</t>
        </is>
      </c>
      <c r="B192" s="8" t="inlineStr">
        <is>
          <t>X</t>
        </is>
      </c>
      <c r="C192" s="5" t="inlineStr">
        <is>
          <t>Multiple / Cross-persona</t>
        </is>
      </c>
      <c r="D192" s="5" t="inlineStr">
        <is>
          <t>Customer-to-Cash</t>
        </is>
      </c>
      <c r="E192" s="5" t="inlineStr">
        <is>
          <t>Sales order → inventory is reserved → available stock is updated</t>
        </is>
      </c>
      <c r="F192" s="5" t="inlineStr">
        <is>
          <t>Commercial Sales Desk</t>
        </is>
      </c>
      <c r="G192" s="5" t="inlineStr">
        <is>
          <t>Warehouse Staff</t>
        </is>
      </c>
      <c r="H192" s="5" t="inlineStr">
        <is>
          <t>Inventory committed to confirmed order, preventing double-selling</t>
        </is>
      </c>
      <c r="I192" s="5" t="inlineStr">
        <is>
          <t>Increments reserved_stock and decrements available_stock on StockBalance model</t>
        </is>
      </c>
      <c r="J192" s="20" t="inlineStr">
        <is>
          <t>P1</t>
        </is>
      </c>
      <c r="K192" s="20" t="inlineStr">
        <is>
          <t>Validated (Supported)</t>
        </is>
      </c>
      <c r="L192" s="5" t="inlineStr">
        <is>
          <t>Core system invariant: order confirmation reserves stock atomically.</t>
        </is>
      </c>
      <c r="M192" s="8" t="inlineStr">
        <is>
          <t>Baseline</t>
        </is>
      </c>
      <c r="N192" s="8" t="inlineStr">
        <is>
          <t>Cross-persona</t>
        </is>
      </c>
      <c r="O192" s="8" t="inlineStr">
        <is>
          <t>P1</t>
        </is>
      </c>
      <c r="P192" s="5" t="inlineStr">
        <is>
          <t>Restored to authored P1. The previous workbook had P0 after a keyword rebalance.</t>
        </is>
      </c>
      <c r="Q192" s="20" t="inlineStr">
        <is>
          <t>Author assertion</t>
        </is>
      </c>
      <c r="R192" s="5" t="inlineStr">
        <is>
          <t>Restored to authored P1. The previous workbook had P0 after a keyword rebalance.</t>
        </is>
      </c>
      <c r="S192" s="8" t="inlineStr">
        <is>
          <t>C2C</t>
        </is>
      </c>
      <c r="T192" s="5" t="inlineStr">
        <is>
          <t>Customer to cash</t>
        </is>
      </c>
      <c r="U192" s="8" t="inlineStr"/>
      <c r="V192" s="8" t="inlineStr">
        <is>
          <t>sales</t>
        </is>
      </c>
      <c r="W192" s="8" t="inlineStr">
        <is>
          <t>RUN</t>
        </is>
      </c>
      <c r="X192" s="5" t="inlineStr">
        <is>
          <t>Core</t>
        </is>
      </c>
      <c r="Y192" s="5" t="inlineStr">
        <is>
          <t>Cross-persona</t>
        </is>
      </c>
      <c r="Z192" s="5" t="inlineStr">
        <is>
          <t>Medium</t>
        </is>
      </c>
      <c r="AA192" s="5" t="inlineStr">
        <is>
          <t>Medium</t>
        </is>
      </c>
      <c r="AB192" s="8" t="inlineStr">
        <is>
          <t>Low</t>
        </is>
      </c>
      <c r="AC192" s="8" t="inlineStr">
        <is>
          <t>Pilot</t>
        </is>
      </c>
      <c r="AD192" s="5" t="inlineStr">
        <is>
          <t>Not independently checked</t>
        </is>
      </c>
      <c r="AE192" s="5" t="inlineStr">
        <is>
          <t>Not verified</t>
        </is>
      </c>
      <c r="AF192" s="5" t="inlineStr">
        <is>
          <t>Not verified</t>
        </is>
      </c>
      <c r="AG192" s="5" t="inlineStr">
        <is>
          <t>Not verified</t>
        </is>
      </c>
      <c r="AH192" s="5" t="inlineStr">
        <is>
          <t>Not verified</t>
        </is>
      </c>
      <c r="AI192" s="8" t="inlineStr">
        <is>
          <t>No</t>
        </is>
      </c>
      <c r="AJ192" s="8" t="inlineStr">
        <is>
          <t>Claimed - unverified</t>
        </is>
      </c>
      <c r="AK192" s="8" t="inlineStr">
        <is>
          <t>P1</t>
        </is>
      </c>
      <c r="AL192" s="8" t="n">
        <v>6</v>
      </c>
      <c r="AM192" s="5" t="inlineStr"/>
      <c r="AN192" s="5" t="inlineStr"/>
      <c r="AO192" s="5" t="inlineStr"/>
      <c r="AP192" s="5" t="inlineStr"/>
      <c r="AQ192" s="5" t="inlineStr"/>
      <c r="AR192" s="5" t="inlineStr"/>
      <c r="AS192" s="5" t="inlineStr"/>
      <c r="AT192" s="5" t="inlineStr"/>
      <c r="AU192" s="8" t="inlineStr">
        <is>
          <t>Not run</t>
        </is>
      </c>
    </row>
    <row r="193" ht="32" customHeight="1">
      <c r="A193" s="16" t="inlineStr">
        <is>
          <t>X-0192</t>
        </is>
      </c>
      <c r="B193" s="8" t="inlineStr">
        <is>
          <t>X</t>
        </is>
      </c>
      <c r="C193" s="5" t="inlineStr">
        <is>
          <t>Multiple / Cross-persona</t>
        </is>
      </c>
      <c r="D193" s="5" t="inlineStr">
        <is>
          <t>Customer-to-Cash</t>
        </is>
      </c>
      <c r="E193" s="5" t="inlineStr">
        <is>
          <t>Sales order → warehouse receives picking request</t>
        </is>
      </c>
      <c r="F193" s="5" t="inlineStr">
        <is>
          <t>Sales Coordinator</t>
        </is>
      </c>
      <c r="G193" s="5" t="inlineStr">
        <is>
          <t>Godown Custodian</t>
        </is>
      </c>
      <c r="H193" s="5" t="inlineStr">
        <is>
          <t>Warehouse notified of confirmed order ready for picking and packing</t>
        </is>
      </c>
      <c r="I193" s="5" t="inlineStr">
        <is>
          <t>Generates warehouse PickList document grouped by godown rack and bin location</t>
        </is>
      </c>
      <c r="J193" s="20" t="inlineStr">
        <is>
          <t>P1</t>
        </is>
      </c>
      <c r="K193" s="20" t="inlineStr">
        <is>
          <t>Validated (Supported)</t>
        </is>
      </c>
      <c r="L193" s="5" t="inlineStr">
        <is>
          <t>Supported via PickList generator in Warehouse module.</t>
        </is>
      </c>
      <c r="M193" s="8" t="inlineStr">
        <is>
          <t>Baseline</t>
        </is>
      </c>
      <c r="N193" s="8" t="inlineStr">
        <is>
          <t>Cross-persona</t>
        </is>
      </c>
      <c r="O193" s="8" t="inlineStr">
        <is>
          <t>P1</t>
        </is>
      </c>
      <c r="P193" s="5" t="inlineStr">
        <is>
          <t>Unchanged</t>
        </is>
      </c>
      <c r="Q193" s="20" t="inlineStr">
        <is>
          <t>Author assertion</t>
        </is>
      </c>
      <c r="R193" s="5" t="inlineStr"/>
      <c r="S193" s="8" t="inlineStr">
        <is>
          <t>C2C</t>
        </is>
      </c>
      <c r="T193" s="5" t="inlineStr">
        <is>
          <t>Customer to cash</t>
        </is>
      </c>
      <c r="U193" s="8" t="inlineStr"/>
      <c r="V193" s="8" t="inlineStr">
        <is>
          <t>sales</t>
        </is>
      </c>
      <c r="W193" s="8" t="inlineStr">
        <is>
          <t>RUN</t>
        </is>
      </c>
      <c r="X193" s="5" t="inlineStr">
        <is>
          <t>Core</t>
        </is>
      </c>
      <c r="Y193" s="5" t="inlineStr">
        <is>
          <t>Cross-persona</t>
        </is>
      </c>
      <c r="Z193" s="5" t="inlineStr">
        <is>
          <t>Medium</t>
        </is>
      </c>
      <c r="AA193" s="5" t="inlineStr">
        <is>
          <t>Medium</t>
        </is>
      </c>
      <c r="AB193" s="8" t="inlineStr">
        <is>
          <t>Low</t>
        </is>
      </c>
      <c r="AC193" s="8" t="inlineStr">
        <is>
          <t>Pilot</t>
        </is>
      </c>
      <c r="AD193" s="5" t="inlineStr">
        <is>
          <t>Not independently checked</t>
        </is>
      </c>
      <c r="AE193" s="5" t="inlineStr">
        <is>
          <t>Not verified</t>
        </is>
      </c>
      <c r="AF193" s="5" t="inlineStr">
        <is>
          <t>Not verified</t>
        </is>
      </c>
      <c r="AG193" s="5" t="inlineStr">
        <is>
          <t>Not verified</t>
        </is>
      </c>
      <c r="AH193" s="5" t="inlineStr">
        <is>
          <t>Not verified</t>
        </is>
      </c>
      <c r="AI193" s="8" t="inlineStr">
        <is>
          <t>No</t>
        </is>
      </c>
      <c r="AJ193" s="8" t="inlineStr">
        <is>
          <t>Claimed - unverified</t>
        </is>
      </c>
      <c r="AK193" s="8" t="inlineStr">
        <is>
          <t>P1</t>
        </is>
      </c>
      <c r="AL193" s="8" t="n">
        <v>6</v>
      </c>
      <c r="AM193" s="5" t="inlineStr"/>
      <c r="AN193" s="5" t="inlineStr"/>
      <c r="AO193" s="5" t="inlineStr"/>
      <c r="AP193" s="5" t="inlineStr"/>
      <c r="AQ193" s="5" t="inlineStr"/>
      <c r="AR193" s="5" t="inlineStr"/>
      <c r="AS193" s="5" t="inlineStr"/>
      <c r="AT193" s="5" t="inlineStr"/>
      <c r="AU193" s="8" t="inlineStr">
        <is>
          <t>Not run</t>
        </is>
      </c>
    </row>
    <row r="194" ht="32" customHeight="1">
      <c r="A194" s="16" t="inlineStr">
        <is>
          <t>X-0193</t>
        </is>
      </c>
      <c r="B194" s="8" t="inlineStr">
        <is>
          <t>X</t>
        </is>
      </c>
      <c r="C194" s="5" t="inlineStr">
        <is>
          <t>Multiple / Cross-persona</t>
        </is>
      </c>
      <c r="D194" s="5" t="inlineStr">
        <is>
          <t>Customer-to-Cash</t>
        </is>
      </c>
      <c r="E194" s="5" t="inlineStr">
        <is>
          <t>Warehouse picks stock → order becomes ready for dispatch</t>
        </is>
      </c>
      <c r="F194" s="5" t="inlineStr">
        <is>
          <t>Godown Custodian</t>
        </is>
      </c>
      <c r="G194" s="5" t="inlineStr">
        <is>
          <t>Logistics Coordinator</t>
        </is>
      </c>
      <c r="H194" s="5" t="inlineStr">
        <is>
          <t>Physical items retrieved from shelves, verified, and staged in dispatch bay</t>
        </is>
      </c>
      <c r="I194" s="5" t="inlineStr">
        <is>
          <t>Updates SalesOrder fulfillment status to READY_FOR_DISPATCH; locks picked batch numbers</t>
        </is>
      </c>
      <c r="J194" s="20" t="inlineStr">
        <is>
          <t>P1</t>
        </is>
      </c>
      <c r="K194" s="20" t="inlineStr">
        <is>
          <t>Validated (Supported)</t>
        </is>
      </c>
      <c r="L194" s="5" t="inlineStr">
        <is>
          <t>Supported via PickList fulfillment confirmation screen.</t>
        </is>
      </c>
      <c r="M194" s="8" t="inlineStr">
        <is>
          <t>Baseline</t>
        </is>
      </c>
      <c r="N194" s="8" t="inlineStr">
        <is>
          <t>Cross-persona</t>
        </is>
      </c>
      <c r="O194" s="8" t="inlineStr">
        <is>
          <t>P1</t>
        </is>
      </c>
      <c r="P194" s="5" t="inlineStr">
        <is>
          <t>Unchanged</t>
        </is>
      </c>
      <c r="Q194" s="20" t="inlineStr">
        <is>
          <t>Author assertion</t>
        </is>
      </c>
      <c r="R194" s="5" t="inlineStr"/>
      <c r="S194" s="8" t="inlineStr">
        <is>
          <t>C2C</t>
        </is>
      </c>
      <c r="T194" s="5" t="inlineStr">
        <is>
          <t>Customer to cash</t>
        </is>
      </c>
      <c r="U194" s="8" t="inlineStr"/>
      <c r="V194" s="8" t="inlineStr">
        <is>
          <t>sales</t>
        </is>
      </c>
      <c r="W194" s="8" t="inlineStr">
        <is>
          <t>RUN</t>
        </is>
      </c>
      <c r="X194" s="5" t="inlineStr">
        <is>
          <t>Core</t>
        </is>
      </c>
      <c r="Y194" s="5" t="inlineStr">
        <is>
          <t>Cross-persona</t>
        </is>
      </c>
      <c r="Z194" s="5" t="inlineStr">
        <is>
          <t>Medium</t>
        </is>
      </c>
      <c r="AA194" s="5" t="inlineStr">
        <is>
          <t>Medium</t>
        </is>
      </c>
      <c r="AB194" s="8" t="inlineStr">
        <is>
          <t>Low</t>
        </is>
      </c>
      <c r="AC194" s="8" t="inlineStr">
        <is>
          <t>Pilot</t>
        </is>
      </c>
      <c r="AD194" s="5" t="inlineStr">
        <is>
          <t>Not independently checked</t>
        </is>
      </c>
      <c r="AE194" s="5" t="inlineStr">
        <is>
          <t>Not verified</t>
        </is>
      </c>
      <c r="AF194" s="5" t="inlineStr">
        <is>
          <t>Not verified</t>
        </is>
      </c>
      <c r="AG194" s="5" t="inlineStr">
        <is>
          <t>Not verified</t>
        </is>
      </c>
      <c r="AH194" s="5" t="inlineStr">
        <is>
          <t>Not verified</t>
        </is>
      </c>
      <c r="AI194" s="8" t="inlineStr">
        <is>
          <t>No</t>
        </is>
      </c>
      <c r="AJ194" s="8" t="inlineStr">
        <is>
          <t>Claimed - unverified</t>
        </is>
      </c>
      <c r="AK194" s="8" t="inlineStr">
        <is>
          <t>P1</t>
        </is>
      </c>
      <c r="AL194" s="8" t="n">
        <v>6</v>
      </c>
      <c r="AM194" s="5" t="inlineStr"/>
      <c r="AN194" s="5" t="inlineStr"/>
      <c r="AO194" s="5" t="inlineStr"/>
      <c r="AP194" s="5" t="inlineStr"/>
      <c r="AQ194" s="5" t="inlineStr"/>
      <c r="AR194" s="5" t="inlineStr"/>
      <c r="AS194" s="5" t="inlineStr"/>
      <c r="AT194" s="5" t="inlineStr"/>
      <c r="AU194" s="8" t="inlineStr">
        <is>
          <t>Not run</t>
        </is>
      </c>
    </row>
    <row r="195" ht="32" customHeight="1">
      <c r="A195" s="16" t="inlineStr">
        <is>
          <t>X-0194</t>
        </is>
      </c>
      <c r="B195" s="8" t="inlineStr">
        <is>
          <t>X</t>
        </is>
      </c>
      <c r="C195" s="5" t="inlineStr">
        <is>
          <t>Multiple / Cross-persona</t>
        </is>
      </c>
      <c r="D195" s="5" t="inlineStr">
        <is>
          <t>Customer-to-Cash</t>
        </is>
      </c>
      <c r="E195" s="5" t="inlineStr">
        <is>
          <t>Order dispatched → delivery status is recorded</t>
        </is>
      </c>
      <c r="F195" s="5" t="inlineStr">
        <is>
          <t>Logistics Dispatcher</t>
        </is>
      </c>
      <c r="G195" s="5" t="inlineStr">
        <is>
          <t>Delivery Driver / Transport Vendor</t>
        </is>
      </c>
      <c r="H195" s="5" t="inlineStr">
        <is>
          <t>Goods leave warehouse premises with formal delivery documentation</t>
        </is>
      </c>
      <c r="I195" s="5" t="inlineStr">
        <is>
          <t>Creates DeliveryChallan; logs vehicle number, driver contact, and dispatch timestamp</t>
        </is>
      </c>
      <c r="J195" s="20" t="inlineStr">
        <is>
          <t>P1</t>
        </is>
      </c>
      <c r="K195" s="20" t="inlineStr">
        <is>
          <t>Validated (Supported)</t>
        </is>
      </c>
      <c r="L195" s="5" t="inlineStr">
        <is>
          <t>Supported via /sales/delivery-challans/ with vehicle and driver logging.</t>
        </is>
      </c>
      <c r="M195" s="8" t="inlineStr">
        <is>
          <t>Baseline</t>
        </is>
      </c>
      <c r="N195" s="8" t="inlineStr">
        <is>
          <t>Cross-persona</t>
        </is>
      </c>
      <c r="O195" s="8" t="inlineStr">
        <is>
          <t>P1</t>
        </is>
      </c>
      <c r="P195" s="5" t="inlineStr">
        <is>
          <t>Unchanged</t>
        </is>
      </c>
      <c r="Q195" s="20" t="inlineStr">
        <is>
          <t>Author assertion</t>
        </is>
      </c>
      <c r="R195" s="5" t="inlineStr"/>
      <c r="S195" s="8" t="inlineStr">
        <is>
          <t>C2C</t>
        </is>
      </c>
      <c r="T195" s="5" t="inlineStr">
        <is>
          <t>Customer to cash</t>
        </is>
      </c>
      <c r="U195" s="8" t="inlineStr"/>
      <c r="V195" s="8" t="inlineStr">
        <is>
          <t>sales</t>
        </is>
      </c>
      <c r="W195" s="8" t="inlineStr">
        <is>
          <t>RUN</t>
        </is>
      </c>
      <c r="X195" s="5" t="inlineStr">
        <is>
          <t>Core</t>
        </is>
      </c>
      <c r="Y195" s="5" t="inlineStr">
        <is>
          <t>Cross-persona</t>
        </is>
      </c>
      <c r="Z195" s="5" t="inlineStr">
        <is>
          <t>Medium</t>
        </is>
      </c>
      <c r="AA195" s="5" t="inlineStr">
        <is>
          <t>Medium</t>
        </is>
      </c>
      <c r="AB195" s="8" t="inlineStr">
        <is>
          <t>Low</t>
        </is>
      </c>
      <c r="AC195" s="8" t="inlineStr">
        <is>
          <t>Pilot</t>
        </is>
      </c>
      <c r="AD195" s="5" t="inlineStr">
        <is>
          <t>Not independently checked</t>
        </is>
      </c>
      <c r="AE195" s="5" t="inlineStr">
        <is>
          <t>Not verified</t>
        </is>
      </c>
      <c r="AF195" s="5" t="inlineStr">
        <is>
          <t>Not verified</t>
        </is>
      </c>
      <c r="AG195" s="5" t="inlineStr">
        <is>
          <t>Not verified</t>
        </is>
      </c>
      <c r="AH195" s="5" t="inlineStr">
        <is>
          <t>Not verified</t>
        </is>
      </c>
      <c r="AI195" s="8" t="inlineStr">
        <is>
          <t>No</t>
        </is>
      </c>
      <c r="AJ195" s="8" t="inlineStr">
        <is>
          <t>Claimed - unverified</t>
        </is>
      </c>
      <c r="AK195" s="8" t="inlineStr">
        <is>
          <t>P1</t>
        </is>
      </c>
      <c r="AL195" s="8" t="n">
        <v>6</v>
      </c>
      <c r="AM195" s="5" t="inlineStr"/>
      <c r="AN195" s="5" t="inlineStr"/>
      <c r="AO195" s="5" t="inlineStr"/>
      <c r="AP195" s="5" t="inlineStr"/>
      <c r="AQ195" s="5" t="inlineStr"/>
      <c r="AR195" s="5" t="inlineStr"/>
      <c r="AS195" s="5" t="inlineStr"/>
      <c r="AT195" s="5" t="inlineStr"/>
      <c r="AU195" s="8" t="inlineStr">
        <is>
          <t>Not run</t>
        </is>
      </c>
    </row>
    <row r="196" ht="32" customHeight="1">
      <c r="A196" s="16" t="inlineStr">
        <is>
          <t>X-0195</t>
        </is>
      </c>
      <c r="B196" s="8" t="inlineStr">
        <is>
          <t>X</t>
        </is>
      </c>
      <c r="C196" s="5" t="inlineStr">
        <is>
          <t>Multiple / Cross-persona</t>
        </is>
      </c>
      <c r="D196" s="5" t="inlineStr">
        <is>
          <t>Customer-to-Cash</t>
        </is>
      </c>
      <c r="E196" s="5" t="inlineStr">
        <is>
          <t>Delivery completed → invoice is generated</t>
        </is>
      </c>
      <c r="F196" s="5" t="inlineStr">
        <is>
          <t>Billing Clerk</t>
        </is>
      </c>
      <c r="G196" s="5" t="inlineStr">
        <is>
          <t>Customer</t>
        </is>
      </c>
      <c r="H196" s="5" t="inlineStr">
        <is>
          <t>Customer receives delivery and final legal tax invoice is issued</t>
        </is>
      </c>
      <c r="I196" s="5" t="inlineStr">
        <is>
          <t>Generates completed SalesInvoice; triggers accounting and statutory tax postings</t>
        </is>
      </c>
      <c r="J196" s="20" t="inlineStr">
        <is>
          <t>P1</t>
        </is>
      </c>
      <c r="K196" s="20" t="inlineStr">
        <is>
          <t>Validated (Supported)</t>
        </is>
      </c>
      <c r="L196" s="5" t="inlineStr">
        <is>
          <t>Supported via Challan-to-Invoice conversion workflow.</t>
        </is>
      </c>
      <c r="M196" s="8" t="inlineStr">
        <is>
          <t>Baseline</t>
        </is>
      </c>
      <c r="N196" s="8" t="inlineStr">
        <is>
          <t>Cross-persona</t>
        </is>
      </c>
      <c r="O196" s="8" t="inlineStr">
        <is>
          <t>P1</t>
        </is>
      </c>
      <c r="P196" s="5" t="inlineStr">
        <is>
          <t>Unchanged</t>
        </is>
      </c>
      <c r="Q196" s="20" t="inlineStr">
        <is>
          <t>Author assertion</t>
        </is>
      </c>
      <c r="R196" s="5" t="inlineStr"/>
      <c r="S196" s="8" t="inlineStr">
        <is>
          <t>C2C</t>
        </is>
      </c>
      <c r="T196" s="5" t="inlineStr">
        <is>
          <t>Customer to cash</t>
        </is>
      </c>
      <c r="U196" s="8" t="inlineStr"/>
      <c r="V196" s="8" t="inlineStr">
        <is>
          <t>sales</t>
        </is>
      </c>
      <c r="W196" s="8" t="inlineStr">
        <is>
          <t>RUN</t>
        </is>
      </c>
      <c r="X196" s="5" t="inlineStr">
        <is>
          <t>Core</t>
        </is>
      </c>
      <c r="Y196" s="5" t="inlineStr">
        <is>
          <t>Cross-persona</t>
        </is>
      </c>
      <c r="Z196" s="5" t="inlineStr">
        <is>
          <t>Medium</t>
        </is>
      </c>
      <c r="AA196" s="5" t="inlineStr">
        <is>
          <t>Medium</t>
        </is>
      </c>
      <c r="AB196" s="8" t="inlineStr">
        <is>
          <t>Low</t>
        </is>
      </c>
      <c r="AC196" s="8" t="inlineStr">
        <is>
          <t>Pilot</t>
        </is>
      </c>
      <c r="AD196" s="5" t="inlineStr">
        <is>
          <t>Not independently checked</t>
        </is>
      </c>
      <c r="AE196" s="5" t="inlineStr">
        <is>
          <t>Not verified</t>
        </is>
      </c>
      <c r="AF196" s="5" t="inlineStr">
        <is>
          <t>Not verified</t>
        </is>
      </c>
      <c r="AG196" s="5" t="inlineStr">
        <is>
          <t>Not verified</t>
        </is>
      </c>
      <c r="AH196" s="5" t="inlineStr">
        <is>
          <t>Not verified</t>
        </is>
      </c>
      <c r="AI196" s="8" t="inlineStr">
        <is>
          <t>No</t>
        </is>
      </c>
      <c r="AJ196" s="8" t="inlineStr">
        <is>
          <t>Claimed - unverified</t>
        </is>
      </c>
      <c r="AK196" s="8" t="inlineStr">
        <is>
          <t>P1</t>
        </is>
      </c>
      <c r="AL196" s="8" t="n">
        <v>6</v>
      </c>
      <c r="AM196" s="5" t="inlineStr"/>
      <c r="AN196" s="5" t="inlineStr"/>
      <c r="AO196" s="5" t="inlineStr"/>
      <c r="AP196" s="5" t="inlineStr"/>
      <c r="AQ196" s="5" t="inlineStr"/>
      <c r="AR196" s="5" t="inlineStr"/>
      <c r="AS196" s="5" t="inlineStr"/>
      <c r="AT196" s="5" t="inlineStr"/>
      <c r="AU196" s="8" t="inlineStr">
        <is>
          <t>Not run</t>
        </is>
      </c>
    </row>
    <row r="197" ht="32" customHeight="1">
      <c r="A197" s="16" t="inlineStr">
        <is>
          <t>X-0196</t>
        </is>
      </c>
      <c r="B197" s="8" t="inlineStr">
        <is>
          <t>X</t>
        </is>
      </c>
      <c r="C197" s="5" t="inlineStr">
        <is>
          <t>Multiple / Cross-persona</t>
        </is>
      </c>
      <c r="D197" s="5" t="inlineStr">
        <is>
          <t>Customer-to-Cash</t>
        </is>
      </c>
      <c r="E197" s="5" t="inlineStr">
        <is>
          <t>Invoice generated → inventory is reduced</t>
        </is>
      </c>
      <c r="F197" s="5" t="inlineStr">
        <is>
          <t>System / Billing Engine</t>
        </is>
      </c>
      <c r="G197" s="5" t="inlineStr">
        <is>
          <t>Godown Custodian</t>
        </is>
      </c>
      <c r="H197" s="5" t="inlineStr">
        <is>
          <t>Inventory on-hand balance decremented permanently upon invoice completion</t>
        </is>
      </c>
      <c r="I197" s="5" t="inlineStr">
        <is>
          <t>Creates append-only StockMovement record with movement_type='OUTWARD_SALE'</t>
        </is>
      </c>
      <c r="J197" s="20" t="inlineStr">
        <is>
          <t>P1</t>
        </is>
      </c>
      <c r="K197" s="20" t="inlineStr">
        <is>
          <t>Validated (Supported)</t>
        </is>
      </c>
      <c r="L197" s="5" t="inlineStr">
        <is>
          <t>Core system invariant: completing sales invoice permanently decrements warehouse inventory.</t>
        </is>
      </c>
      <c r="M197" s="8" t="inlineStr">
        <is>
          <t>Baseline</t>
        </is>
      </c>
      <c r="N197" s="8" t="inlineStr">
        <is>
          <t>Cross-persona</t>
        </is>
      </c>
      <c r="O197" s="8" t="inlineStr">
        <is>
          <t>P1</t>
        </is>
      </c>
      <c r="P197" s="5" t="inlineStr">
        <is>
          <t>Unchanged</t>
        </is>
      </c>
      <c r="Q197" s="20" t="inlineStr">
        <is>
          <t>Author assertion</t>
        </is>
      </c>
      <c r="R197" s="5" t="inlineStr"/>
      <c r="S197" s="8" t="inlineStr">
        <is>
          <t>C2C</t>
        </is>
      </c>
      <c r="T197" s="5" t="inlineStr">
        <is>
          <t>Customer to cash</t>
        </is>
      </c>
      <c r="U197" s="8" t="inlineStr"/>
      <c r="V197" s="8" t="inlineStr">
        <is>
          <t>sales</t>
        </is>
      </c>
      <c r="W197" s="8" t="inlineStr">
        <is>
          <t>RUN</t>
        </is>
      </c>
      <c r="X197" s="5" t="inlineStr">
        <is>
          <t>Core</t>
        </is>
      </c>
      <c r="Y197" s="5" t="inlineStr">
        <is>
          <t>Cross-persona</t>
        </is>
      </c>
      <c r="Z197" s="5" t="inlineStr">
        <is>
          <t>Medium</t>
        </is>
      </c>
      <c r="AA197" s="5" t="inlineStr">
        <is>
          <t>Medium</t>
        </is>
      </c>
      <c r="AB197" s="8" t="inlineStr">
        <is>
          <t>Low</t>
        </is>
      </c>
      <c r="AC197" s="8" t="inlineStr">
        <is>
          <t>Pilot</t>
        </is>
      </c>
      <c r="AD197" s="5" t="inlineStr">
        <is>
          <t>Not independently checked</t>
        </is>
      </c>
      <c r="AE197" s="5" t="inlineStr">
        <is>
          <t>Not verified</t>
        </is>
      </c>
      <c r="AF197" s="5" t="inlineStr">
        <is>
          <t>Not verified</t>
        </is>
      </c>
      <c r="AG197" s="5" t="inlineStr">
        <is>
          <t>Not verified</t>
        </is>
      </c>
      <c r="AH197" s="5" t="inlineStr">
        <is>
          <t>Not verified</t>
        </is>
      </c>
      <c r="AI197" s="8" t="inlineStr">
        <is>
          <t>No</t>
        </is>
      </c>
      <c r="AJ197" s="8" t="inlineStr">
        <is>
          <t>Claimed - unverified</t>
        </is>
      </c>
      <c r="AK197" s="8" t="inlineStr">
        <is>
          <t>P1</t>
        </is>
      </c>
      <c r="AL197" s="8" t="n">
        <v>6</v>
      </c>
      <c r="AM197" s="5" t="inlineStr"/>
      <c r="AN197" s="5" t="inlineStr"/>
      <c r="AO197" s="5" t="inlineStr"/>
      <c r="AP197" s="5" t="inlineStr"/>
      <c r="AQ197" s="5" t="inlineStr"/>
      <c r="AR197" s="5" t="inlineStr"/>
      <c r="AS197" s="5" t="inlineStr"/>
      <c r="AT197" s="5" t="inlineStr"/>
      <c r="AU197" s="8" t="inlineStr">
        <is>
          <t>Not run</t>
        </is>
      </c>
    </row>
    <row r="198" ht="32" customHeight="1">
      <c r="A198" s="16" t="inlineStr">
        <is>
          <t>X-0197</t>
        </is>
      </c>
      <c r="B198" s="8" t="inlineStr">
        <is>
          <t>X</t>
        </is>
      </c>
      <c r="C198" s="5" t="inlineStr">
        <is>
          <t>Multiple / Cross-persona</t>
        </is>
      </c>
      <c r="D198" s="5" t="inlineStr">
        <is>
          <t>Customer-to-Cash</t>
        </is>
      </c>
      <c r="E198" s="5" t="inlineStr">
        <is>
          <t>Invoice generated → customer receivable is created</t>
        </is>
      </c>
      <c r="F198" s="5" t="inlineStr">
        <is>
          <t>System / Ledger Engine</t>
        </is>
      </c>
      <c r="G198" s="5" t="inlineStr">
        <is>
          <t>In-house Accountant</t>
        </is>
      </c>
      <c r="H198" s="5" t="inlineStr">
        <is>
          <t>Trade receivable created in customer ledger for credit tracking</t>
        </is>
      </c>
      <c r="I198" s="5" t="inlineStr">
        <is>
          <t>Debits Customer Accounts Receivable ledger account; credits Sales Revenue account in GL</t>
        </is>
      </c>
      <c r="J198" s="20" t="inlineStr">
        <is>
          <t>P1</t>
        </is>
      </c>
      <c r="K198" s="20" t="inlineStr">
        <is>
          <t>Validated (Supported)</t>
        </is>
      </c>
      <c r="L198" s="5" t="inlineStr">
        <is>
          <t>Core system invariant: SalesService.complete atomically posts double-entry GL voucher.</t>
        </is>
      </c>
      <c r="M198" s="8" t="inlineStr">
        <is>
          <t>Baseline</t>
        </is>
      </c>
      <c r="N198" s="8" t="inlineStr">
        <is>
          <t>Cross-persona</t>
        </is>
      </c>
      <c r="O198" s="8" t="inlineStr">
        <is>
          <t>P1</t>
        </is>
      </c>
      <c r="P198" s="5" t="inlineStr">
        <is>
          <t>Restored to authored P1. The previous workbook had P0 after a keyword rebalance.</t>
        </is>
      </c>
      <c r="Q198" s="21" t="inlineStr">
        <is>
          <t>Code symbol found</t>
        </is>
      </c>
      <c r="R198" s="5" t="inlineStr">
        <is>
          <t>Matched SalesService in product code. This is not a functional test. Restored to authored P1. The previous workbook had P0 after a keyword rebalance.</t>
        </is>
      </c>
      <c r="S198" s="8" t="inlineStr">
        <is>
          <t>C2C</t>
        </is>
      </c>
      <c r="T198" s="5" t="inlineStr">
        <is>
          <t>Customer to cash</t>
        </is>
      </c>
      <c r="U198" s="8" t="inlineStr"/>
      <c r="V198" s="8" t="inlineStr">
        <is>
          <t>sales</t>
        </is>
      </c>
      <c r="W198" s="8" t="inlineStr">
        <is>
          <t>RUN</t>
        </is>
      </c>
      <c r="X198" s="5" t="inlineStr">
        <is>
          <t>Core</t>
        </is>
      </c>
      <c r="Y198" s="5" t="inlineStr">
        <is>
          <t>Cross-persona</t>
        </is>
      </c>
      <c r="Z198" s="5" t="inlineStr">
        <is>
          <t>Medium</t>
        </is>
      </c>
      <c r="AA198" s="5" t="inlineStr">
        <is>
          <t>Medium</t>
        </is>
      </c>
      <c r="AB198" s="8" t="inlineStr">
        <is>
          <t>Low</t>
        </is>
      </c>
      <c r="AC198" s="8" t="inlineStr">
        <is>
          <t>Pilot</t>
        </is>
      </c>
      <c r="AD198" s="5" t="inlineStr">
        <is>
          <t>Cited in code</t>
        </is>
      </c>
      <c r="AE198" s="5" t="inlineStr">
        <is>
          <t>Not verified</t>
        </is>
      </c>
      <c r="AF198" s="5" t="inlineStr">
        <is>
          <t>Not verified</t>
        </is>
      </c>
      <c r="AG198" s="5" t="inlineStr">
        <is>
          <t>Not verified</t>
        </is>
      </c>
      <c r="AH198" s="5" t="inlineStr">
        <is>
          <t>Not verified</t>
        </is>
      </c>
      <c r="AI198" s="8" t="inlineStr">
        <is>
          <t>No</t>
        </is>
      </c>
      <c r="AJ198" s="8" t="inlineStr">
        <is>
          <t>Built - unverified</t>
        </is>
      </c>
      <c r="AK198" s="8" t="inlineStr">
        <is>
          <t>P1</t>
        </is>
      </c>
      <c r="AL198" s="8" t="n">
        <v>6</v>
      </c>
      <c r="AM198" s="5" t="inlineStr"/>
      <c r="AN198" s="5" t="inlineStr"/>
      <c r="AO198" s="5" t="inlineStr"/>
      <c r="AP198" s="5" t="inlineStr"/>
      <c r="AQ198" s="5" t="inlineStr"/>
      <c r="AR198" s="5" t="inlineStr"/>
      <c r="AS198" s="5" t="inlineStr"/>
      <c r="AT198" s="5" t="inlineStr"/>
      <c r="AU198" s="8" t="inlineStr">
        <is>
          <t>Not run</t>
        </is>
      </c>
    </row>
    <row r="199" ht="32" customHeight="1">
      <c r="A199" s="16" t="inlineStr">
        <is>
          <t>X-0198</t>
        </is>
      </c>
      <c r="B199" s="8" t="inlineStr">
        <is>
          <t>X</t>
        </is>
      </c>
      <c r="C199" s="5" t="inlineStr">
        <is>
          <t>Multiple / Cross-persona</t>
        </is>
      </c>
      <c r="D199" s="5" t="inlineStr">
        <is>
          <t>Customer-to-Cash</t>
        </is>
      </c>
      <c r="E199" s="5" t="inlineStr">
        <is>
          <t>Invoice generated → GST liability is calculated</t>
        </is>
      </c>
      <c r="F199" s="5" t="inlineStr">
        <is>
          <t>Tax Calculation Engine</t>
        </is>
      </c>
      <c r="G199" s="5" t="inlineStr">
        <is>
          <t>Accountant / External CA</t>
        </is>
      </c>
      <c r="H199" s="5" t="inlineStr">
        <is>
          <t>Statutory output tax calculated and recorded for government GST compliance</t>
        </is>
      </c>
      <c r="I199" s="5" t="inlineStr">
        <is>
          <t>Evaluates Place of Supply; posts CGST/SGST or IGST liability to GST output ledgers</t>
        </is>
      </c>
      <c r="J199" s="20" t="inlineStr">
        <is>
          <t>P1</t>
        </is>
      </c>
      <c r="K199" s="20" t="inlineStr">
        <is>
          <t>Validated (Supported)</t>
        </is>
      </c>
      <c r="L199" s="5" t="inlineStr">
        <is>
          <t>Supported via TaxEngine; populates GSTR-1 outward tax liability register.</t>
        </is>
      </c>
      <c r="M199" s="8" t="inlineStr">
        <is>
          <t>Baseline</t>
        </is>
      </c>
      <c r="N199" s="8" t="inlineStr">
        <is>
          <t>Cross-persona</t>
        </is>
      </c>
      <c r="O199" s="8" t="inlineStr">
        <is>
          <t>P1</t>
        </is>
      </c>
      <c r="P199" s="5" t="inlineStr">
        <is>
          <t>Unchanged</t>
        </is>
      </c>
      <c r="Q199" s="21" t="inlineStr">
        <is>
          <t>Code symbol found</t>
        </is>
      </c>
      <c r="R199" s="5" t="inlineStr">
        <is>
          <t>Matched TaxEngine in product code. This is not a functional test.</t>
        </is>
      </c>
      <c r="S199" s="8" t="inlineStr">
        <is>
          <t>C2C</t>
        </is>
      </c>
      <c r="T199" s="5" t="inlineStr">
        <is>
          <t>Customer to cash</t>
        </is>
      </c>
      <c r="U199" s="8" t="inlineStr"/>
      <c r="V199" s="8" t="inlineStr">
        <is>
          <t>sales</t>
        </is>
      </c>
      <c r="W199" s="8" t="inlineStr">
        <is>
          <t>RUN</t>
        </is>
      </c>
      <c r="X199" s="5" t="inlineStr">
        <is>
          <t>Core</t>
        </is>
      </c>
      <c r="Y199" s="5" t="inlineStr">
        <is>
          <t>Cross-persona</t>
        </is>
      </c>
      <c r="Z199" s="5" t="inlineStr">
        <is>
          <t>Medium</t>
        </is>
      </c>
      <c r="AA199" s="5" t="inlineStr">
        <is>
          <t>Medium</t>
        </is>
      </c>
      <c r="AB199" s="8" t="inlineStr">
        <is>
          <t>Low</t>
        </is>
      </c>
      <c r="AC199" s="8" t="inlineStr">
        <is>
          <t>Pilot</t>
        </is>
      </c>
      <c r="AD199" s="5" t="inlineStr">
        <is>
          <t>Cited in code</t>
        </is>
      </c>
      <c r="AE199" s="5" t="inlineStr">
        <is>
          <t>Not verified</t>
        </is>
      </c>
      <c r="AF199" s="5" t="inlineStr">
        <is>
          <t>Not verified</t>
        </is>
      </c>
      <c r="AG199" s="5" t="inlineStr">
        <is>
          <t>Not verified</t>
        </is>
      </c>
      <c r="AH199" s="5" t="inlineStr">
        <is>
          <t>Not verified</t>
        </is>
      </c>
      <c r="AI199" s="8" t="inlineStr">
        <is>
          <t>No</t>
        </is>
      </c>
      <c r="AJ199" s="8" t="inlineStr">
        <is>
          <t>Built - unverified</t>
        </is>
      </c>
      <c r="AK199" s="8" t="inlineStr">
        <is>
          <t>P1</t>
        </is>
      </c>
      <c r="AL199" s="8" t="n">
        <v>6</v>
      </c>
      <c r="AM199" s="5" t="inlineStr"/>
      <c r="AN199" s="5" t="inlineStr"/>
      <c r="AO199" s="5" t="inlineStr"/>
      <c r="AP199" s="5" t="inlineStr"/>
      <c r="AQ199" s="5" t="inlineStr"/>
      <c r="AR199" s="5" t="inlineStr"/>
      <c r="AS199" s="5" t="inlineStr"/>
      <c r="AT199" s="5" t="inlineStr"/>
      <c r="AU199" s="8" t="inlineStr">
        <is>
          <t>Not run</t>
        </is>
      </c>
    </row>
    <row r="200" ht="32" customHeight="1">
      <c r="A200" s="16" t="inlineStr">
        <is>
          <t>X-0199</t>
        </is>
      </c>
      <c r="B200" s="8" t="inlineStr">
        <is>
          <t>X</t>
        </is>
      </c>
      <c r="C200" s="5" t="inlineStr">
        <is>
          <t>Multiple / Cross-persona</t>
        </is>
      </c>
      <c r="D200" s="5" t="inlineStr">
        <is>
          <t>Customer-to-Cash</t>
        </is>
      </c>
      <c r="E200" s="5" t="inlineStr">
        <is>
          <t>Customer pays → payment is recorded</t>
        </is>
      </c>
      <c r="F200" s="5" t="inlineStr">
        <is>
          <t>Cashier / Payment Gateway</t>
        </is>
      </c>
      <c r="G200" s="5" t="inlineStr">
        <is>
          <t>Customer</t>
        </is>
      </c>
      <c r="H200" s="5" t="inlineStr">
        <is>
          <t>Customer settlement recorded via cash, UPI, bank transfer, or payment gateway</t>
        </is>
      </c>
      <c r="I200" s="5" t="inlineStr">
        <is>
          <t>Creates Payment record; links transaction reference, payment mode, and timestamp</t>
        </is>
      </c>
      <c r="J200" s="20" t="inlineStr">
        <is>
          <t>P1</t>
        </is>
      </c>
      <c r="K200" s="20" t="inlineStr">
        <is>
          <t>Validated (Supported)</t>
        </is>
      </c>
      <c r="L200" s="5" t="inlineStr">
        <is>
          <t>Supported via /payments/create with instant receipt generation.</t>
        </is>
      </c>
      <c r="M200" s="8" t="inlineStr">
        <is>
          <t>Baseline</t>
        </is>
      </c>
      <c r="N200" s="8" t="inlineStr">
        <is>
          <t>Cross-persona</t>
        </is>
      </c>
      <c r="O200" s="8" t="inlineStr">
        <is>
          <t>P1</t>
        </is>
      </c>
      <c r="P200" s="5" t="inlineStr">
        <is>
          <t>Unchanged</t>
        </is>
      </c>
      <c r="Q200" s="20" t="inlineStr">
        <is>
          <t>Author assertion</t>
        </is>
      </c>
      <c r="R200" s="5" t="inlineStr"/>
      <c r="S200" s="8" t="inlineStr">
        <is>
          <t>C2C</t>
        </is>
      </c>
      <c r="T200" s="5" t="inlineStr">
        <is>
          <t>Customer to cash</t>
        </is>
      </c>
      <c r="U200" s="8" t="inlineStr"/>
      <c r="V200" s="8" t="inlineStr">
        <is>
          <t>sales</t>
        </is>
      </c>
      <c r="W200" s="8" t="inlineStr">
        <is>
          <t>RUN</t>
        </is>
      </c>
      <c r="X200" s="5" t="inlineStr">
        <is>
          <t>Core</t>
        </is>
      </c>
      <c r="Y200" s="5" t="inlineStr">
        <is>
          <t>Cross-persona</t>
        </is>
      </c>
      <c r="Z200" s="5" t="inlineStr">
        <is>
          <t>Medium</t>
        </is>
      </c>
      <c r="AA200" s="5" t="inlineStr">
        <is>
          <t>Medium</t>
        </is>
      </c>
      <c r="AB200" s="8" t="inlineStr">
        <is>
          <t>Low</t>
        </is>
      </c>
      <c r="AC200" s="8" t="inlineStr">
        <is>
          <t>Pilot</t>
        </is>
      </c>
      <c r="AD200" s="5" t="inlineStr">
        <is>
          <t>Not independently checked</t>
        </is>
      </c>
      <c r="AE200" s="5" t="inlineStr">
        <is>
          <t>Not verified</t>
        </is>
      </c>
      <c r="AF200" s="5" t="inlineStr">
        <is>
          <t>Not verified</t>
        </is>
      </c>
      <c r="AG200" s="5" t="inlineStr">
        <is>
          <t>Not verified</t>
        </is>
      </c>
      <c r="AH200" s="5" t="inlineStr">
        <is>
          <t>Not verified</t>
        </is>
      </c>
      <c r="AI200" s="8" t="inlineStr">
        <is>
          <t>No</t>
        </is>
      </c>
      <c r="AJ200" s="8" t="inlineStr">
        <is>
          <t>Claimed - unverified</t>
        </is>
      </c>
      <c r="AK200" s="8" t="inlineStr">
        <is>
          <t>P1</t>
        </is>
      </c>
      <c r="AL200" s="8" t="n">
        <v>6</v>
      </c>
      <c r="AM200" s="5" t="inlineStr"/>
      <c r="AN200" s="5" t="inlineStr"/>
      <c r="AO200" s="5" t="inlineStr"/>
      <c r="AP200" s="5" t="inlineStr"/>
      <c r="AQ200" s="5" t="inlineStr"/>
      <c r="AR200" s="5" t="inlineStr"/>
      <c r="AS200" s="5" t="inlineStr"/>
      <c r="AT200" s="5" t="inlineStr"/>
      <c r="AU200" s="8" t="inlineStr">
        <is>
          <t>Not run</t>
        </is>
      </c>
    </row>
    <row r="201" ht="32" customHeight="1">
      <c r="A201" s="16" t="inlineStr">
        <is>
          <t>X-0200</t>
        </is>
      </c>
      <c r="B201" s="8" t="inlineStr">
        <is>
          <t>X</t>
        </is>
      </c>
      <c r="C201" s="5" t="inlineStr">
        <is>
          <t>Multiple / Cross-persona</t>
        </is>
      </c>
      <c r="D201" s="5" t="inlineStr">
        <is>
          <t>Customer-to-Cash</t>
        </is>
      </c>
      <c r="E201" s="5" t="inlineStr">
        <is>
          <t>Payment recorded → customer outstanding decreases</t>
        </is>
      </c>
      <c r="F201" s="5" t="inlineStr">
        <is>
          <t>System / Ledger Engine</t>
        </is>
      </c>
      <c r="G201" s="5" t="inlineStr">
        <is>
          <t>Credit Controller</t>
        </is>
      </c>
      <c r="H201" s="5" t="inlineStr">
        <is>
          <t>Customer khata/credit balance reduced immediately upon payment receipt</t>
        </is>
      </c>
      <c r="I201" s="5" t="inlineStr">
        <is>
          <t>Credits Customer AR ledger; debits Cash/Bank ledger; updates customer credit availability</t>
        </is>
      </c>
      <c r="J201" s="20" t="inlineStr">
        <is>
          <t>P1</t>
        </is>
      </c>
      <c r="K201" s="20" t="inlineStr">
        <is>
          <t>Validated (Supported)</t>
        </is>
      </c>
      <c r="L201" s="5" t="inlineStr">
        <is>
          <t>Core system invariant: derived ledger balance updates instantaneously on payment post.</t>
        </is>
      </c>
      <c r="M201" s="8" t="inlineStr">
        <is>
          <t>Baseline</t>
        </is>
      </c>
      <c r="N201" s="8" t="inlineStr">
        <is>
          <t>Cross-persona</t>
        </is>
      </c>
      <c r="O201" s="8" t="inlineStr">
        <is>
          <t>P1</t>
        </is>
      </c>
      <c r="P201" s="5" t="inlineStr">
        <is>
          <t>Unchanged</t>
        </is>
      </c>
      <c r="Q201" s="20" t="inlineStr">
        <is>
          <t>Author assertion</t>
        </is>
      </c>
      <c r="R201" s="5" t="inlineStr"/>
      <c r="S201" s="8" t="inlineStr">
        <is>
          <t>C2C</t>
        </is>
      </c>
      <c r="T201" s="5" t="inlineStr">
        <is>
          <t>Customer to cash</t>
        </is>
      </c>
      <c r="U201" s="8" t="inlineStr"/>
      <c r="V201" s="8" t="inlineStr">
        <is>
          <t>sales</t>
        </is>
      </c>
      <c r="W201" s="8" t="inlineStr">
        <is>
          <t>RUN</t>
        </is>
      </c>
      <c r="X201" s="5" t="inlineStr">
        <is>
          <t>Core</t>
        </is>
      </c>
      <c r="Y201" s="5" t="inlineStr">
        <is>
          <t>Cross-persona</t>
        </is>
      </c>
      <c r="Z201" s="5" t="inlineStr">
        <is>
          <t>Medium</t>
        </is>
      </c>
      <c r="AA201" s="5" t="inlineStr">
        <is>
          <t>Medium</t>
        </is>
      </c>
      <c r="AB201" s="8" t="inlineStr">
        <is>
          <t>Low</t>
        </is>
      </c>
      <c r="AC201" s="8" t="inlineStr">
        <is>
          <t>Pilot</t>
        </is>
      </c>
      <c r="AD201" s="5" t="inlineStr">
        <is>
          <t>Not independently checked</t>
        </is>
      </c>
      <c r="AE201" s="5" t="inlineStr">
        <is>
          <t>Not verified</t>
        </is>
      </c>
      <c r="AF201" s="5" t="inlineStr">
        <is>
          <t>Not verified</t>
        </is>
      </c>
      <c r="AG201" s="5" t="inlineStr">
        <is>
          <t>Not verified</t>
        </is>
      </c>
      <c r="AH201" s="5" t="inlineStr">
        <is>
          <t>Not verified</t>
        </is>
      </c>
      <c r="AI201" s="8" t="inlineStr">
        <is>
          <t>No</t>
        </is>
      </c>
      <c r="AJ201" s="8" t="inlineStr">
        <is>
          <t>Claimed - unverified</t>
        </is>
      </c>
      <c r="AK201" s="8" t="inlineStr">
        <is>
          <t>P1</t>
        </is>
      </c>
      <c r="AL201" s="8" t="n">
        <v>6</v>
      </c>
      <c r="AM201" s="5" t="inlineStr"/>
      <c r="AN201" s="5" t="inlineStr"/>
      <c r="AO201" s="5" t="inlineStr"/>
      <c r="AP201" s="5" t="inlineStr"/>
      <c r="AQ201" s="5" t="inlineStr"/>
      <c r="AR201" s="5" t="inlineStr"/>
      <c r="AS201" s="5" t="inlineStr"/>
      <c r="AT201" s="5" t="inlineStr"/>
      <c r="AU201" s="8" t="inlineStr">
        <is>
          <t>Not run</t>
        </is>
      </c>
    </row>
    <row r="202" ht="32" customHeight="1">
      <c r="A202" s="16" t="inlineStr">
        <is>
          <t>X-0201</t>
        </is>
      </c>
      <c r="B202" s="8" t="inlineStr">
        <is>
          <t>X</t>
        </is>
      </c>
      <c r="C202" s="5" t="inlineStr">
        <is>
          <t>Multiple / Cross-persona</t>
        </is>
      </c>
      <c r="D202" s="5" t="inlineStr">
        <is>
          <t>Customer-to-Cash</t>
        </is>
      </c>
      <c r="E202" s="5" t="inlineStr">
        <is>
          <t>Partial payment → remaining outstanding is maintained</t>
        </is>
      </c>
      <c r="F202" s="5" t="inlineStr">
        <is>
          <t>Accounts Cashier</t>
        </is>
      </c>
      <c r="G202" s="5" t="inlineStr">
        <is>
          <t>Customer</t>
        </is>
      </c>
      <c r="H202" s="5" t="inlineStr">
        <is>
          <t>Accurate tracking of partial settlements against open invoices</t>
        </is>
      </c>
      <c r="I202" s="5" t="inlineStr">
        <is>
          <t>Applies partial payment amount to invoice; updates invoice status to PARTIALLY_PAID</t>
        </is>
      </c>
      <c r="J202" s="20" t="inlineStr">
        <is>
          <t>P1</t>
        </is>
      </c>
      <c r="K202" s="20" t="inlineStr">
        <is>
          <t>Validated (Supported)</t>
        </is>
      </c>
      <c r="L202" s="5" t="inlineStr">
        <is>
          <t>Supported via PaymentAllocation model tracking exact remaining balance per invoice.</t>
        </is>
      </c>
      <c r="M202" s="8" t="inlineStr">
        <is>
          <t>Baseline</t>
        </is>
      </c>
      <c r="N202" s="8" t="inlineStr">
        <is>
          <t>Cross-persona</t>
        </is>
      </c>
      <c r="O202" s="8" t="inlineStr">
        <is>
          <t>P1</t>
        </is>
      </c>
      <c r="P202" s="5" t="inlineStr">
        <is>
          <t>Unchanged</t>
        </is>
      </c>
      <c r="Q202" s="21" t="inlineStr">
        <is>
          <t>Code symbol found</t>
        </is>
      </c>
      <c r="R202" s="5" t="inlineStr">
        <is>
          <t>Matched PaymentAllocation in product code. This is not a functional test.</t>
        </is>
      </c>
      <c r="S202" s="8" t="inlineStr">
        <is>
          <t>C2C</t>
        </is>
      </c>
      <c r="T202" s="5" t="inlineStr">
        <is>
          <t>Customer to cash</t>
        </is>
      </c>
      <c r="U202" s="8" t="inlineStr"/>
      <c r="V202" s="8" t="inlineStr">
        <is>
          <t>sales</t>
        </is>
      </c>
      <c r="W202" s="8" t="inlineStr">
        <is>
          <t>RUN</t>
        </is>
      </c>
      <c r="X202" s="5" t="inlineStr">
        <is>
          <t>Core</t>
        </is>
      </c>
      <c r="Y202" s="5" t="inlineStr">
        <is>
          <t>Cross-persona</t>
        </is>
      </c>
      <c r="Z202" s="5" t="inlineStr">
        <is>
          <t>Medium</t>
        </is>
      </c>
      <c r="AA202" s="5" t="inlineStr">
        <is>
          <t>Medium</t>
        </is>
      </c>
      <c r="AB202" s="8" t="inlineStr">
        <is>
          <t>Low</t>
        </is>
      </c>
      <c r="AC202" s="8" t="inlineStr">
        <is>
          <t>Pilot</t>
        </is>
      </c>
      <c r="AD202" s="5" t="inlineStr">
        <is>
          <t>Cited in code</t>
        </is>
      </c>
      <c r="AE202" s="5" t="inlineStr">
        <is>
          <t>Not verified</t>
        </is>
      </c>
      <c r="AF202" s="5" t="inlineStr">
        <is>
          <t>Not verified</t>
        </is>
      </c>
      <c r="AG202" s="5" t="inlineStr">
        <is>
          <t>Not verified</t>
        </is>
      </c>
      <c r="AH202" s="5" t="inlineStr">
        <is>
          <t>Not verified</t>
        </is>
      </c>
      <c r="AI202" s="8" t="inlineStr">
        <is>
          <t>No</t>
        </is>
      </c>
      <c r="AJ202" s="8" t="inlineStr">
        <is>
          <t>Built - unverified</t>
        </is>
      </c>
      <c r="AK202" s="8" t="inlineStr">
        <is>
          <t>P1</t>
        </is>
      </c>
      <c r="AL202" s="8" t="n">
        <v>6</v>
      </c>
      <c r="AM202" s="5" t="inlineStr"/>
      <c r="AN202" s="5" t="inlineStr"/>
      <c r="AO202" s="5" t="inlineStr"/>
      <c r="AP202" s="5" t="inlineStr"/>
      <c r="AQ202" s="5" t="inlineStr"/>
      <c r="AR202" s="5" t="inlineStr"/>
      <c r="AS202" s="5" t="inlineStr"/>
      <c r="AT202" s="5" t="inlineStr"/>
      <c r="AU202" s="8" t="inlineStr">
        <is>
          <t>Not run</t>
        </is>
      </c>
    </row>
    <row r="203" ht="32" customHeight="1">
      <c r="A203" s="16" t="inlineStr">
        <is>
          <t>X-0202</t>
        </is>
      </c>
      <c r="B203" s="8" t="inlineStr">
        <is>
          <t>X</t>
        </is>
      </c>
      <c r="C203" s="5" t="inlineStr">
        <is>
          <t>Multiple / Cross-persona</t>
        </is>
      </c>
      <c r="D203" s="5" t="inlineStr">
        <is>
          <t>Customer-to-Cash</t>
        </is>
      </c>
      <c r="E203" s="5" t="inlineStr">
        <is>
          <t>Customer exceeds credit limit → sale/order is flagged or blocked</t>
        </is>
      </c>
      <c r="F203" s="5" t="inlineStr">
        <is>
          <t>Credit Controller</t>
        </is>
      </c>
      <c r="G203" s="5" t="inlineStr">
        <is>
          <t>Billing Clerk / Salesperson</t>
        </is>
      </c>
      <c r="H203" s="5" t="inlineStr">
        <is>
          <t>Prevent excessive credit exposure by blocking sales to over-limit customers</t>
        </is>
      </c>
      <c r="I203" s="5" t="inlineStr">
        <is>
          <t>Validates current customer balance + cart total against credit_limit; blocks checkout</t>
        </is>
      </c>
      <c r="J203" s="19" t="inlineStr">
        <is>
          <t>P0</t>
        </is>
      </c>
      <c r="K203" s="20" t="inlineStr">
        <is>
          <t>Validated (Supported)</t>
        </is>
      </c>
      <c r="L203" s="5" t="inlineStr">
        <is>
          <t>Core business invariant: hard validation guard; requires Owner override token to bypass.</t>
        </is>
      </c>
      <c r="M203" s="8" t="inlineStr">
        <is>
          <t>Baseline</t>
        </is>
      </c>
      <c r="N203" s="8" t="inlineStr">
        <is>
          <t>Cross-persona</t>
        </is>
      </c>
      <c r="O203" s="8" t="inlineStr">
        <is>
          <t>P0</t>
        </is>
      </c>
      <c r="P203" s="5" t="inlineStr">
        <is>
          <t>Unchanged</t>
        </is>
      </c>
      <c r="Q203" s="20" t="inlineStr">
        <is>
          <t>Author assertion</t>
        </is>
      </c>
      <c r="R203" s="5" t="inlineStr"/>
      <c r="S203" s="8" t="inlineStr">
        <is>
          <t>C2C</t>
        </is>
      </c>
      <c r="T203" s="5" t="inlineStr">
        <is>
          <t>Customer to cash</t>
        </is>
      </c>
      <c r="U203" s="8" t="inlineStr"/>
      <c r="V203" s="8" t="inlineStr">
        <is>
          <t>sales</t>
        </is>
      </c>
      <c r="W203" s="8" t="inlineStr">
        <is>
          <t>RUN</t>
        </is>
      </c>
      <c r="X203" s="5" t="inlineStr">
        <is>
          <t>Core</t>
        </is>
      </c>
      <c r="Y203" s="5" t="inlineStr">
        <is>
          <t>Cross-persona</t>
        </is>
      </c>
      <c r="Z203" s="5" t="inlineStr">
        <is>
          <t>Medium</t>
        </is>
      </c>
      <c r="AA203" s="5" t="inlineStr">
        <is>
          <t>Medium</t>
        </is>
      </c>
      <c r="AB203" s="8" t="inlineStr">
        <is>
          <t>Low</t>
        </is>
      </c>
      <c r="AC203" s="8" t="inlineStr">
        <is>
          <t>MVP</t>
        </is>
      </c>
      <c r="AD203" s="5" t="inlineStr">
        <is>
          <t>Not independently checked</t>
        </is>
      </c>
      <c r="AE203" s="5" t="inlineStr">
        <is>
          <t>Not verified</t>
        </is>
      </c>
      <c r="AF203" s="5" t="inlineStr">
        <is>
          <t>Not verified</t>
        </is>
      </c>
      <c r="AG203" s="5" t="inlineStr">
        <is>
          <t>Not verified</t>
        </is>
      </c>
      <c r="AH203" s="5" t="inlineStr">
        <is>
          <t>Not verified</t>
        </is>
      </c>
      <c r="AI203" s="8" t="inlineStr">
        <is>
          <t>No</t>
        </is>
      </c>
      <c r="AJ203" s="8" t="inlineStr">
        <is>
          <t>Claimed - unverified</t>
        </is>
      </c>
      <c r="AK203" s="8" t="inlineStr">
        <is>
          <t>P0</t>
        </is>
      </c>
      <c r="AL203" s="8" t="n">
        <v>6</v>
      </c>
      <c r="AM203" s="5" t="inlineStr"/>
      <c r="AN203" s="5" t="inlineStr"/>
      <c r="AO203" s="5" t="inlineStr"/>
      <c r="AP203" s="5" t="inlineStr"/>
      <c r="AQ203" s="5" t="inlineStr"/>
      <c r="AR203" s="5" t="inlineStr"/>
      <c r="AS203" s="5" t="inlineStr"/>
      <c r="AT203" s="5" t="inlineStr"/>
      <c r="AU203" s="8" t="inlineStr">
        <is>
          <t>Not run</t>
        </is>
      </c>
    </row>
    <row r="204" ht="32" customHeight="1">
      <c r="A204" s="16" t="inlineStr">
        <is>
          <t>X-0203</t>
        </is>
      </c>
      <c r="B204" s="8" t="inlineStr">
        <is>
          <t>X</t>
        </is>
      </c>
      <c r="C204" s="5" t="inlineStr">
        <is>
          <t>Multiple / Cross-persona</t>
        </is>
      </c>
      <c r="D204" s="5" t="inlineStr">
        <is>
          <t>Customer-to-Cash</t>
        </is>
      </c>
      <c r="E204" s="5" t="inlineStr">
        <is>
          <t>Invoice becomes overdue → receivable ageing changes</t>
        </is>
      </c>
      <c r="F204" s="5" t="inlineStr">
        <is>
          <t>System / Aging Engine</t>
        </is>
      </c>
      <c r="G204" s="5" t="inlineStr">
        <is>
          <t>Credit Controller</t>
        </is>
      </c>
      <c r="H204" s="5" t="inlineStr">
        <is>
          <t>Unpaid invoices automatically advance into aging overdue brackets (30, 60, 90+ days)</t>
        </is>
      </c>
      <c r="I204" s="5" t="inlineStr">
        <is>
          <t>Recalculates aging bucket based on invoice due_date; updates receivables aging report</t>
        </is>
      </c>
      <c r="J204" s="20" t="inlineStr">
        <is>
          <t>P1</t>
        </is>
      </c>
      <c r="K204" s="20" t="inlineStr">
        <is>
          <t>Validated (Supported)</t>
        </is>
      </c>
      <c r="L204" s="5" t="inlineStr">
        <is>
          <t>Supported via automated daily aging recalculation in reporting module.</t>
        </is>
      </c>
      <c r="M204" s="8" t="inlineStr">
        <is>
          <t>Baseline</t>
        </is>
      </c>
      <c r="N204" s="8" t="inlineStr">
        <is>
          <t>Cross-persona</t>
        </is>
      </c>
      <c r="O204" s="8" t="inlineStr">
        <is>
          <t>P1</t>
        </is>
      </c>
      <c r="P204" s="5" t="inlineStr">
        <is>
          <t>Unchanged</t>
        </is>
      </c>
      <c r="Q204" s="20" t="inlineStr">
        <is>
          <t>Author assertion</t>
        </is>
      </c>
      <c r="R204" s="5" t="inlineStr"/>
      <c r="S204" s="8" t="inlineStr">
        <is>
          <t>C2C</t>
        </is>
      </c>
      <c r="T204" s="5" t="inlineStr">
        <is>
          <t>Customer to cash</t>
        </is>
      </c>
      <c r="U204" s="8" t="inlineStr"/>
      <c r="V204" s="8" t="inlineStr">
        <is>
          <t>sales</t>
        </is>
      </c>
      <c r="W204" s="8" t="inlineStr">
        <is>
          <t>RUN</t>
        </is>
      </c>
      <c r="X204" s="5" t="inlineStr">
        <is>
          <t>Core</t>
        </is>
      </c>
      <c r="Y204" s="5" t="inlineStr">
        <is>
          <t>Cross-persona</t>
        </is>
      </c>
      <c r="Z204" s="5" t="inlineStr">
        <is>
          <t>Medium</t>
        </is>
      </c>
      <c r="AA204" s="5" t="inlineStr">
        <is>
          <t>Medium</t>
        </is>
      </c>
      <c r="AB204" s="8" t="inlineStr">
        <is>
          <t>Low</t>
        </is>
      </c>
      <c r="AC204" s="8" t="inlineStr">
        <is>
          <t>Pilot</t>
        </is>
      </c>
      <c r="AD204" s="5" t="inlineStr">
        <is>
          <t>Not independently checked</t>
        </is>
      </c>
      <c r="AE204" s="5" t="inlineStr">
        <is>
          <t>Not verified</t>
        </is>
      </c>
      <c r="AF204" s="5" t="inlineStr">
        <is>
          <t>Not verified</t>
        </is>
      </c>
      <c r="AG204" s="5" t="inlineStr">
        <is>
          <t>Not verified</t>
        </is>
      </c>
      <c r="AH204" s="5" t="inlineStr">
        <is>
          <t>Not verified</t>
        </is>
      </c>
      <c r="AI204" s="8" t="inlineStr">
        <is>
          <t>No</t>
        </is>
      </c>
      <c r="AJ204" s="8" t="inlineStr">
        <is>
          <t>Claimed - unverified</t>
        </is>
      </c>
      <c r="AK204" s="8" t="inlineStr">
        <is>
          <t>P1</t>
        </is>
      </c>
      <c r="AL204" s="8" t="n">
        <v>6</v>
      </c>
      <c r="AM204" s="5" t="inlineStr"/>
      <c r="AN204" s="5" t="inlineStr"/>
      <c r="AO204" s="5" t="inlineStr"/>
      <c r="AP204" s="5" t="inlineStr"/>
      <c r="AQ204" s="5" t="inlineStr"/>
      <c r="AR204" s="5" t="inlineStr"/>
      <c r="AS204" s="5" t="inlineStr"/>
      <c r="AT204" s="5" t="inlineStr"/>
      <c r="AU204" s="8" t="inlineStr">
        <is>
          <t>Not run</t>
        </is>
      </c>
    </row>
    <row r="205" ht="32" customHeight="1">
      <c r="A205" s="16" t="inlineStr">
        <is>
          <t>X-0204</t>
        </is>
      </c>
      <c r="B205" s="8" t="inlineStr">
        <is>
          <t>X</t>
        </is>
      </c>
      <c r="C205" s="5" t="inlineStr">
        <is>
          <t>Multiple / Cross-persona</t>
        </is>
      </c>
      <c r="D205" s="5" t="inlineStr">
        <is>
          <t>Customer-to-Cash</t>
        </is>
      </c>
      <c r="E205" s="5" t="inlineStr">
        <is>
          <t>Overdue invoice → owner receives business alert</t>
        </is>
      </c>
      <c r="F205" s="5" t="inlineStr">
        <is>
          <t>Alert Notification Engine</t>
        </is>
      </c>
      <c r="G205" s="5" t="inlineStr">
        <is>
          <t>Business Owner</t>
        </is>
      </c>
      <c r="H205" s="5" t="inlineStr">
        <is>
          <t>Proactive alert to business owner when key customer breaches overdue payment threshold</t>
        </is>
      </c>
      <c r="I205" s="5" t="inlineStr">
        <is>
          <t>Creates BusinessAlertEvent record; pushes high-priority notification to owner dashboard</t>
        </is>
      </c>
      <c r="J205" s="20" t="inlineStr">
        <is>
          <t>P1</t>
        </is>
      </c>
      <c r="K205" s="20" t="inlineStr">
        <is>
          <t>Validated (Supported)</t>
        </is>
      </c>
      <c r="L205" s="5" t="inlineStr">
        <is>
          <t>Supported via Insights alert engine (/insights/alerts/).</t>
        </is>
      </c>
      <c r="M205" s="8" t="inlineStr">
        <is>
          <t>Baseline</t>
        </is>
      </c>
      <c r="N205" s="8" t="inlineStr">
        <is>
          <t>Cross-persona</t>
        </is>
      </c>
      <c r="O205" s="8" t="inlineStr">
        <is>
          <t>P1</t>
        </is>
      </c>
      <c r="P205" s="5" t="inlineStr">
        <is>
          <t>Unchanged</t>
        </is>
      </c>
      <c r="Q205" s="20" t="inlineStr">
        <is>
          <t>Author assertion</t>
        </is>
      </c>
      <c r="R205" s="5" t="inlineStr"/>
      <c r="S205" s="8" t="inlineStr">
        <is>
          <t>C2C</t>
        </is>
      </c>
      <c r="T205" s="5" t="inlineStr">
        <is>
          <t>Customer to cash</t>
        </is>
      </c>
      <c r="U205" s="8" t="inlineStr"/>
      <c r="V205" s="8" t="inlineStr">
        <is>
          <t>sales</t>
        </is>
      </c>
      <c r="W205" s="8" t="inlineStr">
        <is>
          <t>RUN</t>
        </is>
      </c>
      <c r="X205" s="5" t="inlineStr">
        <is>
          <t>Core</t>
        </is>
      </c>
      <c r="Y205" s="5" t="inlineStr">
        <is>
          <t>Cross-persona</t>
        </is>
      </c>
      <c r="Z205" s="5" t="inlineStr">
        <is>
          <t>Medium</t>
        </is>
      </c>
      <c r="AA205" s="5" t="inlineStr">
        <is>
          <t>Medium</t>
        </is>
      </c>
      <c r="AB205" s="8" t="inlineStr">
        <is>
          <t>Low</t>
        </is>
      </c>
      <c r="AC205" s="8" t="inlineStr">
        <is>
          <t>Pilot</t>
        </is>
      </c>
      <c r="AD205" s="5" t="inlineStr">
        <is>
          <t>Not independently checked</t>
        </is>
      </c>
      <c r="AE205" s="5" t="inlineStr">
        <is>
          <t>Not verified</t>
        </is>
      </c>
      <c r="AF205" s="5" t="inlineStr">
        <is>
          <t>Not verified</t>
        </is>
      </c>
      <c r="AG205" s="5" t="inlineStr">
        <is>
          <t>Not verified</t>
        </is>
      </c>
      <c r="AH205" s="5" t="inlineStr">
        <is>
          <t>Not verified</t>
        </is>
      </c>
      <c r="AI205" s="8" t="inlineStr">
        <is>
          <t>No</t>
        </is>
      </c>
      <c r="AJ205" s="8" t="inlineStr">
        <is>
          <t>Claimed - unverified</t>
        </is>
      </c>
      <c r="AK205" s="8" t="inlineStr">
        <is>
          <t>P1</t>
        </is>
      </c>
      <c r="AL205" s="8" t="n">
        <v>6</v>
      </c>
      <c r="AM205" s="5" t="inlineStr"/>
      <c r="AN205" s="5" t="inlineStr"/>
      <c r="AO205" s="5" t="inlineStr"/>
      <c r="AP205" s="5" t="inlineStr"/>
      <c r="AQ205" s="5" t="inlineStr"/>
      <c r="AR205" s="5" t="inlineStr"/>
      <c r="AS205" s="5" t="inlineStr"/>
      <c r="AT205" s="5" t="inlineStr"/>
      <c r="AU205" s="8" t="inlineStr">
        <is>
          <t>Not run</t>
        </is>
      </c>
    </row>
    <row r="206" ht="32" customHeight="1">
      <c r="A206" s="16" t="inlineStr">
        <is>
          <t>X-0205</t>
        </is>
      </c>
      <c r="B206" s="8" t="inlineStr">
        <is>
          <t>X</t>
        </is>
      </c>
      <c r="C206" s="5" t="inlineStr">
        <is>
          <t>Multiple / Cross-persona</t>
        </is>
      </c>
      <c r="D206" s="5" t="inlineStr">
        <is>
          <t>Customer-to-Cash</t>
        </is>
      </c>
      <c r="E206" s="5" t="inlineStr">
        <is>
          <t>Customer requests return → return request is recorded</t>
        </is>
      </c>
      <c r="F206" s="5" t="inlineStr">
        <is>
          <t>Customer Service / Salesperson</t>
        </is>
      </c>
      <c r="G206" s="5" t="inlineStr">
        <is>
          <t>Customer</t>
        </is>
      </c>
      <c r="H206" s="5" t="inlineStr">
        <is>
          <t>Formal recording of customer return request referencing original invoice</t>
        </is>
      </c>
      <c r="I206" s="5" t="inlineStr">
        <is>
          <t>Creates SalesReturn in DRAFT status; records return reason, item quantities, and batch numbers</t>
        </is>
      </c>
      <c r="J206" s="20" t="inlineStr">
        <is>
          <t>P1</t>
        </is>
      </c>
      <c r="K206" s="20" t="inlineStr">
        <is>
          <t>Validated (Supported)</t>
        </is>
      </c>
      <c r="L206" s="5" t="inlineStr">
        <is>
          <t>Supported via /sales/returns/create with invoice item selector.</t>
        </is>
      </c>
      <c r="M206" s="8" t="inlineStr">
        <is>
          <t>Baseline</t>
        </is>
      </c>
      <c r="N206" s="8" t="inlineStr">
        <is>
          <t>Cross-persona</t>
        </is>
      </c>
      <c r="O206" s="8" t="inlineStr">
        <is>
          <t>P1</t>
        </is>
      </c>
      <c r="P206" s="5" t="inlineStr">
        <is>
          <t>Unchanged</t>
        </is>
      </c>
      <c r="Q206" s="20" t="inlineStr">
        <is>
          <t>Author assertion</t>
        </is>
      </c>
      <c r="R206" s="5" t="inlineStr"/>
      <c r="S206" s="8" t="inlineStr">
        <is>
          <t>C2C</t>
        </is>
      </c>
      <c r="T206" s="5" t="inlineStr">
        <is>
          <t>Customer to cash</t>
        </is>
      </c>
      <c r="U206" s="8" t="inlineStr"/>
      <c r="V206" s="8" t="inlineStr">
        <is>
          <t>sales</t>
        </is>
      </c>
      <c r="W206" s="8" t="inlineStr">
        <is>
          <t>RUN</t>
        </is>
      </c>
      <c r="X206" s="5" t="inlineStr">
        <is>
          <t>Core</t>
        </is>
      </c>
      <c r="Y206" s="5" t="inlineStr">
        <is>
          <t>Cross-persona</t>
        </is>
      </c>
      <c r="Z206" s="5" t="inlineStr">
        <is>
          <t>Medium</t>
        </is>
      </c>
      <c r="AA206" s="5" t="inlineStr">
        <is>
          <t>Medium</t>
        </is>
      </c>
      <c r="AB206" s="8" t="inlineStr">
        <is>
          <t>Low</t>
        </is>
      </c>
      <c r="AC206" s="8" t="inlineStr">
        <is>
          <t>Pilot</t>
        </is>
      </c>
      <c r="AD206" s="5" t="inlineStr">
        <is>
          <t>Not independently checked</t>
        </is>
      </c>
      <c r="AE206" s="5" t="inlineStr">
        <is>
          <t>Not verified</t>
        </is>
      </c>
      <c r="AF206" s="5" t="inlineStr">
        <is>
          <t>Not verified</t>
        </is>
      </c>
      <c r="AG206" s="5" t="inlineStr">
        <is>
          <t>Not verified</t>
        </is>
      </c>
      <c r="AH206" s="5" t="inlineStr">
        <is>
          <t>Not verified</t>
        </is>
      </c>
      <c r="AI206" s="8" t="inlineStr">
        <is>
          <t>No</t>
        </is>
      </c>
      <c r="AJ206" s="8" t="inlineStr">
        <is>
          <t>Claimed - unverified</t>
        </is>
      </c>
      <c r="AK206" s="8" t="inlineStr">
        <is>
          <t>P1</t>
        </is>
      </c>
      <c r="AL206" s="8" t="n">
        <v>6</v>
      </c>
      <c r="AM206" s="5" t="inlineStr"/>
      <c r="AN206" s="5" t="inlineStr"/>
      <c r="AO206" s="5" t="inlineStr"/>
      <c r="AP206" s="5" t="inlineStr"/>
      <c r="AQ206" s="5" t="inlineStr"/>
      <c r="AR206" s="5" t="inlineStr"/>
      <c r="AS206" s="5" t="inlineStr"/>
      <c r="AT206" s="5" t="inlineStr"/>
      <c r="AU206" s="8" t="inlineStr">
        <is>
          <t>Not run</t>
        </is>
      </c>
    </row>
    <row r="207" ht="32" customHeight="1">
      <c r="A207" s="16" t="inlineStr">
        <is>
          <t>X-0206</t>
        </is>
      </c>
      <c r="B207" s="8" t="inlineStr">
        <is>
          <t>X</t>
        </is>
      </c>
      <c r="C207" s="5" t="inlineStr">
        <is>
          <t>Multiple / Cross-persona</t>
        </is>
      </c>
      <c r="D207" s="5" t="inlineStr">
        <is>
          <t>Customer-to-Cash</t>
        </is>
      </c>
      <c r="E207" s="5" t="inlineStr">
        <is>
          <t>Return approved → inventory is restored where applicable</t>
        </is>
      </c>
      <c r="F207" s="5" t="inlineStr">
        <is>
          <t>Warehouse Manager</t>
        </is>
      </c>
      <c r="G207" s="5" t="inlineStr">
        <is>
          <t>Godown Custodian</t>
        </is>
      </c>
      <c r="H207" s="5" t="inlineStr">
        <is>
          <t>Restoration of undamaged returned goods back into active saleable inventory</t>
        </is>
      </c>
      <c r="I207" s="5" t="inlineStr">
        <is>
          <t>Creates StockMovement (RETURN_INWARD) for sellable items; damaged items routed to scrap bin</t>
        </is>
      </c>
      <c r="J207" s="20" t="inlineStr">
        <is>
          <t>P1</t>
        </is>
      </c>
      <c r="K207" s="20" t="inlineStr">
        <is>
          <t>Validated (Supported)</t>
        </is>
      </c>
      <c r="L207" s="5" t="inlineStr">
        <is>
          <t>Supported via SalesReturn approval; restores inventory atomically.</t>
        </is>
      </c>
      <c r="M207" s="8" t="inlineStr">
        <is>
          <t>Baseline</t>
        </is>
      </c>
      <c r="N207" s="8" t="inlineStr">
        <is>
          <t>Cross-persona</t>
        </is>
      </c>
      <c r="O207" s="8" t="inlineStr">
        <is>
          <t>P1</t>
        </is>
      </c>
      <c r="P207" s="5" t="inlineStr">
        <is>
          <t>Restored to authored P1. The previous workbook had P0 after a keyword rebalance.</t>
        </is>
      </c>
      <c r="Q207" s="21" t="inlineStr">
        <is>
          <t>Code symbol found</t>
        </is>
      </c>
      <c r="R207" s="5" t="inlineStr">
        <is>
          <t>Matched SalesReturn in product code. This is not a functional test. Restored to authored P1. The previous workbook had P0 after a keyword rebalance.</t>
        </is>
      </c>
      <c r="S207" s="8" t="inlineStr">
        <is>
          <t>C2C</t>
        </is>
      </c>
      <c r="T207" s="5" t="inlineStr">
        <is>
          <t>Customer to cash</t>
        </is>
      </c>
      <c r="U207" s="8" t="inlineStr"/>
      <c r="V207" s="8" t="inlineStr">
        <is>
          <t>sales</t>
        </is>
      </c>
      <c r="W207" s="8" t="inlineStr">
        <is>
          <t>RUN</t>
        </is>
      </c>
      <c r="X207" s="5" t="inlineStr">
        <is>
          <t>Core</t>
        </is>
      </c>
      <c r="Y207" s="5" t="inlineStr">
        <is>
          <t>Cross-persona</t>
        </is>
      </c>
      <c r="Z207" s="5" t="inlineStr">
        <is>
          <t>Medium</t>
        </is>
      </c>
      <c r="AA207" s="5" t="inlineStr">
        <is>
          <t>Medium</t>
        </is>
      </c>
      <c r="AB207" s="8" t="inlineStr">
        <is>
          <t>Low</t>
        </is>
      </c>
      <c r="AC207" s="8" t="inlineStr">
        <is>
          <t>Pilot</t>
        </is>
      </c>
      <c r="AD207" s="5" t="inlineStr">
        <is>
          <t>Cited in code</t>
        </is>
      </c>
      <c r="AE207" s="5" t="inlineStr">
        <is>
          <t>Not verified</t>
        </is>
      </c>
      <c r="AF207" s="5" t="inlineStr">
        <is>
          <t>Not verified</t>
        </is>
      </c>
      <c r="AG207" s="5" t="inlineStr">
        <is>
          <t>Not verified</t>
        </is>
      </c>
      <c r="AH207" s="5" t="inlineStr">
        <is>
          <t>Not verified</t>
        </is>
      </c>
      <c r="AI207" s="8" t="inlineStr">
        <is>
          <t>No</t>
        </is>
      </c>
      <c r="AJ207" s="8" t="inlineStr">
        <is>
          <t>Built - unverified</t>
        </is>
      </c>
      <c r="AK207" s="8" t="inlineStr">
        <is>
          <t>P1</t>
        </is>
      </c>
      <c r="AL207" s="8" t="n">
        <v>6</v>
      </c>
      <c r="AM207" s="5" t="inlineStr"/>
      <c r="AN207" s="5" t="inlineStr"/>
      <c r="AO207" s="5" t="inlineStr"/>
      <c r="AP207" s="5" t="inlineStr"/>
      <c r="AQ207" s="5" t="inlineStr"/>
      <c r="AR207" s="5" t="inlineStr"/>
      <c r="AS207" s="5" t="inlineStr"/>
      <c r="AT207" s="5" t="inlineStr"/>
      <c r="AU207" s="8" t="inlineStr">
        <is>
          <t>Not run</t>
        </is>
      </c>
    </row>
    <row r="208" ht="32" customHeight="1">
      <c r="A208" s="16" t="inlineStr">
        <is>
          <t>X-0207</t>
        </is>
      </c>
      <c r="B208" s="8" t="inlineStr">
        <is>
          <t>X</t>
        </is>
      </c>
      <c r="C208" s="5" t="inlineStr">
        <is>
          <t>Multiple / Cross-persona</t>
        </is>
      </c>
      <c r="D208" s="5" t="inlineStr">
        <is>
          <t>Customer-to-Cash</t>
        </is>
      </c>
      <c r="E208" s="5" t="inlineStr">
        <is>
          <t>Return approved → customer credit/refund is created</t>
        </is>
      </c>
      <c r="F208" s="5" t="inlineStr">
        <is>
          <t>In-house Accountant</t>
        </is>
      </c>
      <c r="G208" s="5" t="inlineStr">
        <is>
          <t>Customer</t>
        </is>
      </c>
      <c r="H208" s="5" t="inlineStr">
        <is>
          <t>Issuance of GST-compliant Credit Note or monetary refund settling return value</t>
        </is>
      </c>
      <c r="I208" s="5" t="inlineStr">
        <is>
          <t>Generates SalesCreditNote; credits customer AR account or issues cash/bank refund voucher</t>
        </is>
      </c>
      <c r="J208" s="20" t="inlineStr">
        <is>
          <t>P1</t>
        </is>
      </c>
      <c r="K208" s="20" t="inlineStr">
        <is>
          <t>Validated (Supported)</t>
        </is>
      </c>
      <c r="L208" s="5" t="inlineStr">
        <is>
          <t>Supported via SalesReturn complete action; auto-generates SalesCreditNote.</t>
        </is>
      </c>
      <c r="M208" s="8" t="inlineStr">
        <is>
          <t>Baseline</t>
        </is>
      </c>
      <c r="N208" s="8" t="inlineStr">
        <is>
          <t>Cross-persona</t>
        </is>
      </c>
      <c r="O208" s="8" t="inlineStr">
        <is>
          <t>P1</t>
        </is>
      </c>
      <c r="P208" s="5" t="inlineStr">
        <is>
          <t>Unchanged</t>
        </is>
      </c>
      <c r="Q208" s="21" t="inlineStr">
        <is>
          <t>Code symbol found</t>
        </is>
      </c>
      <c r="R208" s="5" t="inlineStr">
        <is>
          <t>Matched SalesCreditNote in product code. This is not a functional test.</t>
        </is>
      </c>
      <c r="S208" s="8" t="inlineStr">
        <is>
          <t>C2C</t>
        </is>
      </c>
      <c r="T208" s="5" t="inlineStr">
        <is>
          <t>Customer to cash</t>
        </is>
      </c>
      <c r="U208" s="8" t="inlineStr"/>
      <c r="V208" s="8" t="inlineStr">
        <is>
          <t>sales</t>
        </is>
      </c>
      <c r="W208" s="8" t="inlineStr">
        <is>
          <t>RUN</t>
        </is>
      </c>
      <c r="X208" s="5" t="inlineStr">
        <is>
          <t>Core</t>
        </is>
      </c>
      <c r="Y208" s="5" t="inlineStr">
        <is>
          <t>Cross-persona</t>
        </is>
      </c>
      <c r="Z208" s="5" t="inlineStr">
        <is>
          <t>Medium</t>
        </is>
      </c>
      <c r="AA208" s="5" t="inlineStr">
        <is>
          <t>Medium</t>
        </is>
      </c>
      <c r="AB208" s="8" t="inlineStr">
        <is>
          <t>Low</t>
        </is>
      </c>
      <c r="AC208" s="8" t="inlineStr">
        <is>
          <t>Pilot</t>
        </is>
      </c>
      <c r="AD208" s="5" t="inlineStr">
        <is>
          <t>Cited in code</t>
        </is>
      </c>
      <c r="AE208" s="5" t="inlineStr">
        <is>
          <t>Not verified</t>
        </is>
      </c>
      <c r="AF208" s="5" t="inlineStr">
        <is>
          <t>Not verified</t>
        </is>
      </c>
      <c r="AG208" s="5" t="inlineStr">
        <is>
          <t>Not verified</t>
        </is>
      </c>
      <c r="AH208" s="5" t="inlineStr">
        <is>
          <t>Not verified</t>
        </is>
      </c>
      <c r="AI208" s="8" t="inlineStr">
        <is>
          <t>No</t>
        </is>
      </c>
      <c r="AJ208" s="8" t="inlineStr">
        <is>
          <t>Built - unverified</t>
        </is>
      </c>
      <c r="AK208" s="8" t="inlineStr">
        <is>
          <t>P1</t>
        </is>
      </c>
      <c r="AL208" s="8" t="n">
        <v>6</v>
      </c>
      <c r="AM208" s="5" t="inlineStr"/>
      <c r="AN208" s="5" t="inlineStr"/>
      <c r="AO208" s="5" t="inlineStr"/>
      <c r="AP208" s="5" t="inlineStr"/>
      <c r="AQ208" s="5" t="inlineStr"/>
      <c r="AR208" s="5" t="inlineStr"/>
      <c r="AS208" s="5" t="inlineStr"/>
      <c r="AT208" s="5" t="inlineStr"/>
      <c r="AU208" s="8" t="inlineStr">
        <is>
          <t>Not run</t>
        </is>
      </c>
    </row>
    <row r="209" ht="32" customHeight="1">
      <c r="A209" s="16" t="inlineStr">
        <is>
          <t>X-0208</t>
        </is>
      </c>
      <c r="B209" s="8" t="inlineStr">
        <is>
          <t>X</t>
        </is>
      </c>
      <c r="C209" s="5" t="inlineStr">
        <is>
          <t>Multiple / Cross-persona</t>
        </is>
      </c>
      <c r="D209" s="5" t="inlineStr">
        <is>
          <t>Customer-to-Cash</t>
        </is>
      </c>
      <c r="E209" s="5" t="inlineStr">
        <is>
          <t>Sales return → GST impact is recalculated</t>
        </is>
      </c>
      <c r="F209" s="5" t="inlineStr">
        <is>
          <t>Tax Engine</t>
        </is>
      </c>
      <c r="G209" s="5" t="inlineStr">
        <is>
          <t>Accountant / External CA</t>
        </is>
      </c>
      <c r="H209" s="5" t="inlineStr">
        <is>
          <t>Output GST tax liability reduced legally upon issuance of credit note</t>
        </is>
      </c>
      <c r="I209" s="5" t="inlineStr">
        <is>
          <t>Reduces output tax liability ledger; records negative tax entry in GSTR-1 Table 9B</t>
        </is>
      </c>
      <c r="J209" s="20" t="inlineStr">
        <is>
          <t>P1</t>
        </is>
      </c>
      <c r="K209" s="20" t="inlineStr">
        <is>
          <t>Validated (Supported)</t>
        </is>
      </c>
      <c r="L209" s="5" t="inlineStr">
        <is>
          <t>Supported via Section 34 CGST Act compliant Credit Note tax adjustments.</t>
        </is>
      </c>
      <c r="M209" s="8" t="inlineStr">
        <is>
          <t>Baseline</t>
        </is>
      </c>
      <c r="N209" s="8" t="inlineStr">
        <is>
          <t>Cross-persona</t>
        </is>
      </c>
      <c r="O209" s="8" t="inlineStr">
        <is>
          <t>P1</t>
        </is>
      </c>
      <c r="P209" s="5" t="inlineStr">
        <is>
          <t>Restored to authored P1. The previous workbook had P0 after a keyword rebalance.</t>
        </is>
      </c>
      <c r="Q209" s="20" t="inlineStr">
        <is>
          <t>Author assertion</t>
        </is>
      </c>
      <c r="R209" s="5" t="inlineStr">
        <is>
          <t>Restored to authored P1. The previous workbook had P0 after a keyword rebalance.</t>
        </is>
      </c>
      <c r="S209" s="8" t="inlineStr">
        <is>
          <t>C2C</t>
        </is>
      </c>
      <c r="T209" s="5" t="inlineStr">
        <is>
          <t>Customer to cash</t>
        </is>
      </c>
      <c r="U209" s="8" t="inlineStr"/>
      <c r="V209" s="8" t="inlineStr">
        <is>
          <t>sales</t>
        </is>
      </c>
      <c r="W209" s="8" t="inlineStr">
        <is>
          <t>RUN</t>
        </is>
      </c>
      <c r="X209" s="5" t="inlineStr">
        <is>
          <t>Core</t>
        </is>
      </c>
      <c r="Y209" s="5" t="inlineStr">
        <is>
          <t>Cross-persona</t>
        </is>
      </c>
      <c r="Z209" s="5" t="inlineStr">
        <is>
          <t>Medium</t>
        </is>
      </c>
      <c r="AA209" s="5" t="inlineStr">
        <is>
          <t>Medium</t>
        </is>
      </c>
      <c r="AB209" s="8" t="inlineStr">
        <is>
          <t>Low</t>
        </is>
      </c>
      <c r="AC209" s="8" t="inlineStr">
        <is>
          <t>Pilot</t>
        </is>
      </c>
      <c r="AD209" s="5" t="inlineStr">
        <is>
          <t>Not independently checked</t>
        </is>
      </c>
      <c r="AE209" s="5" t="inlineStr">
        <is>
          <t>Not verified</t>
        </is>
      </c>
      <c r="AF209" s="5" t="inlineStr">
        <is>
          <t>Not verified</t>
        </is>
      </c>
      <c r="AG209" s="5" t="inlineStr">
        <is>
          <t>Not verified</t>
        </is>
      </c>
      <c r="AH209" s="5" t="inlineStr">
        <is>
          <t>Not verified</t>
        </is>
      </c>
      <c r="AI209" s="8" t="inlineStr">
        <is>
          <t>No</t>
        </is>
      </c>
      <c r="AJ209" s="8" t="inlineStr">
        <is>
          <t>Claimed - unverified</t>
        </is>
      </c>
      <c r="AK209" s="8" t="inlineStr">
        <is>
          <t>P1</t>
        </is>
      </c>
      <c r="AL209" s="8" t="n">
        <v>6</v>
      </c>
      <c r="AM209" s="5" t="inlineStr"/>
      <c r="AN209" s="5" t="inlineStr"/>
      <c r="AO209" s="5" t="inlineStr"/>
      <c r="AP209" s="5" t="inlineStr"/>
      <c r="AQ209" s="5" t="inlineStr"/>
      <c r="AR209" s="5" t="inlineStr"/>
      <c r="AS209" s="5" t="inlineStr"/>
      <c r="AT209" s="5" t="inlineStr"/>
      <c r="AU209" s="8" t="inlineStr">
        <is>
          <t>Not run</t>
        </is>
      </c>
    </row>
    <row r="210" ht="32" customHeight="1">
      <c r="A210" s="16" t="inlineStr">
        <is>
          <t>X-0209</t>
        </is>
      </c>
      <c r="B210" s="8" t="inlineStr">
        <is>
          <t>X</t>
        </is>
      </c>
      <c r="C210" s="5" t="inlineStr">
        <is>
          <t>Multiple / Cross-persona</t>
        </is>
      </c>
      <c r="D210" s="5" t="inlineStr">
        <is>
          <t>Customer-to-Cash</t>
        </is>
      </c>
      <c r="E210" s="5" t="inlineStr">
        <is>
          <t>Refund processed → customer balance is updated</t>
        </is>
      </c>
      <c r="F210" s="5" t="inlineStr">
        <is>
          <t>Cashier / Accountant</t>
        </is>
      </c>
      <c r="G210" s="5" t="inlineStr">
        <is>
          <t>Customer</t>
        </is>
      </c>
      <c r="H210" s="5" t="inlineStr">
        <is>
          <t>Payment of cash or bank refund reflected accurately in customer account</t>
        </is>
      </c>
      <c r="I210" s="5" t="inlineStr">
        <is>
          <t>Credits Cash/Bank account, debits Customer Ledger; closes out credit note balance</t>
        </is>
      </c>
      <c r="J210" s="20" t="inlineStr">
        <is>
          <t>P1</t>
        </is>
      </c>
      <c r="K210" s="20" t="inlineStr">
        <is>
          <t>Validated (Supported)</t>
        </is>
      </c>
      <c r="L210" s="5" t="inlineStr">
        <is>
          <t>Supported via Refund payment workflow linked to Credit Note.</t>
        </is>
      </c>
      <c r="M210" s="8" t="inlineStr">
        <is>
          <t>Baseline</t>
        </is>
      </c>
      <c r="N210" s="8" t="inlineStr">
        <is>
          <t>Cross-persona</t>
        </is>
      </c>
      <c r="O210" s="8" t="inlineStr">
        <is>
          <t>P1</t>
        </is>
      </c>
      <c r="P210" s="5" t="inlineStr">
        <is>
          <t>Unchanged</t>
        </is>
      </c>
      <c r="Q210" s="20" t="inlineStr">
        <is>
          <t>Author assertion</t>
        </is>
      </c>
      <c r="R210" s="5" t="inlineStr"/>
      <c r="S210" s="8" t="inlineStr">
        <is>
          <t>C2C</t>
        </is>
      </c>
      <c r="T210" s="5" t="inlineStr">
        <is>
          <t>Customer to cash</t>
        </is>
      </c>
      <c r="U210" s="8" t="inlineStr"/>
      <c r="V210" s="8" t="inlineStr">
        <is>
          <t>sales</t>
        </is>
      </c>
      <c r="W210" s="8" t="inlineStr">
        <is>
          <t>RUN</t>
        </is>
      </c>
      <c r="X210" s="5" t="inlineStr">
        <is>
          <t>Core</t>
        </is>
      </c>
      <c r="Y210" s="5" t="inlineStr">
        <is>
          <t>Cross-persona</t>
        </is>
      </c>
      <c r="Z210" s="5" t="inlineStr">
        <is>
          <t>Medium</t>
        </is>
      </c>
      <c r="AA210" s="5" t="inlineStr">
        <is>
          <t>Medium</t>
        </is>
      </c>
      <c r="AB210" s="8" t="inlineStr">
        <is>
          <t>Low</t>
        </is>
      </c>
      <c r="AC210" s="8" t="inlineStr">
        <is>
          <t>Pilot</t>
        </is>
      </c>
      <c r="AD210" s="5" t="inlineStr">
        <is>
          <t>Not independently checked</t>
        </is>
      </c>
      <c r="AE210" s="5" t="inlineStr">
        <is>
          <t>Not verified</t>
        </is>
      </c>
      <c r="AF210" s="5" t="inlineStr">
        <is>
          <t>Not verified</t>
        </is>
      </c>
      <c r="AG210" s="5" t="inlineStr">
        <is>
          <t>Not verified</t>
        </is>
      </c>
      <c r="AH210" s="5" t="inlineStr">
        <is>
          <t>Not verified</t>
        </is>
      </c>
      <c r="AI210" s="8" t="inlineStr">
        <is>
          <t>No</t>
        </is>
      </c>
      <c r="AJ210" s="8" t="inlineStr">
        <is>
          <t>Claimed - unverified</t>
        </is>
      </c>
      <c r="AK210" s="8" t="inlineStr">
        <is>
          <t>P1</t>
        </is>
      </c>
      <c r="AL210" s="8" t="n">
        <v>6</v>
      </c>
      <c r="AM210" s="5" t="inlineStr"/>
      <c r="AN210" s="5" t="inlineStr"/>
      <c r="AO210" s="5" t="inlineStr"/>
      <c r="AP210" s="5" t="inlineStr"/>
      <c r="AQ210" s="5" t="inlineStr"/>
      <c r="AR210" s="5" t="inlineStr"/>
      <c r="AS210" s="5" t="inlineStr"/>
      <c r="AT210" s="5" t="inlineStr"/>
      <c r="AU210" s="8" t="inlineStr">
        <is>
          <t>Not run</t>
        </is>
      </c>
    </row>
    <row r="211" ht="32" customHeight="1">
      <c r="A211" s="16" t="inlineStr">
        <is>
          <t>X-0210</t>
        </is>
      </c>
      <c r="B211" s="8" t="inlineStr">
        <is>
          <t>X</t>
        </is>
      </c>
      <c r="C211" s="5" t="inlineStr">
        <is>
          <t>Multiple / Cross-persona</t>
        </is>
      </c>
      <c r="D211" s="5" t="inlineStr">
        <is>
          <t>Customer-to-Cash</t>
        </is>
      </c>
      <c r="E211" s="5" t="inlineStr">
        <is>
          <t>Invoice corrected → correction history remains auditable</t>
        </is>
      </c>
      <c r="F211" s="5" t="inlineStr">
        <is>
          <t>In-house Accountant</t>
        </is>
      </c>
      <c r="G211" s="5" t="inlineStr">
        <is>
          <t>Statutory Auditor</t>
        </is>
      </c>
      <c r="H211" s="5" t="inlineStr">
        <is>
          <t>Modifications to invoice metadata or cancellations preserve complete historical audit trail</t>
        </is>
      </c>
      <c r="I211" s="5" t="inlineStr">
        <is>
          <t>Logs modification timestamp, user ID, original values, and amendment reason in audit history</t>
        </is>
      </c>
      <c r="J211" s="20" t="inlineStr">
        <is>
          <t>P1</t>
        </is>
      </c>
      <c r="K211" s="20" t="inlineStr">
        <is>
          <t>Validated (Supported)</t>
        </is>
      </c>
      <c r="L211" s="5" t="inlineStr">
        <is>
          <t>Core system invariant: completed financial documents are immutable; corrections create audit versions.</t>
        </is>
      </c>
      <c r="M211" s="8" t="inlineStr">
        <is>
          <t>Baseline</t>
        </is>
      </c>
      <c r="N211" s="8" t="inlineStr">
        <is>
          <t>Cross-persona</t>
        </is>
      </c>
      <c r="O211" s="8" t="inlineStr">
        <is>
          <t>P1</t>
        </is>
      </c>
      <c r="P211" s="5" t="inlineStr">
        <is>
          <t>Unchanged</t>
        </is>
      </c>
      <c r="Q211" s="20" t="inlineStr">
        <is>
          <t>Author assertion</t>
        </is>
      </c>
      <c r="R211" s="5" t="inlineStr"/>
      <c r="S211" s="8" t="inlineStr">
        <is>
          <t>C2C</t>
        </is>
      </c>
      <c r="T211" s="5" t="inlineStr">
        <is>
          <t>Customer to cash</t>
        </is>
      </c>
      <c r="U211" s="8" t="inlineStr"/>
      <c r="V211" s="8" t="inlineStr">
        <is>
          <t>sales</t>
        </is>
      </c>
      <c r="W211" s="8" t="inlineStr">
        <is>
          <t>RUN</t>
        </is>
      </c>
      <c r="X211" s="5" t="inlineStr">
        <is>
          <t>Core</t>
        </is>
      </c>
      <c r="Y211" s="5" t="inlineStr">
        <is>
          <t>Cross-persona</t>
        </is>
      </c>
      <c r="Z211" s="5" t="inlineStr">
        <is>
          <t>Medium</t>
        </is>
      </c>
      <c r="AA211" s="5" t="inlineStr">
        <is>
          <t>Medium</t>
        </is>
      </c>
      <c r="AB211" s="8" t="inlineStr">
        <is>
          <t>Low</t>
        </is>
      </c>
      <c r="AC211" s="8" t="inlineStr">
        <is>
          <t>Pilot</t>
        </is>
      </c>
      <c r="AD211" s="5" t="inlineStr">
        <is>
          <t>Not independently checked</t>
        </is>
      </c>
      <c r="AE211" s="5" t="inlineStr">
        <is>
          <t>Not verified</t>
        </is>
      </c>
      <c r="AF211" s="5" t="inlineStr">
        <is>
          <t>Not verified</t>
        </is>
      </c>
      <c r="AG211" s="5" t="inlineStr">
        <is>
          <t>Not verified</t>
        </is>
      </c>
      <c r="AH211" s="5" t="inlineStr">
        <is>
          <t>Not verified</t>
        </is>
      </c>
      <c r="AI211" s="8" t="inlineStr">
        <is>
          <t>No</t>
        </is>
      </c>
      <c r="AJ211" s="8" t="inlineStr">
        <is>
          <t>Claimed - unverified</t>
        </is>
      </c>
      <c r="AK211" s="8" t="inlineStr">
        <is>
          <t>P1</t>
        </is>
      </c>
      <c r="AL211" s="8" t="n">
        <v>6</v>
      </c>
      <c r="AM211" s="5" t="inlineStr"/>
      <c r="AN211" s="5" t="inlineStr"/>
      <c r="AO211" s="5" t="inlineStr"/>
      <c r="AP211" s="5" t="inlineStr"/>
      <c r="AQ211" s="5" t="inlineStr"/>
      <c r="AR211" s="5" t="inlineStr"/>
      <c r="AS211" s="5" t="inlineStr"/>
      <c r="AT211" s="5" t="inlineStr"/>
      <c r="AU211" s="8" t="inlineStr">
        <is>
          <t>Not run</t>
        </is>
      </c>
    </row>
    <row r="212" ht="32" customHeight="1">
      <c r="A212" s="16" t="inlineStr">
        <is>
          <t>X-0211</t>
        </is>
      </c>
      <c r="B212" s="8" t="inlineStr">
        <is>
          <t>X</t>
        </is>
      </c>
      <c r="C212" s="5" t="inlineStr">
        <is>
          <t>Multiple / Cross-persona</t>
        </is>
      </c>
      <c r="D212" s="5" t="inlineStr">
        <is>
          <t>Procure-to-Pay</t>
        </is>
      </c>
      <c r="E212" s="5" t="inlineStr">
        <is>
          <t>Purchase manager creates purchase order</t>
        </is>
      </c>
      <c r="F212" s="5" t="inlineStr">
        <is>
          <t>Purchase Manager</t>
        </is>
      </c>
      <c r="G212" s="5" t="inlineStr">
        <is>
          <t>Supplier</t>
        </is>
      </c>
      <c r="H212" s="5" t="inlineStr">
        <is>
          <t>Formalize commercial procurement requirements with vendor</t>
        </is>
      </c>
      <c r="I212" s="5" t="inlineStr">
        <is>
          <t>Creates PurchaseOrder in DRAFT/APPROVED status; records agreed prices and delivery timeline</t>
        </is>
      </c>
      <c r="J212" s="20" t="inlineStr">
        <is>
          <t>P1</t>
        </is>
      </c>
      <c r="K212" s="20" t="inlineStr">
        <is>
          <t>Validated (Supported)</t>
        </is>
      </c>
      <c r="L212" s="5" t="inlineStr">
        <is>
          <t>Supported via /purchases/orders/create with vendor catalog lookup.</t>
        </is>
      </c>
      <c r="M212" s="8" t="inlineStr">
        <is>
          <t>Baseline</t>
        </is>
      </c>
      <c r="N212" s="8" t="inlineStr">
        <is>
          <t>Cross-persona</t>
        </is>
      </c>
      <c r="O212" s="8" t="inlineStr">
        <is>
          <t>P1</t>
        </is>
      </c>
      <c r="P212" s="5" t="inlineStr">
        <is>
          <t>Unchanged</t>
        </is>
      </c>
      <c r="Q212" s="20" t="inlineStr">
        <is>
          <t>Author assertion</t>
        </is>
      </c>
      <c r="R212" s="5" t="inlineStr"/>
      <c r="S212" s="8" t="inlineStr">
        <is>
          <t>P2P</t>
        </is>
      </c>
      <c r="T212" s="5" t="inlineStr">
        <is>
          <t>Procure to pay</t>
        </is>
      </c>
      <c r="U212" s="8" t="inlineStr"/>
      <c r="V212" s="8" t="inlineStr">
        <is>
          <t>purchases</t>
        </is>
      </c>
      <c r="W212" s="8" t="inlineStr">
        <is>
          <t>RUN</t>
        </is>
      </c>
      <c r="X212" s="5" t="inlineStr">
        <is>
          <t>Core</t>
        </is>
      </c>
      <c r="Y212" s="5" t="inlineStr">
        <is>
          <t>Cross-persona</t>
        </is>
      </c>
      <c r="Z212" s="5" t="inlineStr">
        <is>
          <t>Medium</t>
        </is>
      </c>
      <c r="AA212" s="5" t="inlineStr">
        <is>
          <t>Medium</t>
        </is>
      </c>
      <c r="AB212" s="8" t="inlineStr">
        <is>
          <t>Low</t>
        </is>
      </c>
      <c r="AC212" s="8" t="inlineStr">
        <is>
          <t>Pilot</t>
        </is>
      </c>
      <c r="AD212" s="5" t="inlineStr">
        <is>
          <t>Not independently checked</t>
        </is>
      </c>
      <c r="AE212" s="5" t="inlineStr">
        <is>
          <t>Not verified</t>
        </is>
      </c>
      <c r="AF212" s="5" t="inlineStr">
        <is>
          <t>Not verified</t>
        </is>
      </c>
      <c r="AG212" s="5" t="inlineStr">
        <is>
          <t>Not verified</t>
        </is>
      </c>
      <c r="AH212" s="5" t="inlineStr">
        <is>
          <t>Not verified</t>
        </is>
      </c>
      <c r="AI212" s="8" t="inlineStr">
        <is>
          <t>No</t>
        </is>
      </c>
      <c r="AJ212" s="8" t="inlineStr">
        <is>
          <t>Claimed - unverified</t>
        </is>
      </c>
      <c r="AK212" s="8" t="inlineStr">
        <is>
          <t>P1</t>
        </is>
      </c>
      <c r="AL212" s="8" t="n">
        <v>6</v>
      </c>
      <c r="AM212" s="5" t="inlineStr"/>
      <c r="AN212" s="5" t="inlineStr"/>
      <c r="AO212" s="5" t="inlineStr"/>
      <c r="AP212" s="5" t="inlineStr"/>
      <c r="AQ212" s="5" t="inlineStr"/>
      <c r="AR212" s="5" t="inlineStr"/>
      <c r="AS212" s="5" t="inlineStr"/>
      <c r="AT212" s="5" t="inlineStr"/>
      <c r="AU212" s="8" t="inlineStr">
        <is>
          <t>Not run</t>
        </is>
      </c>
    </row>
    <row r="213" ht="32" customHeight="1">
      <c r="A213" s="16" t="inlineStr">
        <is>
          <t>X-0212</t>
        </is>
      </c>
      <c r="B213" s="8" t="inlineStr">
        <is>
          <t>X</t>
        </is>
      </c>
      <c r="C213" s="5" t="inlineStr">
        <is>
          <t>Multiple / Cross-persona</t>
        </is>
      </c>
      <c r="D213" s="5" t="inlineStr">
        <is>
          <t>Procure-to-Pay</t>
        </is>
      </c>
      <c r="E213" s="5" t="inlineStr">
        <is>
          <t>Purchase order → supplier receives order</t>
        </is>
      </c>
      <c r="F213" s="5" t="inlineStr">
        <is>
          <t>Purchase Manager</t>
        </is>
      </c>
      <c r="G213" s="5" t="inlineStr">
        <is>
          <t>Supplier</t>
        </is>
      </c>
      <c r="H213" s="5" t="inlineStr">
        <is>
          <t>Purchase order transmitted to vendor via digital PDF, email, or WhatsApp</t>
        </is>
      </c>
      <c r="I213" s="5" t="inlineStr">
        <is>
          <t>Updates PO status to SENT; records delivery commitment timestamp</t>
        </is>
      </c>
      <c r="J213" s="20" t="inlineStr">
        <is>
          <t>P1</t>
        </is>
      </c>
      <c r="K213" s="20" t="inlineStr">
        <is>
          <t>Validated (Supported)</t>
        </is>
      </c>
      <c r="L213" s="5" t="inlineStr">
        <is>
          <t>Supported via PO PDF export and WhatsApp share link.</t>
        </is>
      </c>
      <c r="M213" s="8" t="inlineStr">
        <is>
          <t>Baseline</t>
        </is>
      </c>
      <c r="N213" s="8" t="inlineStr">
        <is>
          <t>Cross-persona</t>
        </is>
      </c>
      <c r="O213" s="8" t="inlineStr">
        <is>
          <t>P1</t>
        </is>
      </c>
      <c r="P213" s="5" t="inlineStr">
        <is>
          <t>Unchanged</t>
        </is>
      </c>
      <c r="Q213" s="21" t="inlineStr">
        <is>
          <t>Code symbol found</t>
        </is>
      </c>
      <c r="R213" s="5" t="inlineStr">
        <is>
          <t>Matched WhatsApp in product code. This is not a functional test.</t>
        </is>
      </c>
      <c r="S213" s="8" t="inlineStr">
        <is>
          <t>P2P</t>
        </is>
      </c>
      <c r="T213" s="5" t="inlineStr">
        <is>
          <t>Procure to pay</t>
        </is>
      </c>
      <c r="U213" s="8" t="inlineStr"/>
      <c r="V213" s="8" t="inlineStr">
        <is>
          <t>purchases</t>
        </is>
      </c>
      <c r="W213" s="8" t="inlineStr">
        <is>
          <t>RUN</t>
        </is>
      </c>
      <c r="X213" s="5" t="inlineStr">
        <is>
          <t>Core</t>
        </is>
      </c>
      <c r="Y213" s="5" t="inlineStr">
        <is>
          <t>Cross-persona</t>
        </is>
      </c>
      <c r="Z213" s="5" t="inlineStr">
        <is>
          <t>Medium</t>
        </is>
      </c>
      <c r="AA213" s="5" t="inlineStr">
        <is>
          <t>Medium</t>
        </is>
      </c>
      <c r="AB213" s="8" t="inlineStr">
        <is>
          <t>Low</t>
        </is>
      </c>
      <c r="AC213" s="8" t="inlineStr">
        <is>
          <t>Pilot</t>
        </is>
      </c>
      <c r="AD213" s="5" t="inlineStr">
        <is>
          <t>Cited in code</t>
        </is>
      </c>
      <c r="AE213" s="5" t="inlineStr">
        <is>
          <t>Not verified</t>
        </is>
      </c>
      <c r="AF213" s="5" t="inlineStr">
        <is>
          <t>Not verified</t>
        </is>
      </c>
      <c r="AG213" s="5" t="inlineStr">
        <is>
          <t>Not verified</t>
        </is>
      </c>
      <c r="AH213" s="5" t="inlineStr">
        <is>
          <t>Not verified</t>
        </is>
      </c>
      <c r="AI213" s="8" t="inlineStr">
        <is>
          <t>No</t>
        </is>
      </c>
      <c r="AJ213" s="8" t="inlineStr">
        <is>
          <t>Built - unverified</t>
        </is>
      </c>
      <c r="AK213" s="8" t="inlineStr">
        <is>
          <t>P1</t>
        </is>
      </c>
      <c r="AL213" s="8" t="n">
        <v>6</v>
      </c>
      <c r="AM213" s="5" t="inlineStr"/>
      <c r="AN213" s="5" t="inlineStr"/>
      <c r="AO213" s="5" t="inlineStr"/>
      <c r="AP213" s="5" t="inlineStr"/>
      <c r="AQ213" s="5" t="inlineStr"/>
      <c r="AR213" s="5" t="inlineStr"/>
      <c r="AS213" s="5" t="inlineStr"/>
      <c r="AT213" s="5" t="inlineStr"/>
      <c r="AU213" s="8" t="inlineStr">
        <is>
          <t>Not run</t>
        </is>
      </c>
    </row>
    <row r="214" ht="32" customHeight="1">
      <c r="A214" s="16" t="inlineStr">
        <is>
          <t>X-0213</t>
        </is>
      </c>
      <c r="B214" s="8" t="inlineStr">
        <is>
          <t>X</t>
        </is>
      </c>
      <c r="C214" s="5" t="inlineStr">
        <is>
          <t>Multiple / Cross-persona</t>
        </is>
      </c>
      <c r="D214" s="5" t="inlineStr">
        <is>
          <t>Procure-to-Pay</t>
        </is>
      </c>
      <c r="E214" s="5" t="inlineStr">
        <is>
          <t>Supplier confirms order → order status changes</t>
        </is>
      </c>
      <c r="F214" s="5" t="inlineStr">
        <is>
          <t>Purchase Manager</t>
        </is>
      </c>
      <c r="G214" s="5" t="inlineStr">
        <is>
          <t>Supplier</t>
        </is>
      </c>
      <c r="H214" s="5" t="inlineStr">
        <is>
          <t>Vendor confirms order acceptance and expected dispatch date</t>
        </is>
      </c>
      <c r="I214" s="5" t="inlineStr">
        <is>
          <t>Updates PO status to CONFIRMED; locks agreed pricing and expected delivery date</t>
        </is>
      </c>
      <c r="J214" s="20" t="inlineStr">
        <is>
          <t>P1</t>
        </is>
      </c>
      <c r="K214" s="20" t="inlineStr">
        <is>
          <t>Validated (Supported)</t>
        </is>
      </c>
      <c r="L214" s="5" t="inlineStr">
        <is>
          <t>Supported in PO detail view with status transition buttons.</t>
        </is>
      </c>
      <c r="M214" s="8" t="inlineStr">
        <is>
          <t>Baseline</t>
        </is>
      </c>
      <c r="N214" s="8" t="inlineStr">
        <is>
          <t>Cross-persona</t>
        </is>
      </c>
      <c r="O214" s="8" t="inlineStr">
        <is>
          <t>P1</t>
        </is>
      </c>
      <c r="P214" s="5" t="inlineStr">
        <is>
          <t>Unchanged</t>
        </is>
      </c>
      <c r="Q214" s="20" t="inlineStr">
        <is>
          <t>Author assertion</t>
        </is>
      </c>
      <c r="R214" s="5" t="inlineStr"/>
      <c r="S214" s="8" t="inlineStr">
        <is>
          <t>P2P</t>
        </is>
      </c>
      <c r="T214" s="5" t="inlineStr">
        <is>
          <t>Procure to pay</t>
        </is>
      </c>
      <c r="U214" s="8" t="inlineStr"/>
      <c r="V214" s="8" t="inlineStr">
        <is>
          <t>purchases</t>
        </is>
      </c>
      <c r="W214" s="8" t="inlineStr">
        <is>
          <t>RUN</t>
        </is>
      </c>
      <c r="X214" s="5" t="inlineStr">
        <is>
          <t>Core</t>
        </is>
      </c>
      <c r="Y214" s="5" t="inlineStr">
        <is>
          <t>Cross-persona</t>
        </is>
      </c>
      <c r="Z214" s="5" t="inlineStr">
        <is>
          <t>Medium</t>
        </is>
      </c>
      <c r="AA214" s="5" t="inlineStr">
        <is>
          <t>Medium</t>
        </is>
      </c>
      <c r="AB214" s="8" t="inlineStr">
        <is>
          <t>Low</t>
        </is>
      </c>
      <c r="AC214" s="8" t="inlineStr">
        <is>
          <t>Pilot</t>
        </is>
      </c>
      <c r="AD214" s="5" t="inlineStr">
        <is>
          <t>Not independently checked</t>
        </is>
      </c>
      <c r="AE214" s="5" t="inlineStr">
        <is>
          <t>Not verified</t>
        </is>
      </c>
      <c r="AF214" s="5" t="inlineStr">
        <is>
          <t>Not verified</t>
        </is>
      </c>
      <c r="AG214" s="5" t="inlineStr">
        <is>
          <t>Not verified</t>
        </is>
      </c>
      <c r="AH214" s="5" t="inlineStr">
        <is>
          <t>Not verified</t>
        </is>
      </c>
      <c r="AI214" s="8" t="inlineStr">
        <is>
          <t>No</t>
        </is>
      </c>
      <c r="AJ214" s="8" t="inlineStr">
        <is>
          <t>Claimed - unverified</t>
        </is>
      </c>
      <c r="AK214" s="8" t="inlineStr">
        <is>
          <t>P1</t>
        </is>
      </c>
      <c r="AL214" s="8" t="n">
        <v>6</v>
      </c>
      <c r="AM214" s="5" t="inlineStr"/>
      <c r="AN214" s="5" t="inlineStr"/>
      <c r="AO214" s="5" t="inlineStr"/>
      <c r="AP214" s="5" t="inlineStr"/>
      <c r="AQ214" s="5" t="inlineStr"/>
      <c r="AR214" s="5" t="inlineStr"/>
      <c r="AS214" s="5" t="inlineStr"/>
      <c r="AT214" s="5" t="inlineStr"/>
      <c r="AU214" s="8" t="inlineStr">
        <is>
          <t>Not run</t>
        </is>
      </c>
    </row>
    <row r="215" ht="32" customHeight="1">
      <c r="A215" s="16" t="inlineStr">
        <is>
          <t>X-0214</t>
        </is>
      </c>
      <c r="B215" s="8" t="inlineStr">
        <is>
          <t>X</t>
        </is>
      </c>
      <c r="C215" s="5" t="inlineStr">
        <is>
          <t>Multiple / Cross-persona</t>
        </is>
      </c>
      <c r="D215" s="5" t="inlineStr">
        <is>
          <t>Procure-to-Pay</t>
        </is>
      </c>
      <c r="E215" s="5" t="inlineStr">
        <is>
          <t>Supplier ships goods → expected receipt is recorded</t>
        </is>
      </c>
      <c r="F215" s="5" t="inlineStr">
        <is>
          <t>Logistics Coordinator</t>
        </is>
      </c>
      <c r="G215" s="5" t="inlineStr">
        <is>
          <t>Supplier / Transporter</t>
        </is>
      </c>
      <c r="H215" s="5" t="inlineStr">
        <is>
          <t>Advance shipping notice (ASN) recorded to prepare warehouse staging area</t>
        </is>
      </c>
      <c r="I215" s="5" t="inlineStr">
        <is>
          <t>Records transport docket / LR number and estimated arrival date against open PO</t>
        </is>
      </c>
      <c r="J215" s="20" t="inlineStr">
        <is>
          <t>P1</t>
        </is>
      </c>
      <c r="K215" s="20" t="inlineStr">
        <is>
          <t>Validated (Supported)</t>
        </is>
      </c>
      <c r="L215" s="5" t="inlineStr">
        <is>
          <t>Supported via Inbound Shipment tracking on Purchase Orders.</t>
        </is>
      </c>
      <c r="M215" s="8" t="inlineStr">
        <is>
          <t>Baseline</t>
        </is>
      </c>
      <c r="N215" s="8" t="inlineStr">
        <is>
          <t>Cross-persona</t>
        </is>
      </c>
      <c r="O215" s="8" t="inlineStr">
        <is>
          <t>P1</t>
        </is>
      </c>
      <c r="P215" s="5" t="inlineStr">
        <is>
          <t>Unchanged</t>
        </is>
      </c>
      <c r="Q215" s="20" t="inlineStr">
        <is>
          <t>Author assertion</t>
        </is>
      </c>
      <c r="R215" s="5" t="inlineStr"/>
      <c r="S215" s="8" t="inlineStr">
        <is>
          <t>P2P</t>
        </is>
      </c>
      <c r="T215" s="5" t="inlineStr">
        <is>
          <t>Procure to pay</t>
        </is>
      </c>
      <c r="U215" s="8" t="inlineStr"/>
      <c r="V215" s="8" t="inlineStr">
        <is>
          <t>purchases</t>
        </is>
      </c>
      <c r="W215" s="8" t="inlineStr">
        <is>
          <t>RUN</t>
        </is>
      </c>
      <c r="X215" s="5" t="inlineStr">
        <is>
          <t>Core</t>
        </is>
      </c>
      <c r="Y215" s="5" t="inlineStr">
        <is>
          <t>Cross-persona</t>
        </is>
      </c>
      <c r="Z215" s="5" t="inlineStr">
        <is>
          <t>Medium</t>
        </is>
      </c>
      <c r="AA215" s="5" t="inlineStr">
        <is>
          <t>Medium</t>
        </is>
      </c>
      <c r="AB215" s="8" t="inlineStr">
        <is>
          <t>Low</t>
        </is>
      </c>
      <c r="AC215" s="8" t="inlineStr">
        <is>
          <t>Pilot</t>
        </is>
      </c>
      <c r="AD215" s="5" t="inlineStr">
        <is>
          <t>Not independently checked</t>
        </is>
      </c>
      <c r="AE215" s="5" t="inlineStr">
        <is>
          <t>Not verified</t>
        </is>
      </c>
      <c r="AF215" s="5" t="inlineStr">
        <is>
          <t>Not verified</t>
        </is>
      </c>
      <c r="AG215" s="5" t="inlineStr">
        <is>
          <t>Not verified</t>
        </is>
      </c>
      <c r="AH215" s="5" t="inlineStr">
        <is>
          <t>Not verified</t>
        </is>
      </c>
      <c r="AI215" s="8" t="inlineStr">
        <is>
          <t>No</t>
        </is>
      </c>
      <c r="AJ215" s="8" t="inlineStr">
        <is>
          <t>Claimed - unverified</t>
        </is>
      </c>
      <c r="AK215" s="8" t="inlineStr">
        <is>
          <t>P1</t>
        </is>
      </c>
      <c r="AL215" s="8" t="n">
        <v>6</v>
      </c>
      <c r="AM215" s="5" t="inlineStr"/>
      <c r="AN215" s="5" t="inlineStr"/>
      <c r="AO215" s="5" t="inlineStr"/>
      <c r="AP215" s="5" t="inlineStr"/>
      <c r="AQ215" s="5" t="inlineStr"/>
      <c r="AR215" s="5" t="inlineStr"/>
      <c r="AS215" s="5" t="inlineStr"/>
      <c r="AT215" s="5" t="inlineStr"/>
      <c r="AU215" s="8" t="inlineStr">
        <is>
          <t>Not run</t>
        </is>
      </c>
    </row>
    <row r="216" ht="32" customHeight="1">
      <c r="A216" s="16" t="inlineStr">
        <is>
          <t>X-0215</t>
        </is>
      </c>
      <c r="B216" s="8" t="inlineStr">
        <is>
          <t>X</t>
        </is>
      </c>
      <c r="C216" s="5" t="inlineStr">
        <is>
          <t>Multiple / Cross-persona</t>
        </is>
      </c>
      <c r="D216" s="5" t="inlineStr">
        <is>
          <t>Procure-to-Pay</t>
        </is>
      </c>
      <c r="E216" s="5" t="inlineStr">
        <is>
          <t>Goods arrive → warehouse creates GRN</t>
        </is>
      </c>
      <c r="F216" s="5" t="inlineStr">
        <is>
          <t>Godown Custodian</t>
        </is>
      </c>
      <c r="G216" s="5" t="inlineStr">
        <is>
          <t>Transporter / Purchase Manager</t>
        </is>
      </c>
      <c r="H216" s="5" t="inlineStr">
        <is>
          <t>Physical delivery inspected, counted, and recorded on Goods Receipt Note</t>
        </is>
      </c>
      <c r="I216" s="5" t="inlineStr">
        <is>
          <t>Creates GoodsReceiptNote (GRN) document; records actual received quantities and damages</t>
        </is>
      </c>
      <c r="J216" s="20" t="inlineStr">
        <is>
          <t>P1</t>
        </is>
      </c>
      <c r="K216" s="20" t="inlineStr">
        <is>
          <t>Validated (Supported)</t>
        </is>
      </c>
      <c r="L216" s="5" t="inlineStr">
        <is>
          <t>Supported via GRN creation workflow in purchases module.</t>
        </is>
      </c>
      <c r="M216" s="8" t="inlineStr">
        <is>
          <t>Baseline</t>
        </is>
      </c>
      <c r="N216" s="8" t="inlineStr">
        <is>
          <t>Cross-persona</t>
        </is>
      </c>
      <c r="O216" s="8" t="inlineStr">
        <is>
          <t>P1</t>
        </is>
      </c>
      <c r="P216" s="5" t="inlineStr">
        <is>
          <t>Unchanged</t>
        </is>
      </c>
      <c r="Q216" s="20" t="inlineStr">
        <is>
          <t>Author assertion</t>
        </is>
      </c>
      <c r="R216" s="5" t="inlineStr"/>
      <c r="S216" s="8" t="inlineStr">
        <is>
          <t>P2P</t>
        </is>
      </c>
      <c r="T216" s="5" t="inlineStr">
        <is>
          <t>Procure to pay</t>
        </is>
      </c>
      <c r="U216" s="8" t="inlineStr"/>
      <c r="V216" s="8" t="inlineStr">
        <is>
          <t>purchases</t>
        </is>
      </c>
      <c r="W216" s="8" t="inlineStr">
        <is>
          <t>RUN</t>
        </is>
      </c>
      <c r="X216" s="5" t="inlineStr">
        <is>
          <t>Core</t>
        </is>
      </c>
      <c r="Y216" s="5" t="inlineStr">
        <is>
          <t>Cross-persona</t>
        </is>
      </c>
      <c r="Z216" s="5" t="inlineStr">
        <is>
          <t>Medium</t>
        </is>
      </c>
      <c r="AA216" s="5" t="inlineStr">
        <is>
          <t>Medium</t>
        </is>
      </c>
      <c r="AB216" s="8" t="inlineStr">
        <is>
          <t>Low</t>
        </is>
      </c>
      <c r="AC216" s="8" t="inlineStr">
        <is>
          <t>Pilot</t>
        </is>
      </c>
      <c r="AD216" s="5" t="inlineStr">
        <is>
          <t>Not independently checked</t>
        </is>
      </c>
      <c r="AE216" s="5" t="inlineStr">
        <is>
          <t>Not verified</t>
        </is>
      </c>
      <c r="AF216" s="5" t="inlineStr">
        <is>
          <t>Not verified</t>
        </is>
      </c>
      <c r="AG216" s="5" t="inlineStr">
        <is>
          <t>Not verified</t>
        </is>
      </c>
      <c r="AH216" s="5" t="inlineStr">
        <is>
          <t>Not verified</t>
        </is>
      </c>
      <c r="AI216" s="8" t="inlineStr">
        <is>
          <t>No</t>
        </is>
      </c>
      <c r="AJ216" s="8" t="inlineStr">
        <is>
          <t>Claimed - unverified</t>
        </is>
      </c>
      <c r="AK216" s="8" t="inlineStr">
        <is>
          <t>P1</t>
        </is>
      </c>
      <c r="AL216" s="8" t="n">
        <v>6</v>
      </c>
      <c r="AM216" s="5" t="inlineStr"/>
      <c r="AN216" s="5" t="inlineStr"/>
      <c r="AO216" s="5" t="inlineStr"/>
      <c r="AP216" s="5" t="inlineStr"/>
      <c r="AQ216" s="5" t="inlineStr"/>
      <c r="AR216" s="5" t="inlineStr"/>
      <c r="AS216" s="5" t="inlineStr"/>
      <c r="AT216" s="5" t="inlineStr"/>
      <c r="AU216" s="8" t="inlineStr">
        <is>
          <t>Not run</t>
        </is>
      </c>
    </row>
    <row r="217" ht="32" customHeight="1">
      <c r="A217" s="16" t="inlineStr">
        <is>
          <t>X-0216</t>
        </is>
      </c>
      <c r="B217" s="8" t="inlineStr">
        <is>
          <t>X</t>
        </is>
      </c>
      <c r="C217" s="5" t="inlineStr">
        <is>
          <t>Multiple / Cross-persona</t>
        </is>
      </c>
      <c r="D217" s="5" t="inlineStr">
        <is>
          <t>Procure-to-Pay</t>
        </is>
      </c>
      <c r="E217" s="5" t="inlineStr">
        <is>
          <t>GRN → inventory quantity increases</t>
        </is>
      </c>
      <c r="F217" s="5" t="inlineStr">
        <is>
          <t>System / Inventory Ledger</t>
        </is>
      </c>
      <c r="G217" s="5" t="inlineStr">
        <is>
          <t>Godown Custodian</t>
        </is>
      </c>
      <c r="H217" s="5" t="inlineStr">
        <is>
          <t>Physical warehouse stock incremented upon goods verification</t>
        </is>
      </c>
      <c r="I217" s="5" t="inlineStr">
        <is>
          <t>Creates StockMovement record with movement_type='INWARD_PURCHASE'; updates StockBalance</t>
        </is>
      </c>
      <c r="J217" s="20" t="inlineStr">
        <is>
          <t>P1</t>
        </is>
      </c>
      <c r="K217" s="20" t="inlineStr">
        <is>
          <t>Validated (Supported)</t>
        </is>
      </c>
      <c r="L217" s="5" t="inlineStr">
        <is>
          <t>Core system invariant: GRN/Purchase intake atomically increases inventory on-hand balance.</t>
        </is>
      </c>
      <c r="M217" s="8" t="inlineStr">
        <is>
          <t>Baseline</t>
        </is>
      </c>
      <c r="N217" s="8" t="inlineStr">
        <is>
          <t>Cross-persona</t>
        </is>
      </c>
      <c r="O217" s="8" t="inlineStr">
        <is>
          <t>P1</t>
        </is>
      </c>
      <c r="P217" s="5" t="inlineStr">
        <is>
          <t>Restored to authored P1. The previous workbook had P0 after a keyword rebalance.</t>
        </is>
      </c>
      <c r="Q217" s="20" t="inlineStr">
        <is>
          <t>Author assertion</t>
        </is>
      </c>
      <c r="R217" s="5" t="inlineStr">
        <is>
          <t>Restored to authored P1. The previous workbook had P0 after a keyword rebalance.</t>
        </is>
      </c>
      <c r="S217" s="8" t="inlineStr">
        <is>
          <t>P2P</t>
        </is>
      </c>
      <c r="T217" s="5" t="inlineStr">
        <is>
          <t>Procure to pay</t>
        </is>
      </c>
      <c r="U217" s="8" t="inlineStr"/>
      <c r="V217" s="8" t="inlineStr">
        <is>
          <t>purchases</t>
        </is>
      </c>
      <c r="W217" s="8" t="inlineStr">
        <is>
          <t>RUN</t>
        </is>
      </c>
      <c r="X217" s="5" t="inlineStr">
        <is>
          <t>Core</t>
        </is>
      </c>
      <c r="Y217" s="5" t="inlineStr">
        <is>
          <t>Cross-persona</t>
        </is>
      </c>
      <c r="Z217" s="5" t="inlineStr">
        <is>
          <t>Medium</t>
        </is>
      </c>
      <c r="AA217" s="5" t="inlineStr">
        <is>
          <t>Medium</t>
        </is>
      </c>
      <c r="AB217" s="8" t="inlineStr">
        <is>
          <t>Low</t>
        </is>
      </c>
      <c r="AC217" s="8" t="inlineStr">
        <is>
          <t>Pilot</t>
        </is>
      </c>
      <c r="AD217" s="5" t="inlineStr">
        <is>
          <t>Not independently checked</t>
        </is>
      </c>
      <c r="AE217" s="5" t="inlineStr">
        <is>
          <t>Not verified</t>
        </is>
      </c>
      <c r="AF217" s="5" t="inlineStr">
        <is>
          <t>Not verified</t>
        </is>
      </c>
      <c r="AG217" s="5" t="inlineStr">
        <is>
          <t>Not verified</t>
        </is>
      </c>
      <c r="AH217" s="5" t="inlineStr">
        <is>
          <t>Not verified</t>
        </is>
      </c>
      <c r="AI217" s="8" t="inlineStr">
        <is>
          <t>No</t>
        </is>
      </c>
      <c r="AJ217" s="8" t="inlineStr">
        <is>
          <t>Claimed - unverified</t>
        </is>
      </c>
      <c r="AK217" s="8" t="inlineStr">
        <is>
          <t>P1</t>
        </is>
      </c>
      <c r="AL217" s="8" t="n">
        <v>6</v>
      </c>
      <c r="AM217" s="5" t="inlineStr"/>
      <c r="AN217" s="5" t="inlineStr"/>
      <c r="AO217" s="5" t="inlineStr"/>
      <c r="AP217" s="5" t="inlineStr"/>
      <c r="AQ217" s="5" t="inlineStr"/>
      <c r="AR217" s="5" t="inlineStr"/>
      <c r="AS217" s="5" t="inlineStr"/>
      <c r="AT217" s="5" t="inlineStr"/>
      <c r="AU217" s="8" t="inlineStr">
        <is>
          <t>Not run</t>
        </is>
      </c>
    </row>
    <row r="218" ht="32" customHeight="1">
      <c r="A218" s="16" t="inlineStr">
        <is>
          <t>X-0217</t>
        </is>
      </c>
      <c r="B218" s="8" t="inlineStr">
        <is>
          <t>X</t>
        </is>
      </c>
      <c r="C218" s="5" t="inlineStr">
        <is>
          <t>Multiple / Cross-persona</t>
        </is>
      </c>
      <c r="D218" s="5" t="inlineStr">
        <is>
          <t>Procure-to-Pay</t>
        </is>
      </c>
      <c r="E218" s="5" t="inlineStr">
        <is>
          <t>GRN → batch/serial information is captured</t>
        </is>
      </c>
      <c r="F218" s="5" t="inlineStr">
        <is>
          <t>Godown Custodian</t>
        </is>
      </c>
      <c r="G218" s="5" t="inlineStr">
        <is>
          <t>Supplier</t>
        </is>
      </c>
      <c r="H218" s="5" t="inlineStr">
        <is>
          <t>Capture manufacturer batch numbers, manufacturing/expiry dates, or unit serial numbers</t>
        </is>
      </c>
      <c r="I218" s="5" t="inlineStr">
        <is>
          <t>Creates BatchLot or SerialNumber records linked to inward stock movement</t>
        </is>
      </c>
      <c r="J218" s="20" t="inlineStr">
        <is>
          <t>P1</t>
        </is>
      </c>
      <c r="K218" s="20" t="inlineStr">
        <is>
          <t>Validated (Supported)</t>
        </is>
      </c>
      <c r="L218" s="5" t="inlineStr">
        <is>
          <t>Supported in GRN line-item entry with batch and serial modal inputs.</t>
        </is>
      </c>
      <c r="M218" s="8" t="inlineStr">
        <is>
          <t>Baseline</t>
        </is>
      </c>
      <c r="N218" s="8" t="inlineStr">
        <is>
          <t>Cross-persona</t>
        </is>
      </c>
      <c r="O218" s="8" t="inlineStr">
        <is>
          <t>P1</t>
        </is>
      </c>
      <c r="P218" s="5" t="inlineStr">
        <is>
          <t>Unchanged</t>
        </is>
      </c>
      <c r="Q218" s="20" t="inlineStr">
        <is>
          <t>Author assertion</t>
        </is>
      </c>
      <c r="R218" s="5" t="inlineStr"/>
      <c r="S218" s="8" t="inlineStr">
        <is>
          <t>P2P</t>
        </is>
      </c>
      <c r="T218" s="5" t="inlineStr">
        <is>
          <t>Procure to pay</t>
        </is>
      </c>
      <c r="U218" s="8" t="inlineStr"/>
      <c r="V218" s="8" t="inlineStr">
        <is>
          <t>purchases</t>
        </is>
      </c>
      <c r="W218" s="8" t="inlineStr">
        <is>
          <t>RUN</t>
        </is>
      </c>
      <c r="X218" s="5" t="inlineStr">
        <is>
          <t>Core</t>
        </is>
      </c>
      <c r="Y218" s="5" t="inlineStr">
        <is>
          <t>Cross-persona</t>
        </is>
      </c>
      <c r="Z218" s="5" t="inlineStr">
        <is>
          <t>Medium</t>
        </is>
      </c>
      <c r="AA218" s="5" t="inlineStr">
        <is>
          <t>Medium</t>
        </is>
      </c>
      <c r="AB218" s="8" t="inlineStr">
        <is>
          <t>Low</t>
        </is>
      </c>
      <c r="AC218" s="8" t="inlineStr">
        <is>
          <t>Pilot</t>
        </is>
      </c>
      <c r="AD218" s="5" t="inlineStr">
        <is>
          <t>Not independently checked</t>
        </is>
      </c>
      <c r="AE218" s="5" t="inlineStr">
        <is>
          <t>Not verified</t>
        </is>
      </c>
      <c r="AF218" s="5" t="inlineStr">
        <is>
          <t>Not verified</t>
        </is>
      </c>
      <c r="AG218" s="5" t="inlineStr">
        <is>
          <t>Not verified</t>
        </is>
      </c>
      <c r="AH218" s="5" t="inlineStr">
        <is>
          <t>Not verified</t>
        </is>
      </c>
      <c r="AI218" s="8" t="inlineStr">
        <is>
          <t>No</t>
        </is>
      </c>
      <c r="AJ218" s="8" t="inlineStr">
        <is>
          <t>Claimed - unverified</t>
        </is>
      </c>
      <c r="AK218" s="8" t="inlineStr">
        <is>
          <t>P1</t>
        </is>
      </c>
      <c r="AL218" s="8" t="n">
        <v>6</v>
      </c>
      <c r="AM218" s="5" t="inlineStr"/>
      <c r="AN218" s="5" t="inlineStr"/>
      <c r="AO218" s="5" t="inlineStr"/>
      <c r="AP218" s="5" t="inlineStr"/>
      <c r="AQ218" s="5" t="inlineStr"/>
      <c r="AR218" s="5" t="inlineStr"/>
      <c r="AS218" s="5" t="inlineStr"/>
      <c r="AT218" s="5" t="inlineStr"/>
      <c r="AU218" s="8" t="inlineStr">
        <is>
          <t>Not run</t>
        </is>
      </c>
    </row>
    <row r="219" ht="32" customHeight="1">
      <c r="A219" s="16" t="inlineStr">
        <is>
          <t>X-0218</t>
        </is>
      </c>
      <c r="B219" s="8" t="inlineStr">
        <is>
          <t>X</t>
        </is>
      </c>
      <c r="C219" s="5" t="inlineStr">
        <is>
          <t>Multiple / Cross-persona</t>
        </is>
      </c>
      <c r="D219" s="5" t="inlineStr">
        <is>
          <t>Procure-to-Pay</t>
        </is>
      </c>
      <c r="E219" s="5" t="inlineStr">
        <is>
          <t>GRN → damaged/short quantity is recorded</t>
        </is>
      </c>
      <c r="F219" s="5" t="inlineStr">
        <is>
          <t>Godown Custodian</t>
        </is>
      </c>
      <c r="G219" s="5" t="inlineStr">
        <is>
          <t>Purchase Manager / Supplier</t>
        </is>
      </c>
      <c r="H219" s="5" t="inlineStr">
        <is>
          <t>Shortages and damaged packages documented for supplier debit note claim</t>
        </is>
      </c>
      <c r="I219" s="5" t="inlineStr">
        <is>
          <t>Records damaged/rejected quantity; isolates damaged stock into quarantine location</t>
        </is>
      </c>
      <c r="J219" s="20" t="inlineStr">
        <is>
          <t>P1</t>
        </is>
      </c>
      <c r="K219" s="20" t="inlineStr">
        <is>
          <t>Validated (Supported)</t>
        </is>
      </c>
      <c r="L219" s="5" t="inlineStr">
        <is>
          <t>Supported via GRN rejection quantities with reason code tagging.</t>
        </is>
      </c>
      <c r="M219" s="8" t="inlineStr">
        <is>
          <t>Baseline</t>
        </is>
      </c>
      <c r="N219" s="8" t="inlineStr">
        <is>
          <t>Cross-persona</t>
        </is>
      </c>
      <c r="O219" s="8" t="inlineStr">
        <is>
          <t>P1</t>
        </is>
      </c>
      <c r="P219" s="5" t="inlineStr">
        <is>
          <t>Unchanged</t>
        </is>
      </c>
      <c r="Q219" s="20" t="inlineStr">
        <is>
          <t>Author assertion</t>
        </is>
      </c>
      <c r="R219" s="5" t="inlineStr"/>
      <c r="S219" s="8" t="inlineStr">
        <is>
          <t>P2P</t>
        </is>
      </c>
      <c r="T219" s="5" t="inlineStr">
        <is>
          <t>Procure to pay</t>
        </is>
      </c>
      <c r="U219" s="8" t="inlineStr"/>
      <c r="V219" s="8" t="inlineStr">
        <is>
          <t>purchases</t>
        </is>
      </c>
      <c r="W219" s="8" t="inlineStr">
        <is>
          <t>RUN</t>
        </is>
      </c>
      <c r="X219" s="5" t="inlineStr">
        <is>
          <t>Core</t>
        </is>
      </c>
      <c r="Y219" s="5" t="inlineStr">
        <is>
          <t>Cross-persona</t>
        </is>
      </c>
      <c r="Z219" s="5" t="inlineStr">
        <is>
          <t>Medium</t>
        </is>
      </c>
      <c r="AA219" s="5" t="inlineStr">
        <is>
          <t>Medium</t>
        </is>
      </c>
      <c r="AB219" s="8" t="inlineStr">
        <is>
          <t>Low</t>
        </is>
      </c>
      <c r="AC219" s="8" t="inlineStr">
        <is>
          <t>Pilot</t>
        </is>
      </c>
      <c r="AD219" s="5" t="inlineStr">
        <is>
          <t>Not independently checked</t>
        </is>
      </c>
      <c r="AE219" s="5" t="inlineStr">
        <is>
          <t>Not verified</t>
        </is>
      </c>
      <c r="AF219" s="5" t="inlineStr">
        <is>
          <t>Not verified</t>
        </is>
      </c>
      <c r="AG219" s="5" t="inlineStr">
        <is>
          <t>Not verified</t>
        </is>
      </c>
      <c r="AH219" s="5" t="inlineStr">
        <is>
          <t>Not verified</t>
        </is>
      </c>
      <c r="AI219" s="8" t="inlineStr">
        <is>
          <t>No</t>
        </is>
      </c>
      <c r="AJ219" s="8" t="inlineStr">
        <is>
          <t>Claimed - unverified</t>
        </is>
      </c>
      <c r="AK219" s="8" t="inlineStr">
        <is>
          <t>P1</t>
        </is>
      </c>
      <c r="AL219" s="8" t="n">
        <v>6</v>
      </c>
      <c r="AM219" s="5" t="inlineStr"/>
      <c r="AN219" s="5" t="inlineStr"/>
      <c r="AO219" s="5" t="inlineStr"/>
      <c r="AP219" s="5" t="inlineStr"/>
      <c r="AQ219" s="5" t="inlineStr"/>
      <c r="AR219" s="5" t="inlineStr"/>
      <c r="AS219" s="5" t="inlineStr"/>
      <c r="AT219" s="5" t="inlineStr"/>
      <c r="AU219" s="8" t="inlineStr">
        <is>
          <t>Not run</t>
        </is>
      </c>
    </row>
    <row r="220" ht="32" customHeight="1">
      <c r="A220" s="16" t="inlineStr">
        <is>
          <t>X-0219</t>
        </is>
      </c>
      <c r="B220" s="8" t="inlineStr">
        <is>
          <t>X</t>
        </is>
      </c>
      <c r="C220" s="5" t="inlineStr">
        <is>
          <t>Multiple / Cross-persona</t>
        </is>
      </c>
      <c r="D220" s="5" t="inlineStr">
        <is>
          <t>Procure-to-Pay</t>
        </is>
      </c>
      <c r="E220" s="5" t="inlineStr">
        <is>
          <t>GRN → purchase order received quantity is updated</t>
        </is>
      </c>
      <c r="F220" s="5" t="inlineStr">
        <is>
          <t>System / Procurement Engine</t>
        </is>
      </c>
      <c r="G220" s="5" t="inlineStr">
        <is>
          <t>Purchase Manager</t>
        </is>
      </c>
      <c r="H220" s="5" t="inlineStr">
        <is>
          <t>Purchase order line received quantities updated; tracks partial shipment balances</t>
        </is>
      </c>
      <c r="I220" s="5" t="inlineStr">
        <is>
          <t>Updates received_quantity on PO lines; marks PO as PARTIALLY_RECEIVED or RECEIVED</t>
        </is>
      </c>
      <c r="J220" s="20" t="inlineStr">
        <is>
          <t>P1</t>
        </is>
      </c>
      <c r="K220" s="20" t="inlineStr">
        <is>
          <t>Validated (Supported)</t>
        </is>
      </c>
      <c r="L220" s="5" t="inlineStr">
        <is>
          <t>Automated PO line-item balance reconciliation upon GRN posting.</t>
        </is>
      </c>
      <c r="M220" s="8" t="inlineStr">
        <is>
          <t>Baseline</t>
        </is>
      </c>
      <c r="N220" s="8" t="inlineStr">
        <is>
          <t>Cross-persona</t>
        </is>
      </c>
      <c r="O220" s="8" t="inlineStr">
        <is>
          <t>P1</t>
        </is>
      </c>
      <c r="P220" s="5" t="inlineStr">
        <is>
          <t>Unchanged</t>
        </is>
      </c>
      <c r="Q220" s="20" t="inlineStr">
        <is>
          <t>Author assertion</t>
        </is>
      </c>
      <c r="R220" s="5" t="inlineStr"/>
      <c r="S220" s="8" t="inlineStr">
        <is>
          <t>P2P</t>
        </is>
      </c>
      <c r="T220" s="5" t="inlineStr">
        <is>
          <t>Procure to pay</t>
        </is>
      </c>
      <c r="U220" s="8" t="inlineStr"/>
      <c r="V220" s="8" t="inlineStr">
        <is>
          <t>purchases</t>
        </is>
      </c>
      <c r="W220" s="8" t="inlineStr">
        <is>
          <t>RUN</t>
        </is>
      </c>
      <c r="X220" s="5" t="inlineStr">
        <is>
          <t>Core</t>
        </is>
      </c>
      <c r="Y220" s="5" t="inlineStr">
        <is>
          <t>Cross-persona</t>
        </is>
      </c>
      <c r="Z220" s="5" t="inlineStr">
        <is>
          <t>Medium</t>
        </is>
      </c>
      <c r="AA220" s="5" t="inlineStr">
        <is>
          <t>Medium</t>
        </is>
      </c>
      <c r="AB220" s="8" t="inlineStr">
        <is>
          <t>Low</t>
        </is>
      </c>
      <c r="AC220" s="8" t="inlineStr">
        <is>
          <t>Pilot</t>
        </is>
      </c>
      <c r="AD220" s="5" t="inlineStr">
        <is>
          <t>Not independently checked</t>
        </is>
      </c>
      <c r="AE220" s="5" t="inlineStr">
        <is>
          <t>Not verified</t>
        </is>
      </c>
      <c r="AF220" s="5" t="inlineStr">
        <is>
          <t>Not verified</t>
        </is>
      </c>
      <c r="AG220" s="5" t="inlineStr">
        <is>
          <t>Not verified</t>
        </is>
      </c>
      <c r="AH220" s="5" t="inlineStr">
        <is>
          <t>Not verified</t>
        </is>
      </c>
      <c r="AI220" s="8" t="inlineStr">
        <is>
          <t>No</t>
        </is>
      </c>
      <c r="AJ220" s="8" t="inlineStr">
        <is>
          <t>Claimed - unverified</t>
        </is>
      </c>
      <c r="AK220" s="8" t="inlineStr">
        <is>
          <t>P1</t>
        </is>
      </c>
      <c r="AL220" s="8" t="n">
        <v>6</v>
      </c>
      <c r="AM220" s="5" t="inlineStr"/>
      <c r="AN220" s="5" t="inlineStr"/>
      <c r="AO220" s="5" t="inlineStr"/>
      <c r="AP220" s="5" t="inlineStr"/>
      <c r="AQ220" s="5" t="inlineStr"/>
      <c r="AR220" s="5" t="inlineStr"/>
      <c r="AS220" s="5" t="inlineStr"/>
      <c r="AT220" s="5" t="inlineStr"/>
      <c r="AU220" s="8" t="inlineStr">
        <is>
          <t>Not run</t>
        </is>
      </c>
    </row>
    <row r="221" ht="32" customHeight="1">
      <c r="A221" s="16" t="inlineStr">
        <is>
          <t>X-0220</t>
        </is>
      </c>
      <c r="B221" s="8" t="inlineStr">
        <is>
          <t>X</t>
        </is>
      </c>
      <c r="C221" s="5" t="inlineStr">
        <is>
          <t>Multiple / Cross-persona</t>
        </is>
      </c>
      <c r="D221" s="5" t="inlineStr">
        <is>
          <t>Procure-to-Pay</t>
        </is>
      </c>
      <c r="E221" s="5" t="inlineStr">
        <is>
          <t>Supplier invoice arrives → invoice is matched against PO/GRN</t>
        </is>
      </c>
      <c r="F221" s="5" t="inlineStr">
        <is>
          <t>In-house Accountant</t>
        </is>
      </c>
      <c r="G221" s="5" t="inlineStr">
        <is>
          <t>Purchase Manager</t>
        </is>
      </c>
      <c r="H221" s="5" t="inlineStr">
        <is>
          <t>3-way matching between Purchase Order, Goods Receipt Note, and Supplier Tax Invoice</t>
        </is>
      </c>
      <c r="I221" s="5" t="inlineStr">
        <is>
          <t>Matches invoice quantities, unit prices, and tax rates against GRN and PO records</t>
        </is>
      </c>
      <c r="J221" s="20" t="inlineStr">
        <is>
          <t>P1</t>
        </is>
      </c>
      <c r="K221" s="20" t="inlineStr">
        <is>
          <t>Validated (Supported)</t>
        </is>
      </c>
      <c r="L221" s="5" t="inlineStr">
        <is>
          <t>Supported via 3-way matching interface in /purchases/invoices/create.</t>
        </is>
      </c>
      <c r="M221" s="8" t="inlineStr">
        <is>
          <t>Baseline</t>
        </is>
      </c>
      <c r="N221" s="8" t="inlineStr">
        <is>
          <t>Cross-persona</t>
        </is>
      </c>
      <c r="O221" s="8" t="inlineStr">
        <is>
          <t>P1</t>
        </is>
      </c>
      <c r="P221" s="5" t="inlineStr">
        <is>
          <t>Unchanged</t>
        </is>
      </c>
      <c r="Q221" s="20" t="inlineStr">
        <is>
          <t>Author assertion</t>
        </is>
      </c>
      <c r="R221" s="5" t="inlineStr"/>
      <c r="S221" s="8" t="inlineStr">
        <is>
          <t>P2P</t>
        </is>
      </c>
      <c r="T221" s="5" t="inlineStr">
        <is>
          <t>Procure to pay</t>
        </is>
      </c>
      <c r="U221" s="8" t="inlineStr"/>
      <c r="V221" s="8" t="inlineStr">
        <is>
          <t>purchases</t>
        </is>
      </c>
      <c r="W221" s="8" t="inlineStr">
        <is>
          <t>RUN</t>
        </is>
      </c>
      <c r="X221" s="5" t="inlineStr">
        <is>
          <t>Core</t>
        </is>
      </c>
      <c r="Y221" s="5" t="inlineStr">
        <is>
          <t>Cross-persona</t>
        </is>
      </c>
      <c r="Z221" s="5" t="inlineStr">
        <is>
          <t>Medium</t>
        </is>
      </c>
      <c r="AA221" s="5" t="inlineStr">
        <is>
          <t>Medium</t>
        </is>
      </c>
      <c r="AB221" s="8" t="inlineStr">
        <is>
          <t>Low</t>
        </is>
      </c>
      <c r="AC221" s="8" t="inlineStr">
        <is>
          <t>Pilot</t>
        </is>
      </c>
      <c r="AD221" s="5" t="inlineStr">
        <is>
          <t>Not independently checked</t>
        </is>
      </c>
      <c r="AE221" s="5" t="inlineStr">
        <is>
          <t>Not verified</t>
        </is>
      </c>
      <c r="AF221" s="5" t="inlineStr">
        <is>
          <t>Not verified</t>
        </is>
      </c>
      <c r="AG221" s="5" t="inlineStr">
        <is>
          <t>Not verified</t>
        </is>
      </c>
      <c r="AH221" s="5" t="inlineStr">
        <is>
          <t>Not verified</t>
        </is>
      </c>
      <c r="AI221" s="8" t="inlineStr">
        <is>
          <t>No</t>
        </is>
      </c>
      <c r="AJ221" s="8" t="inlineStr">
        <is>
          <t>Claimed - unverified</t>
        </is>
      </c>
      <c r="AK221" s="8" t="inlineStr">
        <is>
          <t>P1</t>
        </is>
      </c>
      <c r="AL221" s="8" t="n">
        <v>6</v>
      </c>
      <c r="AM221" s="5" t="inlineStr"/>
      <c r="AN221" s="5" t="inlineStr"/>
      <c r="AO221" s="5" t="inlineStr"/>
      <c r="AP221" s="5" t="inlineStr"/>
      <c r="AQ221" s="5" t="inlineStr"/>
      <c r="AR221" s="5" t="inlineStr"/>
      <c r="AS221" s="5" t="inlineStr"/>
      <c r="AT221" s="5" t="inlineStr"/>
      <c r="AU221" s="8" t="inlineStr">
        <is>
          <t>Not run</t>
        </is>
      </c>
    </row>
    <row r="222" ht="32" customHeight="1">
      <c r="A222" s="16" t="inlineStr">
        <is>
          <t>X-0221</t>
        </is>
      </c>
      <c r="B222" s="8" t="inlineStr">
        <is>
          <t>X</t>
        </is>
      </c>
      <c r="C222" s="5" t="inlineStr">
        <is>
          <t>Multiple / Cross-persona</t>
        </is>
      </c>
      <c r="D222" s="5" t="inlineStr">
        <is>
          <t>Procure-to-Pay</t>
        </is>
      </c>
      <c r="E222" s="5" t="inlineStr">
        <is>
          <t>Quantity mismatch → exception is generated</t>
        </is>
      </c>
      <c r="F222" s="5" t="inlineStr">
        <is>
          <t>In-house Accountant</t>
        </is>
      </c>
      <c r="G222" s="5" t="inlineStr">
        <is>
          <t>Purchase Manager</t>
        </is>
      </c>
      <c r="H222" s="5" t="inlineStr">
        <is>
          <t>Discrepancy flagged when billed invoice quantity exceeds physically received GRN quantity</t>
        </is>
      </c>
      <c r="I222" s="5" t="inlineStr">
        <is>
          <t>Generates Quantity Mismatch exception; blocks automated invoice approval pending review</t>
        </is>
      </c>
      <c r="J222" s="20" t="inlineStr">
        <is>
          <t>P1</t>
        </is>
      </c>
      <c r="K222" s="20" t="inlineStr">
        <is>
          <t>Validated (Supported)</t>
        </is>
      </c>
      <c r="L222" s="5" t="inlineStr">
        <is>
          <t>Automated validation check; surfaces variance warning badge on invoice line.</t>
        </is>
      </c>
      <c r="M222" s="8" t="inlineStr">
        <is>
          <t>Baseline</t>
        </is>
      </c>
      <c r="N222" s="8" t="inlineStr">
        <is>
          <t>Cross-persona</t>
        </is>
      </c>
      <c r="O222" s="8" t="inlineStr">
        <is>
          <t>P1</t>
        </is>
      </c>
      <c r="P222" s="5" t="inlineStr">
        <is>
          <t>Unchanged</t>
        </is>
      </c>
      <c r="Q222" s="20" t="inlineStr">
        <is>
          <t>Author assertion</t>
        </is>
      </c>
      <c r="R222" s="5" t="inlineStr"/>
      <c r="S222" s="8" t="inlineStr">
        <is>
          <t>P2P</t>
        </is>
      </c>
      <c r="T222" s="5" t="inlineStr">
        <is>
          <t>Procure to pay</t>
        </is>
      </c>
      <c r="U222" s="8" t="inlineStr"/>
      <c r="V222" s="8" t="inlineStr">
        <is>
          <t>purchases</t>
        </is>
      </c>
      <c r="W222" s="8" t="inlineStr">
        <is>
          <t>RUN</t>
        </is>
      </c>
      <c r="X222" s="5" t="inlineStr">
        <is>
          <t>Core</t>
        </is>
      </c>
      <c r="Y222" s="5" t="inlineStr">
        <is>
          <t>Cross-persona</t>
        </is>
      </c>
      <c r="Z222" s="5" t="inlineStr">
        <is>
          <t>Medium</t>
        </is>
      </c>
      <c r="AA222" s="5" t="inlineStr">
        <is>
          <t>Medium</t>
        </is>
      </c>
      <c r="AB222" s="8" t="inlineStr">
        <is>
          <t>Low</t>
        </is>
      </c>
      <c r="AC222" s="8" t="inlineStr">
        <is>
          <t>Pilot</t>
        </is>
      </c>
      <c r="AD222" s="5" t="inlineStr">
        <is>
          <t>Not independently checked</t>
        </is>
      </c>
      <c r="AE222" s="5" t="inlineStr">
        <is>
          <t>Not verified</t>
        </is>
      </c>
      <c r="AF222" s="5" t="inlineStr">
        <is>
          <t>Not verified</t>
        </is>
      </c>
      <c r="AG222" s="5" t="inlineStr">
        <is>
          <t>Not verified</t>
        </is>
      </c>
      <c r="AH222" s="5" t="inlineStr">
        <is>
          <t>Not verified</t>
        </is>
      </c>
      <c r="AI222" s="8" t="inlineStr">
        <is>
          <t>No</t>
        </is>
      </c>
      <c r="AJ222" s="8" t="inlineStr">
        <is>
          <t>Claimed - unverified</t>
        </is>
      </c>
      <c r="AK222" s="8" t="inlineStr">
        <is>
          <t>P1</t>
        </is>
      </c>
      <c r="AL222" s="8" t="n">
        <v>6</v>
      </c>
      <c r="AM222" s="5" t="inlineStr"/>
      <c r="AN222" s="5" t="inlineStr"/>
      <c r="AO222" s="5" t="inlineStr"/>
      <c r="AP222" s="5" t="inlineStr"/>
      <c r="AQ222" s="5" t="inlineStr"/>
      <c r="AR222" s="5" t="inlineStr"/>
      <c r="AS222" s="5" t="inlineStr"/>
      <c r="AT222" s="5" t="inlineStr"/>
      <c r="AU222" s="8" t="inlineStr">
        <is>
          <t>Not run</t>
        </is>
      </c>
    </row>
    <row r="223" ht="32" customHeight="1">
      <c r="A223" s="16" t="inlineStr">
        <is>
          <t>X-0222</t>
        </is>
      </c>
      <c r="B223" s="8" t="inlineStr">
        <is>
          <t>X</t>
        </is>
      </c>
      <c r="C223" s="5" t="inlineStr">
        <is>
          <t>Multiple / Cross-persona</t>
        </is>
      </c>
      <c r="D223" s="5" t="inlineStr">
        <is>
          <t>Procure-to-Pay</t>
        </is>
      </c>
      <c r="E223" s="5" t="inlineStr">
        <is>
          <t>Price mismatch → exception is generated</t>
        </is>
      </c>
      <c r="F223" s="5" t="inlineStr">
        <is>
          <t>In-house Accountant</t>
        </is>
      </c>
      <c r="G223" s="5" t="inlineStr">
        <is>
          <t>Purchase Manager</t>
        </is>
      </c>
      <c r="H223" s="5" t="inlineStr">
        <is>
          <t>Discrepancy flagged when billed unit price exceeds PO contracted price</t>
        </is>
      </c>
      <c r="I223" s="5" t="inlineStr">
        <is>
          <t>Generates Price Variance exception; requires Purchase Manager authorization to accept</t>
        </is>
      </c>
      <c r="J223" s="20" t="inlineStr">
        <is>
          <t>P1</t>
        </is>
      </c>
      <c r="K223" s="20" t="inlineStr">
        <is>
          <t>Validated (Supported)</t>
        </is>
      </c>
      <c r="L223" s="5" t="inlineStr">
        <is>
          <t>Automated price variance check against PO master rate.</t>
        </is>
      </c>
      <c r="M223" s="8" t="inlineStr">
        <is>
          <t>Baseline</t>
        </is>
      </c>
      <c r="N223" s="8" t="inlineStr">
        <is>
          <t>Cross-persona</t>
        </is>
      </c>
      <c r="O223" s="8" t="inlineStr">
        <is>
          <t>P1</t>
        </is>
      </c>
      <c r="P223" s="5" t="inlineStr">
        <is>
          <t>Unchanged</t>
        </is>
      </c>
      <c r="Q223" s="20" t="inlineStr">
        <is>
          <t>Author assertion</t>
        </is>
      </c>
      <c r="R223" s="5" t="inlineStr"/>
      <c r="S223" s="8" t="inlineStr">
        <is>
          <t>P2P</t>
        </is>
      </c>
      <c r="T223" s="5" t="inlineStr">
        <is>
          <t>Procure to pay</t>
        </is>
      </c>
      <c r="U223" s="8" t="inlineStr"/>
      <c r="V223" s="8" t="inlineStr">
        <is>
          <t>purchases</t>
        </is>
      </c>
      <c r="W223" s="8" t="inlineStr">
        <is>
          <t>RUN</t>
        </is>
      </c>
      <c r="X223" s="5" t="inlineStr">
        <is>
          <t>Core</t>
        </is>
      </c>
      <c r="Y223" s="5" t="inlineStr">
        <is>
          <t>Cross-persona</t>
        </is>
      </c>
      <c r="Z223" s="5" t="inlineStr">
        <is>
          <t>Medium</t>
        </is>
      </c>
      <c r="AA223" s="5" t="inlineStr">
        <is>
          <t>Medium</t>
        </is>
      </c>
      <c r="AB223" s="8" t="inlineStr">
        <is>
          <t>Low</t>
        </is>
      </c>
      <c r="AC223" s="8" t="inlineStr">
        <is>
          <t>Pilot</t>
        </is>
      </c>
      <c r="AD223" s="5" t="inlineStr">
        <is>
          <t>Not independently checked</t>
        </is>
      </c>
      <c r="AE223" s="5" t="inlineStr">
        <is>
          <t>Not verified</t>
        </is>
      </c>
      <c r="AF223" s="5" t="inlineStr">
        <is>
          <t>Not verified</t>
        </is>
      </c>
      <c r="AG223" s="5" t="inlineStr">
        <is>
          <t>Not verified</t>
        </is>
      </c>
      <c r="AH223" s="5" t="inlineStr">
        <is>
          <t>Not verified</t>
        </is>
      </c>
      <c r="AI223" s="8" t="inlineStr">
        <is>
          <t>No</t>
        </is>
      </c>
      <c r="AJ223" s="8" t="inlineStr">
        <is>
          <t>Claimed - unverified</t>
        </is>
      </c>
      <c r="AK223" s="8" t="inlineStr">
        <is>
          <t>P1</t>
        </is>
      </c>
      <c r="AL223" s="8" t="n">
        <v>6</v>
      </c>
      <c r="AM223" s="5" t="inlineStr"/>
      <c r="AN223" s="5" t="inlineStr"/>
      <c r="AO223" s="5" t="inlineStr"/>
      <c r="AP223" s="5" t="inlineStr"/>
      <c r="AQ223" s="5" t="inlineStr"/>
      <c r="AR223" s="5" t="inlineStr"/>
      <c r="AS223" s="5" t="inlineStr"/>
      <c r="AT223" s="5" t="inlineStr"/>
      <c r="AU223" s="8" t="inlineStr">
        <is>
          <t>Not run</t>
        </is>
      </c>
    </row>
    <row r="224" ht="32" customHeight="1">
      <c r="A224" s="16" t="inlineStr">
        <is>
          <t>X-0223</t>
        </is>
      </c>
      <c r="B224" s="8" t="inlineStr">
        <is>
          <t>X</t>
        </is>
      </c>
      <c r="C224" s="5" t="inlineStr">
        <is>
          <t>Multiple / Cross-persona</t>
        </is>
      </c>
      <c r="D224" s="5" t="inlineStr">
        <is>
          <t>Procure-to-Pay</t>
        </is>
      </c>
      <c r="E224" s="5" t="inlineStr">
        <is>
          <t>Tax mismatch → exception is generated</t>
        </is>
      </c>
      <c r="F224" s="5" t="inlineStr">
        <is>
          <t>In-house Accountant</t>
        </is>
      </c>
      <c r="G224" s="5" t="inlineStr">
        <is>
          <t>Supplier</t>
        </is>
      </c>
      <c r="H224" s="5" t="inlineStr">
        <is>
          <t>Discrepancy flagged when supplier tax rate or calculation differs from configured HSN rate</t>
        </is>
      </c>
      <c r="I224" s="5" t="inlineStr">
        <is>
          <t>Flags statutory tax mismatch; prevents incorrect Input Tax Credit (ITC) booking</t>
        </is>
      </c>
      <c r="J224" s="20" t="inlineStr">
        <is>
          <t>P1</t>
        </is>
      </c>
      <c r="K224" s="20" t="inlineStr">
        <is>
          <t>Validated (Supported)</t>
        </is>
      </c>
      <c r="L224" s="5" t="inlineStr">
        <is>
          <t>GST Guard validation rule checking invoice tax against master HSN schedule.</t>
        </is>
      </c>
      <c r="M224" s="8" t="inlineStr">
        <is>
          <t>Baseline</t>
        </is>
      </c>
      <c r="N224" s="8" t="inlineStr">
        <is>
          <t>Cross-persona</t>
        </is>
      </c>
      <c r="O224" s="8" t="inlineStr">
        <is>
          <t>P1</t>
        </is>
      </c>
      <c r="P224" s="5" t="inlineStr">
        <is>
          <t>Unchanged</t>
        </is>
      </c>
      <c r="Q224" s="20" t="inlineStr">
        <is>
          <t>Author assertion</t>
        </is>
      </c>
      <c r="R224" s="5" t="inlineStr"/>
      <c r="S224" s="8" t="inlineStr">
        <is>
          <t>P2P</t>
        </is>
      </c>
      <c r="T224" s="5" t="inlineStr">
        <is>
          <t>Procure to pay</t>
        </is>
      </c>
      <c r="U224" s="8" t="inlineStr"/>
      <c r="V224" s="8" t="inlineStr">
        <is>
          <t>purchases</t>
        </is>
      </c>
      <c r="W224" s="8" t="inlineStr">
        <is>
          <t>RUN</t>
        </is>
      </c>
      <c r="X224" s="5" t="inlineStr">
        <is>
          <t>Core</t>
        </is>
      </c>
      <c r="Y224" s="5" t="inlineStr">
        <is>
          <t>Cross-persona</t>
        </is>
      </c>
      <c r="Z224" s="5" t="inlineStr">
        <is>
          <t>Medium</t>
        </is>
      </c>
      <c r="AA224" s="5" t="inlineStr">
        <is>
          <t>Medium</t>
        </is>
      </c>
      <c r="AB224" s="8" t="inlineStr">
        <is>
          <t>Low</t>
        </is>
      </c>
      <c r="AC224" s="8" t="inlineStr">
        <is>
          <t>Pilot</t>
        </is>
      </c>
      <c r="AD224" s="5" t="inlineStr">
        <is>
          <t>Not independently checked</t>
        </is>
      </c>
      <c r="AE224" s="5" t="inlineStr">
        <is>
          <t>Not verified</t>
        </is>
      </c>
      <c r="AF224" s="5" t="inlineStr">
        <is>
          <t>Not verified</t>
        </is>
      </c>
      <c r="AG224" s="5" t="inlineStr">
        <is>
          <t>Not verified</t>
        </is>
      </c>
      <c r="AH224" s="5" t="inlineStr">
        <is>
          <t>Not verified</t>
        </is>
      </c>
      <c r="AI224" s="8" t="inlineStr">
        <is>
          <t>No</t>
        </is>
      </c>
      <c r="AJ224" s="8" t="inlineStr">
        <is>
          <t>Claimed - unverified</t>
        </is>
      </c>
      <c r="AK224" s="8" t="inlineStr">
        <is>
          <t>P1</t>
        </is>
      </c>
      <c r="AL224" s="8" t="n">
        <v>6</v>
      </c>
      <c r="AM224" s="5" t="inlineStr"/>
      <c r="AN224" s="5" t="inlineStr"/>
      <c r="AO224" s="5" t="inlineStr"/>
      <c r="AP224" s="5" t="inlineStr"/>
      <c r="AQ224" s="5" t="inlineStr"/>
      <c r="AR224" s="5" t="inlineStr"/>
      <c r="AS224" s="5" t="inlineStr"/>
      <c r="AT224" s="5" t="inlineStr"/>
      <c r="AU224" s="8" t="inlineStr">
        <is>
          <t>Not run</t>
        </is>
      </c>
    </row>
    <row r="225" ht="32" customHeight="1">
      <c r="A225" s="16" t="inlineStr">
        <is>
          <t>X-0224</t>
        </is>
      </c>
      <c r="B225" s="8" t="inlineStr">
        <is>
          <t>X</t>
        </is>
      </c>
      <c r="C225" s="5" t="inlineStr">
        <is>
          <t>Multiple / Cross-persona</t>
        </is>
      </c>
      <c r="D225" s="5" t="inlineStr">
        <is>
          <t>Procure-to-Pay</t>
        </is>
      </c>
      <c r="E225" s="5" t="inlineStr">
        <is>
          <t>Supplier invoice accepted → payable is created</t>
        </is>
      </c>
      <c r="F225" s="5" t="inlineStr">
        <is>
          <t>System / Ledger Engine</t>
        </is>
      </c>
      <c r="G225" s="5" t="inlineStr">
        <is>
          <t>In-house Accountant</t>
        </is>
      </c>
      <c r="H225" s="5" t="inlineStr">
        <is>
          <t>Accounts Payable liability booked in general ledger for supplier settlement</t>
        </is>
      </c>
      <c r="I225" s="5" t="inlineStr">
        <is>
          <t>Credits Supplier Accounts Payable ledger account; debits Purchase Expense/Inventory asset in GL</t>
        </is>
      </c>
      <c r="J225" s="20" t="inlineStr">
        <is>
          <t>P1</t>
        </is>
      </c>
      <c r="K225" s="20" t="inlineStr">
        <is>
          <t>Validated (Supported)</t>
        </is>
      </c>
      <c r="L225" s="5" t="inlineStr">
        <is>
          <t>Core system invariant: PurchaseInvoice completion atomically creates double-entry AP voucher.</t>
        </is>
      </c>
      <c r="M225" s="8" t="inlineStr">
        <is>
          <t>Baseline</t>
        </is>
      </c>
      <c r="N225" s="8" t="inlineStr">
        <is>
          <t>Cross-persona</t>
        </is>
      </c>
      <c r="O225" s="8" t="inlineStr">
        <is>
          <t>P1</t>
        </is>
      </c>
      <c r="P225" s="5" t="inlineStr">
        <is>
          <t>Restored to authored P1. The previous workbook had P0 after a keyword rebalance.</t>
        </is>
      </c>
      <c r="Q225" s="21" t="inlineStr">
        <is>
          <t>Code symbol found</t>
        </is>
      </c>
      <c r="R225" s="5" t="inlineStr">
        <is>
          <t>Matched PurchaseInvoice in product code. This is not a functional test. Restored to authored P1. The previous workbook had P0 after a keyword rebalance.</t>
        </is>
      </c>
      <c r="S225" s="8" t="inlineStr">
        <is>
          <t>P2P</t>
        </is>
      </c>
      <c r="T225" s="5" t="inlineStr">
        <is>
          <t>Procure to pay</t>
        </is>
      </c>
      <c r="U225" s="8" t="inlineStr"/>
      <c r="V225" s="8" t="inlineStr">
        <is>
          <t>purchases</t>
        </is>
      </c>
      <c r="W225" s="8" t="inlineStr">
        <is>
          <t>RUN</t>
        </is>
      </c>
      <c r="X225" s="5" t="inlineStr">
        <is>
          <t>Core</t>
        </is>
      </c>
      <c r="Y225" s="5" t="inlineStr">
        <is>
          <t>Cross-persona</t>
        </is>
      </c>
      <c r="Z225" s="5" t="inlineStr">
        <is>
          <t>Medium</t>
        </is>
      </c>
      <c r="AA225" s="5" t="inlineStr">
        <is>
          <t>Medium</t>
        </is>
      </c>
      <c r="AB225" s="8" t="inlineStr">
        <is>
          <t>Low</t>
        </is>
      </c>
      <c r="AC225" s="8" t="inlineStr">
        <is>
          <t>Pilot</t>
        </is>
      </c>
      <c r="AD225" s="5" t="inlineStr">
        <is>
          <t>Cited in code</t>
        </is>
      </c>
      <c r="AE225" s="5" t="inlineStr">
        <is>
          <t>Not verified</t>
        </is>
      </c>
      <c r="AF225" s="5" t="inlineStr">
        <is>
          <t>Not verified</t>
        </is>
      </c>
      <c r="AG225" s="5" t="inlineStr">
        <is>
          <t>Not verified</t>
        </is>
      </c>
      <c r="AH225" s="5" t="inlineStr">
        <is>
          <t>Not verified</t>
        </is>
      </c>
      <c r="AI225" s="8" t="inlineStr">
        <is>
          <t>No</t>
        </is>
      </c>
      <c r="AJ225" s="8" t="inlineStr">
        <is>
          <t>Built - unverified</t>
        </is>
      </c>
      <c r="AK225" s="8" t="inlineStr">
        <is>
          <t>P1</t>
        </is>
      </c>
      <c r="AL225" s="8" t="n">
        <v>6</v>
      </c>
      <c r="AM225" s="5" t="inlineStr"/>
      <c r="AN225" s="5" t="inlineStr"/>
      <c r="AO225" s="5" t="inlineStr"/>
      <c r="AP225" s="5" t="inlineStr"/>
      <c r="AQ225" s="5" t="inlineStr"/>
      <c r="AR225" s="5" t="inlineStr"/>
      <c r="AS225" s="5" t="inlineStr"/>
      <c r="AT225" s="5" t="inlineStr"/>
      <c r="AU225" s="8" t="inlineStr">
        <is>
          <t>Not run</t>
        </is>
      </c>
    </row>
    <row r="226" ht="32" customHeight="1">
      <c r="A226" s="16" t="inlineStr">
        <is>
          <t>X-0225</t>
        </is>
      </c>
      <c r="B226" s="8" t="inlineStr">
        <is>
          <t>X</t>
        </is>
      </c>
      <c r="C226" s="5" t="inlineStr">
        <is>
          <t>Multiple / Cross-persona</t>
        </is>
      </c>
      <c r="D226" s="5" t="inlineStr">
        <is>
          <t>Procure-to-Pay</t>
        </is>
      </c>
      <c r="E226" s="5" t="inlineStr">
        <is>
          <t>Purchase → GST input tax is calculated</t>
        </is>
      </c>
      <c r="F226" s="5" t="inlineStr">
        <is>
          <t>Tax Calculation Engine</t>
        </is>
      </c>
      <c r="G226" s="5" t="inlineStr">
        <is>
          <t>In-house Accountant</t>
        </is>
      </c>
      <c r="H226" s="5" t="inlineStr">
        <is>
          <t>Input Tax Credit (ITC) calculated and credited to CGST/SGST/IGST input tax ledgers</t>
        </is>
      </c>
      <c r="I226" s="5" t="inlineStr">
        <is>
          <t>Debits GST Input Tax ledger accounts; populates inward tax summary for GSTR-3B Table 4</t>
        </is>
      </c>
      <c r="J226" s="20" t="inlineStr">
        <is>
          <t>P1</t>
        </is>
      </c>
      <c r="K226" s="20" t="inlineStr">
        <is>
          <t>Validated (Supported)</t>
        </is>
      </c>
      <c r="L226" s="5" t="inlineStr">
        <is>
          <t>Supported via TaxEngine inward tax calculation.</t>
        </is>
      </c>
      <c r="M226" s="8" t="inlineStr">
        <is>
          <t>Baseline</t>
        </is>
      </c>
      <c r="N226" s="8" t="inlineStr">
        <is>
          <t>Cross-persona</t>
        </is>
      </c>
      <c r="O226" s="8" t="inlineStr">
        <is>
          <t>P1</t>
        </is>
      </c>
      <c r="P226" s="5" t="inlineStr">
        <is>
          <t>Unchanged</t>
        </is>
      </c>
      <c r="Q226" s="21" t="inlineStr">
        <is>
          <t>Code symbol found</t>
        </is>
      </c>
      <c r="R226" s="5" t="inlineStr">
        <is>
          <t>Matched TaxEngine in product code. This is not a functional test.</t>
        </is>
      </c>
      <c r="S226" s="8" t="inlineStr">
        <is>
          <t>P2P</t>
        </is>
      </c>
      <c r="T226" s="5" t="inlineStr">
        <is>
          <t>Procure to pay</t>
        </is>
      </c>
      <c r="U226" s="8" t="inlineStr"/>
      <c r="V226" s="8" t="inlineStr">
        <is>
          <t>purchases</t>
        </is>
      </c>
      <c r="W226" s="8" t="inlineStr">
        <is>
          <t>RUN</t>
        </is>
      </c>
      <c r="X226" s="5" t="inlineStr">
        <is>
          <t>Core</t>
        </is>
      </c>
      <c r="Y226" s="5" t="inlineStr">
        <is>
          <t>Cross-persona</t>
        </is>
      </c>
      <c r="Z226" s="5" t="inlineStr">
        <is>
          <t>Medium</t>
        </is>
      </c>
      <c r="AA226" s="5" t="inlineStr">
        <is>
          <t>Medium</t>
        </is>
      </c>
      <c r="AB226" s="8" t="inlineStr">
        <is>
          <t>Low</t>
        </is>
      </c>
      <c r="AC226" s="8" t="inlineStr">
        <is>
          <t>Pilot</t>
        </is>
      </c>
      <c r="AD226" s="5" t="inlineStr">
        <is>
          <t>Cited in code</t>
        </is>
      </c>
      <c r="AE226" s="5" t="inlineStr">
        <is>
          <t>Not verified</t>
        </is>
      </c>
      <c r="AF226" s="5" t="inlineStr">
        <is>
          <t>Not verified</t>
        </is>
      </c>
      <c r="AG226" s="5" t="inlineStr">
        <is>
          <t>Not verified</t>
        </is>
      </c>
      <c r="AH226" s="5" t="inlineStr">
        <is>
          <t>Not verified</t>
        </is>
      </c>
      <c r="AI226" s="8" t="inlineStr">
        <is>
          <t>No</t>
        </is>
      </c>
      <c r="AJ226" s="8" t="inlineStr">
        <is>
          <t>Built - unverified</t>
        </is>
      </c>
      <c r="AK226" s="8" t="inlineStr">
        <is>
          <t>P1</t>
        </is>
      </c>
      <c r="AL226" s="8" t="n">
        <v>6</v>
      </c>
      <c r="AM226" s="5" t="inlineStr"/>
      <c r="AN226" s="5" t="inlineStr"/>
      <c r="AO226" s="5" t="inlineStr"/>
      <c r="AP226" s="5" t="inlineStr"/>
      <c r="AQ226" s="5" t="inlineStr"/>
      <c r="AR226" s="5" t="inlineStr"/>
      <c r="AS226" s="5" t="inlineStr"/>
      <c r="AT226" s="5" t="inlineStr"/>
      <c r="AU226" s="8" t="inlineStr">
        <is>
          <t>Not run</t>
        </is>
      </c>
    </row>
    <row r="227" ht="32" customHeight="1">
      <c r="A227" s="16" t="inlineStr">
        <is>
          <t>X-0226</t>
        </is>
      </c>
      <c r="B227" s="8" t="inlineStr">
        <is>
          <t>X</t>
        </is>
      </c>
      <c r="C227" s="5" t="inlineStr">
        <is>
          <t>Multiple / Cross-persona</t>
        </is>
      </c>
      <c r="D227" s="5" t="inlineStr">
        <is>
          <t>Procure-to-Pay</t>
        </is>
      </c>
      <c r="E227" s="5" t="inlineStr">
        <is>
          <t>Purchase → eligible ITC is identified</t>
        </is>
      </c>
      <c r="F227" s="5" t="inlineStr">
        <is>
          <t>In-house Accountant</t>
        </is>
      </c>
      <c r="G227" s="5" t="inlineStr">
        <is>
          <t>External CA</t>
        </is>
      </c>
      <c r="H227" s="5" t="inlineStr">
        <is>
          <t>Categorization of input tax credit as eligible or ineligible (blocked under Section 17(5))</t>
        </is>
      </c>
      <c r="I227" s="5" t="inlineStr">
        <is>
          <t>Tags ITC eligibility status; separates blocked ITC (motor vehicles, food) from eligible trade ITC</t>
        </is>
      </c>
      <c r="J227" s="20" t="inlineStr">
        <is>
          <t>P1</t>
        </is>
      </c>
      <c r="K227" s="20" t="inlineStr">
        <is>
          <t>Validated (Supported)</t>
        </is>
      </c>
      <c r="L227" s="5" t="inlineStr">
        <is>
          <t>Supported via Section 17(5) blocked credit selector on purchase invoice line items.</t>
        </is>
      </c>
      <c r="M227" s="8" t="inlineStr">
        <is>
          <t>Baseline</t>
        </is>
      </c>
      <c r="N227" s="8" t="inlineStr">
        <is>
          <t>Cross-persona</t>
        </is>
      </c>
      <c r="O227" s="8" t="inlineStr">
        <is>
          <t>P1</t>
        </is>
      </c>
      <c r="P227" s="5" t="inlineStr">
        <is>
          <t>Restored to authored P1. The previous workbook had P0 after a keyword rebalance.</t>
        </is>
      </c>
      <c r="Q227" s="20" t="inlineStr">
        <is>
          <t>Author assertion</t>
        </is>
      </c>
      <c r="R227" s="5" t="inlineStr">
        <is>
          <t>Restored to authored P1. The previous workbook had P0 after a keyword rebalance.</t>
        </is>
      </c>
      <c r="S227" s="8" t="inlineStr">
        <is>
          <t>P2P</t>
        </is>
      </c>
      <c r="T227" s="5" t="inlineStr">
        <is>
          <t>Procure to pay</t>
        </is>
      </c>
      <c r="U227" s="8" t="inlineStr"/>
      <c r="V227" s="8" t="inlineStr">
        <is>
          <t>purchases</t>
        </is>
      </c>
      <c r="W227" s="8" t="inlineStr">
        <is>
          <t>RUN</t>
        </is>
      </c>
      <c r="X227" s="5" t="inlineStr">
        <is>
          <t>Core</t>
        </is>
      </c>
      <c r="Y227" s="5" t="inlineStr">
        <is>
          <t>Cross-persona</t>
        </is>
      </c>
      <c r="Z227" s="5" t="inlineStr">
        <is>
          <t>Medium</t>
        </is>
      </c>
      <c r="AA227" s="5" t="inlineStr">
        <is>
          <t>Medium</t>
        </is>
      </c>
      <c r="AB227" s="8" t="inlineStr">
        <is>
          <t>Low</t>
        </is>
      </c>
      <c r="AC227" s="8" t="inlineStr">
        <is>
          <t>Pilot</t>
        </is>
      </c>
      <c r="AD227" s="5" t="inlineStr">
        <is>
          <t>Not independently checked</t>
        </is>
      </c>
      <c r="AE227" s="5" t="inlineStr">
        <is>
          <t>Not verified</t>
        </is>
      </c>
      <c r="AF227" s="5" t="inlineStr">
        <is>
          <t>Not verified</t>
        </is>
      </c>
      <c r="AG227" s="5" t="inlineStr">
        <is>
          <t>Not verified</t>
        </is>
      </c>
      <c r="AH227" s="5" t="inlineStr">
        <is>
          <t>Not verified</t>
        </is>
      </c>
      <c r="AI227" s="8" t="inlineStr">
        <is>
          <t>No</t>
        </is>
      </c>
      <c r="AJ227" s="8" t="inlineStr">
        <is>
          <t>Claimed - unverified</t>
        </is>
      </c>
      <c r="AK227" s="8" t="inlineStr">
        <is>
          <t>P1</t>
        </is>
      </c>
      <c r="AL227" s="8" t="n">
        <v>6</v>
      </c>
      <c r="AM227" s="5" t="inlineStr"/>
      <c r="AN227" s="5" t="inlineStr"/>
      <c r="AO227" s="5" t="inlineStr"/>
      <c r="AP227" s="5" t="inlineStr"/>
      <c r="AQ227" s="5" t="inlineStr"/>
      <c r="AR227" s="5" t="inlineStr"/>
      <c r="AS227" s="5" t="inlineStr"/>
      <c r="AT227" s="5" t="inlineStr"/>
      <c r="AU227" s="8" t="inlineStr">
        <is>
          <t>Not run</t>
        </is>
      </c>
    </row>
    <row r="228" ht="32" customHeight="1">
      <c r="A228" s="16" t="inlineStr">
        <is>
          <t>X-0227</t>
        </is>
      </c>
      <c r="B228" s="8" t="inlineStr">
        <is>
          <t>X</t>
        </is>
      </c>
      <c r="C228" s="5" t="inlineStr">
        <is>
          <t>Multiple / Cross-persona</t>
        </is>
      </c>
      <c r="D228" s="5" t="inlineStr">
        <is>
          <t>Procure-to-Pay</t>
        </is>
      </c>
      <c r="E228" s="5" t="inlineStr">
        <is>
          <t>Supplier payment recorded → payable decreases</t>
        </is>
      </c>
      <c r="F228" s="5" t="inlineStr">
        <is>
          <t>Accounts Cashier</t>
        </is>
      </c>
      <c r="G228" s="5" t="inlineStr">
        <is>
          <t>Supplier</t>
        </is>
      </c>
      <c r="H228" s="5" t="inlineStr">
        <is>
          <t>Payment disbursement to vendor via NEFT/RTGS/Cheque recorded in system</t>
        </is>
      </c>
      <c r="I228" s="5" t="inlineStr">
        <is>
          <t>Debits Supplier Accounts Payable account; credits Bank/Cash account; decreases liability</t>
        </is>
      </c>
      <c r="J228" s="20" t="inlineStr">
        <is>
          <t>P1</t>
        </is>
      </c>
      <c r="K228" s="20" t="inlineStr">
        <is>
          <t>Validated (Supported)</t>
        </is>
      </c>
      <c r="L228" s="5" t="inlineStr">
        <is>
          <t>Supported via /purchases/payments/create with multi-invoice allocation.</t>
        </is>
      </c>
      <c r="M228" s="8" t="inlineStr">
        <is>
          <t>Baseline</t>
        </is>
      </c>
      <c r="N228" s="8" t="inlineStr">
        <is>
          <t>Cross-persona</t>
        </is>
      </c>
      <c r="O228" s="8" t="inlineStr">
        <is>
          <t>P1</t>
        </is>
      </c>
      <c r="P228" s="5" t="inlineStr">
        <is>
          <t>Unchanged</t>
        </is>
      </c>
      <c r="Q228" s="20" t="inlineStr">
        <is>
          <t>Author assertion</t>
        </is>
      </c>
      <c r="R228" s="5" t="inlineStr"/>
      <c r="S228" s="8" t="inlineStr">
        <is>
          <t>P2P</t>
        </is>
      </c>
      <c r="T228" s="5" t="inlineStr">
        <is>
          <t>Procure to pay</t>
        </is>
      </c>
      <c r="U228" s="8" t="inlineStr"/>
      <c r="V228" s="8" t="inlineStr">
        <is>
          <t>purchases</t>
        </is>
      </c>
      <c r="W228" s="8" t="inlineStr">
        <is>
          <t>RUN</t>
        </is>
      </c>
      <c r="X228" s="5" t="inlineStr">
        <is>
          <t>Core</t>
        </is>
      </c>
      <c r="Y228" s="5" t="inlineStr">
        <is>
          <t>Cross-persona</t>
        </is>
      </c>
      <c r="Z228" s="5" t="inlineStr">
        <is>
          <t>Medium</t>
        </is>
      </c>
      <c r="AA228" s="5" t="inlineStr">
        <is>
          <t>Medium</t>
        </is>
      </c>
      <c r="AB228" s="8" t="inlineStr">
        <is>
          <t>Low</t>
        </is>
      </c>
      <c r="AC228" s="8" t="inlineStr">
        <is>
          <t>Pilot</t>
        </is>
      </c>
      <c r="AD228" s="5" t="inlineStr">
        <is>
          <t>Not independently checked</t>
        </is>
      </c>
      <c r="AE228" s="5" t="inlineStr">
        <is>
          <t>Not verified</t>
        </is>
      </c>
      <c r="AF228" s="5" t="inlineStr">
        <is>
          <t>Not verified</t>
        </is>
      </c>
      <c r="AG228" s="5" t="inlineStr">
        <is>
          <t>Not verified</t>
        </is>
      </c>
      <c r="AH228" s="5" t="inlineStr">
        <is>
          <t>Not verified</t>
        </is>
      </c>
      <c r="AI228" s="8" t="inlineStr">
        <is>
          <t>No</t>
        </is>
      </c>
      <c r="AJ228" s="8" t="inlineStr">
        <is>
          <t>Claimed - unverified</t>
        </is>
      </c>
      <c r="AK228" s="8" t="inlineStr">
        <is>
          <t>P1</t>
        </is>
      </c>
      <c r="AL228" s="8" t="n">
        <v>6</v>
      </c>
      <c r="AM228" s="5" t="inlineStr"/>
      <c r="AN228" s="5" t="inlineStr"/>
      <c r="AO228" s="5" t="inlineStr"/>
      <c r="AP228" s="5" t="inlineStr"/>
      <c r="AQ228" s="5" t="inlineStr"/>
      <c r="AR228" s="5" t="inlineStr"/>
      <c r="AS228" s="5" t="inlineStr"/>
      <c r="AT228" s="5" t="inlineStr"/>
      <c r="AU228" s="8" t="inlineStr">
        <is>
          <t>Not run</t>
        </is>
      </c>
    </row>
    <row r="229" ht="32" customHeight="1">
      <c r="A229" s="16" t="inlineStr">
        <is>
          <t>X-0228</t>
        </is>
      </c>
      <c r="B229" s="8" t="inlineStr">
        <is>
          <t>X</t>
        </is>
      </c>
      <c r="C229" s="5" t="inlineStr">
        <is>
          <t>Multiple / Cross-persona</t>
        </is>
      </c>
      <c r="D229" s="5" t="inlineStr">
        <is>
          <t>Procure-to-Pay</t>
        </is>
      </c>
      <c r="E229" s="5" t="inlineStr">
        <is>
          <t>Partial supplier payment → remaining payable is maintained</t>
        </is>
      </c>
      <c r="F229" s="5" t="inlineStr">
        <is>
          <t>In-house Accountant</t>
        </is>
      </c>
      <c r="G229" s="5" t="inlineStr">
        <is>
          <t>Supplier</t>
        </is>
      </c>
      <c r="H229" s="5" t="inlineStr">
        <is>
          <t>Accurate tracking of remaining balance on partially paid supplier bills</t>
        </is>
      </c>
      <c r="I229" s="5" t="inlineStr">
        <is>
          <t>Maintains exact remaining unpaid balance on purchase invoice; updates AP aging</t>
        </is>
      </c>
      <c r="J229" s="20" t="inlineStr">
        <is>
          <t>P1</t>
        </is>
      </c>
      <c r="K229" s="20" t="inlineStr">
        <is>
          <t>Validated (Supported)</t>
        </is>
      </c>
      <c r="L229" s="5" t="inlineStr">
        <is>
          <t>Supported via PaymentAllocation model for purchase invoices.</t>
        </is>
      </c>
      <c r="M229" s="8" t="inlineStr">
        <is>
          <t>Baseline</t>
        </is>
      </c>
      <c r="N229" s="8" t="inlineStr">
        <is>
          <t>Cross-persona</t>
        </is>
      </c>
      <c r="O229" s="8" t="inlineStr">
        <is>
          <t>P1</t>
        </is>
      </c>
      <c r="P229" s="5" t="inlineStr">
        <is>
          <t>Unchanged</t>
        </is>
      </c>
      <c r="Q229" s="21" t="inlineStr">
        <is>
          <t>Code symbol found</t>
        </is>
      </c>
      <c r="R229" s="5" t="inlineStr">
        <is>
          <t>Matched PaymentAllocation in product code. This is not a functional test.</t>
        </is>
      </c>
      <c r="S229" s="8" t="inlineStr">
        <is>
          <t>P2P</t>
        </is>
      </c>
      <c r="T229" s="5" t="inlineStr">
        <is>
          <t>Procure to pay</t>
        </is>
      </c>
      <c r="U229" s="8" t="inlineStr"/>
      <c r="V229" s="8" t="inlineStr">
        <is>
          <t>purchases</t>
        </is>
      </c>
      <c r="W229" s="8" t="inlineStr">
        <is>
          <t>RUN</t>
        </is>
      </c>
      <c r="X229" s="5" t="inlineStr">
        <is>
          <t>Core</t>
        </is>
      </c>
      <c r="Y229" s="5" t="inlineStr">
        <is>
          <t>Cross-persona</t>
        </is>
      </c>
      <c r="Z229" s="5" t="inlineStr">
        <is>
          <t>Medium</t>
        </is>
      </c>
      <c r="AA229" s="5" t="inlineStr">
        <is>
          <t>Medium</t>
        </is>
      </c>
      <c r="AB229" s="8" t="inlineStr">
        <is>
          <t>Low</t>
        </is>
      </c>
      <c r="AC229" s="8" t="inlineStr">
        <is>
          <t>Pilot</t>
        </is>
      </c>
      <c r="AD229" s="5" t="inlineStr">
        <is>
          <t>Cited in code</t>
        </is>
      </c>
      <c r="AE229" s="5" t="inlineStr">
        <is>
          <t>Not verified</t>
        </is>
      </c>
      <c r="AF229" s="5" t="inlineStr">
        <is>
          <t>Not verified</t>
        </is>
      </c>
      <c r="AG229" s="5" t="inlineStr">
        <is>
          <t>Not verified</t>
        </is>
      </c>
      <c r="AH229" s="5" t="inlineStr">
        <is>
          <t>Not verified</t>
        </is>
      </c>
      <c r="AI229" s="8" t="inlineStr">
        <is>
          <t>No</t>
        </is>
      </c>
      <c r="AJ229" s="8" t="inlineStr">
        <is>
          <t>Built - unverified</t>
        </is>
      </c>
      <c r="AK229" s="8" t="inlineStr">
        <is>
          <t>P1</t>
        </is>
      </c>
      <c r="AL229" s="8" t="n">
        <v>6</v>
      </c>
      <c r="AM229" s="5" t="inlineStr"/>
      <c r="AN229" s="5" t="inlineStr"/>
      <c r="AO229" s="5" t="inlineStr"/>
      <c r="AP229" s="5" t="inlineStr"/>
      <c r="AQ229" s="5" t="inlineStr"/>
      <c r="AR229" s="5" t="inlineStr"/>
      <c r="AS229" s="5" t="inlineStr"/>
      <c r="AT229" s="5" t="inlineStr"/>
      <c r="AU229" s="8" t="inlineStr">
        <is>
          <t>Not run</t>
        </is>
      </c>
    </row>
    <row r="230" ht="32" customHeight="1">
      <c r="A230" s="16" t="inlineStr">
        <is>
          <t>X-0229</t>
        </is>
      </c>
      <c r="B230" s="8" t="inlineStr">
        <is>
          <t>X</t>
        </is>
      </c>
      <c r="C230" s="5" t="inlineStr">
        <is>
          <t>Multiple / Cross-persona</t>
        </is>
      </c>
      <c r="D230" s="5" t="inlineStr">
        <is>
          <t>Procure-to-Pay</t>
        </is>
      </c>
      <c r="E230" s="5" t="inlineStr">
        <is>
          <t>Supplier credit note → payable and tax impact are adjusted</t>
        </is>
      </c>
      <c r="F230" s="5" t="inlineStr">
        <is>
          <t>In-house Accountant</t>
        </is>
      </c>
      <c r="G230" s="5" t="inlineStr">
        <is>
          <t>Supplier</t>
        </is>
      </c>
      <c r="H230" s="5" t="inlineStr">
        <is>
          <t>Supplier credit note for rate difference, discounts, or returns applied to reduce payable</t>
        </is>
      </c>
      <c r="I230" s="5" t="inlineStr">
        <is>
          <t>Reduces Accounts Payable balance and reverses corresponding Input Tax Credit in GSTR-3B Table 4(B)</t>
        </is>
      </c>
      <c r="J230" s="20" t="inlineStr">
        <is>
          <t>P1</t>
        </is>
      </c>
      <c r="K230" s="20" t="inlineStr">
        <is>
          <t>Validated (Supported)</t>
        </is>
      </c>
      <c r="L230" s="5" t="inlineStr">
        <is>
          <t>Supported via PurchaseCreditNote model with automated ITC reversal.</t>
        </is>
      </c>
      <c r="M230" s="8" t="inlineStr">
        <is>
          <t>Baseline</t>
        </is>
      </c>
      <c r="N230" s="8" t="inlineStr">
        <is>
          <t>Cross-persona</t>
        </is>
      </c>
      <c r="O230" s="8" t="inlineStr">
        <is>
          <t>P1</t>
        </is>
      </c>
      <c r="P230" s="5" t="inlineStr">
        <is>
          <t>Unchanged</t>
        </is>
      </c>
      <c r="Q230" s="21" t="inlineStr">
        <is>
          <t>Code symbol found</t>
        </is>
      </c>
      <c r="R230" s="5" t="inlineStr">
        <is>
          <t>Matched PurchaseCreditNote in product code. This is not a functional test.</t>
        </is>
      </c>
      <c r="S230" s="8" t="inlineStr">
        <is>
          <t>P2P</t>
        </is>
      </c>
      <c r="T230" s="5" t="inlineStr">
        <is>
          <t>Procure to pay</t>
        </is>
      </c>
      <c r="U230" s="8" t="inlineStr"/>
      <c r="V230" s="8" t="inlineStr">
        <is>
          <t>purchases</t>
        </is>
      </c>
      <c r="W230" s="8" t="inlineStr">
        <is>
          <t>RUN</t>
        </is>
      </c>
      <c r="X230" s="5" t="inlineStr">
        <is>
          <t>Core</t>
        </is>
      </c>
      <c r="Y230" s="5" t="inlineStr">
        <is>
          <t>Cross-persona</t>
        </is>
      </c>
      <c r="Z230" s="5" t="inlineStr">
        <is>
          <t>Medium</t>
        </is>
      </c>
      <c r="AA230" s="5" t="inlineStr">
        <is>
          <t>Medium</t>
        </is>
      </c>
      <c r="AB230" s="8" t="inlineStr">
        <is>
          <t>Low</t>
        </is>
      </c>
      <c r="AC230" s="8" t="inlineStr">
        <is>
          <t>Pilot</t>
        </is>
      </c>
      <c r="AD230" s="5" t="inlineStr">
        <is>
          <t>Cited in code</t>
        </is>
      </c>
      <c r="AE230" s="5" t="inlineStr">
        <is>
          <t>Not verified</t>
        </is>
      </c>
      <c r="AF230" s="5" t="inlineStr">
        <is>
          <t>Not verified</t>
        </is>
      </c>
      <c r="AG230" s="5" t="inlineStr">
        <is>
          <t>Not verified</t>
        </is>
      </c>
      <c r="AH230" s="5" t="inlineStr">
        <is>
          <t>Not verified</t>
        </is>
      </c>
      <c r="AI230" s="8" t="inlineStr">
        <is>
          <t>No</t>
        </is>
      </c>
      <c r="AJ230" s="8" t="inlineStr">
        <is>
          <t>Built - unverified</t>
        </is>
      </c>
      <c r="AK230" s="8" t="inlineStr">
        <is>
          <t>P1</t>
        </is>
      </c>
      <c r="AL230" s="8" t="n">
        <v>6</v>
      </c>
      <c r="AM230" s="5" t="inlineStr"/>
      <c r="AN230" s="5" t="inlineStr"/>
      <c r="AO230" s="5" t="inlineStr"/>
      <c r="AP230" s="5" t="inlineStr"/>
      <c r="AQ230" s="5" t="inlineStr"/>
      <c r="AR230" s="5" t="inlineStr"/>
      <c r="AS230" s="5" t="inlineStr"/>
      <c r="AT230" s="5" t="inlineStr"/>
      <c r="AU230" s="8" t="inlineStr">
        <is>
          <t>Not run</t>
        </is>
      </c>
    </row>
    <row r="231" ht="32" customHeight="1">
      <c r="A231" s="16" t="inlineStr">
        <is>
          <t>X-0230</t>
        </is>
      </c>
      <c r="B231" s="8" t="inlineStr">
        <is>
          <t>X</t>
        </is>
      </c>
      <c r="C231" s="5" t="inlineStr">
        <is>
          <t>Multiple / Cross-persona</t>
        </is>
      </c>
      <c r="D231" s="5" t="inlineStr">
        <is>
          <t>Procure-to-Pay</t>
        </is>
      </c>
      <c r="E231" s="5" t="inlineStr">
        <is>
          <t>Purchase return → inventory decreases</t>
        </is>
      </c>
      <c r="F231" s="5" t="inlineStr">
        <is>
          <t>Warehouse Custodian</t>
        </is>
      </c>
      <c r="G231" s="5" t="inlineStr">
        <is>
          <t>Supplier</t>
        </is>
      </c>
      <c r="H231" s="5" t="inlineStr">
        <is>
          <t>Physical removal of returned goods from warehouse shelves and stock records</t>
        </is>
      </c>
      <c r="I231" s="5" t="inlineStr">
        <is>
          <t>Creates StockMovement with movement_type='RETURN_OUTWARD'; decrements StockBalance</t>
        </is>
      </c>
      <c r="J231" s="20" t="inlineStr">
        <is>
          <t>P1</t>
        </is>
      </c>
      <c r="K231" s="20" t="inlineStr">
        <is>
          <t>Validated (Supported)</t>
        </is>
      </c>
      <c r="L231" s="5" t="inlineStr">
        <is>
          <t>Core system invariant: PurchaseReturn completion decrements warehouse stock atomically.</t>
        </is>
      </c>
      <c r="M231" s="8" t="inlineStr">
        <is>
          <t>Baseline</t>
        </is>
      </c>
      <c r="N231" s="8" t="inlineStr">
        <is>
          <t>Cross-persona</t>
        </is>
      </c>
      <c r="O231" s="8" t="inlineStr">
        <is>
          <t>P1</t>
        </is>
      </c>
      <c r="P231" s="5" t="inlineStr">
        <is>
          <t>Restored to authored P1. The previous workbook had P0 after a keyword rebalance.</t>
        </is>
      </c>
      <c r="Q231" s="21" t="inlineStr">
        <is>
          <t>Code symbol found</t>
        </is>
      </c>
      <c r="R231" s="5" t="inlineStr">
        <is>
          <t>Matched PurchaseReturn in product code. This is not a functional test. Restored to authored P1. The previous workbook had P0 after a keyword rebalance.</t>
        </is>
      </c>
      <c r="S231" s="8" t="inlineStr">
        <is>
          <t>P2P</t>
        </is>
      </c>
      <c r="T231" s="5" t="inlineStr">
        <is>
          <t>Procure to pay</t>
        </is>
      </c>
      <c r="U231" s="8" t="inlineStr"/>
      <c r="V231" s="8" t="inlineStr">
        <is>
          <t>purchases</t>
        </is>
      </c>
      <c r="W231" s="8" t="inlineStr">
        <is>
          <t>RUN</t>
        </is>
      </c>
      <c r="X231" s="5" t="inlineStr">
        <is>
          <t>Core</t>
        </is>
      </c>
      <c r="Y231" s="5" t="inlineStr">
        <is>
          <t>Cross-persona</t>
        </is>
      </c>
      <c r="Z231" s="5" t="inlineStr">
        <is>
          <t>Medium</t>
        </is>
      </c>
      <c r="AA231" s="5" t="inlineStr">
        <is>
          <t>Medium</t>
        </is>
      </c>
      <c r="AB231" s="8" t="inlineStr">
        <is>
          <t>Low</t>
        </is>
      </c>
      <c r="AC231" s="8" t="inlineStr">
        <is>
          <t>Pilot</t>
        </is>
      </c>
      <c r="AD231" s="5" t="inlineStr">
        <is>
          <t>Cited in code</t>
        </is>
      </c>
      <c r="AE231" s="5" t="inlineStr">
        <is>
          <t>Not verified</t>
        </is>
      </c>
      <c r="AF231" s="5" t="inlineStr">
        <is>
          <t>Not verified</t>
        </is>
      </c>
      <c r="AG231" s="5" t="inlineStr">
        <is>
          <t>Not verified</t>
        </is>
      </c>
      <c r="AH231" s="5" t="inlineStr">
        <is>
          <t>Not verified</t>
        </is>
      </c>
      <c r="AI231" s="8" t="inlineStr">
        <is>
          <t>No</t>
        </is>
      </c>
      <c r="AJ231" s="8" t="inlineStr">
        <is>
          <t>Built - unverified</t>
        </is>
      </c>
      <c r="AK231" s="8" t="inlineStr">
        <is>
          <t>P1</t>
        </is>
      </c>
      <c r="AL231" s="8" t="n">
        <v>6</v>
      </c>
      <c r="AM231" s="5" t="inlineStr"/>
      <c r="AN231" s="5" t="inlineStr"/>
      <c r="AO231" s="5" t="inlineStr"/>
      <c r="AP231" s="5" t="inlineStr"/>
      <c r="AQ231" s="5" t="inlineStr"/>
      <c r="AR231" s="5" t="inlineStr"/>
      <c r="AS231" s="5" t="inlineStr"/>
      <c r="AT231" s="5" t="inlineStr"/>
      <c r="AU231" s="8" t="inlineStr">
        <is>
          <t>Not run</t>
        </is>
      </c>
    </row>
    <row r="232" ht="32" customHeight="1">
      <c r="A232" s="16" t="inlineStr">
        <is>
          <t>X-0231</t>
        </is>
      </c>
      <c r="B232" s="8" t="inlineStr">
        <is>
          <t>X</t>
        </is>
      </c>
      <c r="C232" s="5" t="inlineStr">
        <is>
          <t>Multiple / Cross-persona</t>
        </is>
      </c>
      <c r="D232" s="5" t="inlineStr">
        <is>
          <t>Procure-to-Pay</t>
        </is>
      </c>
      <c r="E232" s="5" t="inlineStr">
        <is>
          <t>Purchase return → supplier balance is adjusted</t>
        </is>
      </c>
      <c r="F232" s="5" t="inlineStr">
        <is>
          <t>In-house Accountant</t>
        </is>
      </c>
      <c r="G232" s="5" t="inlineStr">
        <is>
          <t>Supplier</t>
        </is>
      </c>
      <c r="H232" s="5" t="inlineStr">
        <is>
          <t>Issuance of Purchase Debit Note reducing outstanding balance owed to supplier</t>
        </is>
      </c>
      <c r="I232" s="5" t="inlineStr">
        <is>
          <t>Debits Supplier Accounts Payable account; generates legal Purchase Debit Note PDF</t>
        </is>
      </c>
      <c r="J232" s="20" t="inlineStr">
        <is>
          <t>P1</t>
        </is>
      </c>
      <c r="K232" s="20" t="inlineStr">
        <is>
          <t>Validated (Supported)</t>
        </is>
      </c>
      <c r="L232" s="5" t="inlineStr">
        <is>
          <t>Supported via PurchaseReturn complete flow; generates PurchaseDebitNote.</t>
        </is>
      </c>
      <c r="M232" s="8" t="inlineStr">
        <is>
          <t>Baseline</t>
        </is>
      </c>
      <c r="N232" s="8" t="inlineStr">
        <is>
          <t>Cross-persona</t>
        </is>
      </c>
      <c r="O232" s="8" t="inlineStr">
        <is>
          <t>P1</t>
        </is>
      </c>
      <c r="P232" s="5" t="inlineStr">
        <is>
          <t>Unchanged</t>
        </is>
      </c>
      <c r="Q232" s="21" t="inlineStr">
        <is>
          <t>Code symbol found</t>
        </is>
      </c>
      <c r="R232" s="5" t="inlineStr">
        <is>
          <t>Matched PurchaseDebitNote in product code. This is not a functional test.</t>
        </is>
      </c>
      <c r="S232" s="8" t="inlineStr">
        <is>
          <t>P2P</t>
        </is>
      </c>
      <c r="T232" s="5" t="inlineStr">
        <is>
          <t>Procure to pay</t>
        </is>
      </c>
      <c r="U232" s="8" t="inlineStr"/>
      <c r="V232" s="8" t="inlineStr">
        <is>
          <t>purchases</t>
        </is>
      </c>
      <c r="W232" s="8" t="inlineStr">
        <is>
          <t>RUN</t>
        </is>
      </c>
      <c r="X232" s="5" t="inlineStr">
        <is>
          <t>Core</t>
        </is>
      </c>
      <c r="Y232" s="5" t="inlineStr">
        <is>
          <t>Cross-persona</t>
        </is>
      </c>
      <c r="Z232" s="5" t="inlineStr">
        <is>
          <t>Medium</t>
        </is>
      </c>
      <c r="AA232" s="5" t="inlineStr">
        <is>
          <t>Medium</t>
        </is>
      </c>
      <c r="AB232" s="8" t="inlineStr">
        <is>
          <t>Low</t>
        </is>
      </c>
      <c r="AC232" s="8" t="inlineStr">
        <is>
          <t>Pilot</t>
        </is>
      </c>
      <c r="AD232" s="5" t="inlineStr">
        <is>
          <t>Cited in code</t>
        </is>
      </c>
      <c r="AE232" s="5" t="inlineStr">
        <is>
          <t>Not verified</t>
        </is>
      </c>
      <c r="AF232" s="5" t="inlineStr">
        <is>
          <t>Not verified</t>
        </is>
      </c>
      <c r="AG232" s="5" t="inlineStr">
        <is>
          <t>Not verified</t>
        </is>
      </c>
      <c r="AH232" s="5" t="inlineStr">
        <is>
          <t>Not verified</t>
        </is>
      </c>
      <c r="AI232" s="8" t="inlineStr">
        <is>
          <t>No</t>
        </is>
      </c>
      <c r="AJ232" s="8" t="inlineStr">
        <is>
          <t>Built - unverified</t>
        </is>
      </c>
      <c r="AK232" s="8" t="inlineStr">
        <is>
          <t>P1</t>
        </is>
      </c>
      <c r="AL232" s="8" t="n">
        <v>6</v>
      </c>
      <c r="AM232" s="5" t="inlineStr"/>
      <c r="AN232" s="5" t="inlineStr"/>
      <c r="AO232" s="5" t="inlineStr"/>
      <c r="AP232" s="5" t="inlineStr"/>
      <c r="AQ232" s="5" t="inlineStr"/>
      <c r="AR232" s="5" t="inlineStr"/>
      <c r="AS232" s="5" t="inlineStr"/>
      <c r="AT232" s="5" t="inlineStr"/>
      <c r="AU232" s="8" t="inlineStr">
        <is>
          <t>Not run</t>
        </is>
      </c>
    </row>
    <row r="233" ht="32" customHeight="1">
      <c r="A233" s="16" t="inlineStr">
        <is>
          <t>X-0232</t>
        </is>
      </c>
      <c r="B233" s="8" t="inlineStr">
        <is>
          <t>X</t>
        </is>
      </c>
      <c r="C233" s="5" t="inlineStr">
        <is>
          <t>Multiple / Cross-persona</t>
        </is>
      </c>
      <c r="D233" s="5" t="inlineStr">
        <is>
          <t>Procure-to-Pay</t>
        </is>
      </c>
      <c r="E233" s="5" t="inlineStr">
        <is>
          <t>Purchase return → GST impact is adjusted</t>
        </is>
      </c>
      <c r="F233" s="5" t="inlineStr">
        <is>
          <t>Tax Calculation Engine</t>
        </is>
      </c>
      <c r="G233" s="5" t="inlineStr">
        <is>
          <t>Accountant / External CA</t>
        </is>
      </c>
      <c r="H233" s="5" t="inlineStr">
        <is>
          <t>Input Tax Credit reversed legally in accordance with Section 34 of CGST Act</t>
        </is>
      </c>
      <c r="I233" s="5" t="inlineStr">
        <is>
          <t>Reduces eligible ITC; reports debit note in GSTR-3B Table 4(B) and GSTR-2B reconciliation</t>
        </is>
      </c>
      <c r="J233" s="20" t="inlineStr">
        <is>
          <t>P1</t>
        </is>
      </c>
      <c r="K233" s="20" t="inlineStr">
        <is>
          <t>Validated (Supported)</t>
        </is>
      </c>
      <c r="L233" s="5" t="inlineStr">
        <is>
          <t>Supported via automated statutory ITC reversal calculation.</t>
        </is>
      </c>
      <c r="M233" s="8" t="inlineStr">
        <is>
          <t>Baseline</t>
        </is>
      </c>
      <c r="N233" s="8" t="inlineStr">
        <is>
          <t>Cross-persona</t>
        </is>
      </c>
      <c r="O233" s="8" t="inlineStr">
        <is>
          <t>P1</t>
        </is>
      </c>
      <c r="P233" s="5" t="inlineStr">
        <is>
          <t>Restored to authored P1. The previous workbook had P0 after a keyword rebalance.</t>
        </is>
      </c>
      <c r="Q233" s="20" t="inlineStr">
        <is>
          <t>Author assertion</t>
        </is>
      </c>
      <c r="R233" s="5" t="inlineStr">
        <is>
          <t>Restored to authored P1. The previous workbook had P0 after a keyword rebalance.</t>
        </is>
      </c>
      <c r="S233" s="8" t="inlineStr">
        <is>
          <t>P2P</t>
        </is>
      </c>
      <c r="T233" s="5" t="inlineStr">
        <is>
          <t>Procure to pay</t>
        </is>
      </c>
      <c r="U233" s="8" t="inlineStr"/>
      <c r="V233" s="8" t="inlineStr">
        <is>
          <t>purchases</t>
        </is>
      </c>
      <c r="W233" s="8" t="inlineStr">
        <is>
          <t>RUN</t>
        </is>
      </c>
      <c r="X233" s="5" t="inlineStr">
        <is>
          <t>Core</t>
        </is>
      </c>
      <c r="Y233" s="5" t="inlineStr">
        <is>
          <t>Cross-persona</t>
        </is>
      </c>
      <c r="Z233" s="5" t="inlineStr">
        <is>
          <t>Medium</t>
        </is>
      </c>
      <c r="AA233" s="5" t="inlineStr">
        <is>
          <t>Medium</t>
        </is>
      </c>
      <c r="AB233" s="8" t="inlineStr">
        <is>
          <t>Low</t>
        </is>
      </c>
      <c r="AC233" s="8" t="inlineStr">
        <is>
          <t>Pilot</t>
        </is>
      </c>
      <c r="AD233" s="5" t="inlineStr">
        <is>
          <t>Not independently checked</t>
        </is>
      </c>
      <c r="AE233" s="5" t="inlineStr">
        <is>
          <t>Not verified</t>
        </is>
      </c>
      <c r="AF233" s="5" t="inlineStr">
        <is>
          <t>Not verified</t>
        </is>
      </c>
      <c r="AG233" s="5" t="inlineStr">
        <is>
          <t>Not verified</t>
        </is>
      </c>
      <c r="AH233" s="5" t="inlineStr">
        <is>
          <t>Not verified</t>
        </is>
      </c>
      <c r="AI233" s="8" t="inlineStr">
        <is>
          <t>No</t>
        </is>
      </c>
      <c r="AJ233" s="8" t="inlineStr">
        <is>
          <t>Claimed - unverified</t>
        </is>
      </c>
      <c r="AK233" s="8" t="inlineStr">
        <is>
          <t>P1</t>
        </is>
      </c>
      <c r="AL233" s="8" t="n">
        <v>6</v>
      </c>
      <c r="AM233" s="5" t="inlineStr"/>
      <c r="AN233" s="5" t="inlineStr"/>
      <c r="AO233" s="5" t="inlineStr"/>
      <c r="AP233" s="5" t="inlineStr"/>
      <c r="AQ233" s="5" t="inlineStr"/>
      <c r="AR233" s="5" t="inlineStr"/>
      <c r="AS233" s="5" t="inlineStr"/>
      <c r="AT233" s="5" t="inlineStr"/>
      <c r="AU233" s="8" t="inlineStr">
        <is>
          <t>Not run</t>
        </is>
      </c>
    </row>
    <row r="234" ht="32" customHeight="1">
      <c r="A234" s="16" t="inlineStr">
        <is>
          <t>X-0233</t>
        </is>
      </c>
      <c r="B234" s="8" t="inlineStr">
        <is>
          <t>X</t>
        </is>
      </c>
      <c r="C234" s="5" t="inlineStr">
        <is>
          <t>Multiple / Cross-persona</t>
        </is>
      </c>
      <c r="D234" s="5" t="inlineStr">
        <is>
          <t>Procure-to-Pay</t>
        </is>
      </c>
      <c r="E234" s="5" t="inlineStr">
        <is>
          <t>Supplier invoice discrepancy → accountant is alerted</t>
        </is>
      </c>
      <c r="F234" s="5" t="inlineStr">
        <is>
          <t>Alert Notification Engine</t>
        </is>
      </c>
      <c r="G234" s="5" t="inlineStr">
        <is>
          <t>In-house Accountant</t>
        </is>
      </c>
      <c r="H234" s="5" t="inlineStr">
        <is>
          <t>Accountant alerted immediately to billing anomalies before payment disbursement</t>
        </is>
      </c>
      <c r="I234" s="5" t="inlineStr">
        <is>
          <t>Generates high-priority AttentionRowState exception in accounting dashboard</t>
        </is>
      </c>
      <c r="J234" s="20" t="inlineStr">
        <is>
          <t>P1</t>
        </is>
      </c>
      <c r="K234" s="20" t="inlineStr">
        <is>
          <t>Validated (Supported)</t>
        </is>
      </c>
      <c r="L234" s="5" t="inlineStr">
        <is>
          <t>Supported via attention row exception queue in accounting module.</t>
        </is>
      </c>
      <c r="M234" s="8" t="inlineStr">
        <is>
          <t>Baseline</t>
        </is>
      </c>
      <c r="N234" s="8" t="inlineStr">
        <is>
          <t>Cross-persona</t>
        </is>
      </c>
      <c r="O234" s="8" t="inlineStr">
        <is>
          <t>P1</t>
        </is>
      </c>
      <c r="P234" s="5" t="inlineStr">
        <is>
          <t>Unchanged</t>
        </is>
      </c>
      <c r="Q234" s="20" t="inlineStr">
        <is>
          <t>Author assertion</t>
        </is>
      </c>
      <c r="R234" s="5" t="inlineStr"/>
      <c r="S234" s="8" t="inlineStr">
        <is>
          <t>P2P</t>
        </is>
      </c>
      <c r="T234" s="5" t="inlineStr">
        <is>
          <t>Procure to pay</t>
        </is>
      </c>
      <c r="U234" s="8" t="inlineStr"/>
      <c r="V234" s="8" t="inlineStr">
        <is>
          <t>purchases</t>
        </is>
      </c>
      <c r="W234" s="8" t="inlineStr">
        <is>
          <t>RUN</t>
        </is>
      </c>
      <c r="X234" s="5" t="inlineStr">
        <is>
          <t>Core</t>
        </is>
      </c>
      <c r="Y234" s="5" t="inlineStr">
        <is>
          <t>Cross-persona</t>
        </is>
      </c>
      <c r="Z234" s="5" t="inlineStr">
        <is>
          <t>Medium</t>
        </is>
      </c>
      <c r="AA234" s="5" t="inlineStr">
        <is>
          <t>Medium</t>
        </is>
      </c>
      <c r="AB234" s="8" t="inlineStr">
        <is>
          <t>Low</t>
        </is>
      </c>
      <c r="AC234" s="8" t="inlineStr">
        <is>
          <t>Pilot</t>
        </is>
      </c>
      <c r="AD234" s="5" t="inlineStr">
        <is>
          <t>Not independently checked</t>
        </is>
      </c>
      <c r="AE234" s="5" t="inlineStr">
        <is>
          <t>Not verified</t>
        </is>
      </c>
      <c r="AF234" s="5" t="inlineStr">
        <is>
          <t>Not verified</t>
        </is>
      </c>
      <c r="AG234" s="5" t="inlineStr">
        <is>
          <t>Not verified</t>
        </is>
      </c>
      <c r="AH234" s="5" t="inlineStr">
        <is>
          <t>Not verified</t>
        </is>
      </c>
      <c r="AI234" s="8" t="inlineStr">
        <is>
          <t>No</t>
        </is>
      </c>
      <c r="AJ234" s="8" t="inlineStr">
        <is>
          <t>Claimed - unverified</t>
        </is>
      </c>
      <c r="AK234" s="8" t="inlineStr">
        <is>
          <t>P1</t>
        </is>
      </c>
      <c r="AL234" s="8" t="n">
        <v>6</v>
      </c>
      <c r="AM234" s="5" t="inlineStr"/>
      <c r="AN234" s="5" t="inlineStr"/>
      <c r="AO234" s="5" t="inlineStr"/>
      <c r="AP234" s="5" t="inlineStr"/>
      <c r="AQ234" s="5" t="inlineStr"/>
      <c r="AR234" s="5" t="inlineStr"/>
      <c r="AS234" s="5" t="inlineStr"/>
      <c r="AT234" s="5" t="inlineStr"/>
      <c r="AU234" s="8" t="inlineStr">
        <is>
          <t>Not run</t>
        </is>
      </c>
    </row>
    <row r="235" ht="32" customHeight="1">
      <c r="A235" s="16" t="inlineStr">
        <is>
          <t>X-0234</t>
        </is>
      </c>
      <c r="B235" s="8" t="inlineStr">
        <is>
          <t>X</t>
        </is>
      </c>
      <c r="C235" s="5" t="inlineStr">
        <is>
          <t>Multiple / Cross-persona</t>
        </is>
      </c>
      <c r="D235" s="5" t="inlineStr">
        <is>
          <t>Procure-to-Pay</t>
        </is>
      </c>
      <c r="E235" s="5" t="inlineStr">
        <is>
          <t>Supplier invoice correction → original transaction remains traceable</t>
        </is>
      </c>
      <c r="F235" s="5" t="inlineStr">
        <is>
          <t>In-house Accountant</t>
        </is>
      </c>
      <c r="G235" s="5" t="inlineStr">
        <is>
          <t>Auditor</t>
        </is>
      </c>
      <c r="H235" s="5" t="inlineStr">
        <is>
          <t>Adjustments or amendments to supplier bills preserve original document history</t>
        </is>
      </c>
      <c r="I235" s="5" t="inlineStr">
        <is>
          <t>Maintains immutable version history; records amendment rationale and approving user</t>
        </is>
      </c>
      <c r="J235" s="20" t="inlineStr">
        <is>
          <t>P1</t>
        </is>
      </c>
      <c r="K235" s="20" t="inlineStr">
        <is>
          <t>Validated (Supported)</t>
        </is>
      </c>
      <c r="L235" s="5" t="inlineStr">
        <is>
          <t>Core system invariant: complete audit history retained for all AP modifications.</t>
        </is>
      </c>
      <c r="M235" s="8" t="inlineStr">
        <is>
          <t>Baseline</t>
        </is>
      </c>
      <c r="N235" s="8" t="inlineStr">
        <is>
          <t>Cross-persona</t>
        </is>
      </c>
      <c r="O235" s="8" t="inlineStr">
        <is>
          <t>P1</t>
        </is>
      </c>
      <c r="P235" s="5" t="inlineStr">
        <is>
          <t>Unchanged</t>
        </is>
      </c>
      <c r="Q235" s="20" t="inlineStr">
        <is>
          <t>Author assertion</t>
        </is>
      </c>
      <c r="R235" s="5" t="inlineStr"/>
      <c r="S235" s="8" t="inlineStr">
        <is>
          <t>P2P</t>
        </is>
      </c>
      <c r="T235" s="5" t="inlineStr">
        <is>
          <t>Procure to pay</t>
        </is>
      </c>
      <c r="U235" s="8" t="inlineStr"/>
      <c r="V235" s="8" t="inlineStr">
        <is>
          <t>purchases</t>
        </is>
      </c>
      <c r="W235" s="8" t="inlineStr">
        <is>
          <t>RUN</t>
        </is>
      </c>
      <c r="X235" s="5" t="inlineStr">
        <is>
          <t>Core</t>
        </is>
      </c>
      <c r="Y235" s="5" t="inlineStr">
        <is>
          <t>Cross-persona</t>
        </is>
      </c>
      <c r="Z235" s="5" t="inlineStr">
        <is>
          <t>Medium</t>
        </is>
      </c>
      <c r="AA235" s="5" t="inlineStr">
        <is>
          <t>Medium</t>
        </is>
      </c>
      <c r="AB235" s="8" t="inlineStr">
        <is>
          <t>Low</t>
        </is>
      </c>
      <c r="AC235" s="8" t="inlineStr">
        <is>
          <t>Pilot</t>
        </is>
      </c>
      <c r="AD235" s="5" t="inlineStr">
        <is>
          <t>Not independently checked</t>
        </is>
      </c>
      <c r="AE235" s="5" t="inlineStr">
        <is>
          <t>Not verified</t>
        </is>
      </c>
      <c r="AF235" s="5" t="inlineStr">
        <is>
          <t>Not verified</t>
        </is>
      </c>
      <c r="AG235" s="5" t="inlineStr">
        <is>
          <t>Not verified</t>
        </is>
      </c>
      <c r="AH235" s="5" t="inlineStr">
        <is>
          <t>Not verified</t>
        </is>
      </c>
      <c r="AI235" s="8" t="inlineStr">
        <is>
          <t>No</t>
        </is>
      </c>
      <c r="AJ235" s="8" t="inlineStr">
        <is>
          <t>Claimed - unverified</t>
        </is>
      </c>
      <c r="AK235" s="8" t="inlineStr">
        <is>
          <t>P1</t>
        </is>
      </c>
      <c r="AL235" s="8" t="n">
        <v>6</v>
      </c>
      <c r="AM235" s="5" t="inlineStr"/>
      <c r="AN235" s="5" t="inlineStr"/>
      <c r="AO235" s="5" t="inlineStr"/>
      <c r="AP235" s="5" t="inlineStr"/>
      <c r="AQ235" s="5" t="inlineStr"/>
      <c r="AR235" s="5" t="inlineStr"/>
      <c r="AS235" s="5" t="inlineStr"/>
      <c r="AT235" s="5" t="inlineStr"/>
      <c r="AU235" s="8" t="inlineStr">
        <is>
          <t>Not run</t>
        </is>
      </c>
    </row>
    <row r="236" ht="32" customHeight="1">
      <c r="A236" s="16" t="inlineStr">
        <is>
          <t>X-0235</t>
        </is>
      </c>
      <c r="B236" s="8" t="inlineStr">
        <is>
          <t>X</t>
        </is>
      </c>
      <c r="C236" s="5" t="inlineStr">
        <is>
          <t>Multiple / Cross-persona</t>
        </is>
      </c>
      <c r="D236" s="5" t="inlineStr">
        <is>
          <t>Inventory Lifecycle</t>
        </is>
      </c>
      <c r="E236" s="5" t="inlineStr">
        <is>
          <t>Purchase receipt → stock enters inventory</t>
        </is>
      </c>
      <c r="F236" s="5" t="inlineStr">
        <is>
          <t>Godown Custodian</t>
        </is>
      </c>
      <c r="G236" s="5" t="inlineStr">
        <is>
          <t>Supplier</t>
        </is>
      </c>
      <c r="H236" s="5" t="inlineStr">
        <is>
          <t>Warehouse inventory incremented upon physical goods intake</t>
        </is>
      </c>
      <c r="I236" s="5" t="inlineStr">
        <is>
          <t>Creates StockMovement (INWARD_PURCHASE); updates StockBalance and FIFO cost layers</t>
        </is>
      </c>
      <c r="J236" s="20" t="inlineStr">
        <is>
          <t>P1</t>
        </is>
      </c>
      <c r="K236" s="20" t="inlineStr">
        <is>
          <t>Validated (Supported)</t>
        </is>
      </c>
      <c r="L236" s="5" t="inlineStr">
        <is>
          <t>Supported via PurchaseInvoice completion and standalone GRN flow.</t>
        </is>
      </c>
      <c r="M236" s="8" t="inlineStr">
        <is>
          <t>Baseline</t>
        </is>
      </c>
      <c r="N236" s="8" t="inlineStr">
        <is>
          <t>Cross-persona</t>
        </is>
      </c>
      <c r="O236" s="8" t="inlineStr">
        <is>
          <t>P1</t>
        </is>
      </c>
      <c r="P236" s="5" t="inlineStr">
        <is>
          <t>Unchanged</t>
        </is>
      </c>
      <c r="Q236" s="21" t="inlineStr">
        <is>
          <t>Code symbol found</t>
        </is>
      </c>
      <c r="R236" s="5" t="inlineStr">
        <is>
          <t>Matched PurchaseInvoice in product code. This is not a functional test.</t>
        </is>
      </c>
      <c r="S236" s="8" t="inlineStr">
        <is>
          <t>INV</t>
        </is>
      </c>
      <c r="T236" s="5" t="inlineStr">
        <is>
          <t>Inventory lifecycle</t>
        </is>
      </c>
      <c r="U236" s="8" t="inlineStr"/>
      <c r="V236" s="8" t="inlineStr">
        <is>
          <t>inventory</t>
        </is>
      </c>
      <c r="W236" s="8" t="inlineStr">
        <is>
          <t>RUN</t>
        </is>
      </c>
      <c r="X236" s="5" t="inlineStr">
        <is>
          <t>Core</t>
        </is>
      </c>
      <c r="Y236" s="5" t="inlineStr">
        <is>
          <t>Cross-persona</t>
        </is>
      </c>
      <c r="Z236" s="5" t="inlineStr">
        <is>
          <t>High</t>
        </is>
      </c>
      <c r="AA236" s="5" t="inlineStr">
        <is>
          <t>High</t>
        </is>
      </c>
      <c r="AB236" s="8" t="inlineStr">
        <is>
          <t>Low</t>
        </is>
      </c>
      <c r="AC236" s="8" t="inlineStr">
        <is>
          <t>Pilot</t>
        </is>
      </c>
      <c r="AD236" s="5" t="inlineStr">
        <is>
          <t>Cited in code</t>
        </is>
      </c>
      <c r="AE236" s="5" t="inlineStr">
        <is>
          <t>Not verified</t>
        </is>
      </c>
      <c r="AF236" s="5" t="inlineStr">
        <is>
          <t>Not verified</t>
        </is>
      </c>
      <c r="AG236" s="5" t="inlineStr">
        <is>
          <t>Not verified</t>
        </is>
      </c>
      <c r="AH236" s="5" t="inlineStr">
        <is>
          <t>Not verified</t>
        </is>
      </c>
      <c r="AI236" s="8" t="inlineStr">
        <is>
          <t>No</t>
        </is>
      </c>
      <c r="AJ236" s="8" t="inlineStr">
        <is>
          <t>Built - unverified</t>
        </is>
      </c>
      <c r="AK236" s="8" t="inlineStr">
        <is>
          <t>P1</t>
        </is>
      </c>
      <c r="AL236" s="8" t="n">
        <v>9</v>
      </c>
      <c r="AM236" s="5" t="inlineStr"/>
      <c r="AN236" s="5" t="inlineStr"/>
      <c r="AO236" s="5" t="inlineStr"/>
      <c r="AP236" s="5" t="inlineStr"/>
      <c r="AQ236" s="5" t="inlineStr"/>
      <c r="AR236" s="5" t="inlineStr"/>
      <c r="AS236" s="5" t="inlineStr"/>
      <c r="AT236" s="5" t="inlineStr"/>
      <c r="AU236" s="8" t="inlineStr">
        <is>
          <t>Not run</t>
        </is>
      </c>
    </row>
    <row r="237" ht="32" customHeight="1">
      <c r="A237" s="16" t="inlineStr">
        <is>
          <t>X-0236</t>
        </is>
      </c>
      <c r="B237" s="8" t="inlineStr">
        <is>
          <t>X</t>
        </is>
      </c>
      <c r="C237" s="5" t="inlineStr">
        <is>
          <t>Multiple / Cross-persona</t>
        </is>
      </c>
      <c r="D237" s="5" t="inlineStr">
        <is>
          <t>Inventory Lifecycle</t>
        </is>
      </c>
      <c r="E237" s="5" t="inlineStr">
        <is>
          <t>Sale → stock leaves inventory</t>
        </is>
      </c>
      <c r="F237" s="5" t="inlineStr">
        <is>
          <t>Counter Clerk / Billing Staff</t>
        </is>
      </c>
      <c r="G237" s="5" t="inlineStr">
        <is>
          <t>Customer</t>
        </is>
      </c>
      <c r="H237" s="5" t="inlineStr">
        <is>
          <t>Warehouse inventory decremented upon sales invoice completion</t>
        </is>
      </c>
      <c r="I237" s="5" t="inlineStr">
        <is>
          <t>Creates StockMovement (OUTWARD_SALE); consumes FIFO cost layer; prevents over-allocation</t>
        </is>
      </c>
      <c r="J237" s="20" t="inlineStr">
        <is>
          <t>P1</t>
        </is>
      </c>
      <c r="K237" s="20" t="inlineStr">
        <is>
          <t>Validated (Supported)</t>
        </is>
      </c>
      <c r="L237" s="5" t="inlineStr">
        <is>
          <t>Core system invariant: sales completion atomically decrements stock balance.</t>
        </is>
      </c>
      <c r="M237" s="8" t="inlineStr">
        <is>
          <t>Baseline</t>
        </is>
      </c>
      <c r="N237" s="8" t="inlineStr">
        <is>
          <t>Cross-persona</t>
        </is>
      </c>
      <c r="O237" s="8" t="inlineStr">
        <is>
          <t>P1</t>
        </is>
      </c>
      <c r="P237" s="5" t="inlineStr">
        <is>
          <t>Restored to authored P1. The previous workbook had P0 after a keyword rebalance.</t>
        </is>
      </c>
      <c r="Q237" s="20" t="inlineStr">
        <is>
          <t>Author assertion</t>
        </is>
      </c>
      <c r="R237" s="5" t="inlineStr">
        <is>
          <t>Restored to authored P1. The previous workbook had P0 after a keyword rebalance.</t>
        </is>
      </c>
      <c r="S237" s="8" t="inlineStr">
        <is>
          <t>INV</t>
        </is>
      </c>
      <c r="T237" s="5" t="inlineStr">
        <is>
          <t>Inventory lifecycle</t>
        </is>
      </c>
      <c r="U237" s="8" t="inlineStr"/>
      <c r="V237" s="8" t="inlineStr">
        <is>
          <t>inventory</t>
        </is>
      </c>
      <c r="W237" s="8" t="inlineStr">
        <is>
          <t>RUN</t>
        </is>
      </c>
      <c r="X237" s="5" t="inlineStr">
        <is>
          <t>Core</t>
        </is>
      </c>
      <c r="Y237" s="5" t="inlineStr">
        <is>
          <t>Cross-persona</t>
        </is>
      </c>
      <c r="Z237" s="5" t="inlineStr">
        <is>
          <t>High</t>
        </is>
      </c>
      <c r="AA237" s="5" t="inlineStr">
        <is>
          <t>High</t>
        </is>
      </c>
      <c r="AB237" s="8" t="inlineStr">
        <is>
          <t>Low</t>
        </is>
      </c>
      <c r="AC237" s="8" t="inlineStr">
        <is>
          <t>Pilot</t>
        </is>
      </c>
      <c r="AD237" s="5" t="inlineStr">
        <is>
          <t>Not independently checked</t>
        </is>
      </c>
      <c r="AE237" s="5" t="inlineStr">
        <is>
          <t>Not verified</t>
        </is>
      </c>
      <c r="AF237" s="5" t="inlineStr">
        <is>
          <t>Not verified</t>
        </is>
      </c>
      <c r="AG237" s="5" t="inlineStr">
        <is>
          <t>Not verified</t>
        </is>
      </c>
      <c r="AH237" s="5" t="inlineStr">
        <is>
          <t>Not verified</t>
        </is>
      </c>
      <c r="AI237" s="8" t="inlineStr">
        <is>
          <t>No</t>
        </is>
      </c>
      <c r="AJ237" s="8" t="inlineStr">
        <is>
          <t>Claimed - unverified</t>
        </is>
      </c>
      <c r="AK237" s="8" t="inlineStr">
        <is>
          <t>P1</t>
        </is>
      </c>
      <c r="AL237" s="8" t="n">
        <v>9</v>
      </c>
      <c r="AM237" s="5" t="inlineStr"/>
      <c r="AN237" s="5" t="inlineStr"/>
      <c r="AO237" s="5" t="inlineStr"/>
      <c r="AP237" s="5" t="inlineStr"/>
      <c r="AQ237" s="5" t="inlineStr"/>
      <c r="AR237" s="5" t="inlineStr"/>
      <c r="AS237" s="5" t="inlineStr"/>
      <c r="AT237" s="5" t="inlineStr"/>
      <c r="AU237" s="8" t="inlineStr">
        <is>
          <t>Not run</t>
        </is>
      </c>
    </row>
    <row r="238" ht="32" customHeight="1">
      <c r="A238" s="16" t="inlineStr">
        <is>
          <t>X-0237</t>
        </is>
      </c>
      <c r="B238" s="8" t="inlineStr">
        <is>
          <t>X</t>
        </is>
      </c>
      <c r="C238" s="5" t="inlineStr">
        <is>
          <t>Multiple / Cross-persona</t>
        </is>
      </c>
      <c r="D238" s="5" t="inlineStr">
        <is>
          <t>Inventory Lifecycle</t>
        </is>
      </c>
      <c r="E238" s="5" t="inlineStr">
        <is>
          <t>Sales return → stock comes back into inventory</t>
        </is>
      </c>
      <c r="F238" s="5" t="inlineStr">
        <is>
          <t>Godown Custodian</t>
        </is>
      </c>
      <c r="G238" s="5" t="inlineStr">
        <is>
          <t>Customer</t>
        </is>
      </c>
      <c r="H238" s="5" t="inlineStr">
        <is>
          <t>Customer-returned goods restored to active saleable inventory</t>
        </is>
      </c>
      <c r="I238" s="5" t="inlineStr">
        <is>
          <t>Creates StockMovement (RETURN_INWARD); restores stock balance at original cost</t>
        </is>
      </c>
      <c r="J238" s="20" t="inlineStr">
        <is>
          <t>P1</t>
        </is>
      </c>
      <c r="K238" s="20" t="inlineStr">
        <is>
          <t>Validated (Supported)</t>
        </is>
      </c>
      <c r="L238" s="5" t="inlineStr">
        <is>
          <t>Supported via SalesReturn approval with inventory restoration enabled.</t>
        </is>
      </c>
      <c r="M238" s="8" t="inlineStr">
        <is>
          <t>Baseline</t>
        </is>
      </c>
      <c r="N238" s="8" t="inlineStr">
        <is>
          <t>Cross-persona</t>
        </is>
      </c>
      <c r="O238" s="8" t="inlineStr">
        <is>
          <t>P1</t>
        </is>
      </c>
      <c r="P238" s="5" t="inlineStr">
        <is>
          <t>Unchanged</t>
        </is>
      </c>
      <c r="Q238" s="21" t="inlineStr">
        <is>
          <t>Code symbol found</t>
        </is>
      </c>
      <c r="R238" s="5" t="inlineStr">
        <is>
          <t>Matched SalesReturn in product code. This is not a functional test.</t>
        </is>
      </c>
      <c r="S238" s="8" t="inlineStr">
        <is>
          <t>INV</t>
        </is>
      </c>
      <c r="T238" s="5" t="inlineStr">
        <is>
          <t>Inventory lifecycle</t>
        </is>
      </c>
      <c r="U238" s="8" t="inlineStr"/>
      <c r="V238" s="8" t="inlineStr">
        <is>
          <t>inventory</t>
        </is>
      </c>
      <c r="W238" s="8" t="inlineStr">
        <is>
          <t>RUN</t>
        </is>
      </c>
      <c r="X238" s="5" t="inlineStr">
        <is>
          <t>Core</t>
        </is>
      </c>
      <c r="Y238" s="5" t="inlineStr">
        <is>
          <t>Cross-persona</t>
        </is>
      </c>
      <c r="Z238" s="5" t="inlineStr">
        <is>
          <t>High</t>
        </is>
      </c>
      <c r="AA238" s="5" t="inlineStr">
        <is>
          <t>High</t>
        </is>
      </c>
      <c r="AB238" s="8" t="inlineStr">
        <is>
          <t>Low</t>
        </is>
      </c>
      <c r="AC238" s="8" t="inlineStr">
        <is>
          <t>Pilot</t>
        </is>
      </c>
      <c r="AD238" s="5" t="inlineStr">
        <is>
          <t>Cited in code</t>
        </is>
      </c>
      <c r="AE238" s="5" t="inlineStr">
        <is>
          <t>Not verified</t>
        </is>
      </c>
      <c r="AF238" s="5" t="inlineStr">
        <is>
          <t>Not verified</t>
        </is>
      </c>
      <c r="AG238" s="5" t="inlineStr">
        <is>
          <t>Not verified</t>
        </is>
      </c>
      <c r="AH238" s="5" t="inlineStr">
        <is>
          <t>Not verified</t>
        </is>
      </c>
      <c r="AI238" s="8" t="inlineStr">
        <is>
          <t>No</t>
        </is>
      </c>
      <c r="AJ238" s="8" t="inlineStr">
        <is>
          <t>Built - unverified</t>
        </is>
      </c>
      <c r="AK238" s="8" t="inlineStr">
        <is>
          <t>P1</t>
        </is>
      </c>
      <c r="AL238" s="8" t="n">
        <v>9</v>
      </c>
      <c r="AM238" s="5" t="inlineStr"/>
      <c r="AN238" s="5" t="inlineStr"/>
      <c r="AO238" s="5" t="inlineStr"/>
      <c r="AP238" s="5" t="inlineStr"/>
      <c r="AQ238" s="5" t="inlineStr"/>
      <c r="AR238" s="5" t="inlineStr"/>
      <c r="AS238" s="5" t="inlineStr"/>
      <c r="AT238" s="5" t="inlineStr"/>
      <c r="AU238" s="8" t="inlineStr">
        <is>
          <t>Not run</t>
        </is>
      </c>
    </row>
    <row r="239" ht="32" customHeight="1">
      <c r="A239" s="16" t="inlineStr">
        <is>
          <t>X-0238</t>
        </is>
      </c>
      <c r="B239" s="8" t="inlineStr">
        <is>
          <t>X</t>
        </is>
      </c>
      <c r="C239" s="5" t="inlineStr">
        <is>
          <t>Multiple / Cross-persona</t>
        </is>
      </c>
      <c r="D239" s="5" t="inlineStr">
        <is>
          <t>Inventory Lifecycle</t>
        </is>
      </c>
      <c r="E239" s="5" t="inlineStr">
        <is>
          <t>Purchase return → stock leaves inventory</t>
        </is>
      </c>
      <c r="F239" s="5" t="inlineStr">
        <is>
          <t>Godown Custodian</t>
        </is>
      </c>
      <c r="G239" s="5" t="inlineStr">
        <is>
          <t>Supplier</t>
        </is>
      </c>
      <c r="H239" s="5" t="inlineStr">
        <is>
          <t>Vendor-returned goods removed from warehouse inventory records</t>
        </is>
      </c>
      <c r="I239" s="5" t="inlineStr">
        <is>
          <t>Creates StockMovement (RETURN_OUTWARD); reduces stock balance and FIFO cost layer</t>
        </is>
      </c>
      <c r="J239" s="20" t="inlineStr">
        <is>
          <t>P1</t>
        </is>
      </c>
      <c r="K239" s="20" t="inlineStr">
        <is>
          <t>Validated (Supported)</t>
        </is>
      </c>
      <c r="L239" s="5" t="inlineStr">
        <is>
          <t>Supported via PurchaseReturn completion.</t>
        </is>
      </c>
      <c r="M239" s="8" t="inlineStr">
        <is>
          <t>Baseline</t>
        </is>
      </c>
      <c r="N239" s="8" t="inlineStr">
        <is>
          <t>Cross-persona</t>
        </is>
      </c>
      <c r="O239" s="8" t="inlineStr">
        <is>
          <t>P1</t>
        </is>
      </c>
      <c r="P239" s="5" t="inlineStr">
        <is>
          <t>Unchanged</t>
        </is>
      </c>
      <c r="Q239" s="21" t="inlineStr">
        <is>
          <t>Code symbol found</t>
        </is>
      </c>
      <c r="R239" s="5" t="inlineStr">
        <is>
          <t>Matched PurchaseReturn in product code. This is not a functional test.</t>
        </is>
      </c>
      <c r="S239" s="8" t="inlineStr">
        <is>
          <t>INV</t>
        </is>
      </c>
      <c r="T239" s="5" t="inlineStr">
        <is>
          <t>Inventory lifecycle</t>
        </is>
      </c>
      <c r="U239" s="8" t="inlineStr"/>
      <c r="V239" s="8" t="inlineStr">
        <is>
          <t>inventory</t>
        </is>
      </c>
      <c r="W239" s="8" t="inlineStr">
        <is>
          <t>RUN</t>
        </is>
      </c>
      <c r="X239" s="5" t="inlineStr">
        <is>
          <t>Core</t>
        </is>
      </c>
      <c r="Y239" s="5" t="inlineStr">
        <is>
          <t>Cross-persona</t>
        </is>
      </c>
      <c r="Z239" s="5" t="inlineStr">
        <is>
          <t>High</t>
        </is>
      </c>
      <c r="AA239" s="5" t="inlineStr">
        <is>
          <t>High</t>
        </is>
      </c>
      <c r="AB239" s="8" t="inlineStr">
        <is>
          <t>Low</t>
        </is>
      </c>
      <c r="AC239" s="8" t="inlineStr">
        <is>
          <t>Pilot</t>
        </is>
      </c>
      <c r="AD239" s="5" t="inlineStr">
        <is>
          <t>Cited in code</t>
        </is>
      </c>
      <c r="AE239" s="5" t="inlineStr">
        <is>
          <t>Not verified</t>
        </is>
      </c>
      <c r="AF239" s="5" t="inlineStr">
        <is>
          <t>Not verified</t>
        </is>
      </c>
      <c r="AG239" s="5" t="inlineStr">
        <is>
          <t>Not verified</t>
        </is>
      </c>
      <c r="AH239" s="5" t="inlineStr">
        <is>
          <t>Not verified</t>
        </is>
      </c>
      <c r="AI239" s="8" t="inlineStr">
        <is>
          <t>No</t>
        </is>
      </c>
      <c r="AJ239" s="8" t="inlineStr">
        <is>
          <t>Built - unverified</t>
        </is>
      </c>
      <c r="AK239" s="8" t="inlineStr">
        <is>
          <t>P1</t>
        </is>
      </c>
      <c r="AL239" s="8" t="n">
        <v>9</v>
      </c>
      <c r="AM239" s="5" t="inlineStr"/>
      <c r="AN239" s="5" t="inlineStr"/>
      <c r="AO239" s="5" t="inlineStr"/>
      <c r="AP239" s="5" t="inlineStr"/>
      <c r="AQ239" s="5" t="inlineStr"/>
      <c r="AR239" s="5" t="inlineStr"/>
      <c r="AS239" s="5" t="inlineStr"/>
      <c r="AT239" s="5" t="inlineStr"/>
      <c r="AU239" s="8" t="inlineStr">
        <is>
          <t>Not run</t>
        </is>
      </c>
    </row>
    <row r="240" ht="32" customHeight="1">
      <c r="A240" s="16" t="inlineStr">
        <is>
          <t>X-0239</t>
        </is>
      </c>
      <c r="B240" s="8" t="inlineStr">
        <is>
          <t>X</t>
        </is>
      </c>
      <c r="C240" s="5" t="inlineStr">
        <is>
          <t>Multiple / Cross-persona</t>
        </is>
      </c>
      <c r="D240" s="5" t="inlineStr">
        <is>
          <t>Inventory Lifecycle</t>
        </is>
      </c>
      <c r="E240" s="5" t="inlineStr">
        <is>
          <t>Stock transfer → source location decreases</t>
        </is>
      </c>
      <c r="F240" s="5" t="inlineStr">
        <is>
          <t>Godown Custodian (Source)</t>
        </is>
      </c>
      <c r="G240" s="5" t="inlineStr">
        <is>
          <t>Logistics Coordinator</t>
        </is>
      </c>
      <c r="H240" s="5" t="inlineStr">
        <is>
          <t>Inventory deducted from sending warehouse upon inter-godown dispatch</t>
        </is>
      </c>
      <c r="I240" s="5" t="inlineStr">
        <is>
          <t>Creates StockMovement (TRANSFER_OUT); reduces source warehouse StockBalance</t>
        </is>
      </c>
      <c r="J240" s="20" t="inlineStr">
        <is>
          <t>P1</t>
        </is>
      </c>
      <c r="K240" s="20" t="inlineStr">
        <is>
          <t>Validated (Supported)</t>
        </is>
      </c>
      <c r="L240" s="5" t="inlineStr">
        <is>
          <t>Supported via StockTransfer dispatch step.</t>
        </is>
      </c>
      <c r="M240" s="8" t="inlineStr">
        <is>
          <t>Baseline</t>
        </is>
      </c>
      <c r="N240" s="8" t="inlineStr">
        <is>
          <t>Cross-persona</t>
        </is>
      </c>
      <c r="O240" s="8" t="inlineStr">
        <is>
          <t>P1</t>
        </is>
      </c>
      <c r="P240" s="5" t="inlineStr">
        <is>
          <t>Unchanged</t>
        </is>
      </c>
      <c r="Q240" s="21" t="inlineStr">
        <is>
          <t>Code symbol found</t>
        </is>
      </c>
      <c r="R240" s="5" t="inlineStr">
        <is>
          <t>Matched StockTransfer in product code. This is not a functional test.</t>
        </is>
      </c>
      <c r="S240" s="8" t="inlineStr">
        <is>
          <t>INV</t>
        </is>
      </c>
      <c r="T240" s="5" t="inlineStr">
        <is>
          <t>Inventory lifecycle</t>
        </is>
      </c>
      <c r="U240" s="8" t="inlineStr"/>
      <c r="V240" s="8" t="inlineStr">
        <is>
          <t>inventory</t>
        </is>
      </c>
      <c r="W240" s="8" t="inlineStr">
        <is>
          <t>RUN</t>
        </is>
      </c>
      <c r="X240" s="5" t="inlineStr">
        <is>
          <t>Core</t>
        </is>
      </c>
      <c r="Y240" s="5" t="inlineStr">
        <is>
          <t>Cross-persona</t>
        </is>
      </c>
      <c r="Z240" s="5" t="inlineStr">
        <is>
          <t>High</t>
        </is>
      </c>
      <c r="AA240" s="5" t="inlineStr">
        <is>
          <t>High</t>
        </is>
      </c>
      <c r="AB240" s="8" t="inlineStr">
        <is>
          <t>Low</t>
        </is>
      </c>
      <c r="AC240" s="8" t="inlineStr">
        <is>
          <t>Pilot</t>
        </is>
      </c>
      <c r="AD240" s="5" t="inlineStr">
        <is>
          <t>Cited in code</t>
        </is>
      </c>
      <c r="AE240" s="5" t="inlineStr">
        <is>
          <t>Not verified</t>
        </is>
      </c>
      <c r="AF240" s="5" t="inlineStr">
        <is>
          <t>Not verified</t>
        </is>
      </c>
      <c r="AG240" s="5" t="inlineStr">
        <is>
          <t>Not verified</t>
        </is>
      </c>
      <c r="AH240" s="5" t="inlineStr">
        <is>
          <t>Not verified</t>
        </is>
      </c>
      <c r="AI240" s="8" t="inlineStr">
        <is>
          <t>No</t>
        </is>
      </c>
      <c r="AJ240" s="8" t="inlineStr">
        <is>
          <t>Built - unverified</t>
        </is>
      </c>
      <c r="AK240" s="8" t="inlineStr">
        <is>
          <t>P1</t>
        </is>
      </c>
      <c r="AL240" s="8" t="n">
        <v>9</v>
      </c>
      <c r="AM240" s="5" t="inlineStr"/>
      <c r="AN240" s="5" t="inlineStr"/>
      <c r="AO240" s="5" t="inlineStr"/>
      <c r="AP240" s="5" t="inlineStr"/>
      <c r="AQ240" s="5" t="inlineStr"/>
      <c r="AR240" s="5" t="inlineStr"/>
      <c r="AS240" s="5" t="inlineStr"/>
      <c r="AT240" s="5" t="inlineStr"/>
      <c r="AU240" s="8" t="inlineStr">
        <is>
          <t>Not run</t>
        </is>
      </c>
    </row>
    <row r="241" ht="32" customHeight="1">
      <c r="A241" s="16" t="inlineStr">
        <is>
          <t>X-0240</t>
        </is>
      </c>
      <c r="B241" s="8" t="inlineStr">
        <is>
          <t>X</t>
        </is>
      </c>
      <c r="C241" s="5" t="inlineStr">
        <is>
          <t>Multiple / Cross-persona</t>
        </is>
      </c>
      <c r="D241" s="5" t="inlineStr">
        <is>
          <t>Inventory Lifecycle</t>
        </is>
      </c>
      <c r="E241" s="5" t="inlineStr">
        <is>
          <t>Stock transfer → destination location increases</t>
        </is>
      </c>
      <c r="F241" s="5" t="inlineStr">
        <is>
          <t>Godown Custodian (Dest)</t>
        </is>
      </c>
      <c r="G241" s="5" t="inlineStr">
        <is>
          <t>Logistics Coordinator</t>
        </is>
      </c>
      <c r="H241" s="5" t="inlineStr">
        <is>
          <t>Inventory added to receiving warehouse upon inter-godown receipt</t>
        </is>
      </c>
      <c r="I241" s="5" t="inlineStr">
        <is>
          <t>Creates StockMovement (TRANSFER_IN); increases destination warehouse StockBalance</t>
        </is>
      </c>
      <c r="J241" s="20" t="inlineStr">
        <is>
          <t>P1</t>
        </is>
      </c>
      <c r="K241" s="20" t="inlineStr">
        <is>
          <t>Validated (Supported)</t>
        </is>
      </c>
      <c r="L241" s="5" t="inlineStr">
        <is>
          <t>Supported via StockTransfer receive step.</t>
        </is>
      </c>
      <c r="M241" s="8" t="inlineStr">
        <is>
          <t>Baseline</t>
        </is>
      </c>
      <c r="N241" s="8" t="inlineStr">
        <is>
          <t>Cross-persona</t>
        </is>
      </c>
      <c r="O241" s="8" t="inlineStr">
        <is>
          <t>P1</t>
        </is>
      </c>
      <c r="P241" s="5" t="inlineStr">
        <is>
          <t>Unchanged</t>
        </is>
      </c>
      <c r="Q241" s="21" t="inlineStr">
        <is>
          <t>Code symbol found</t>
        </is>
      </c>
      <c r="R241" s="5" t="inlineStr">
        <is>
          <t>Matched StockTransfer in product code. This is not a functional test.</t>
        </is>
      </c>
      <c r="S241" s="8" t="inlineStr">
        <is>
          <t>INV</t>
        </is>
      </c>
      <c r="T241" s="5" t="inlineStr">
        <is>
          <t>Inventory lifecycle</t>
        </is>
      </c>
      <c r="U241" s="8" t="inlineStr"/>
      <c r="V241" s="8" t="inlineStr">
        <is>
          <t>inventory</t>
        </is>
      </c>
      <c r="W241" s="8" t="inlineStr">
        <is>
          <t>RUN</t>
        </is>
      </c>
      <c r="X241" s="5" t="inlineStr">
        <is>
          <t>Core</t>
        </is>
      </c>
      <c r="Y241" s="5" t="inlineStr">
        <is>
          <t>Cross-persona</t>
        </is>
      </c>
      <c r="Z241" s="5" t="inlineStr">
        <is>
          <t>High</t>
        </is>
      </c>
      <c r="AA241" s="5" t="inlineStr">
        <is>
          <t>High</t>
        </is>
      </c>
      <c r="AB241" s="8" t="inlineStr">
        <is>
          <t>Low</t>
        </is>
      </c>
      <c r="AC241" s="8" t="inlineStr">
        <is>
          <t>Pilot</t>
        </is>
      </c>
      <c r="AD241" s="5" t="inlineStr">
        <is>
          <t>Cited in code</t>
        </is>
      </c>
      <c r="AE241" s="5" t="inlineStr">
        <is>
          <t>Not verified</t>
        </is>
      </c>
      <c r="AF241" s="5" t="inlineStr">
        <is>
          <t>Not verified</t>
        </is>
      </c>
      <c r="AG241" s="5" t="inlineStr">
        <is>
          <t>Not verified</t>
        </is>
      </c>
      <c r="AH241" s="5" t="inlineStr">
        <is>
          <t>Not verified</t>
        </is>
      </c>
      <c r="AI241" s="8" t="inlineStr">
        <is>
          <t>No</t>
        </is>
      </c>
      <c r="AJ241" s="8" t="inlineStr">
        <is>
          <t>Built - unverified</t>
        </is>
      </c>
      <c r="AK241" s="8" t="inlineStr">
        <is>
          <t>P1</t>
        </is>
      </c>
      <c r="AL241" s="8" t="n">
        <v>9</v>
      </c>
      <c r="AM241" s="5" t="inlineStr"/>
      <c r="AN241" s="5" t="inlineStr"/>
      <c r="AO241" s="5" t="inlineStr"/>
      <c r="AP241" s="5" t="inlineStr"/>
      <c r="AQ241" s="5" t="inlineStr"/>
      <c r="AR241" s="5" t="inlineStr"/>
      <c r="AS241" s="5" t="inlineStr"/>
      <c r="AT241" s="5" t="inlineStr"/>
      <c r="AU241" s="8" t="inlineStr">
        <is>
          <t>Not run</t>
        </is>
      </c>
    </row>
    <row r="242" ht="32" customHeight="1">
      <c r="A242" s="16" t="inlineStr">
        <is>
          <t>X-0241</t>
        </is>
      </c>
      <c r="B242" s="8" t="inlineStr">
        <is>
          <t>X</t>
        </is>
      </c>
      <c r="C242" s="5" t="inlineStr">
        <is>
          <t>Multiple / Cross-persona</t>
        </is>
      </c>
      <c r="D242" s="5" t="inlineStr">
        <is>
          <t>Inventory Lifecycle</t>
        </is>
      </c>
      <c r="E242" s="5" t="inlineStr">
        <is>
          <t>Stock transfer → complete movement history is retained</t>
        </is>
      </c>
      <c r="F242" s="5" t="inlineStr">
        <is>
          <t>Logistics Manager</t>
        </is>
      </c>
      <c r="G242" s="5" t="inlineStr">
        <is>
          <t>Auditor</t>
        </is>
      </c>
      <c r="H242" s="5" t="inlineStr">
        <is>
          <t>Complete audit trail of transit dates, quantities, and carrier details retained</t>
        </is>
      </c>
      <c r="I242" s="5" t="inlineStr">
        <is>
          <t>Maintains StockTransfer record linking dispatch and receipt movements with user IDs</t>
        </is>
      </c>
      <c r="J242" s="20" t="inlineStr">
        <is>
          <t>P1</t>
        </is>
      </c>
      <c r="K242" s="20" t="inlineStr">
        <is>
          <t>Validated (Supported)</t>
        </is>
      </c>
      <c r="L242" s="5" t="inlineStr">
        <is>
          <t>Supported via immutable StockTransfer history.</t>
        </is>
      </c>
      <c r="M242" s="8" t="inlineStr">
        <is>
          <t>Baseline</t>
        </is>
      </c>
      <c r="N242" s="8" t="inlineStr">
        <is>
          <t>Cross-persona</t>
        </is>
      </c>
      <c r="O242" s="8" t="inlineStr">
        <is>
          <t>P1</t>
        </is>
      </c>
      <c r="P242" s="5" t="inlineStr">
        <is>
          <t>Unchanged</t>
        </is>
      </c>
      <c r="Q242" s="21" t="inlineStr">
        <is>
          <t>Code symbol found</t>
        </is>
      </c>
      <c r="R242" s="5" t="inlineStr">
        <is>
          <t>Matched StockTransfer in product code. This is not a functional test.</t>
        </is>
      </c>
      <c r="S242" s="8" t="inlineStr">
        <is>
          <t>INV</t>
        </is>
      </c>
      <c r="T242" s="5" t="inlineStr">
        <is>
          <t>Inventory lifecycle</t>
        </is>
      </c>
      <c r="U242" s="8" t="inlineStr"/>
      <c r="V242" s="8" t="inlineStr">
        <is>
          <t>inventory</t>
        </is>
      </c>
      <c r="W242" s="8" t="inlineStr">
        <is>
          <t>RUN</t>
        </is>
      </c>
      <c r="X242" s="5" t="inlineStr">
        <is>
          <t>Core</t>
        </is>
      </c>
      <c r="Y242" s="5" t="inlineStr">
        <is>
          <t>Cross-persona</t>
        </is>
      </c>
      <c r="Z242" s="5" t="inlineStr">
        <is>
          <t>High</t>
        </is>
      </c>
      <c r="AA242" s="5" t="inlineStr">
        <is>
          <t>High</t>
        </is>
      </c>
      <c r="AB242" s="8" t="inlineStr">
        <is>
          <t>Low</t>
        </is>
      </c>
      <c r="AC242" s="8" t="inlineStr">
        <is>
          <t>Pilot</t>
        </is>
      </c>
      <c r="AD242" s="5" t="inlineStr">
        <is>
          <t>Cited in code</t>
        </is>
      </c>
      <c r="AE242" s="5" t="inlineStr">
        <is>
          <t>Not verified</t>
        </is>
      </c>
      <c r="AF242" s="5" t="inlineStr">
        <is>
          <t>Not verified</t>
        </is>
      </c>
      <c r="AG242" s="5" t="inlineStr">
        <is>
          <t>Not verified</t>
        </is>
      </c>
      <c r="AH242" s="5" t="inlineStr">
        <is>
          <t>Not verified</t>
        </is>
      </c>
      <c r="AI242" s="8" t="inlineStr">
        <is>
          <t>No</t>
        </is>
      </c>
      <c r="AJ242" s="8" t="inlineStr">
        <is>
          <t>Built - unverified</t>
        </is>
      </c>
      <c r="AK242" s="8" t="inlineStr">
        <is>
          <t>P1</t>
        </is>
      </c>
      <c r="AL242" s="8" t="n">
        <v>9</v>
      </c>
      <c r="AM242" s="5" t="inlineStr"/>
      <c r="AN242" s="5" t="inlineStr"/>
      <c r="AO242" s="5" t="inlineStr"/>
      <c r="AP242" s="5" t="inlineStr"/>
      <c r="AQ242" s="5" t="inlineStr"/>
      <c r="AR242" s="5" t="inlineStr"/>
      <c r="AS242" s="5" t="inlineStr"/>
      <c r="AT242" s="5" t="inlineStr"/>
      <c r="AU242" s="8" t="inlineStr">
        <is>
          <t>Not run</t>
        </is>
      </c>
    </row>
    <row r="243" ht="32" customHeight="1">
      <c r="A243" s="16" t="inlineStr">
        <is>
          <t>X-0242</t>
        </is>
      </c>
      <c r="B243" s="8" t="inlineStr">
        <is>
          <t>X</t>
        </is>
      </c>
      <c r="C243" s="5" t="inlineStr">
        <is>
          <t>Multiple / Cross-persona</t>
        </is>
      </c>
      <c r="D243" s="5" t="inlineStr">
        <is>
          <t>Inventory Lifecycle</t>
        </is>
      </c>
      <c r="E243" s="5" t="inlineStr">
        <is>
          <t>Stock adjustment → authorized user approves adjustment</t>
        </is>
      </c>
      <c r="F243" s="5" t="inlineStr">
        <is>
          <t>Warehouse Manager / Owner</t>
        </is>
      </c>
      <c r="G243" s="5" t="inlineStr">
        <is>
          <t>Inventory Staff</t>
        </is>
      </c>
      <c r="H243" s="5" t="inlineStr">
        <is>
          <t>Manager authorization required before manual stock write-offs or adjustments take effect</t>
        </is>
      </c>
      <c r="I243" s="5" t="inlineStr">
        <is>
          <t>Validates user permission; records approver identity, approval timestamp, and justification</t>
        </is>
      </c>
      <c r="J243" s="20" t="inlineStr">
        <is>
          <t>P1</t>
        </is>
      </c>
      <c r="K243" s="20" t="inlineStr">
        <is>
          <t>Validated (Supported)</t>
        </is>
      </c>
      <c r="L243" s="5" t="inlineStr">
        <is>
          <t>Supported via dual-authorization workflow for StockAdjustment records.</t>
        </is>
      </c>
      <c r="M243" s="8" t="inlineStr">
        <is>
          <t>Baseline</t>
        </is>
      </c>
      <c r="N243" s="8" t="inlineStr">
        <is>
          <t>Cross-persona</t>
        </is>
      </c>
      <c r="O243" s="8" t="inlineStr">
        <is>
          <t>P1</t>
        </is>
      </c>
      <c r="P243" s="5" t="inlineStr">
        <is>
          <t>Unchanged</t>
        </is>
      </c>
      <c r="Q243" s="21" t="inlineStr">
        <is>
          <t>Code symbol found</t>
        </is>
      </c>
      <c r="R243" s="5" t="inlineStr">
        <is>
          <t>Matched StockAdjustment in product code. This is not a functional test.</t>
        </is>
      </c>
      <c r="S243" s="8" t="inlineStr">
        <is>
          <t>INV</t>
        </is>
      </c>
      <c r="T243" s="5" t="inlineStr">
        <is>
          <t>Inventory lifecycle</t>
        </is>
      </c>
      <c r="U243" s="8" t="inlineStr"/>
      <c r="V243" s="8" t="inlineStr">
        <is>
          <t>inventory</t>
        </is>
      </c>
      <c r="W243" s="8" t="inlineStr">
        <is>
          <t>RUN</t>
        </is>
      </c>
      <c r="X243" s="5" t="inlineStr">
        <is>
          <t>Core</t>
        </is>
      </c>
      <c r="Y243" s="5" t="inlineStr">
        <is>
          <t>Cross-persona</t>
        </is>
      </c>
      <c r="Z243" s="5" t="inlineStr">
        <is>
          <t>High</t>
        </is>
      </c>
      <c r="AA243" s="5" t="inlineStr">
        <is>
          <t>High</t>
        </is>
      </c>
      <c r="AB243" s="8" t="inlineStr">
        <is>
          <t>Low</t>
        </is>
      </c>
      <c r="AC243" s="8" t="inlineStr">
        <is>
          <t>Pilot</t>
        </is>
      </c>
      <c r="AD243" s="5" t="inlineStr">
        <is>
          <t>Cited in code</t>
        </is>
      </c>
      <c r="AE243" s="5" t="inlineStr">
        <is>
          <t>Not verified</t>
        </is>
      </c>
      <c r="AF243" s="5" t="inlineStr">
        <is>
          <t>Not verified</t>
        </is>
      </c>
      <c r="AG243" s="5" t="inlineStr">
        <is>
          <t>Not verified</t>
        </is>
      </c>
      <c r="AH243" s="5" t="inlineStr">
        <is>
          <t>Not verified</t>
        </is>
      </c>
      <c r="AI243" s="8" t="inlineStr">
        <is>
          <t>No</t>
        </is>
      </c>
      <c r="AJ243" s="8" t="inlineStr">
        <is>
          <t>Built - unverified</t>
        </is>
      </c>
      <c r="AK243" s="8" t="inlineStr">
        <is>
          <t>P1</t>
        </is>
      </c>
      <c r="AL243" s="8" t="n">
        <v>9</v>
      </c>
      <c r="AM243" s="5" t="inlineStr"/>
      <c r="AN243" s="5" t="inlineStr"/>
      <c r="AO243" s="5" t="inlineStr"/>
      <c r="AP243" s="5" t="inlineStr"/>
      <c r="AQ243" s="5" t="inlineStr"/>
      <c r="AR243" s="5" t="inlineStr"/>
      <c r="AS243" s="5" t="inlineStr"/>
      <c r="AT243" s="5" t="inlineStr"/>
      <c r="AU243" s="8" t="inlineStr">
        <is>
          <t>Not run</t>
        </is>
      </c>
    </row>
    <row r="244" ht="32" customHeight="1">
      <c r="A244" s="16" t="inlineStr">
        <is>
          <t>X-0243</t>
        </is>
      </c>
      <c r="B244" s="8" t="inlineStr">
        <is>
          <t>X</t>
        </is>
      </c>
      <c r="C244" s="5" t="inlineStr">
        <is>
          <t>Multiple / Cross-persona</t>
        </is>
      </c>
      <c r="D244" s="5" t="inlineStr">
        <is>
          <t>Inventory Lifecycle</t>
        </is>
      </c>
      <c r="E244" s="5" t="inlineStr">
        <is>
          <t>Stock adjustment → inventory ledger records adjustment</t>
        </is>
      </c>
      <c r="F244" s="5" t="inlineStr">
        <is>
          <t>System / Inventory Ledger</t>
        </is>
      </c>
      <c r="G244" s="5" t="inlineStr">
        <is>
          <t>Inventory Manager</t>
        </is>
      </c>
      <c r="H244" s="5" t="inlineStr">
        <is>
          <t>Stock balance corrected and inventory adjustment voucher posted to general ledger</t>
        </is>
      </c>
      <c r="I244" s="5" t="inlineStr">
        <is>
          <t>Creates StockMovement (COUNT_ADJUSTMENT); posts inventory shrinkage expense to GL</t>
        </is>
      </c>
      <c r="J244" s="20" t="inlineStr">
        <is>
          <t>P1</t>
        </is>
      </c>
      <c r="K244" s="20" t="inlineStr">
        <is>
          <t>Validated (Supported)</t>
        </is>
      </c>
      <c r="L244" s="5" t="inlineStr">
        <is>
          <t>Core system invariant: stock adjustment atomically adjusts both inventory and GL.</t>
        </is>
      </c>
      <c r="M244" s="8" t="inlineStr">
        <is>
          <t>Baseline</t>
        </is>
      </c>
      <c r="N244" s="8" t="inlineStr">
        <is>
          <t>Cross-persona</t>
        </is>
      </c>
      <c r="O244" s="8" t="inlineStr">
        <is>
          <t>P1</t>
        </is>
      </c>
      <c r="P244" s="5" t="inlineStr">
        <is>
          <t>Restored to authored P1. The previous workbook had P0 after a keyword rebalance.</t>
        </is>
      </c>
      <c r="Q244" s="20" t="inlineStr">
        <is>
          <t>Author assertion</t>
        </is>
      </c>
      <c r="R244" s="5" t="inlineStr">
        <is>
          <t>Restored to authored P1. The previous workbook had P0 after a keyword rebalance.</t>
        </is>
      </c>
      <c r="S244" s="8" t="inlineStr">
        <is>
          <t>INV</t>
        </is>
      </c>
      <c r="T244" s="5" t="inlineStr">
        <is>
          <t>Inventory lifecycle</t>
        </is>
      </c>
      <c r="U244" s="8" t="inlineStr"/>
      <c r="V244" s="8" t="inlineStr">
        <is>
          <t>inventory</t>
        </is>
      </c>
      <c r="W244" s="8" t="inlineStr">
        <is>
          <t>RUN</t>
        </is>
      </c>
      <c r="X244" s="5" t="inlineStr">
        <is>
          <t>Core</t>
        </is>
      </c>
      <c r="Y244" s="5" t="inlineStr">
        <is>
          <t>Cross-persona</t>
        </is>
      </c>
      <c r="Z244" s="5" t="inlineStr">
        <is>
          <t>High</t>
        </is>
      </c>
      <c r="AA244" s="5" t="inlineStr">
        <is>
          <t>High</t>
        </is>
      </c>
      <c r="AB244" s="8" t="inlineStr">
        <is>
          <t>Low</t>
        </is>
      </c>
      <c r="AC244" s="8" t="inlineStr">
        <is>
          <t>Pilot</t>
        </is>
      </c>
      <c r="AD244" s="5" t="inlineStr">
        <is>
          <t>Not independently checked</t>
        </is>
      </c>
      <c r="AE244" s="5" t="inlineStr">
        <is>
          <t>Not verified</t>
        </is>
      </c>
      <c r="AF244" s="5" t="inlineStr">
        <is>
          <t>Not verified</t>
        </is>
      </c>
      <c r="AG244" s="5" t="inlineStr">
        <is>
          <t>Not verified</t>
        </is>
      </c>
      <c r="AH244" s="5" t="inlineStr">
        <is>
          <t>Not verified</t>
        </is>
      </c>
      <c r="AI244" s="8" t="inlineStr">
        <is>
          <t>No</t>
        </is>
      </c>
      <c r="AJ244" s="8" t="inlineStr">
        <is>
          <t>Claimed - unverified</t>
        </is>
      </c>
      <c r="AK244" s="8" t="inlineStr">
        <is>
          <t>P1</t>
        </is>
      </c>
      <c r="AL244" s="8" t="n">
        <v>9</v>
      </c>
      <c r="AM244" s="5" t="inlineStr"/>
      <c r="AN244" s="5" t="inlineStr"/>
      <c r="AO244" s="5" t="inlineStr"/>
      <c r="AP244" s="5" t="inlineStr"/>
      <c r="AQ244" s="5" t="inlineStr"/>
      <c r="AR244" s="5" t="inlineStr"/>
      <c r="AS244" s="5" t="inlineStr"/>
      <c r="AT244" s="5" t="inlineStr"/>
      <c r="AU244" s="8" t="inlineStr">
        <is>
          <t>Not run</t>
        </is>
      </c>
    </row>
    <row r="245" ht="32" customHeight="1">
      <c r="A245" s="16" t="inlineStr">
        <is>
          <t>X-0244</t>
        </is>
      </c>
      <c r="B245" s="8" t="inlineStr">
        <is>
          <t>X</t>
        </is>
      </c>
      <c r="C245" s="5" t="inlineStr">
        <is>
          <t>Multiple / Cross-persona</t>
        </is>
      </c>
      <c r="D245" s="5" t="inlineStr">
        <is>
          <t>Inventory Lifecycle</t>
        </is>
      </c>
      <c r="E245" s="5" t="inlineStr">
        <is>
          <t>Damaged stock → inventory is separated from saleable stock</t>
        </is>
      </c>
      <c r="F245" s="5" t="inlineStr">
        <is>
          <t>Godown Custodian</t>
        </is>
      </c>
      <c r="G245" s="5" t="inlineStr">
        <is>
          <t>Sales Team</t>
        </is>
      </c>
      <c r="H245" s="5" t="inlineStr">
        <is>
          <t>Damaged goods isolated into quarantined virtual bin to prevent accidental customer sale</t>
        </is>
      </c>
      <c r="I245" s="5" t="inlineStr">
        <is>
          <t>Transfers quantity from SALEABLE warehouse bin to DAMAGED quarantine bin</t>
        </is>
      </c>
      <c r="J245" s="20" t="inlineStr">
        <is>
          <t>P1</t>
        </is>
      </c>
      <c r="K245" s="20" t="inlineStr">
        <is>
          <t>Validated (Supported)</t>
        </is>
      </c>
      <c r="L245" s="5" t="inlineStr">
        <is>
          <t>Supported via warehouse quarantine bin configuration.</t>
        </is>
      </c>
      <c r="M245" s="8" t="inlineStr">
        <is>
          <t>Baseline</t>
        </is>
      </c>
      <c r="N245" s="8" t="inlineStr">
        <is>
          <t>Cross-persona</t>
        </is>
      </c>
      <c r="O245" s="8" t="inlineStr">
        <is>
          <t>P1</t>
        </is>
      </c>
      <c r="P245" s="5" t="inlineStr">
        <is>
          <t>Unchanged</t>
        </is>
      </c>
      <c r="Q245" s="20" t="inlineStr">
        <is>
          <t>Author assertion</t>
        </is>
      </c>
      <c r="R245" s="5" t="inlineStr"/>
      <c r="S245" s="8" t="inlineStr">
        <is>
          <t>INV</t>
        </is>
      </c>
      <c r="T245" s="5" t="inlineStr">
        <is>
          <t>Inventory lifecycle</t>
        </is>
      </c>
      <c r="U245" s="8" t="inlineStr"/>
      <c r="V245" s="8" t="inlineStr">
        <is>
          <t>inventory</t>
        </is>
      </c>
      <c r="W245" s="8" t="inlineStr">
        <is>
          <t>RUN</t>
        </is>
      </c>
      <c r="X245" s="5" t="inlineStr">
        <is>
          <t>Core</t>
        </is>
      </c>
      <c r="Y245" s="5" t="inlineStr">
        <is>
          <t>Cross-persona</t>
        </is>
      </c>
      <c r="Z245" s="5" t="inlineStr">
        <is>
          <t>High</t>
        </is>
      </c>
      <c r="AA245" s="5" t="inlineStr">
        <is>
          <t>High</t>
        </is>
      </c>
      <c r="AB245" s="8" t="inlineStr">
        <is>
          <t>Low</t>
        </is>
      </c>
      <c r="AC245" s="8" t="inlineStr">
        <is>
          <t>Pilot</t>
        </is>
      </c>
      <c r="AD245" s="5" t="inlineStr">
        <is>
          <t>Not independently checked</t>
        </is>
      </c>
      <c r="AE245" s="5" t="inlineStr">
        <is>
          <t>Not verified</t>
        </is>
      </c>
      <c r="AF245" s="5" t="inlineStr">
        <is>
          <t>Not verified</t>
        </is>
      </c>
      <c r="AG245" s="5" t="inlineStr">
        <is>
          <t>Not verified</t>
        </is>
      </c>
      <c r="AH245" s="5" t="inlineStr">
        <is>
          <t>Not verified</t>
        </is>
      </c>
      <c r="AI245" s="8" t="inlineStr">
        <is>
          <t>No</t>
        </is>
      </c>
      <c r="AJ245" s="8" t="inlineStr">
        <is>
          <t>Claimed - unverified</t>
        </is>
      </c>
      <c r="AK245" s="8" t="inlineStr">
        <is>
          <t>P1</t>
        </is>
      </c>
      <c r="AL245" s="8" t="n">
        <v>9</v>
      </c>
      <c r="AM245" s="5" t="inlineStr"/>
      <c r="AN245" s="5" t="inlineStr"/>
      <c r="AO245" s="5" t="inlineStr"/>
      <c r="AP245" s="5" t="inlineStr"/>
      <c r="AQ245" s="5" t="inlineStr"/>
      <c r="AR245" s="5" t="inlineStr"/>
      <c r="AS245" s="5" t="inlineStr"/>
      <c r="AT245" s="5" t="inlineStr"/>
      <c r="AU245" s="8" t="inlineStr">
        <is>
          <t>Not run</t>
        </is>
      </c>
    </row>
    <row r="246" ht="32" customHeight="1">
      <c r="A246" s="16" t="inlineStr">
        <is>
          <t>X-0245</t>
        </is>
      </c>
      <c r="B246" s="8" t="inlineStr">
        <is>
          <t>X</t>
        </is>
      </c>
      <c r="C246" s="5" t="inlineStr">
        <is>
          <t>Multiple / Cross-persona</t>
        </is>
      </c>
      <c r="D246" s="5" t="inlineStr">
        <is>
          <t>Inventory Lifecycle</t>
        </is>
      </c>
      <c r="E246" s="5" t="inlineStr">
        <is>
          <t>Lost stock → inventory adjustment is recorded</t>
        </is>
      </c>
      <c r="F246" s="5" t="inlineStr">
        <is>
          <t>Inventory Manager</t>
        </is>
      </c>
      <c r="G246" s="5" t="inlineStr">
        <is>
          <t>Business Owner</t>
        </is>
      </c>
      <c r="H246" s="5" t="inlineStr">
        <is>
          <t>Missing or stolen items written off with complete financial and quantity loss documentation</t>
        </is>
      </c>
      <c r="I246" s="5" t="inlineStr">
        <is>
          <t>Creates StockAdjustment; debits Inventory Shrinkage Expense account; credits Inventory Asset</t>
        </is>
      </c>
      <c r="J246" s="20" t="inlineStr">
        <is>
          <t>P1</t>
        </is>
      </c>
      <c r="K246" s="20" t="inlineStr">
        <is>
          <t>Validated (Supported)</t>
        </is>
      </c>
      <c r="L246" s="5" t="inlineStr">
        <is>
          <t>Supported via StockAdjustment with reason code 'THEFT_OR_LOSS'.</t>
        </is>
      </c>
      <c r="M246" s="8" t="inlineStr">
        <is>
          <t>Baseline</t>
        </is>
      </c>
      <c r="N246" s="8" t="inlineStr">
        <is>
          <t>Cross-persona</t>
        </is>
      </c>
      <c r="O246" s="8" t="inlineStr">
        <is>
          <t>P1</t>
        </is>
      </c>
      <c r="P246" s="5" t="inlineStr">
        <is>
          <t>Unchanged</t>
        </is>
      </c>
      <c r="Q246" s="21" t="inlineStr">
        <is>
          <t>Code symbol found</t>
        </is>
      </c>
      <c r="R246" s="5" t="inlineStr">
        <is>
          <t>Matched StockAdjustment in product code. This is not a functional test.</t>
        </is>
      </c>
      <c r="S246" s="8" t="inlineStr">
        <is>
          <t>INV</t>
        </is>
      </c>
      <c r="T246" s="5" t="inlineStr">
        <is>
          <t>Inventory lifecycle</t>
        </is>
      </c>
      <c r="U246" s="8" t="inlineStr"/>
      <c r="V246" s="8" t="inlineStr">
        <is>
          <t>inventory</t>
        </is>
      </c>
      <c r="W246" s="8" t="inlineStr">
        <is>
          <t>RUN</t>
        </is>
      </c>
      <c r="X246" s="5" t="inlineStr">
        <is>
          <t>Core</t>
        </is>
      </c>
      <c r="Y246" s="5" t="inlineStr">
        <is>
          <t>Cross-persona</t>
        </is>
      </c>
      <c r="Z246" s="5" t="inlineStr">
        <is>
          <t>High</t>
        </is>
      </c>
      <c r="AA246" s="5" t="inlineStr">
        <is>
          <t>High</t>
        </is>
      </c>
      <c r="AB246" s="8" t="inlineStr">
        <is>
          <t>Low</t>
        </is>
      </c>
      <c r="AC246" s="8" t="inlineStr">
        <is>
          <t>Pilot</t>
        </is>
      </c>
      <c r="AD246" s="5" t="inlineStr">
        <is>
          <t>Cited in code</t>
        </is>
      </c>
      <c r="AE246" s="5" t="inlineStr">
        <is>
          <t>Not verified</t>
        </is>
      </c>
      <c r="AF246" s="5" t="inlineStr">
        <is>
          <t>Not verified</t>
        </is>
      </c>
      <c r="AG246" s="5" t="inlineStr">
        <is>
          <t>Not verified</t>
        </is>
      </c>
      <c r="AH246" s="5" t="inlineStr">
        <is>
          <t>Not verified</t>
        </is>
      </c>
      <c r="AI246" s="8" t="inlineStr">
        <is>
          <t>No</t>
        </is>
      </c>
      <c r="AJ246" s="8" t="inlineStr">
        <is>
          <t>Built - unverified</t>
        </is>
      </c>
      <c r="AK246" s="8" t="inlineStr">
        <is>
          <t>P1</t>
        </is>
      </c>
      <c r="AL246" s="8" t="n">
        <v>9</v>
      </c>
      <c r="AM246" s="5" t="inlineStr"/>
      <c r="AN246" s="5" t="inlineStr"/>
      <c r="AO246" s="5" t="inlineStr"/>
      <c r="AP246" s="5" t="inlineStr"/>
      <c r="AQ246" s="5" t="inlineStr"/>
      <c r="AR246" s="5" t="inlineStr"/>
      <c r="AS246" s="5" t="inlineStr"/>
      <c r="AT246" s="5" t="inlineStr"/>
      <c r="AU246" s="8" t="inlineStr">
        <is>
          <t>Not run</t>
        </is>
      </c>
    </row>
    <row r="247" ht="32" customHeight="1">
      <c r="A247" s="16" t="inlineStr">
        <is>
          <t>X-0246</t>
        </is>
      </c>
      <c r="B247" s="8" t="inlineStr">
        <is>
          <t>X</t>
        </is>
      </c>
      <c r="C247" s="5" t="inlineStr">
        <is>
          <t>Multiple / Cross-persona</t>
        </is>
      </c>
      <c r="D247" s="5" t="inlineStr">
        <is>
          <t>Inventory Lifecycle</t>
        </is>
      </c>
      <c r="E247" s="5" t="inlineStr">
        <is>
          <t>Expired stock → sale is prevented/flagged</t>
        </is>
      </c>
      <c r="F247" s="5" t="inlineStr">
        <is>
          <t>System / Billing Engine</t>
        </is>
      </c>
      <c r="G247" s="5" t="inlineStr">
        <is>
          <t>Pharmacist / Retail Clerk</t>
        </is>
      </c>
      <c r="H247" s="5" t="inlineStr">
        <is>
          <t>System hard-blocks checkout if any item in cart is past its statutory expiry date</t>
        </is>
      </c>
      <c r="I247" s="5" t="inlineStr">
        <is>
          <t>Validates batch_lot.expiry_date against current date; raises blocking validation error</t>
        </is>
      </c>
      <c r="J247" s="19" t="inlineStr">
        <is>
          <t>P0</t>
        </is>
      </c>
      <c r="K247" s="20" t="inlineStr">
        <is>
          <t>Validated (Supported)</t>
        </is>
      </c>
      <c r="L247" s="5" t="inlineStr">
        <is>
          <t>Core system invariant: billing expired stock is strictly blocked at API and UI layers.</t>
        </is>
      </c>
      <c r="M247" s="8" t="inlineStr">
        <is>
          <t>Baseline</t>
        </is>
      </c>
      <c r="N247" s="8" t="inlineStr">
        <is>
          <t>Cross-persona</t>
        </is>
      </c>
      <c r="O247" s="8" t="inlineStr">
        <is>
          <t>P0</t>
        </is>
      </c>
      <c r="P247" s="5" t="inlineStr">
        <is>
          <t>Restored to authored P0. The previous workbook had P1 after a keyword rebalance.</t>
        </is>
      </c>
      <c r="Q247" s="20" t="inlineStr">
        <is>
          <t>Author assertion</t>
        </is>
      </c>
      <c r="R247" s="5" t="inlineStr">
        <is>
          <t>Restored to authored P0. The previous workbook had P1 after a keyword rebalance.</t>
        </is>
      </c>
      <c r="S247" s="8" t="inlineStr">
        <is>
          <t>INV</t>
        </is>
      </c>
      <c r="T247" s="5" t="inlineStr">
        <is>
          <t>Inventory lifecycle</t>
        </is>
      </c>
      <c r="U247" s="8" t="inlineStr"/>
      <c r="V247" s="8" t="inlineStr">
        <is>
          <t>inventory</t>
        </is>
      </c>
      <c r="W247" s="8" t="inlineStr">
        <is>
          <t>RUN</t>
        </is>
      </c>
      <c r="X247" s="5" t="inlineStr">
        <is>
          <t>Core</t>
        </is>
      </c>
      <c r="Y247" s="5" t="inlineStr">
        <is>
          <t>Cross-persona</t>
        </is>
      </c>
      <c r="Z247" s="5" t="inlineStr">
        <is>
          <t>High</t>
        </is>
      </c>
      <c r="AA247" s="5" t="inlineStr">
        <is>
          <t>High</t>
        </is>
      </c>
      <c r="AB247" s="8" t="inlineStr">
        <is>
          <t>Low</t>
        </is>
      </c>
      <c r="AC247" s="8" t="inlineStr">
        <is>
          <t>MVP</t>
        </is>
      </c>
      <c r="AD247" s="5" t="inlineStr">
        <is>
          <t>Not independently checked</t>
        </is>
      </c>
      <c r="AE247" s="5" t="inlineStr">
        <is>
          <t>Not verified</t>
        </is>
      </c>
      <c r="AF247" s="5" t="inlineStr">
        <is>
          <t>Not verified</t>
        </is>
      </c>
      <c r="AG247" s="5" t="inlineStr">
        <is>
          <t>Not verified</t>
        </is>
      </c>
      <c r="AH247" s="5" t="inlineStr">
        <is>
          <t>Not verified</t>
        </is>
      </c>
      <c r="AI247" s="8" t="inlineStr">
        <is>
          <t>No</t>
        </is>
      </c>
      <c r="AJ247" s="8" t="inlineStr">
        <is>
          <t>Claimed - unverified</t>
        </is>
      </c>
      <c r="AK247" s="8" t="inlineStr">
        <is>
          <t>P0</t>
        </is>
      </c>
      <c r="AL247" s="8" t="n">
        <v>9</v>
      </c>
      <c r="AM247" s="5" t="inlineStr"/>
      <c r="AN247" s="5" t="inlineStr"/>
      <c r="AO247" s="5" t="inlineStr"/>
      <c r="AP247" s="5" t="inlineStr"/>
      <c r="AQ247" s="5" t="inlineStr"/>
      <c r="AR247" s="5" t="inlineStr"/>
      <c r="AS247" s="5" t="inlineStr"/>
      <c r="AT247" s="5" t="inlineStr"/>
      <c r="AU247" s="8" t="inlineStr">
        <is>
          <t>Not run</t>
        </is>
      </c>
    </row>
    <row r="248" ht="32" customHeight="1">
      <c r="A248" s="16" t="inlineStr">
        <is>
          <t>X-0247</t>
        </is>
      </c>
      <c r="B248" s="8" t="inlineStr">
        <is>
          <t>X</t>
        </is>
      </c>
      <c r="C248" s="5" t="inlineStr">
        <is>
          <t>Multiple / Cross-persona</t>
        </is>
      </c>
      <c r="D248" s="5" t="inlineStr">
        <is>
          <t>Inventory Lifecycle</t>
        </is>
      </c>
      <c r="E248" s="5" t="inlineStr">
        <is>
          <t>Near-expiry stock → owner receives alert</t>
        </is>
      </c>
      <c r="F248" s="5" t="inlineStr">
        <is>
          <t>Alert Notification Engine</t>
        </is>
      </c>
      <c r="G248" s="5" t="inlineStr">
        <is>
          <t>Business Owner / Store Manager</t>
        </is>
      </c>
      <c r="H248" s="5" t="inlineStr">
        <is>
          <t>Early warning alerts for stock approaching expiry within 30/60/90 days</t>
        </is>
      </c>
      <c r="I248" s="5" t="inlineStr">
        <is>
          <t>Creates BusinessAlertEvent; displays near-expiry alert cards on dashboard</t>
        </is>
      </c>
      <c r="J248" s="20" t="inlineStr">
        <is>
          <t>P1</t>
        </is>
      </c>
      <c r="K248" s="20" t="inlineStr">
        <is>
          <t>Validated (Supported)</t>
        </is>
      </c>
      <c r="L248" s="5" t="inlineStr">
        <is>
          <t>Supported via automated daily expiry scan in inventory module.</t>
        </is>
      </c>
      <c r="M248" s="8" t="inlineStr">
        <is>
          <t>Baseline</t>
        </is>
      </c>
      <c r="N248" s="8" t="inlineStr">
        <is>
          <t>Cross-persona</t>
        </is>
      </c>
      <c r="O248" s="8" t="inlineStr">
        <is>
          <t>P1</t>
        </is>
      </c>
      <c r="P248" s="5" t="inlineStr">
        <is>
          <t>Unchanged</t>
        </is>
      </c>
      <c r="Q248" s="20" t="inlineStr">
        <is>
          <t>Author assertion</t>
        </is>
      </c>
      <c r="R248" s="5" t="inlineStr"/>
      <c r="S248" s="8" t="inlineStr">
        <is>
          <t>INV</t>
        </is>
      </c>
      <c r="T248" s="5" t="inlineStr">
        <is>
          <t>Inventory lifecycle</t>
        </is>
      </c>
      <c r="U248" s="8" t="inlineStr"/>
      <c r="V248" s="8" t="inlineStr">
        <is>
          <t>inventory</t>
        </is>
      </c>
      <c r="W248" s="8" t="inlineStr">
        <is>
          <t>RUN</t>
        </is>
      </c>
      <c r="X248" s="5" t="inlineStr">
        <is>
          <t>Core</t>
        </is>
      </c>
      <c r="Y248" s="5" t="inlineStr">
        <is>
          <t>Cross-persona</t>
        </is>
      </c>
      <c r="Z248" s="5" t="inlineStr">
        <is>
          <t>High</t>
        </is>
      </c>
      <c r="AA248" s="5" t="inlineStr">
        <is>
          <t>High</t>
        </is>
      </c>
      <c r="AB248" s="8" t="inlineStr">
        <is>
          <t>Low</t>
        </is>
      </c>
      <c r="AC248" s="8" t="inlineStr">
        <is>
          <t>Pilot</t>
        </is>
      </c>
      <c r="AD248" s="5" t="inlineStr">
        <is>
          <t>Not independently checked</t>
        </is>
      </c>
      <c r="AE248" s="5" t="inlineStr">
        <is>
          <t>Not verified</t>
        </is>
      </c>
      <c r="AF248" s="5" t="inlineStr">
        <is>
          <t>Not verified</t>
        </is>
      </c>
      <c r="AG248" s="5" t="inlineStr">
        <is>
          <t>Not verified</t>
        </is>
      </c>
      <c r="AH248" s="5" t="inlineStr">
        <is>
          <t>Not verified</t>
        </is>
      </c>
      <c r="AI248" s="8" t="inlineStr">
        <is>
          <t>No</t>
        </is>
      </c>
      <c r="AJ248" s="8" t="inlineStr">
        <is>
          <t>Claimed - unverified</t>
        </is>
      </c>
      <c r="AK248" s="8" t="inlineStr">
        <is>
          <t>P1</t>
        </is>
      </c>
      <c r="AL248" s="8" t="n">
        <v>9</v>
      </c>
      <c r="AM248" s="5" t="inlineStr"/>
      <c r="AN248" s="5" t="inlineStr"/>
      <c r="AO248" s="5" t="inlineStr"/>
      <c r="AP248" s="5" t="inlineStr"/>
      <c r="AQ248" s="5" t="inlineStr"/>
      <c r="AR248" s="5" t="inlineStr"/>
      <c r="AS248" s="5" t="inlineStr"/>
      <c r="AT248" s="5" t="inlineStr"/>
      <c r="AU248" s="8" t="inlineStr">
        <is>
          <t>Not run</t>
        </is>
      </c>
    </row>
    <row r="249" ht="32" customHeight="1">
      <c r="A249" s="16" t="inlineStr">
        <is>
          <t>X-0248</t>
        </is>
      </c>
      <c r="B249" s="8" t="inlineStr">
        <is>
          <t>X</t>
        </is>
      </c>
      <c r="C249" s="5" t="inlineStr">
        <is>
          <t>Multiple / Cross-persona</t>
        </is>
      </c>
      <c r="D249" s="5" t="inlineStr">
        <is>
          <t>Inventory Lifecycle</t>
        </is>
      </c>
      <c r="E249" s="5" t="inlineStr">
        <is>
          <t>Batch sale → specific batch quantity decreases</t>
        </is>
      </c>
      <c r="F249" s="5" t="inlineStr">
        <is>
          <t>Counter Billing Clerk</t>
        </is>
      </c>
      <c r="G249" s="5" t="inlineStr">
        <is>
          <t>Customer</t>
        </is>
      </c>
      <c r="H249" s="5" t="inlineStr">
        <is>
          <t>Outward sale accurately deducted from the specific selected manufacturer batch lot</t>
        </is>
      </c>
      <c r="I249" s="5" t="inlineStr">
        <is>
          <t>Decrements BatchLot.quantity; creates batch-tagged StockMovement record</t>
        </is>
      </c>
      <c r="J249" s="20" t="inlineStr">
        <is>
          <t>P1</t>
        </is>
      </c>
      <c r="K249" s="20" t="inlineStr">
        <is>
          <t>Validated (Supported)</t>
        </is>
      </c>
      <c r="L249" s="5" t="inlineStr">
        <is>
          <t>Core system invariant: batched item sales maintain lot-level perpetual balance.</t>
        </is>
      </c>
      <c r="M249" s="8" t="inlineStr">
        <is>
          <t>Baseline</t>
        </is>
      </c>
      <c r="N249" s="8" t="inlineStr">
        <is>
          <t>Cross-persona</t>
        </is>
      </c>
      <c r="O249" s="8" t="inlineStr">
        <is>
          <t>P1</t>
        </is>
      </c>
      <c r="P249" s="5" t="inlineStr">
        <is>
          <t>Unchanged</t>
        </is>
      </c>
      <c r="Q249" s="20" t="inlineStr">
        <is>
          <t>Author assertion</t>
        </is>
      </c>
      <c r="R249" s="5" t="inlineStr"/>
      <c r="S249" s="8" t="inlineStr">
        <is>
          <t>INV</t>
        </is>
      </c>
      <c r="T249" s="5" t="inlineStr">
        <is>
          <t>Inventory lifecycle</t>
        </is>
      </c>
      <c r="U249" s="8" t="inlineStr"/>
      <c r="V249" s="8" t="inlineStr">
        <is>
          <t>inventory</t>
        </is>
      </c>
      <c r="W249" s="8" t="inlineStr">
        <is>
          <t>RUN</t>
        </is>
      </c>
      <c r="X249" s="5" t="inlineStr">
        <is>
          <t>Core</t>
        </is>
      </c>
      <c r="Y249" s="5" t="inlineStr">
        <is>
          <t>Cross-persona</t>
        </is>
      </c>
      <c r="Z249" s="5" t="inlineStr">
        <is>
          <t>High</t>
        </is>
      </c>
      <c r="AA249" s="5" t="inlineStr">
        <is>
          <t>High</t>
        </is>
      </c>
      <c r="AB249" s="8" t="inlineStr">
        <is>
          <t>Low</t>
        </is>
      </c>
      <c r="AC249" s="8" t="inlineStr">
        <is>
          <t>Pilot</t>
        </is>
      </c>
      <c r="AD249" s="5" t="inlineStr">
        <is>
          <t>Not independently checked</t>
        </is>
      </c>
      <c r="AE249" s="5" t="inlineStr">
        <is>
          <t>Not verified</t>
        </is>
      </c>
      <c r="AF249" s="5" t="inlineStr">
        <is>
          <t>Not verified</t>
        </is>
      </c>
      <c r="AG249" s="5" t="inlineStr">
        <is>
          <t>Not verified</t>
        </is>
      </c>
      <c r="AH249" s="5" t="inlineStr">
        <is>
          <t>Not verified</t>
        </is>
      </c>
      <c r="AI249" s="8" t="inlineStr">
        <is>
          <t>No</t>
        </is>
      </c>
      <c r="AJ249" s="8" t="inlineStr">
        <is>
          <t>Claimed - unverified</t>
        </is>
      </c>
      <c r="AK249" s="8" t="inlineStr">
        <is>
          <t>P1</t>
        </is>
      </c>
      <c r="AL249" s="8" t="n">
        <v>9</v>
      </c>
      <c r="AM249" s="5" t="inlineStr"/>
      <c r="AN249" s="5" t="inlineStr"/>
      <c r="AO249" s="5" t="inlineStr"/>
      <c r="AP249" s="5" t="inlineStr"/>
      <c r="AQ249" s="5" t="inlineStr"/>
      <c r="AR249" s="5" t="inlineStr"/>
      <c r="AS249" s="5" t="inlineStr"/>
      <c r="AT249" s="5" t="inlineStr"/>
      <c r="AU249" s="8" t="inlineStr">
        <is>
          <t>Not run</t>
        </is>
      </c>
    </row>
    <row r="250" ht="32" customHeight="1">
      <c r="A250" s="16" t="inlineStr">
        <is>
          <t>X-0249</t>
        </is>
      </c>
      <c r="B250" s="8" t="inlineStr">
        <is>
          <t>X</t>
        </is>
      </c>
      <c r="C250" s="5" t="inlineStr">
        <is>
          <t>Multiple / Cross-persona</t>
        </is>
      </c>
      <c r="D250" s="5" t="inlineStr">
        <is>
          <t>Inventory Lifecycle</t>
        </is>
      </c>
      <c r="E250" s="5" t="inlineStr">
        <is>
          <t>Serial-number sale → serial is marked as sold</t>
        </is>
      </c>
      <c r="F250" s="5" t="inlineStr">
        <is>
          <t>Counter Billing Clerk</t>
        </is>
      </c>
      <c r="G250" s="5" t="inlineStr">
        <is>
          <t>Customer</t>
        </is>
      </c>
      <c r="H250" s="5" t="inlineStr">
        <is>
          <t>Individual serialized item (IMEI/Serial) marked as SOLD and linked to customer invoice</t>
        </is>
      </c>
      <c r="I250" s="5" t="inlineStr">
        <is>
          <t>Updates SerialNumber status to SOLD; records sales invoice reference and warranty start date</t>
        </is>
      </c>
      <c r="J250" s="20" t="inlineStr">
        <is>
          <t>P1</t>
        </is>
      </c>
      <c r="K250" s="20" t="inlineStr">
        <is>
          <t>Validated (Supported)</t>
        </is>
      </c>
      <c r="L250" s="5" t="inlineStr">
        <is>
          <t>Supported via SerialNumber lifecycle tracking (AVAILABLE -&gt; SOLD).</t>
        </is>
      </c>
      <c r="M250" s="8" t="inlineStr">
        <is>
          <t>Baseline</t>
        </is>
      </c>
      <c r="N250" s="8" t="inlineStr">
        <is>
          <t>Cross-persona</t>
        </is>
      </c>
      <c r="O250" s="8" t="inlineStr">
        <is>
          <t>P1</t>
        </is>
      </c>
      <c r="P250" s="5" t="inlineStr">
        <is>
          <t>Unchanged</t>
        </is>
      </c>
      <c r="Q250" s="21" t="inlineStr">
        <is>
          <t>Code symbol found</t>
        </is>
      </c>
      <c r="R250" s="5" t="inlineStr">
        <is>
          <t>Matched SerialNumber in product code. This is not a functional test.</t>
        </is>
      </c>
      <c r="S250" s="8" t="inlineStr">
        <is>
          <t>INV</t>
        </is>
      </c>
      <c r="T250" s="5" t="inlineStr">
        <is>
          <t>Inventory lifecycle</t>
        </is>
      </c>
      <c r="U250" s="8" t="inlineStr"/>
      <c r="V250" s="8" t="inlineStr">
        <is>
          <t>inventory</t>
        </is>
      </c>
      <c r="W250" s="8" t="inlineStr">
        <is>
          <t>RUN</t>
        </is>
      </c>
      <c r="X250" s="5" t="inlineStr">
        <is>
          <t>Core</t>
        </is>
      </c>
      <c r="Y250" s="5" t="inlineStr">
        <is>
          <t>Cross-persona</t>
        </is>
      </c>
      <c r="Z250" s="5" t="inlineStr">
        <is>
          <t>High</t>
        </is>
      </c>
      <c r="AA250" s="5" t="inlineStr">
        <is>
          <t>High</t>
        </is>
      </c>
      <c r="AB250" s="8" t="inlineStr">
        <is>
          <t>Low</t>
        </is>
      </c>
      <c r="AC250" s="8" t="inlineStr">
        <is>
          <t>Pilot</t>
        </is>
      </c>
      <c r="AD250" s="5" t="inlineStr">
        <is>
          <t>Cited in code</t>
        </is>
      </c>
      <c r="AE250" s="5" t="inlineStr">
        <is>
          <t>Not verified</t>
        </is>
      </c>
      <c r="AF250" s="5" t="inlineStr">
        <is>
          <t>Not verified</t>
        </is>
      </c>
      <c r="AG250" s="5" t="inlineStr">
        <is>
          <t>Not verified</t>
        </is>
      </c>
      <c r="AH250" s="5" t="inlineStr">
        <is>
          <t>Not verified</t>
        </is>
      </c>
      <c r="AI250" s="8" t="inlineStr">
        <is>
          <t>No</t>
        </is>
      </c>
      <c r="AJ250" s="8" t="inlineStr">
        <is>
          <t>Built - unverified</t>
        </is>
      </c>
      <c r="AK250" s="8" t="inlineStr">
        <is>
          <t>P1</t>
        </is>
      </c>
      <c r="AL250" s="8" t="n">
        <v>9</v>
      </c>
      <c r="AM250" s="5" t="inlineStr"/>
      <c r="AN250" s="5" t="inlineStr"/>
      <c r="AO250" s="5" t="inlineStr"/>
      <c r="AP250" s="5" t="inlineStr"/>
      <c r="AQ250" s="5" t="inlineStr"/>
      <c r="AR250" s="5" t="inlineStr"/>
      <c r="AS250" s="5" t="inlineStr"/>
      <c r="AT250" s="5" t="inlineStr"/>
      <c r="AU250" s="8" t="inlineStr">
        <is>
          <t>Not run</t>
        </is>
      </c>
    </row>
    <row r="251" ht="32" customHeight="1">
      <c r="A251" s="16" t="inlineStr">
        <is>
          <t>X-0250</t>
        </is>
      </c>
      <c r="B251" s="8" t="inlineStr">
        <is>
          <t>X</t>
        </is>
      </c>
      <c r="C251" s="5" t="inlineStr">
        <is>
          <t>Multiple / Cross-persona</t>
        </is>
      </c>
      <c r="D251" s="5" t="inlineStr">
        <is>
          <t>Inventory Lifecycle</t>
        </is>
      </c>
      <c r="E251" s="5" t="inlineStr">
        <is>
          <t>Serial-number return → serial becomes available/returned according to policy</t>
        </is>
      </c>
      <c r="F251" s="5" t="inlineStr">
        <is>
          <t>Godown Custodian</t>
        </is>
      </c>
      <c r="G251" s="5" t="inlineStr">
        <is>
          <t>Customer</t>
        </is>
      </c>
      <c r="H251" s="5" t="inlineStr">
        <is>
          <t>Returned serialized unit verified against sales records and restored to available or RMA status</t>
        </is>
      </c>
      <c r="I251" s="5" t="inlineStr">
        <is>
          <t>Validates serial identity; updates SerialNumber status to AVAILABLE or DEFECTIVE_RETURN</t>
        </is>
      </c>
      <c r="J251" s="20" t="inlineStr">
        <is>
          <t>P1</t>
        </is>
      </c>
      <c r="K251" s="20" t="inlineStr">
        <is>
          <t>Validated (Supported)</t>
        </is>
      </c>
      <c r="L251" s="5" t="inlineStr">
        <is>
          <t>Supported via SerialNumber return validation in SalesReturn workflow.</t>
        </is>
      </c>
      <c r="M251" s="8" t="inlineStr">
        <is>
          <t>Baseline</t>
        </is>
      </c>
      <c r="N251" s="8" t="inlineStr">
        <is>
          <t>Cross-persona</t>
        </is>
      </c>
      <c r="O251" s="8" t="inlineStr">
        <is>
          <t>P1</t>
        </is>
      </c>
      <c r="P251" s="5" t="inlineStr">
        <is>
          <t>Unchanged</t>
        </is>
      </c>
      <c r="Q251" s="21" t="inlineStr">
        <is>
          <t>Code symbol found</t>
        </is>
      </c>
      <c r="R251" s="5" t="inlineStr">
        <is>
          <t>Matched SerialNumber in product code. This is not a functional test.</t>
        </is>
      </c>
      <c r="S251" s="8" t="inlineStr">
        <is>
          <t>INV</t>
        </is>
      </c>
      <c r="T251" s="5" t="inlineStr">
        <is>
          <t>Inventory lifecycle</t>
        </is>
      </c>
      <c r="U251" s="8" t="inlineStr"/>
      <c r="V251" s="8" t="inlineStr">
        <is>
          <t>inventory</t>
        </is>
      </c>
      <c r="W251" s="8" t="inlineStr">
        <is>
          <t>RUN</t>
        </is>
      </c>
      <c r="X251" s="5" t="inlineStr">
        <is>
          <t>Core</t>
        </is>
      </c>
      <c r="Y251" s="5" t="inlineStr">
        <is>
          <t>Cross-persona</t>
        </is>
      </c>
      <c r="Z251" s="5" t="inlineStr">
        <is>
          <t>High</t>
        </is>
      </c>
      <c r="AA251" s="5" t="inlineStr">
        <is>
          <t>High</t>
        </is>
      </c>
      <c r="AB251" s="8" t="inlineStr">
        <is>
          <t>Low</t>
        </is>
      </c>
      <c r="AC251" s="8" t="inlineStr">
        <is>
          <t>Pilot</t>
        </is>
      </c>
      <c r="AD251" s="5" t="inlineStr">
        <is>
          <t>Cited in code</t>
        </is>
      </c>
      <c r="AE251" s="5" t="inlineStr">
        <is>
          <t>Not verified</t>
        </is>
      </c>
      <c r="AF251" s="5" t="inlineStr">
        <is>
          <t>Not verified</t>
        </is>
      </c>
      <c r="AG251" s="5" t="inlineStr">
        <is>
          <t>Not verified</t>
        </is>
      </c>
      <c r="AH251" s="5" t="inlineStr">
        <is>
          <t>Not verified</t>
        </is>
      </c>
      <c r="AI251" s="8" t="inlineStr">
        <is>
          <t>No</t>
        </is>
      </c>
      <c r="AJ251" s="8" t="inlineStr">
        <is>
          <t>Built - unverified</t>
        </is>
      </c>
      <c r="AK251" s="8" t="inlineStr">
        <is>
          <t>P1</t>
        </is>
      </c>
      <c r="AL251" s="8" t="n">
        <v>9</v>
      </c>
      <c r="AM251" s="5" t="inlineStr"/>
      <c r="AN251" s="5" t="inlineStr"/>
      <c r="AO251" s="5" t="inlineStr"/>
      <c r="AP251" s="5" t="inlineStr"/>
      <c r="AQ251" s="5" t="inlineStr"/>
      <c r="AR251" s="5" t="inlineStr"/>
      <c r="AS251" s="5" t="inlineStr"/>
      <c r="AT251" s="5" t="inlineStr"/>
      <c r="AU251" s="8" t="inlineStr">
        <is>
          <t>Not run</t>
        </is>
      </c>
    </row>
    <row r="252" ht="32" customHeight="1">
      <c r="A252" s="16" t="inlineStr">
        <is>
          <t>X-0251</t>
        </is>
      </c>
      <c r="B252" s="8" t="inlineStr">
        <is>
          <t>X</t>
        </is>
      </c>
      <c r="C252" s="5" t="inlineStr">
        <is>
          <t>Multiple / Cross-persona</t>
        </is>
      </c>
      <c r="D252" s="5" t="inlineStr">
        <is>
          <t>Inventory Lifecycle</t>
        </is>
      </c>
      <c r="E252" s="5" t="inlineStr">
        <is>
          <t>Physical stock count → system stock is compared</t>
        </is>
      </c>
      <c r="F252" s="5" t="inlineStr">
        <is>
          <t>Stock Audit Team</t>
        </is>
      </c>
      <c r="G252" s="5" t="inlineStr">
        <is>
          <t>Inventory Controller</t>
        </is>
      </c>
      <c r="H252" s="5" t="inlineStr">
        <is>
          <t>Auditors record physical counts and system instantly compares against book balances</t>
        </is>
      </c>
      <c r="I252" s="5" t="inlineStr">
        <is>
          <t>Calculates count variance = physical_count - book_balance for every audited SKU</t>
        </is>
      </c>
      <c r="J252" s="20" t="inlineStr">
        <is>
          <t>P1</t>
        </is>
      </c>
      <c r="K252" s="20" t="inlineStr">
        <is>
          <t>Validated (Supported)</t>
        </is>
      </c>
      <c r="L252" s="5" t="inlineStr">
        <is>
          <t>Supported via StockCountSession counting interface.</t>
        </is>
      </c>
      <c r="M252" s="8" t="inlineStr">
        <is>
          <t>Baseline</t>
        </is>
      </c>
      <c r="N252" s="8" t="inlineStr">
        <is>
          <t>Cross-persona</t>
        </is>
      </c>
      <c r="O252" s="8" t="inlineStr">
        <is>
          <t>P1</t>
        </is>
      </c>
      <c r="P252" s="5" t="inlineStr">
        <is>
          <t>Unchanged</t>
        </is>
      </c>
      <c r="Q252" s="21" t="inlineStr">
        <is>
          <t>Code symbol found</t>
        </is>
      </c>
      <c r="R252" s="5" t="inlineStr">
        <is>
          <t>Matched StockCountSession in product code. This is not a functional test.</t>
        </is>
      </c>
      <c r="S252" s="8" t="inlineStr">
        <is>
          <t>INV</t>
        </is>
      </c>
      <c r="T252" s="5" t="inlineStr">
        <is>
          <t>Inventory lifecycle</t>
        </is>
      </c>
      <c r="U252" s="8" t="inlineStr"/>
      <c r="V252" s="8" t="inlineStr">
        <is>
          <t>inventory</t>
        </is>
      </c>
      <c r="W252" s="8" t="inlineStr">
        <is>
          <t>RUN</t>
        </is>
      </c>
      <c r="X252" s="5" t="inlineStr">
        <is>
          <t>Core</t>
        </is>
      </c>
      <c r="Y252" s="5" t="inlineStr">
        <is>
          <t>Cross-persona</t>
        </is>
      </c>
      <c r="Z252" s="5" t="inlineStr">
        <is>
          <t>High</t>
        </is>
      </c>
      <c r="AA252" s="5" t="inlineStr">
        <is>
          <t>High</t>
        </is>
      </c>
      <c r="AB252" s="8" t="inlineStr">
        <is>
          <t>Low</t>
        </is>
      </c>
      <c r="AC252" s="8" t="inlineStr">
        <is>
          <t>Pilot</t>
        </is>
      </c>
      <c r="AD252" s="5" t="inlineStr">
        <is>
          <t>Cited in code</t>
        </is>
      </c>
      <c r="AE252" s="5" t="inlineStr">
        <is>
          <t>Not verified</t>
        </is>
      </c>
      <c r="AF252" s="5" t="inlineStr">
        <is>
          <t>Not verified</t>
        </is>
      </c>
      <c r="AG252" s="5" t="inlineStr">
        <is>
          <t>Not verified</t>
        </is>
      </c>
      <c r="AH252" s="5" t="inlineStr">
        <is>
          <t>Not verified</t>
        </is>
      </c>
      <c r="AI252" s="8" t="inlineStr">
        <is>
          <t>No</t>
        </is>
      </c>
      <c r="AJ252" s="8" t="inlineStr">
        <is>
          <t>Built - unverified</t>
        </is>
      </c>
      <c r="AK252" s="8" t="inlineStr">
        <is>
          <t>P1</t>
        </is>
      </c>
      <c r="AL252" s="8" t="n">
        <v>9</v>
      </c>
      <c r="AM252" s="5" t="inlineStr"/>
      <c r="AN252" s="5" t="inlineStr"/>
      <c r="AO252" s="5" t="inlineStr"/>
      <c r="AP252" s="5" t="inlineStr"/>
      <c r="AQ252" s="5" t="inlineStr"/>
      <c r="AR252" s="5" t="inlineStr"/>
      <c r="AS252" s="5" t="inlineStr"/>
      <c r="AT252" s="5" t="inlineStr"/>
      <c r="AU252" s="8" t="inlineStr">
        <is>
          <t>Not run</t>
        </is>
      </c>
    </row>
    <row r="253" ht="32" customHeight="1">
      <c r="A253" s="16" t="inlineStr">
        <is>
          <t>X-0252</t>
        </is>
      </c>
      <c r="B253" s="8" t="inlineStr">
        <is>
          <t>X</t>
        </is>
      </c>
      <c r="C253" s="5" t="inlineStr">
        <is>
          <t>Multiple / Cross-persona</t>
        </is>
      </c>
      <c r="D253" s="5" t="inlineStr">
        <is>
          <t>Inventory Lifecycle</t>
        </is>
      </c>
      <c r="E253" s="5" t="inlineStr">
        <is>
          <t>Stock variance → discrepancy is created</t>
        </is>
      </c>
      <c r="F253" s="5" t="inlineStr">
        <is>
          <t>Inventory Controller</t>
        </is>
      </c>
      <c r="G253" s="5" t="inlineStr">
        <is>
          <t>Warehouse Manager</t>
        </is>
      </c>
      <c r="H253" s="5" t="inlineStr">
        <is>
          <t>Discrepancies exceeding tolerance thresholds converted into formal review items</t>
        </is>
      </c>
      <c r="I253" s="5" t="inlineStr">
        <is>
          <t>Generates Stock Discrepancy item requiring managerial investigation and explanation</t>
        </is>
      </c>
      <c r="J253" s="20" t="inlineStr">
        <is>
          <t>P1</t>
        </is>
      </c>
      <c r="K253" s="20" t="inlineStr">
        <is>
          <t>Validated (Supported)</t>
        </is>
      </c>
      <c r="L253" s="5" t="inlineStr">
        <is>
          <t>Supported via StockCountSession variance ledger.</t>
        </is>
      </c>
      <c r="M253" s="8" t="inlineStr">
        <is>
          <t>Baseline</t>
        </is>
      </c>
      <c r="N253" s="8" t="inlineStr">
        <is>
          <t>Cross-persona</t>
        </is>
      </c>
      <c r="O253" s="8" t="inlineStr">
        <is>
          <t>P1</t>
        </is>
      </c>
      <c r="P253" s="5" t="inlineStr">
        <is>
          <t>Unchanged</t>
        </is>
      </c>
      <c r="Q253" s="21" t="inlineStr">
        <is>
          <t>Code symbol found</t>
        </is>
      </c>
      <c r="R253" s="5" t="inlineStr">
        <is>
          <t>Matched StockCountSession in product code. This is not a functional test.</t>
        </is>
      </c>
      <c r="S253" s="8" t="inlineStr">
        <is>
          <t>INV</t>
        </is>
      </c>
      <c r="T253" s="5" t="inlineStr">
        <is>
          <t>Inventory lifecycle</t>
        </is>
      </c>
      <c r="U253" s="8" t="inlineStr"/>
      <c r="V253" s="8" t="inlineStr">
        <is>
          <t>inventory</t>
        </is>
      </c>
      <c r="W253" s="8" t="inlineStr">
        <is>
          <t>RUN</t>
        </is>
      </c>
      <c r="X253" s="5" t="inlineStr">
        <is>
          <t>Core</t>
        </is>
      </c>
      <c r="Y253" s="5" t="inlineStr">
        <is>
          <t>Cross-persona</t>
        </is>
      </c>
      <c r="Z253" s="5" t="inlineStr">
        <is>
          <t>High</t>
        </is>
      </c>
      <c r="AA253" s="5" t="inlineStr">
        <is>
          <t>High</t>
        </is>
      </c>
      <c r="AB253" s="8" t="inlineStr">
        <is>
          <t>Low</t>
        </is>
      </c>
      <c r="AC253" s="8" t="inlineStr">
        <is>
          <t>Pilot</t>
        </is>
      </c>
      <c r="AD253" s="5" t="inlineStr">
        <is>
          <t>Cited in code</t>
        </is>
      </c>
      <c r="AE253" s="5" t="inlineStr">
        <is>
          <t>Not verified</t>
        </is>
      </c>
      <c r="AF253" s="5" t="inlineStr">
        <is>
          <t>Not verified</t>
        </is>
      </c>
      <c r="AG253" s="5" t="inlineStr">
        <is>
          <t>Not verified</t>
        </is>
      </c>
      <c r="AH253" s="5" t="inlineStr">
        <is>
          <t>Not verified</t>
        </is>
      </c>
      <c r="AI253" s="8" t="inlineStr">
        <is>
          <t>No</t>
        </is>
      </c>
      <c r="AJ253" s="8" t="inlineStr">
        <is>
          <t>Built - unverified</t>
        </is>
      </c>
      <c r="AK253" s="8" t="inlineStr">
        <is>
          <t>P1</t>
        </is>
      </c>
      <c r="AL253" s="8" t="n">
        <v>9</v>
      </c>
      <c r="AM253" s="5" t="inlineStr"/>
      <c r="AN253" s="5" t="inlineStr"/>
      <c r="AO253" s="5" t="inlineStr"/>
      <c r="AP253" s="5" t="inlineStr"/>
      <c r="AQ253" s="5" t="inlineStr"/>
      <c r="AR253" s="5" t="inlineStr"/>
      <c r="AS253" s="5" t="inlineStr"/>
      <c r="AT253" s="5" t="inlineStr"/>
      <c r="AU253" s="8" t="inlineStr">
        <is>
          <t>Not run</t>
        </is>
      </c>
    </row>
    <row r="254" ht="32" customHeight="1">
      <c r="A254" s="16" t="inlineStr">
        <is>
          <t>X-0253</t>
        </is>
      </c>
      <c r="B254" s="8" t="inlineStr">
        <is>
          <t>X</t>
        </is>
      </c>
      <c r="C254" s="5" t="inlineStr">
        <is>
          <t>Multiple / Cross-persona</t>
        </is>
      </c>
      <c r="D254" s="5" t="inlineStr">
        <is>
          <t>Inventory Lifecycle</t>
        </is>
      </c>
      <c r="E254" s="5" t="inlineStr">
        <is>
          <t>Discrepancy approval → inventory adjustment occurs</t>
        </is>
      </c>
      <c r="F254" s="5" t="inlineStr">
        <is>
          <t>Business Owner / Operations Head</t>
        </is>
      </c>
      <c r="G254" s="5" t="inlineStr">
        <is>
          <t>Auditor</t>
        </is>
      </c>
      <c r="H254" s="5" t="inlineStr">
        <is>
          <t>Approved inventory variances automatically write adjustment movements and post GL loss</t>
        </is>
      </c>
      <c r="I254" s="5" t="inlineStr">
        <is>
          <t>Finalizes StockCountSession; creates batch StockMovement adjustments across all verified SKUs</t>
        </is>
      </c>
      <c r="J254" s="20" t="inlineStr">
        <is>
          <t>P1</t>
        </is>
      </c>
      <c r="K254" s="20" t="inlineStr">
        <is>
          <t>Validated (Supported)</t>
        </is>
      </c>
      <c r="L254" s="5" t="inlineStr">
        <is>
          <t>Supported via StockCountSession 'Post Adjustments' action with manager sign-off.</t>
        </is>
      </c>
      <c r="M254" s="8" t="inlineStr">
        <is>
          <t>Baseline</t>
        </is>
      </c>
      <c r="N254" s="8" t="inlineStr">
        <is>
          <t>Cross-persona</t>
        </is>
      </c>
      <c r="O254" s="8" t="inlineStr">
        <is>
          <t>P1</t>
        </is>
      </c>
      <c r="P254" s="5" t="inlineStr">
        <is>
          <t>Unchanged</t>
        </is>
      </c>
      <c r="Q254" s="21" t="inlineStr">
        <is>
          <t>Code symbol found</t>
        </is>
      </c>
      <c r="R254" s="5" t="inlineStr">
        <is>
          <t>Matched StockCountSession in product code. This is not a functional test.</t>
        </is>
      </c>
      <c r="S254" s="8" t="inlineStr">
        <is>
          <t>INV</t>
        </is>
      </c>
      <c r="T254" s="5" t="inlineStr">
        <is>
          <t>Inventory lifecycle</t>
        </is>
      </c>
      <c r="U254" s="8" t="inlineStr"/>
      <c r="V254" s="8" t="inlineStr">
        <is>
          <t>inventory</t>
        </is>
      </c>
      <c r="W254" s="8" t="inlineStr">
        <is>
          <t>RUN</t>
        </is>
      </c>
      <c r="X254" s="5" t="inlineStr">
        <is>
          <t>Core</t>
        </is>
      </c>
      <c r="Y254" s="5" t="inlineStr">
        <is>
          <t>Cross-persona</t>
        </is>
      </c>
      <c r="Z254" s="5" t="inlineStr">
        <is>
          <t>High</t>
        </is>
      </c>
      <c r="AA254" s="5" t="inlineStr">
        <is>
          <t>High</t>
        </is>
      </c>
      <c r="AB254" s="8" t="inlineStr">
        <is>
          <t>Low</t>
        </is>
      </c>
      <c r="AC254" s="8" t="inlineStr">
        <is>
          <t>Pilot</t>
        </is>
      </c>
      <c r="AD254" s="5" t="inlineStr">
        <is>
          <t>Cited in code</t>
        </is>
      </c>
      <c r="AE254" s="5" t="inlineStr">
        <is>
          <t>Not verified</t>
        </is>
      </c>
      <c r="AF254" s="5" t="inlineStr">
        <is>
          <t>Not verified</t>
        </is>
      </c>
      <c r="AG254" s="5" t="inlineStr">
        <is>
          <t>Not verified</t>
        </is>
      </c>
      <c r="AH254" s="5" t="inlineStr">
        <is>
          <t>Not verified</t>
        </is>
      </c>
      <c r="AI254" s="8" t="inlineStr">
        <is>
          <t>No</t>
        </is>
      </c>
      <c r="AJ254" s="8" t="inlineStr">
        <is>
          <t>Built - unverified</t>
        </is>
      </c>
      <c r="AK254" s="8" t="inlineStr">
        <is>
          <t>P1</t>
        </is>
      </c>
      <c r="AL254" s="8" t="n">
        <v>9</v>
      </c>
      <c r="AM254" s="5" t="inlineStr"/>
      <c r="AN254" s="5" t="inlineStr"/>
      <c r="AO254" s="5" t="inlineStr"/>
      <c r="AP254" s="5" t="inlineStr"/>
      <c r="AQ254" s="5" t="inlineStr"/>
      <c r="AR254" s="5" t="inlineStr"/>
      <c r="AS254" s="5" t="inlineStr"/>
      <c r="AT254" s="5" t="inlineStr"/>
      <c r="AU254" s="8" t="inlineStr">
        <is>
          <t>Not run</t>
        </is>
      </c>
    </row>
    <row r="255" ht="32" customHeight="1">
      <c r="A255" s="16" t="inlineStr">
        <is>
          <t>X-0254</t>
        </is>
      </c>
      <c r="B255" s="8" t="inlineStr">
        <is>
          <t>X</t>
        </is>
      </c>
      <c r="C255" s="5" t="inlineStr">
        <is>
          <t>Multiple / Cross-persona</t>
        </is>
      </c>
      <c r="D255" s="5" t="inlineStr">
        <is>
          <t>Inventory Lifecycle</t>
        </is>
      </c>
      <c r="E255" s="5" t="inlineStr">
        <is>
          <t>Inventory adjustment → audit trail records who/why/when</t>
        </is>
      </c>
      <c r="F255" s="5" t="inlineStr">
        <is>
          <t>System / Audit Logger</t>
        </is>
      </c>
      <c r="G255" s="5" t="inlineStr">
        <is>
          <t>Statutory Auditor</t>
        </is>
      </c>
      <c r="H255" s="5" t="inlineStr">
        <is>
          <t>Immutable log of who authorized each inventory write-off, why, and the exact timestamp</t>
        </is>
      </c>
      <c r="I255" s="5" t="inlineStr">
        <is>
          <t>Records adjustment reason, user ID, IP address, and financial write-off value in audit log</t>
        </is>
      </c>
      <c r="J255" s="20" t="inlineStr">
        <is>
          <t>P1</t>
        </is>
      </c>
      <c r="K255" s="20" t="inlineStr">
        <is>
          <t>Validated (Supported)</t>
        </is>
      </c>
      <c r="L255" s="5" t="inlineStr">
        <is>
          <t>Core system invariant: all inventory adjustments permanently logged in ActivityLog.</t>
        </is>
      </c>
      <c r="M255" s="8" t="inlineStr">
        <is>
          <t>Baseline</t>
        </is>
      </c>
      <c r="N255" s="8" t="inlineStr">
        <is>
          <t>Cross-persona</t>
        </is>
      </c>
      <c r="O255" s="8" t="inlineStr">
        <is>
          <t>P1</t>
        </is>
      </c>
      <c r="P255" s="5" t="inlineStr">
        <is>
          <t>Unchanged</t>
        </is>
      </c>
      <c r="Q255" s="20" t="inlineStr">
        <is>
          <t>Author assertion</t>
        </is>
      </c>
      <c r="R255" s="5" t="inlineStr"/>
      <c r="S255" s="8" t="inlineStr">
        <is>
          <t>INV</t>
        </is>
      </c>
      <c r="T255" s="5" t="inlineStr">
        <is>
          <t>Inventory lifecycle</t>
        </is>
      </c>
      <c r="U255" s="8" t="inlineStr"/>
      <c r="V255" s="8" t="inlineStr">
        <is>
          <t>inventory</t>
        </is>
      </c>
      <c r="W255" s="8" t="inlineStr">
        <is>
          <t>RUN</t>
        </is>
      </c>
      <c r="X255" s="5" t="inlineStr">
        <is>
          <t>Core</t>
        </is>
      </c>
      <c r="Y255" s="5" t="inlineStr">
        <is>
          <t>Cross-persona</t>
        </is>
      </c>
      <c r="Z255" s="5" t="inlineStr">
        <is>
          <t>High</t>
        </is>
      </c>
      <c r="AA255" s="5" t="inlineStr">
        <is>
          <t>High</t>
        </is>
      </c>
      <c r="AB255" s="8" t="inlineStr">
        <is>
          <t>Low</t>
        </is>
      </c>
      <c r="AC255" s="8" t="inlineStr">
        <is>
          <t>Pilot</t>
        </is>
      </c>
      <c r="AD255" s="5" t="inlineStr">
        <is>
          <t>Not independently checked</t>
        </is>
      </c>
      <c r="AE255" s="5" t="inlineStr">
        <is>
          <t>Not verified</t>
        </is>
      </c>
      <c r="AF255" s="5" t="inlineStr">
        <is>
          <t>Not verified</t>
        </is>
      </c>
      <c r="AG255" s="5" t="inlineStr">
        <is>
          <t>Not verified</t>
        </is>
      </c>
      <c r="AH255" s="5" t="inlineStr">
        <is>
          <t>Not verified</t>
        </is>
      </c>
      <c r="AI255" s="8" t="inlineStr">
        <is>
          <t>No</t>
        </is>
      </c>
      <c r="AJ255" s="8" t="inlineStr">
        <is>
          <t>Claimed - unverified</t>
        </is>
      </c>
      <c r="AK255" s="8" t="inlineStr">
        <is>
          <t>P1</t>
        </is>
      </c>
      <c r="AL255" s="8" t="n">
        <v>9</v>
      </c>
      <c r="AM255" s="5" t="inlineStr"/>
      <c r="AN255" s="5" t="inlineStr"/>
      <c r="AO255" s="5" t="inlineStr"/>
      <c r="AP255" s="5" t="inlineStr"/>
      <c r="AQ255" s="5" t="inlineStr"/>
      <c r="AR255" s="5" t="inlineStr"/>
      <c r="AS255" s="5" t="inlineStr"/>
      <c r="AT255" s="5" t="inlineStr"/>
      <c r="AU255" s="8" t="inlineStr">
        <is>
          <t>Not run</t>
        </is>
      </c>
    </row>
    <row r="256" ht="32" customHeight="1">
      <c r="A256" s="16" t="inlineStr">
        <is>
          <t>X-0255</t>
        </is>
      </c>
      <c r="B256" s="8" t="inlineStr">
        <is>
          <t>X</t>
        </is>
      </c>
      <c r="C256" s="5" t="inlineStr">
        <is>
          <t>Multiple / Cross-persona</t>
        </is>
      </c>
      <c r="D256" s="5" t="inlineStr">
        <is>
          <t>Inventory Lifecycle</t>
        </is>
      </c>
      <c r="E256" s="5" t="inlineStr">
        <is>
          <t>FIFO costing → correct cost is assigned to sale</t>
        </is>
      </c>
      <c r="F256" s="5" t="inlineStr">
        <is>
          <t>Costing Engine</t>
        </is>
      </c>
      <c r="G256" s="5" t="inlineStr">
        <is>
          <t>In-house Accountant</t>
        </is>
      </c>
      <c r="H256" s="5" t="inlineStr">
        <is>
          <t>Each outward sale consumes cost from oldest inward inventory layers according to FIFO</t>
        </is>
      </c>
      <c r="I256" s="5" t="inlineStr">
        <is>
          <t>Computes exact Cost of Goods Sold (COGS) per sales line; posts accurate gross margin</t>
        </is>
      </c>
      <c r="J256" s="20" t="inlineStr">
        <is>
          <t>P1</t>
        </is>
      </c>
      <c r="K256" s="20" t="inlineStr">
        <is>
          <t>Validated (Supported)</t>
        </is>
      </c>
      <c r="L256" s="5" t="inlineStr">
        <is>
          <t>Core system invariant: inventory valuation strictly implements perpetual FIFO costing.</t>
        </is>
      </c>
      <c r="M256" s="8" t="inlineStr">
        <is>
          <t>Baseline</t>
        </is>
      </c>
      <c r="N256" s="8" t="inlineStr">
        <is>
          <t>Cross-persona</t>
        </is>
      </c>
      <c r="O256" s="8" t="inlineStr">
        <is>
          <t>P1</t>
        </is>
      </c>
      <c r="P256" s="5" t="inlineStr">
        <is>
          <t>Unchanged</t>
        </is>
      </c>
      <c r="Q256" s="20" t="inlineStr">
        <is>
          <t>Author assertion</t>
        </is>
      </c>
      <c r="R256" s="5" t="inlineStr"/>
      <c r="S256" s="8" t="inlineStr">
        <is>
          <t>INV</t>
        </is>
      </c>
      <c r="T256" s="5" t="inlineStr">
        <is>
          <t>Inventory lifecycle</t>
        </is>
      </c>
      <c r="U256" s="8" t="inlineStr"/>
      <c r="V256" s="8" t="inlineStr">
        <is>
          <t>inventory</t>
        </is>
      </c>
      <c r="W256" s="8" t="inlineStr">
        <is>
          <t>RUN</t>
        </is>
      </c>
      <c r="X256" s="5" t="inlineStr">
        <is>
          <t>Core</t>
        </is>
      </c>
      <c r="Y256" s="5" t="inlineStr">
        <is>
          <t>Cross-persona</t>
        </is>
      </c>
      <c r="Z256" s="5" t="inlineStr">
        <is>
          <t>High</t>
        </is>
      </c>
      <c r="AA256" s="5" t="inlineStr">
        <is>
          <t>High</t>
        </is>
      </c>
      <c r="AB256" s="8" t="inlineStr">
        <is>
          <t>Low</t>
        </is>
      </c>
      <c r="AC256" s="8" t="inlineStr">
        <is>
          <t>Pilot</t>
        </is>
      </c>
      <c r="AD256" s="5" t="inlineStr">
        <is>
          <t>Not independently checked</t>
        </is>
      </c>
      <c r="AE256" s="5" t="inlineStr">
        <is>
          <t>Not verified</t>
        </is>
      </c>
      <c r="AF256" s="5" t="inlineStr">
        <is>
          <t>Not verified</t>
        </is>
      </c>
      <c r="AG256" s="5" t="inlineStr">
        <is>
          <t>Not verified</t>
        </is>
      </c>
      <c r="AH256" s="5" t="inlineStr">
        <is>
          <t>Not verified</t>
        </is>
      </c>
      <c r="AI256" s="8" t="inlineStr">
        <is>
          <t>No</t>
        </is>
      </c>
      <c r="AJ256" s="8" t="inlineStr">
        <is>
          <t>Claimed - unverified</t>
        </is>
      </c>
      <c r="AK256" s="8" t="inlineStr">
        <is>
          <t>P1</t>
        </is>
      </c>
      <c r="AL256" s="8" t="n">
        <v>9</v>
      </c>
      <c r="AM256" s="5" t="inlineStr"/>
      <c r="AN256" s="5" t="inlineStr"/>
      <c r="AO256" s="5" t="inlineStr"/>
      <c r="AP256" s="5" t="inlineStr"/>
      <c r="AQ256" s="5" t="inlineStr"/>
      <c r="AR256" s="5" t="inlineStr"/>
      <c r="AS256" s="5" t="inlineStr"/>
      <c r="AT256" s="5" t="inlineStr"/>
      <c r="AU256" s="8" t="inlineStr">
        <is>
          <t>Not run</t>
        </is>
      </c>
    </row>
    <row r="257" ht="32" customHeight="1">
      <c r="A257" s="16" t="inlineStr">
        <is>
          <t>X-0256</t>
        </is>
      </c>
      <c r="B257" s="8" t="inlineStr">
        <is>
          <t>X</t>
        </is>
      </c>
      <c r="C257" s="5" t="inlineStr">
        <is>
          <t>Multiple / Cross-persona</t>
        </is>
      </c>
      <c r="D257" s="5" t="inlineStr">
        <is>
          <t>Inventory Lifecycle</t>
        </is>
      </c>
      <c r="E257" s="5" t="inlineStr">
        <is>
          <t>Inventory valuation → owner sees current stock value</t>
        </is>
      </c>
      <c r="F257" s="5" t="inlineStr">
        <is>
          <t>Reporting &amp; Business Intelligence</t>
        </is>
      </c>
      <c r="G257" s="5" t="inlineStr">
        <is>
          <t>Business Owner</t>
        </is>
      </c>
      <c r="H257" s="5" t="inlineStr">
        <is>
          <t>Owner views accurate real-time valuation of total warehouse assets across all locations</t>
        </is>
      </c>
      <c r="I257" s="5" t="inlineStr">
        <is>
          <t>Calculates inventory asset valuation = SUM(Remaining Stock Layers * Inward Unit Cost)</t>
        </is>
      </c>
      <c r="J257" s="20" t="inlineStr">
        <is>
          <t>P1</t>
        </is>
      </c>
      <c r="K257" s="20" t="inlineStr">
        <is>
          <t>Validated (Supported)</t>
        </is>
      </c>
      <c r="L257" s="5" t="inlineStr">
        <is>
          <t>Supported via /reports/inventory-valuation/ with category and warehouse filters.</t>
        </is>
      </c>
      <c r="M257" s="8" t="inlineStr">
        <is>
          <t>Baseline</t>
        </is>
      </c>
      <c r="N257" s="8" t="inlineStr">
        <is>
          <t>Cross-persona</t>
        </is>
      </c>
      <c r="O257" s="8" t="inlineStr">
        <is>
          <t>P1</t>
        </is>
      </c>
      <c r="P257" s="5" t="inlineStr">
        <is>
          <t>Unchanged</t>
        </is>
      </c>
      <c r="Q257" s="20" t="inlineStr">
        <is>
          <t>Author assertion</t>
        </is>
      </c>
      <c r="R257" s="5" t="inlineStr"/>
      <c r="S257" s="8" t="inlineStr">
        <is>
          <t>INV</t>
        </is>
      </c>
      <c r="T257" s="5" t="inlineStr">
        <is>
          <t>Inventory lifecycle</t>
        </is>
      </c>
      <c r="U257" s="8" t="inlineStr"/>
      <c r="V257" s="8" t="inlineStr">
        <is>
          <t>inventory</t>
        </is>
      </c>
      <c r="W257" s="8" t="inlineStr">
        <is>
          <t>RUN</t>
        </is>
      </c>
      <c r="X257" s="5" t="inlineStr">
        <is>
          <t>Core</t>
        </is>
      </c>
      <c r="Y257" s="5" t="inlineStr">
        <is>
          <t>Cross-persona</t>
        </is>
      </c>
      <c r="Z257" s="5" t="inlineStr">
        <is>
          <t>High</t>
        </is>
      </c>
      <c r="AA257" s="5" t="inlineStr">
        <is>
          <t>High</t>
        </is>
      </c>
      <c r="AB257" s="8" t="inlineStr">
        <is>
          <t>Low</t>
        </is>
      </c>
      <c r="AC257" s="8" t="inlineStr">
        <is>
          <t>Pilot</t>
        </is>
      </c>
      <c r="AD257" s="5" t="inlineStr">
        <is>
          <t>Not independently checked</t>
        </is>
      </c>
      <c r="AE257" s="5" t="inlineStr">
        <is>
          <t>Not verified</t>
        </is>
      </c>
      <c r="AF257" s="5" t="inlineStr">
        <is>
          <t>Not verified</t>
        </is>
      </c>
      <c r="AG257" s="5" t="inlineStr">
        <is>
          <t>Not verified</t>
        </is>
      </c>
      <c r="AH257" s="5" t="inlineStr">
        <is>
          <t>Not verified</t>
        </is>
      </c>
      <c r="AI257" s="8" t="inlineStr">
        <is>
          <t>No</t>
        </is>
      </c>
      <c r="AJ257" s="8" t="inlineStr">
        <is>
          <t>Claimed - unverified</t>
        </is>
      </c>
      <c r="AK257" s="8" t="inlineStr">
        <is>
          <t>P1</t>
        </is>
      </c>
      <c r="AL257" s="8" t="n">
        <v>9</v>
      </c>
      <c r="AM257" s="5" t="inlineStr"/>
      <c r="AN257" s="5" t="inlineStr"/>
      <c r="AO257" s="5" t="inlineStr"/>
      <c r="AP257" s="5" t="inlineStr"/>
      <c r="AQ257" s="5" t="inlineStr"/>
      <c r="AR257" s="5" t="inlineStr"/>
      <c r="AS257" s="5" t="inlineStr"/>
      <c r="AT257" s="5" t="inlineStr"/>
      <c r="AU257" s="8" t="inlineStr">
        <is>
          <t>Not run</t>
        </is>
      </c>
    </row>
    <row r="258" ht="32" customHeight="1">
      <c r="A258" s="16" t="inlineStr">
        <is>
          <t>X-0257</t>
        </is>
      </c>
      <c r="B258" s="8" t="inlineStr">
        <is>
          <t>X</t>
        </is>
      </c>
      <c r="C258" s="5" t="inlineStr">
        <is>
          <t>Multiple / Cross-persona</t>
        </is>
      </c>
      <c r="D258" s="5" t="inlineStr">
        <is>
          <t>Inventory Lifecycle</t>
        </is>
      </c>
      <c r="E258" s="5" t="inlineStr">
        <is>
          <t>Inventory movement → historical transaction remains immutable</t>
        </is>
      </c>
      <c r="F258" s="5" t="inlineStr">
        <is>
          <t>System / Database Engine</t>
        </is>
      </c>
      <c r="G258" s="5" t="inlineStr">
        <is>
          <t>Auditor</t>
        </is>
      </c>
      <c r="H258" s="5" t="inlineStr">
        <is>
          <t>Completed inventory transactions cannot be deleted or modified; reversals require new movement</t>
        </is>
      </c>
      <c r="I258" s="5" t="inlineStr">
        <is>
          <t>Enforces append-only ledger pattern; guarantees ledger integrity and audit defensibility</t>
        </is>
      </c>
      <c r="J258" s="20" t="inlineStr">
        <is>
          <t>P1</t>
        </is>
      </c>
      <c r="K258" s="20" t="inlineStr">
        <is>
          <t>Validated (Supported)</t>
        </is>
      </c>
      <c r="L258" s="5" t="inlineStr">
        <is>
          <t>Core system invariant: StockMovement table is append-only; update/delete operations blocked.</t>
        </is>
      </c>
      <c r="M258" s="8" t="inlineStr">
        <is>
          <t>Baseline</t>
        </is>
      </c>
      <c r="N258" s="8" t="inlineStr">
        <is>
          <t>Cross-persona</t>
        </is>
      </c>
      <c r="O258" s="8" t="inlineStr">
        <is>
          <t>P1</t>
        </is>
      </c>
      <c r="P258" s="5" t="inlineStr">
        <is>
          <t>Unchanged</t>
        </is>
      </c>
      <c r="Q258" s="21" t="inlineStr">
        <is>
          <t>Code symbol found</t>
        </is>
      </c>
      <c r="R258" s="5" t="inlineStr">
        <is>
          <t>Matched StockMovement in product code. This is not a functional test.</t>
        </is>
      </c>
      <c r="S258" s="8" t="inlineStr">
        <is>
          <t>INV</t>
        </is>
      </c>
      <c r="T258" s="5" t="inlineStr">
        <is>
          <t>Inventory lifecycle</t>
        </is>
      </c>
      <c r="U258" s="8" t="inlineStr"/>
      <c r="V258" s="8" t="inlineStr">
        <is>
          <t>inventory</t>
        </is>
      </c>
      <c r="W258" s="8" t="inlineStr">
        <is>
          <t>RUN</t>
        </is>
      </c>
      <c r="X258" s="5" t="inlineStr">
        <is>
          <t>Core</t>
        </is>
      </c>
      <c r="Y258" s="5" t="inlineStr">
        <is>
          <t>Cross-persona</t>
        </is>
      </c>
      <c r="Z258" s="5" t="inlineStr">
        <is>
          <t>High</t>
        </is>
      </c>
      <c r="AA258" s="5" t="inlineStr">
        <is>
          <t>High</t>
        </is>
      </c>
      <c r="AB258" s="8" t="inlineStr">
        <is>
          <t>Low</t>
        </is>
      </c>
      <c r="AC258" s="8" t="inlineStr">
        <is>
          <t>Pilot</t>
        </is>
      </c>
      <c r="AD258" s="5" t="inlineStr">
        <is>
          <t>Cited in code</t>
        </is>
      </c>
      <c r="AE258" s="5" t="inlineStr">
        <is>
          <t>Not verified</t>
        </is>
      </c>
      <c r="AF258" s="5" t="inlineStr">
        <is>
          <t>Not verified</t>
        </is>
      </c>
      <c r="AG258" s="5" t="inlineStr">
        <is>
          <t>Not verified</t>
        </is>
      </c>
      <c r="AH258" s="5" t="inlineStr">
        <is>
          <t>Not verified</t>
        </is>
      </c>
      <c r="AI258" s="8" t="inlineStr">
        <is>
          <t>No</t>
        </is>
      </c>
      <c r="AJ258" s="8" t="inlineStr">
        <is>
          <t>Built - unverified</t>
        </is>
      </c>
      <c r="AK258" s="8" t="inlineStr">
        <is>
          <t>P1</t>
        </is>
      </c>
      <c r="AL258" s="8" t="n">
        <v>9</v>
      </c>
      <c r="AM258" s="5" t="inlineStr"/>
      <c r="AN258" s="5" t="inlineStr"/>
      <c r="AO258" s="5" t="inlineStr"/>
      <c r="AP258" s="5" t="inlineStr"/>
      <c r="AQ258" s="5" t="inlineStr"/>
      <c r="AR258" s="5" t="inlineStr"/>
      <c r="AS258" s="5" t="inlineStr"/>
      <c r="AT258" s="5" t="inlineStr"/>
      <c r="AU258" s="8" t="inlineStr">
        <is>
          <t>Not run</t>
        </is>
      </c>
    </row>
    <row r="259" ht="32" customHeight="1">
      <c r="A259" s="16" t="inlineStr">
        <is>
          <t>X-0258</t>
        </is>
      </c>
      <c r="B259" s="8" t="inlineStr">
        <is>
          <t>X</t>
        </is>
      </c>
      <c r="C259" s="5" t="inlineStr">
        <is>
          <t>Multiple / Cross-persona</t>
        </is>
      </c>
      <c r="D259" s="5" t="inlineStr">
        <is>
          <t>Multi-Godown / Multi-Store</t>
        </is>
      </c>
      <c r="E259" s="5" t="inlineStr">
        <is>
          <t>Shop requests stock from godown</t>
        </is>
      </c>
      <c r="F259" s="5" t="inlineStr">
        <is>
          <t>Store Manager</t>
        </is>
      </c>
      <c r="G259" s="5" t="inlineStr">
        <is>
          <t>Central Godown Keeper</t>
        </is>
      </c>
      <c r="H259" s="5" t="inlineStr">
        <is>
          <t>Retail shop raises digital requisition for replenishment from central godown</t>
        </is>
      </c>
      <c r="I259" s="5" t="inlineStr">
        <is>
          <t>Creates StockTransferRequest in DRAFT status specifying required SKUs and quantities</t>
        </is>
      </c>
      <c r="J259" s="20" t="inlineStr">
        <is>
          <t>P1</t>
        </is>
      </c>
      <c r="K259" s="20" t="inlineStr">
        <is>
          <t>Validated (Supported)</t>
        </is>
      </c>
      <c r="L259" s="5" t="inlineStr">
        <is>
          <t>Supported via Stock Transfer Request workflow.</t>
        </is>
      </c>
      <c r="M259" s="8" t="inlineStr">
        <is>
          <t>Baseline</t>
        </is>
      </c>
      <c r="N259" s="8" t="inlineStr">
        <is>
          <t>Cross-persona</t>
        </is>
      </c>
      <c r="O259" s="8" t="inlineStr">
        <is>
          <t>P1</t>
        </is>
      </c>
      <c r="P259" s="5" t="inlineStr">
        <is>
          <t>Unchanged</t>
        </is>
      </c>
      <c r="Q259" s="20" t="inlineStr">
        <is>
          <t>Author assertion</t>
        </is>
      </c>
      <c r="R259" s="5" t="inlineStr"/>
      <c r="S259" s="8" t="inlineStr">
        <is>
          <t>WH</t>
        </is>
      </c>
      <c r="T259" s="5" t="inlineStr">
        <is>
          <t>Multi-godown and multi-store</t>
        </is>
      </c>
      <c r="U259" s="8" t="inlineStr"/>
      <c r="V259" s="8" t="inlineStr">
        <is>
          <t>inventory</t>
        </is>
      </c>
      <c r="W259" s="8" t="inlineStr">
        <is>
          <t>RUN</t>
        </is>
      </c>
      <c r="X259" s="5" t="inlineStr">
        <is>
          <t>Core</t>
        </is>
      </c>
      <c r="Y259" s="5" t="inlineStr">
        <is>
          <t>Cross-persona</t>
        </is>
      </c>
      <c r="Z259" s="5" t="inlineStr">
        <is>
          <t>Medium</t>
        </is>
      </c>
      <c r="AA259" s="5" t="inlineStr">
        <is>
          <t>Medium</t>
        </is>
      </c>
      <c r="AB259" s="8" t="inlineStr">
        <is>
          <t>Low</t>
        </is>
      </c>
      <c r="AC259" s="8" t="inlineStr">
        <is>
          <t>Pilot</t>
        </is>
      </c>
      <c r="AD259" s="5" t="inlineStr">
        <is>
          <t>Not independently checked</t>
        </is>
      </c>
      <c r="AE259" s="5" t="inlineStr">
        <is>
          <t>Not verified</t>
        </is>
      </c>
      <c r="AF259" s="5" t="inlineStr">
        <is>
          <t>Not verified</t>
        </is>
      </c>
      <c r="AG259" s="5" t="inlineStr">
        <is>
          <t>Not verified</t>
        </is>
      </c>
      <c r="AH259" s="5" t="inlineStr">
        <is>
          <t>Not verified</t>
        </is>
      </c>
      <c r="AI259" s="8" t="inlineStr">
        <is>
          <t>No</t>
        </is>
      </c>
      <c r="AJ259" s="8" t="inlineStr">
        <is>
          <t>Claimed - unverified</t>
        </is>
      </c>
      <c r="AK259" s="8" t="inlineStr">
        <is>
          <t>P1</t>
        </is>
      </c>
      <c r="AL259" s="8" t="n">
        <v>6</v>
      </c>
      <c r="AM259" s="5" t="inlineStr"/>
      <c r="AN259" s="5" t="inlineStr"/>
      <c r="AO259" s="5" t="inlineStr"/>
      <c r="AP259" s="5" t="inlineStr"/>
      <c r="AQ259" s="5" t="inlineStr"/>
      <c r="AR259" s="5" t="inlineStr"/>
      <c r="AS259" s="5" t="inlineStr"/>
      <c r="AT259" s="5" t="inlineStr"/>
      <c r="AU259" s="8" t="inlineStr">
        <is>
          <t>Not run</t>
        </is>
      </c>
    </row>
    <row r="260" ht="32" customHeight="1">
      <c r="A260" s="16" t="inlineStr">
        <is>
          <t>X-0259</t>
        </is>
      </c>
      <c r="B260" s="8" t="inlineStr">
        <is>
          <t>X</t>
        </is>
      </c>
      <c r="C260" s="5" t="inlineStr">
        <is>
          <t>Multiple / Cross-persona</t>
        </is>
      </c>
      <c r="D260" s="5" t="inlineStr">
        <is>
          <t>Multi-Godown / Multi-Store</t>
        </is>
      </c>
      <c r="E260" s="5" t="inlineStr">
        <is>
          <t>Godown approves stock request</t>
        </is>
      </c>
      <c r="F260" s="5" t="inlineStr">
        <is>
          <t>Central Godown Keeper</t>
        </is>
      </c>
      <c r="G260" s="5" t="inlineStr">
        <is>
          <t>Store Manager</t>
        </is>
      </c>
      <c r="H260" s="5" t="inlineStr">
        <is>
          <t>Central godown verifies availability and approves store replenishment requisition</t>
        </is>
      </c>
      <c r="I260" s="5" t="inlineStr">
        <is>
          <t>Updates transfer request status to APPROVED; generates warehouse picking ticket</t>
        </is>
      </c>
      <c r="J260" s="20" t="inlineStr">
        <is>
          <t>P1</t>
        </is>
      </c>
      <c r="K260" s="20" t="inlineStr">
        <is>
          <t>Validated (Supported)</t>
        </is>
      </c>
      <c r="L260" s="5" t="inlineStr">
        <is>
          <t>Supported via Transfer Request approval screen.</t>
        </is>
      </c>
      <c r="M260" s="8" t="inlineStr">
        <is>
          <t>Baseline</t>
        </is>
      </c>
      <c r="N260" s="8" t="inlineStr">
        <is>
          <t>Cross-persona</t>
        </is>
      </c>
      <c r="O260" s="8" t="inlineStr">
        <is>
          <t>P1</t>
        </is>
      </c>
      <c r="P260" s="5" t="inlineStr">
        <is>
          <t>Unchanged</t>
        </is>
      </c>
      <c r="Q260" s="20" t="inlineStr">
        <is>
          <t>Author assertion</t>
        </is>
      </c>
      <c r="R260" s="5" t="inlineStr"/>
      <c r="S260" s="8" t="inlineStr">
        <is>
          <t>WH</t>
        </is>
      </c>
      <c r="T260" s="5" t="inlineStr">
        <is>
          <t>Multi-godown and multi-store</t>
        </is>
      </c>
      <c r="U260" s="8" t="inlineStr"/>
      <c r="V260" s="8" t="inlineStr">
        <is>
          <t>inventory</t>
        </is>
      </c>
      <c r="W260" s="8" t="inlineStr">
        <is>
          <t>RUN</t>
        </is>
      </c>
      <c r="X260" s="5" t="inlineStr">
        <is>
          <t>Core</t>
        </is>
      </c>
      <c r="Y260" s="5" t="inlineStr">
        <is>
          <t>Cross-persona</t>
        </is>
      </c>
      <c r="Z260" s="5" t="inlineStr">
        <is>
          <t>Medium</t>
        </is>
      </c>
      <c r="AA260" s="5" t="inlineStr">
        <is>
          <t>Medium</t>
        </is>
      </c>
      <c r="AB260" s="8" t="inlineStr">
        <is>
          <t>Low</t>
        </is>
      </c>
      <c r="AC260" s="8" t="inlineStr">
        <is>
          <t>Pilot</t>
        </is>
      </c>
      <c r="AD260" s="5" t="inlineStr">
        <is>
          <t>Not independently checked</t>
        </is>
      </c>
      <c r="AE260" s="5" t="inlineStr">
        <is>
          <t>Not verified</t>
        </is>
      </c>
      <c r="AF260" s="5" t="inlineStr">
        <is>
          <t>Not verified</t>
        </is>
      </c>
      <c r="AG260" s="5" t="inlineStr">
        <is>
          <t>Not verified</t>
        </is>
      </c>
      <c r="AH260" s="5" t="inlineStr">
        <is>
          <t>Not verified</t>
        </is>
      </c>
      <c r="AI260" s="8" t="inlineStr">
        <is>
          <t>No</t>
        </is>
      </c>
      <c r="AJ260" s="8" t="inlineStr">
        <is>
          <t>Claimed - unverified</t>
        </is>
      </c>
      <c r="AK260" s="8" t="inlineStr">
        <is>
          <t>P1</t>
        </is>
      </c>
      <c r="AL260" s="8" t="n">
        <v>6</v>
      </c>
      <c r="AM260" s="5" t="inlineStr"/>
      <c r="AN260" s="5" t="inlineStr"/>
      <c r="AO260" s="5" t="inlineStr"/>
      <c r="AP260" s="5" t="inlineStr"/>
      <c r="AQ260" s="5" t="inlineStr"/>
      <c r="AR260" s="5" t="inlineStr"/>
      <c r="AS260" s="5" t="inlineStr"/>
      <c r="AT260" s="5" t="inlineStr"/>
      <c r="AU260" s="8" t="inlineStr">
        <is>
          <t>Not run</t>
        </is>
      </c>
    </row>
    <row r="261" ht="32" customHeight="1">
      <c r="A261" s="16" t="inlineStr">
        <is>
          <t>X-0260</t>
        </is>
      </c>
      <c r="B261" s="8" t="inlineStr">
        <is>
          <t>X</t>
        </is>
      </c>
      <c r="C261" s="5" t="inlineStr">
        <is>
          <t>Multiple / Cross-persona</t>
        </is>
      </c>
      <c r="D261" s="5" t="inlineStr">
        <is>
          <t>Multi-Godown / Multi-Store</t>
        </is>
      </c>
      <c r="E261" s="5" t="inlineStr">
        <is>
          <t>Godown allocates stock</t>
        </is>
      </c>
      <c r="F261" s="5" t="inlineStr">
        <is>
          <t>Godown Custodian</t>
        </is>
      </c>
      <c r="G261" s="5" t="inlineStr">
        <is>
          <t>Logistics Dispatcher</t>
        </is>
      </c>
      <c r="H261" s="5" t="inlineStr">
        <is>
          <t>Stock committed and reserved at source godown for transfer dispatch</t>
        </is>
      </c>
      <c r="I261" s="5" t="inlineStr">
        <is>
          <t>Reserves inventory at source warehouse, preventing local order allocation</t>
        </is>
      </c>
      <c r="J261" s="20" t="inlineStr">
        <is>
          <t>P1</t>
        </is>
      </c>
      <c r="K261" s="20" t="inlineStr">
        <is>
          <t>Validated (Supported)</t>
        </is>
      </c>
      <c r="L261" s="5" t="inlineStr">
        <is>
          <t>Supported via automated inventory reservation on transfer approval.</t>
        </is>
      </c>
      <c r="M261" s="8" t="inlineStr">
        <is>
          <t>Baseline</t>
        </is>
      </c>
      <c r="N261" s="8" t="inlineStr">
        <is>
          <t>Cross-persona</t>
        </is>
      </c>
      <c r="O261" s="8" t="inlineStr">
        <is>
          <t>P1</t>
        </is>
      </c>
      <c r="P261" s="5" t="inlineStr">
        <is>
          <t>Unchanged</t>
        </is>
      </c>
      <c r="Q261" s="20" t="inlineStr">
        <is>
          <t>Author assertion</t>
        </is>
      </c>
      <c r="R261" s="5" t="inlineStr"/>
      <c r="S261" s="8" t="inlineStr">
        <is>
          <t>WH</t>
        </is>
      </c>
      <c r="T261" s="5" t="inlineStr">
        <is>
          <t>Multi-godown and multi-store</t>
        </is>
      </c>
      <c r="U261" s="8" t="inlineStr"/>
      <c r="V261" s="8" t="inlineStr">
        <is>
          <t>inventory</t>
        </is>
      </c>
      <c r="W261" s="8" t="inlineStr">
        <is>
          <t>RUN</t>
        </is>
      </c>
      <c r="X261" s="5" t="inlineStr">
        <is>
          <t>Core</t>
        </is>
      </c>
      <c r="Y261" s="5" t="inlineStr">
        <is>
          <t>Cross-persona</t>
        </is>
      </c>
      <c r="Z261" s="5" t="inlineStr">
        <is>
          <t>Medium</t>
        </is>
      </c>
      <c r="AA261" s="5" t="inlineStr">
        <is>
          <t>Medium</t>
        </is>
      </c>
      <c r="AB261" s="8" t="inlineStr">
        <is>
          <t>Low</t>
        </is>
      </c>
      <c r="AC261" s="8" t="inlineStr">
        <is>
          <t>Pilot</t>
        </is>
      </c>
      <c r="AD261" s="5" t="inlineStr">
        <is>
          <t>Not independently checked</t>
        </is>
      </c>
      <c r="AE261" s="5" t="inlineStr">
        <is>
          <t>Not verified</t>
        </is>
      </c>
      <c r="AF261" s="5" t="inlineStr">
        <is>
          <t>Not verified</t>
        </is>
      </c>
      <c r="AG261" s="5" t="inlineStr">
        <is>
          <t>Not verified</t>
        </is>
      </c>
      <c r="AH261" s="5" t="inlineStr">
        <is>
          <t>Not verified</t>
        </is>
      </c>
      <c r="AI261" s="8" t="inlineStr">
        <is>
          <t>No</t>
        </is>
      </c>
      <c r="AJ261" s="8" t="inlineStr">
        <is>
          <t>Claimed - unverified</t>
        </is>
      </c>
      <c r="AK261" s="8" t="inlineStr">
        <is>
          <t>P1</t>
        </is>
      </c>
      <c r="AL261" s="8" t="n">
        <v>6</v>
      </c>
      <c r="AM261" s="5" t="inlineStr"/>
      <c r="AN261" s="5" t="inlineStr"/>
      <c r="AO261" s="5" t="inlineStr"/>
      <c r="AP261" s="5" t="inlineStr"/>
      <c r="AQ261" s="5" t="inlineStr"/>
      <c r="AR261" s="5" t="inlineStr"/>
      <c r="AS261" s="5" t="inlineStr"/>
      <c r="AT261" s="5" t="inlineStr"/>
      <c r="AU261" s="8" t="inlineStr">
        <is>
          <t>Not run</t>
        </is>
      </c>
    </row>
    <row r="262" ht="32" customHeight="1">
      <c r="A262" s="16" t="inlineStr">
        <is>
          <t>X-0261</t>
        </is>
      </c>
      <c r="B262" s="8" t="inlineStr">
        <is>
          <t>X</t>
        </is>
      </c>
      <c r="C262" s="5" t="inlineStr">
        <is>
          <t>Multiple / Cross-persona</t>
        </is>
      </c>
      <c r="D262" s="5" t="inlineStr">
        <is>
          <t>Multi-Godown / Multi-Store</t>
        </is>
      </c>
      <c r="E262" s="5" t="inlineStr">
        <is>
          <t>Goods dispatched from godown</t>
        </is>
      </c>
      <c r="F262" s="5" t="inlineStr">
        <is>
          <t>Godown Custodian</t>
        </is>
      </c>
      <c r="G262" s="5" t="inlineStr">
        <is>
          <t>Delivery Driver</t>
        </is>
      </c>
      <c r="H262" s="5" t="inlineStr">
        <is>
          <t>Stock dispatched with inter-godown delivery challan; moves into transit state</t>
        </is>
      </c>
      <c r="I262" s="5" t="inlineStr">
        <is>
          <t>Updates StockTransfer status to IN_TRANSIT; decrements source godown on-hand inventory</t>
        </is>
      </c>
      <c r="J262" s="20" t="inlineStr">
        <is>
          <t>P1</t>
        </is>
      </c>
      <c r="K262" s="20" t="inlineStr">
        <is>
          <t>Validated (Supported)</t>
        </is>
      </c>
      <c r="L262" s="5" t="inlineStr">
        <is>
          <t>Supported via StockTransfer dispatch step with Challan generation.</t>
        </is>
      </c>
      <c r="M262" s="8" t="inlineStr">
        <is>
          <t>Baseline</t>
        </is>
      </c>
      <c r="N262" s="8" t="inlineStr">
        <is>
          <t>Cross-persona</t>
        </is>
      </c>
      <c r="O262" s="8" t="inlineStr">
        <is>
          <t>P1</t>
        </is>
      </c>
      <c r="P262" s="5" t="inlineStr">
        <is>
          <t>Unchanged</t>
        </is>
      </c>
      <c r="Q262" s="21" t="inlineStr">
        <is>
          <t>Code symbol found</t>
        </is>
      </c>
      <c r="R262" s="5" t="inlineStr">
        <is>
          <t>Matched StockTransfer in product code. This is not a functional test.</t>
        </is>
      </c>
      <c r="S262" s="8" t="inlineStr">
        <is>
          <t>WH</t>
        </is>
      </c>
      <c r="T262" s="5" t="inlineStr">
        <is>
          <t>Multi-godown and multi-store</t>
        </is>
      </c>
      <c r="U262" s="8" t="inlineStr"/>
      <c r="V262" s="8" t="inlineStr">
        <is>
          <t>inventory</t>
        </is>
      </c>
      <c r="W262" s="8" t="inlineStr">
        <is>
          <t>RUN</t>
        </is>
      </c>
      <c r="X262" s="5" t="inlineStr">
        <is>
          <t>Core</t>
        </is>
      </c>
      <c r="Y262" s="5" t="inlineStr">
        <is>
          <t>Cross-persona</t>
        </is>
      </c>
      <c r="Z262" s="5" t="inlineStr">
        <is>
          <t>Medium</t>
        </is>
      </c>
      <c r="AA262" s="5" t="inlineStr">
        <is>
          <t>Medium</t>
        </is>
      </c>
      <c r="AB262" s="8" t="inlineStr">
        <is>
          <t>Low</t>
        </is>
      </c>
      <c r="AC262" s="8" t="inlineStr">
        <is>
          <t>Pilot</t>
        </is>
      </c>
      <c r="AD262" s="5" t="inlineStr">
        <is>
          <t>Cited in code</t>
        </is>
      </c>
      <c r="AE262" s="5" t="inlineStr">
        <is>
          <t>Not verified</t>
        </is>
      </c>
      <c r="AF262" s="5" t="inlineStr">
        <is>
          <t>Not verified</t>
        </is>
      </c>
      <c r="AG262" s="5" t="inlineStr">
        <is>
          <t>Not verified</t>
        </is>
      </c>
      <c r="AH262" s="5" t="inlineStr">
        <is>
          <t>Not verified</t>
        </is>
      </c>
      <c r="AI262" s="8" t="inlineStr">
        <is>
          <t>No</t>
        </is>
      </c>
      <c r="AJ262" s="8" t="inlineStr">
        <is>
          <t>Built - unverified</t>
        </is>
      </c>
      <c r="AK262" s="8" t="inlineStr">
        <is>
          <t>P1</t>
        </is>
      </c>
      <c r="AL262" s="8" t="n">
        <v>6</v>
      </c>
      <c r="AM262" s="5" t="inlineStr"/>
      <c r="AN262" s="5" t="inlineStr"/>
      <c r="AO262" s="5" t="inlineStr"/>
      <c r="AP262" s="5" t="inlineStr"/>
      <c r="AQ262" s="5" t="inlineStr"/>
      <c r="AR262" s="5" t="inlineStr"/>
      <c r="AS262" s="5" t="inlineStr"/>
      <c r="AT262" s="5" t="inlineStr"/>
      <c r="AU262" s="8" t="inlineStr">
        <is>
          <t>Not run</t>
        </is>
      </c>
    </row>
    <row r="263" ht="32" customHeight="1">
      <c r="A263" s="16" t="inlineStr">
        <is>
          <t>X-0262</t>
        </is>
      </c>
      <c r="B263" s="8" t="inlineStr">
        <is>
          <t>X</t>
        </is>
      </c>
      <c r="C263" s="5" t="inlineStr">
        <is>
          <t>Multiple / Cross-persona</t>
        </is>
      </c>
      <c r="D263" s="5" t="inlineStr">
        <is>
          <t>Multi-Godown / Multi-Store</t>
        </is>
      </c>
      <c r="E263" s="5" t="inlineStr">
        <is>
          <t>Destination receives goods</t>
        </is>
      </c>
      <c r="F263" s="5" t="inlineStr">
        <is>
          <t>Store Custodian</t>
        </is>
      </c>
      <c r="G263" s="5" t="inlineStr">
        <is>
          <t>Delivery Driver</t>
        </is>
      </c>
      <c r="H263" s="5" t="inlineStr">
        <is>
          <t>Destination store verifies received physical boxes against transfer delivery challan</t>
        </is>
      </c>
      <c r="I263" s="5" t="inlineStr">
        <is>
          <t>Records received quantities; marks transfer status as RECEIVED</t>
        </is>
      </c>
      <c r="J263" s="20" t="inlineStr">
        <is>
          <t>P1</t>
        </is>
      </c>
      <c r="K263" s="20" t="inlineStr">
        <is>
          <t>Validated (Supported)</t>
        </is>
      </c>
      <c r="L263" s="5" t="inlineStr">
        <is>
          <t>Supported via StockTransfer receipt confirmation screen.</t>
        </is>
      </c>
      <c r="M263" s="8" t="inlineStr">
        <is>
          <t>Baseline</t>
        </is>
      </c>
      <c r="N263" s="8" t="inlineStr">
        <is>
          <t>Cross-persona</t>
        </is>
      </c>
      <c r="O263" s="8" t="inlineStr">
        <is>
          <t>P1</t>
        </is>
      </c>
      <c r="P263" s="5" t="inlineStr">
        <is>
          <t>Unchanged</t>
        </is>
      </c>
      <c r="Q263" s="21" t="inlineStr">
        <is>
          <t>Code symbol found</t>
        </is>
      </c>
      <c r="R263" s="5" t="inlineStr">
        <is>
          <t>Matched StockTransfer in product code. This is not a functional test.</t>
        </is>
      </c>
      <c r="S263" s="8" t="inlineStr">
        <is>
          <t>WH</t>
        </is>
      </c>
      <c r="T263" s="5" t="inlineStr">
        <is>
          <t>Multi-godown and multi-store</t>
        </is>
      </c>
      <c r="U263" s="8" t="inlineStr"/>
      <c r="V263" s="8" t="inlineStr">
        <is>
          <t>inventory</t>
        </is>
      </c>
      <c r="W263" s="8" t="inlineStr">
        <is>
          <t>RUN</t>
        </is>
      </c>
      <c r="X263" s="5" t="inlineStr">
        <is>
          <t>Core</t>
        </is>
      </c>
      <c r="Y263" s="5" t="inlineStr">
        <is>
          <t>Cross-persona</t>
        </is>
      </c>
      <c r="Z263" s="5" t="inlineStr">
        <is>
          <t>Medium</t>
        </is>
      </c>
      <c r="AA263" s="5" t="inlineStr">
        <is>
          <t>Medium</t>
        </is>
      </c>
      <c r="AB263" s="8" t="inlineStr">
        <is>
          <t>Low</t>
        </is>
      </c>
      <c r="AC263" s="8" t="inlineStr">
        <is>
          <t>Pilot</t>
        </is>
      </c>
      <c r="AD263" s="5" t="inlineStr">
        <is>
          <t>Cited in code</t>
        </is>
      </c>
      <c r="AE263" s="5" t="inlineStr">
        <is>
          <t>Not verified</t>
        </is>
      </c>
      <c r="AF263" s="5" t="inlineStr">
        <is>
          <t>Not verified</t>
        </is>
      </c>
      <c r="AG263" s="5" t="inlineStr">
        <is>
          <t>Not verified</t>
        </is>
      </c>
      <c r="AH263" s="5" t="inlineStr">
        <is>
          <t>Not verified</t>
        </is>
      </c>
      <c r="AI263" s="8" t="inlineStr">
        <is>
          <t>No</t>
        </is>
      </c>
      <c r="AJ263" s="8" t="inlineStr">
        <is>
          <t>Built - unverified</t>
        </is>
      </c>
      <c r="AK263" s="8" t="inlineStr">
        <is>
          <t>P1</t>
        </is>
      </c>
      <c r="AL263" s="8" t="n">
        <v>6</v>
      </c>
      <c r="AM263" s="5" t="inlineStr"/>
      <c r="AN263" s="5" t="inlineStr"/>
      <c r="AO263" s="5" t="inlineStr"/>
      <c r="AP263" s="5" t="inlineStr"/>
      <c r="AQ263" s="5" t="inlineStr"/>
      <c r="AR263" s="5" t="inlineStr"/>
      <c r="AS263" s="5" t="inlineStr"/>
      <c r="AT263" s="5" t="inlineStr"/>
      <c r="AU263" s="8" t="inlineStr">
        <is>
          <t>Not run</t>
        </is>
      </c>
    </row>
    <row r="264" ht="32" customHeight="1">
      <c r="A264" s="16" t="inlineStr">
        <is>
          <t>X-0263</t>
        </is>
      </c>
      <c r="B264" s="8" t="inlineStr">
        <is>
          <t>X</t>
        </is>
      </c>
      <c r="C264" s="5" t="inlineStr">
        <is>
          <t>Multiple / Cross-persona</t>
        </is>
      </c>
      <c r="D264" s="5" t="inlineStr">
        <is>
          <t>Multi-Godown / Multi-Store</t>
        </is>
      </c>
      <c r="E264" s="5" t="inlineStr">
        <is>
          <t>Source inventory decreases</t>
        </is>
      </c>
      <c r="F264" s="5" t="inlineStr">
        <is>
          <t>System / Inventory Ledger</t>
        </is>
      </c>
      <c r="G264" s="5" t="inlineStr">
        <is>
          <t>Source Godown Keeper</t>
        </is>
      </c>
      <c r="H264" s="5" t="inlineStr">
        <is>
          <t>Source godown stock balance reduced upon transfer dispatch</t>
        </is>
      </c>
      <c r="I264" s="5" t="inlineStr">
        <is>
          <t>Creates StockMovement (TRANSFER_OUT) at source warehouse</t>
        </is>
      </c>
      <c r="J264" s="20" t="inlineStr">
        <is>
          <t>P1</t>
        </is>
      </c>
      <c r="K264" s="20" t="inlineStr">
        <is>
          <t>Validated (Supported)</t>
        </is>
      </c>
      <c r="L264" s="5" t="inlineStr">
        <is>
          <t>Core system invariant: stock transfer dispatch immediately reduces source stock.</t>
        </is>
      </c>
      <c r="M264" s="8" t="inlineStr">
        <is>
          <t>Baseline</t>
        </is>
      </c>
      <c r="N264" s="8" t="inlineStr">
        <is>
          <t>Cross-persona</t>
        </is>
      </c>
      <c r="O264" s="8" t="inlineStr">
        <is>
          <t>P1</t>
        </is>
      </c>
      <c r="P264" s="5" t="inlineStr">
        <is>
          <t>Unchanged</t>
        </is>
      </c>
      <c r="Q264" s="20" t="inlineStr">
        <is>
          <t>Author assertion</t>
        </is>
      </c>
      <c r="R264" s="5" t="inlineStr"/>
      <c r="S264" s="8" t="inlineStr">
        <is>
          <t>WH</t>
        </is>
      </c>
      <c r="T264" s="5" t="inlineStr">
        <is>
          <t>Multi-godown and multi-store</t>
        </is>
      </c>
      <c r="U264" s="8" t="inlineStr"/>
      <c r="V264" s="8" t="inlineStr">
        <is>
          <t>inventory</t>
        </is>
      </c>
      <c r="W264" s="8" t="inlineStr">
        <is>
          <t>RUN</t>
        </is>
      </c>
      <c r="X264" s="5" t="inlineStr">
        <is>
          <t>Core</t>
        </is>
      </c>
      <c r="Y264" s="5" t="inlineStr">
        <is>
          <t>Cross-persona</t>
        </is>
      </c>
      <c r="Z264" s="5" t="inlineStr">
        <is>
          <t>Medium</t>
        </is>
      </c>
      <c r="AA264" s="5" t="inlineStr">
        <is>
          <t>Medium</t>
        </is>
      </c>
      <c r="AB264" s="8" t="inlineStr">
        <is>
          <t>Low</t>
        </is>
      </c>
      <c r="AC264" s="8" t="inlineStr">
        <is>
          <t>Pilot</t>
        </is>
      </c>
      <c r="AD264" s="5" t="inlineStr">
        <is>
          <t>Not independently checked</t>
        </is>
      </c>
      <c r="AE264" s="5" t="inlineStr">
        <is>
          <t>Not verified</t>
        </is>
      </c>
      <c r="AF264" s="5" t="inlineStr">
        <is>
          <t>Not verified</t>
        </is>
      </c>
      <c r="AG264" s="5" t="inlineStr">
        <is>
          <t>Not verified</t>
        </is>
      </c>
      <c r="AH264" s="5" t="inlineStr">
        <is>
          <t>Not verified</t>
        </is>
      </c>
      <c r="AI264" s="8" t="inlineStr">
        <is>
          <t>No</t>
        </is>
      </c>
      <c r="AJ264" s="8" t="inlineStr">
        <is>
          <t>Claimed - unverified</t>
        </is>
      </c>
      <c r="AK264" s="8" t="inlineStr">
        <is>
          <t>P1</t>
        </is>
      </c>
      <c r="AL264" s="8" t="n">
        <v>6</v>
      </c>
      <c r="AM264" s="5" t="inlineStr"/>
      <c r="AN264" s="5" t="inlineStr"/>
      <c r="AO264" s="5" t="inlineStr"/>
      <c r="AP264" s="5" t="inlineStr"/>
      <c r="AQ264" s="5" t="inlineStr"/>
      <c r="AR264" s="5" t="inlineStr"/>
      <c r="AS264" s="5" t="inlineStr"/>
      <c r="AT264" s="5" t="inlineStr"/>
      <c r="AU264" s="8" t="inlineStr">
        <is>
          <t>Not run</t>
        </is>
      </c>
    </row>
    <row r="265" ht="32" customHeight="1">
      <c r="A265" s="16" t="inlineStr">
        <is>
          <t>X-0264</t>
        </is>
      </c>
      <c r="B265" s="8" t="inlineStr">
        <is>
          <t>X</t>
        </is>
      </c>
      <c r="C265" s="5" t="inlineStr">
        <is>
          <t>Multiple / Cross-persona</t>
        </is>
      </c>
      <c r="D265" s="5" t="inlineStr">
        <is>
          <t>Multi-Godown / Multi-Store</t>
        </is>
      </c>
      <c r="E265" s="5" t="inlineStr">
        <is>
          <t>Destination inventory increases</t>
        </is>
      </c>
      <c r="F265" s="5" t="inlineStr">
        <is>
          <t>System / Inventory Ledger</t>
        </is>
      </c>
      <c r="G265" s="5" t="inlineStr">
        <is>
          <t>Store Manager</t>
        </is>
      </c>
      <c r="H265" s="5" t="inlineStr">
        <is>
          <t>Destination shop stock balance increased upon transfer receipt confirmation</t>
        </is>
      </c>
      <c r="I265" s="5" t="inlineStr">
        <is>
          <t>Creates StockMovement (TRANSFER_IN) at destination warehouse</t>
        </is>
      </c>
      <c r="J265" s="20" t="inlineStr">
        <is>
          <t>P1</t>
        </is>
      </c>
      <c r="K265" s="20" t="inlineStr">
        <is>
          <t>Validated (Supported)</t>
        </is>
      </c>
      <c r="L265" s="5" t="inlineStr">
        <is>
          <t>Core system invariant: stock transfer receipt immediately increases destination stock.</t>
        </is>
      </c>
      <c r="M265" s="8" t="inlineStr">
        <is>
          <t>Baseline</t>
        </is>
      </c>
      <c r="N265" s="8" t="inlineStr">
        <is>
          <t>Cross-persona</t>
        </is>
      </c>
      <c r="O265" s="8" t="inlineStr">
        <is>
          <t>P1</t>
        </is>
      </c>
      <c r="P265" s="5" t="inlineStr">
        <is>
          <t>Unchanged</t>
        </is>
      </c>
      <c r="Q265" s="20" t="inlineStr">
        <is>
          <t>Author assertion</t>
        </is>
      </c>
      <c r="R265" s="5" t="inlineStr"/>
      <c r="S265" s="8" t="inlineStr">
        <is>
          <t>WH</t>
        </is>
      </c>
      <c r="T265" s="5" t="inlineStr">
        <is>
          <t>Multi-godown and multi-store</t>
        </is>
      </c>
      <c r="U265" s="8" t="inlineStr"/>
      <c r="V265" s="8" t="inlineStr">
        <is>
          <t>inventory</t>
        </is>
      </c>
      <c r="W265" s="8" t="inlineStr">
        <is>
          <t>RUN</t>
        </is>
      </c>
      <c r="X265" s="5" t="inlineStr">
        <is>
          <t>Core</t>
        </is>
      </c>
      <c r="Y265" s="5" t="inlineStr">
        <is>
          <t>Cross-persona</t>
        </is>
      </c>
      <c r="Z265" s="5" t="inlineStr">
        <is>
          <t>Medium</t>
        </is>
      </c>
      <c r="AA265" s="5" t="inlineStr">
        <is>
          <t>Medium</t>
        </is>
      </c>
      <c r="AB265" s="8" t="inlineStr">
        <is>
          <t>Low</t>
        </is>
      </c>
      <c r="AC265" s="8" t="inlineStr">
        <is>
          <t>Pilot</t>
        </is>
      </c>
      <c r="AD265" s="5" t="inlineStr">
        <is>
          <t>Not independently checked</t>
        </is>
      </c>
      <c r="AE265" s="5" t="inlineStr">
        <is>
          <t>Not verified</t>
        </is>
      </c>
      <c r="AF265" s="5" t="inlineStr">
        <is>
          <t>Not verified</t>
        </is>
      </c>
      <c r="AG265" s="5" t="inlineStr">
        <is>
          <t>Not verified</t>
        </is>
      </c>
      <c r="AH265" s="5" t="inlineStr">
        <is>
          <t>Not verified</t>
        </is>
      </c>
      <c r="AI265" s="8" t="inlineStr">
        <is>
          <t>No</t>
        </is>
      </c>
      <c r="AJ265" s="8" t="inlineStr">
        <is>
          <t>Claimed - unverified</t>
        </is>
      </c>
      <c r="AK265" s="8" t="inlineStr">
        <is>
          <t>P1</t>
        </is>
      </c>
      <c r="AL265" s="8" t="n">
        <v>6</v>
      </c>
      <c r="AM265" s="5" t="inlineStr"/>
      <c r="AN265" s="5" t="inlineStr"/>
      <c r="AO265" s="5" t="inlineStr"/>
      <c r="AP265" s="5" t="inlineStr"/>
      <c r="AQ265" s="5" t="inlineStr"/>
      <c r="AR265" s="5" t="inlineStr"/>
      <c r="AS265" s="5" t="inlineStr"/>
      <c r="AT265" s="5" t="inlineStr"/>
      <c r="AU265" s="8" t="inlineStr">
        <is>
          <t>Not run</t>
        </is>
      </c>
    </row>
    <row r="266" ht="32" customHeight="1">
      <c r="A266" s="16" t="inlineStr">
        <is>
          <t>X-0265</t>
        </is>
      </c>
      <c r="B266" s="8" t="inlineStr">
        <is>
          <t>X</t>
        </is>
      </c>
      <c r="C266" s="5" t="inlineStr">
        <is>
          <t>Multiple / Cross-persona</t>
        </is>
      </c>
      <c r="D266" s="5" t="inlineStr">
        <is>
          <t>Multi-Godown / Multi-Store</t>
        </is>
      </c>
      <c r="E266" s="5" t="inlineStr">
        <is>
          <t>Transfer discrepancy is recorded</t>
        </is>
      </c>
      <c r="F266" s="5" t="inlineStr">
        <is>
          <t>Store Custodian</t>
        </is>
      </c>
      <c r="G266" s="5" t="inlineStr">
        <is>
          <t>Logistics Manager</t>
        </is>
      </c>
      <c r="H266" s="5" t="inlineStr">
        <is>
          <t>Shortages during inter-godown transit flagged and documented for carrier investigation</t>
        </is>
      </c>
      <c r="I266" s="5" t="inlineStr">
        <is>
          <t>Records discrepancy quantity; generates in-transit shrinkage investigation row</t>
        </is>
      </c>
      <c r="J266" s="20" t="inlineStr">
        <is>
          <t>P1</t>
        </is>
      </c>
      <c r="K266" s="20" t="inlineStr">
        <is>
          <t>Validated (Supported)</t>
        </is>
      </c>
      <c r="L266" s="5" t="inlineStr">
        <is>
          <t>Supported via partial receipt and discrepancy logging on StockTransfer.</t>
        </is>
      </c>
      <c r="M266" s="8" t="inlineStr">
        <is>
          <t>Baseline</t>
        </is>
      </c>
      <c r="N266" s="8" t="inlineStr">
        <is>
          <t>Cross-persona</t>
        </is>
      </c>
      <c r="O266" s="8" t="inlineStr">
        <is>
          <t>P1</t>
        </is>
      </c>
      <c r="P266" s="5" t="inlineStr">
        <is>
          <t>Unchanged</t>
        </is>
      </c>
      <c r="Q266" s="21" t="inlineStr">
        <is>
          <t>Code symbol found</t>
        </is>
      </c>
      <c r="R266" s="5" t="inlineStr">
        <is>
          <t>Matched StockTransfer in product code. This is not a functional test.</t>
        </is>
      </c>
      <c r="S266" s="8" t="inlineStr">
        <is>
          <t>WH</t>
        </is>
      </c>
      <c r="T266" s="5" t="inlineStr">
        <is>
          <t>Multi-godown and multi-store</t>
        </is>
      </c>
      <c r="U266" s="8" t="inlineStr"/>
      <c r="V266" s="8" t="inlineStr">
        <is>
          <t>inventory</t>
        </is>
      </c>
      <c r="W266" s="8" t="inlineStr">
        <is>
          <t>RUN</t>
        </is>
      </c>
      <c r="X266" s="5" t="inlineStr">
        <is>
          <t>Core</t>
        </is>
      </c>
      <c r="Y266" s="5" t="inlineStr">
        <is>
          <t>Cross-persona</t>
        </is>
      </c>
      <c r="Z266" s="5" t="inlineStr">
        <is>
          <t>Medium</t>
        </is>
      </c>
      <c r="AA266" s="5" t="inlineStr">
        <is>
          <t>Medium</t>
        </is>
      </c>
      <c r="AB266" s="8" t="inlineStr">
        <is>
          <t>Low</t>
        </is>
      </c>
      <c r="AC266" s="8" t="inlineStr">
        <is>
          <t>Pilot</t>
        </is>
      </c>
      <c r="AD266" s="5" t="inlineStr">
        <is>
          <t>Cited in code</t>
        </is>
      </c>
      <c r="AE266" s="5" t="inlineStr">
        <is>
          <t>Not verified</t>
        </is>
      </c>
      <c r="AF266" s="5" t="inlineStr">
        <is>
          <t>Not verified</t>
        </is>
      </c>
      <c r="AG266" s="5" t="inlineStr">
        <is>
          <t>Not verified</t>
        </is>
      </c>
      <c r="AH266" s="5" t="inlineStr">
        <is>
          <t>Not verified</t>
        </is>
      </c>
      <c r="AI266" s="8" t="inlineStr">
        <is>
          <t>No</t>
        </is>
      </c>
      <c r="AJ266" s="8" t="inlineStr">
        <is>
          <t>Built - unverified</t>
        </is>
      </c>
      <c r="AK266" s="8" t="inlineStr">
        <is>
          <t>P1</t>
        </is>
      </c>
      <c r="AL266" s="8" t="n">
        <v>6</v>
      </c>
      <c r="AM266" s="5" t="inlineStr"/>
      <c r="AN266" s="5" t="inlineStr"/>
      <c r="AO266" s="5" t="inlineStr"/>
      <c r="AP266" s="5" t="inlineStr"/>
      <c r="AQ266" s="5" t="inlineStr"/>
      <c r="AR266" s="5" t="inlineStr"/>
      <c r="AS266" s="5" t="inlineStr"/>
      <c r="AT266" s="5" t="inlineStr"/>
      <c r="AU266" s="8" t="inlineStr">
        <is>
          <t>Not run</t>
        </is>
      </c>
    </row>
    <row r="267" ht="32" customHeight="1">
      <c r="A267" s="16" t="inlineStr">
        <is>
          <t>X-0266</t>
        </is>
      </c>
      <c r="B267" s="8" t="inlineStr">
        <is>
          <t>X</t>
        </is>
      </c>
      <c r="C267" s="5" t="inlineStr">
        <is>
          <t>Multiple / Cross-persona</t>
        </is>
      </c>
      <c r="D267" s="5" t="inlineStr">
        <is>
          <t>Multi-Godown / Multi-Store</t>
        </is>
      </c>
      <c r="E267" s="5" t="inlineStr">
        <is>
          <t>Transfer damage is recorded</t>
        </is>
      </c>
      <c r="F267" s="5" t="inlineStr">
        <is>
          <t>Store Custodian</t>
        </is>
      </c>
      <c r="G267" s="5" t="inlineStr">
        <is>
          <t>Insurance / Transporter</t>
        </is>
      </c>
      <c r="H267" s="5" t="inlineStr">
        <is>
          <t>Goods damaged during road transit recorded and segregated upon destination arrival</t>
        </is>
      </c>
      <c r="I267" s="5" t="inlineStr">
        <is>
          <t>Routes damaged units to quarantine; logs transit loss write-off claim</t>
        </is>
      </c>
      <c r="J267" s="20" t="inlineStr">
        <is>
          <t>P1</t>
        </is>
      </c>
      <c r="K267" s="20" t="inlineStr">
        <is>
          <t>Validated (Supported)</t>
        </is>
      </c>
      <c r="L267" s="5" t="inlineStr">
        <is>
          <t>Supported via damaged stock tagging during transfer intake.</t>
        </is>
      </c>
      <c r="M267" s="8" t="inlineStr">
        <is>
          <t>Baseline</t>
        </is>
      </c>
      <c r="N267" s="8" t="inlineStr">
        <is>
          <t>Cross-persona</t>
        </is>
      </c>
      <c r="O267" s="8" t="inlineStr">
        <is>
          <t>P1</t>
        </is>
      </c>
      <c r="P267" s="5" t="inlineStr">
        <is>
          <t>Unchanged</t>
        </is>
      </c>
      <c r="Q267" s="20" t="inlineStr">
        <is>
          <t>Author assertion</t>
        </is>
      </c>
      <c r="R267" s="5" t="inlineStr"/>
      <c r="S267" s="8" t="inlineStr">
        <is>
          <t>WH</t>
        </is>
      </c>
      <c r="T267" s="5" t="inlineStr">
        <is>
          <t>Multi-godown and multi-store</t>
        </is>
      </c>
      <c r="U267" s="8" t="inlineStr"/>
      <c r="V267" s="8" t="inlineStr">
        <is>
          <t>inventory</t>
        </is>
      </c>
      <c r="W267" s="8" t="inlineStr">
        <is>
          <t>RUN</t>
        </is>
      </c>
      <c r="X267" s="5" t="inlineStr">
        <is>
          <t>Core</t>
        </is>
      </c>
      <c r="Y267" s="5" t="inlineStr">
        <is>
          <t>Cross-persona</t>
        </is>
      </c>
      <c r="Z267" s="5" t="inlineStr">
        <is>
          <t>Medium</t>
        </is>
      </c>
      <c r="AA267" s="5" t="inlineStr">
        <is>
          <t>Medium</t>
        </is>
      </c>
      <c r="AB267" s="8" t="inlineStr">
        <is>
          <t>Low</t>
        </is>
      </c>
      <c r="AC267" s="8" t="inlineStr">
        <is>
          <t>Pilot</t>
        </is>
      </c>
      <c r="AD267" s="5" t="inlineStr">
        <is>
          <t>Not independently checked</t>
        </is>
      </c>
      <c r="AE267" s="5" t="inlineStr">
        <is>
          <t>Not verified</t>
        </is>
      </c>
      <c r="AF267" s="5" t="inlineStr">
        <is>
          <t>Not verified</t>
        </is>
      </c>
      <c r="AG267" s="5" t="inlineStr">
        <is>
          <t>Not verified</t>
        </is>
      </c>
      <c r="AH267" s="5" t="inlineStr">
        <is>
          <t>Not verified</t>
        </is>
      </c>
      <c r="AI267" s="8" t="inlineStr">
        <is>
          <t>No</t>
        </is>
      </c>
      <c r="AJ267" s="8" t="inlineStr">
        <is>
          <t>Claimed - unverified</t>
        </is>
      </c>
      <c r="AK267" s="8" t="inlineStr">
        <is>
          <t>P1</t>
        </is>
      </c>
      <c r="AL267" s="8" t="n">
        <v>6</v>
      </c>
      <c r="AM267" s="5" t="inlineStr"/>
      <c r="AN267" s="5" t="inlineStr"/>
      <c r="AO267" s="5" t="inlineStr"/>
      <c r="AP267" s="5" t="inlineStr"/>
      <c r="AQ267" s="5" t="inlineStr"/>
      <c r="AR267" s="5" t="inlineStr"/>
      <c r="AS267" s="5" t="inlineStr"/>
      <c r="AT267" s="5" t="inlineStr"/>
      <c r="AU267" s="8" t="inlineStr">
        <is>
          <t>Not run</t>
        </is>
      </c>
    </row>
    <row r="268" ht="32" customHeight="1">
      <c r="A268" s="16" t="inlineStr">
        <is>
          <t>X-0267</t>
        </is>
      </c>
      <c r="B268" s="8" t="inlineStr">
        <is>
          <t>X</t>
        </is>
      </c>
      <c r="C268" s="5" t="inlineStr">
        <is>
          <t>Multiple / Cross-persona</t>
        </is>
      </c>
      <c r="D268" s="5" t="inlineStr">
        <is>
          <t>Multi-Godown / Multi-Store</t>
        </is>
      </c>
      <c r="E268" s="5" t="inlineStr">
        <is>
          <t>Transfer cancellation reverses appropriate inventory state</t>
        </is>
      </c>
      <c r="F268" s="5" t="inlineStr">
        <is>
          <t>Logistics Manager</t>
        </is>
      </c>
      <c r="G268" s="5" t="inlineStr">
        <is>
          <t>Godown Staff</t>
        </is>
      </c>
      <c r="H268" s="5" t="inlineStr">
        <is>
          <t>Cancelled transfer safely restores reserved or dispatched stock back to source godown</t>
        </is>
      </c>
      <c r="I268" s="5" t="inlineStr">
        <is>
          <t>Reverses in-transit state; restores source warehouse on-hand balance without data corruption</t>
        </is>
      </c>
      <c r="J268" s="20" t="inlineStr">
        <is>
          <t>P1</t>
        </is>
      </c>
      <c r="K268" s="20" t="inlineStr">
        <is>
          <t>Validated (Supported)</t>
        </is>
      </c>
      <c r="L268" s="5" t="inlineStr">
        <is>
          <t>Supported via StockTransfer cancel workflow with atomic state reversal.</t>
        </is>
      </c>
      <c r="M268" s="8" t="inlineStr">
        <is>
          <t>Baseline</t>
        </is>
      </c>
      <c r="N268" s="8" t="inlineStr">
        <is>
          <t>Cross-persona</t>
        </is>
      </c>
      <c r="O268" s="8" t="inlineStr">
        <is>
          <t>P1</t>
        </is>
      </c>
      <c r="P268" s="5" t="inlineStr">
        <is>
          <t>Restored to authored P1. The previous workbook had P0 after a keyword rebalance.</t>
        </is>
      </c>
      <c r="Q268" s="21" t="inlineStr">
        <is>
          <t>Code symbol found</t>
        </is>
      </c>
      <c r="R268" s="5" t="inlineStr">
        <is>
          <t>Matched StockTransfer in product code. This is not a functional test. Restored to authored P1. The previous workbook had P0 after a keyword rebalance.</t>
        </is>
      </c>
      <c r="S268" s="8" t="inlineStr">
        <is>
          <t>WH</t>
        </is>
      </c>
      <c r="T268" s="5" t="inlineStr">
        <is>
          <t>Multi-godown and multi-store</t>
        </is>
      </c>
      <c r="U268" s="8" t="inlineStr"/>
      <c r="V268" s="8" t="inlineStr">
        <is>
          <t>inventory</t>
        </is>
      </c>
      <c r="W268" s="8" t="inlineStr">
        <is>
          <t>RUN</t>
        </is>
      </c>
      <c r="X268" s="5" t="inlineStr">
        <is>
          <t>Core</t>
        </is>
      </c>
      <c r="Y268" s="5" t="inlineStr">
        <is>
          <t>Cross-persona</t>
        </is>
      </c>
      <c r="Z268" s="5" t="inlineStr">
        <is>
          <t>Medium</t>
        </is>
      </c>
      <c r="AA268" s="5" t="inlineStr">
        <is>
          <t>Medium</t>
        </is>
      </c>
      <c r="AB268" s="8" t="inlineStr">
        <is>
          <t>Low</t>
        </is>
      </c>
      <c r="AC268" s="8" t="inlineStr">
        <is>
          <t>Pilot</t>
        </is>
      </c>
      <c r="AD268" s="5" t="inlineStr">
        <is>
          <t>Cited in code</t>
        </is>
      </c>
      <c r="AE268" s="5" t="inlineStr">
        <is>
          <t>Not verified</t>
        </is>
      </c>
      <c r="AF268" s="5" t="inlineStr">
        <is>
          <t>Not verified</t>
        </is>
      </c>
      <c r="AG268" s="5" t="inlineStr">
        <is>
          <t>Not verified</t>
        </is>
      </c>
      <c r="AH268" s="5" t="inlineStr">
        <is>
          <t>Not verified</t>
        </is>
      </c>
      <c r="AI268" s="8" t="inlineStr">
        <is>
          <t>No</t>
        </is>
      </c>
      <c r="AJ268" s="8" t="inlineStr">
        <is>
          <t>Built - unverified</t>
        </is>
      </c>
      <c r="AK268" s="8" t="inlineStr">
        <is>
          <t>P1</t>
        </is>
      </c>
      <c r="AL268" s="8" t="n">
        <v>6</v>
      </c>
      <c r="AM268" s="5" t="inlineStr"/>
      <c r="AN268" s="5" t="inlineStr"/>
      <c r="AO268" s="5" t="inlineStr"/>
      <c r="AP268" s="5" t="inlineStr"/>
      <c r="AQ268" s="5" t="inlineStr"/>
      <c r="AR268" s="5" t="inlineStr"/>
      <c r="AS268" s="5" t="inlineStr"/>
      <c r="AT268" s="5" t="inlineStr"/>
      <c r="AU268" s="8" t="inlineStr">
        <is>
          <t>Not run</t>
        </is>
      </c>
    </row>
    <row r="269" ht="32" customHeight="1">
      <c r="A269" s="16" t="inlineStr">
        <is>
          <t>X-0268</t>
        </is>
      </c>
      <c r="B269" s="8" t="inlineStr">
        <is>
          <t>X</t>
        </is>
      </c>
      <c r="C269" s="5" t="inlineStr">
        <is>
          <t>Multiple / Cross-persona</t>
        </is>
      </c>
      <c r="D269" s="5" t="inlineStr">
        <is>
          <t>Multi-Godown / Multi-Store</t>
        </is>
      </c>
      <c r="E269" s="5" t="inlineStr">
        <is>
          <t>Owner views consolidated inventory</t>
        </is>
      </c>
      <c r="F269" s="5" t="inlineStr">
        <is>
          <t>Reporting &amp; Business Intelligence</t>
        </is>
      </c>
      <c r="G269" s="5" t="inlineStr">
        <is>
          <t>Business Owner</t>
        </is>
      </c>
      <c r="H269" s="5" t="inlineStr">
        <is>
          <t>Unified view of total stock holdings across all stores and godowns on single screen</t>
        </is>
      </c>
      <c r="I269" s="5" t="inlineStr">
        <is>
          <t>Aggregates stock quantities and valuations across all company warehouses</t>
        </is>
      </c>
      <c r="J269" s="20" t="inlineStr">
        <is>
          <t>P1</t>
        </is>
      </c>
      <c r="K269" s="20" t="inlineStr">
        <is>
          <t>Validated (Supported)</t>
        </is>
      </c>
      <c r="L269" s="5" t="inlineStr">
        <is>
          <t>Supported via /inventory/ with All-Warehouses view.</t>
        </is>
      </c>
      <c r="M269" s="8" t="inlineStr">
        <is>
          <t>Baseline</t>
        </is>
      </c>
      <c r="N269" s="8" t="inlineStr">
        <is>
          <t>Cross-persona</t>
        </is>
      </c>
      <c r="O269" s="8" t="inlineStr">
        <is>
          <t>P1</t>
        </is>
      </c>
      <c r="P269" s="5" t="inlineStr">
        <is>
          <t>Unchanged</t>
        </is>
      </c>
      <c r="Q269" s="20" t="inlineStr">
        <is>
          <t>Author assertion</t>
        </is>
      </c>
      <c r="R269" s="5" t="inlineStr"/>
      <c r="S269" s="8" t="inlineStr">
        <is>
          <t>WH</t>
        </is>
      </c>
      <c r="T269" s="5" t="inlineStr">
        <is>
          <t>Multi-godown and multi-store</t>
        </is>
      </c>
      <c r="U269" s="8" t="inlineStr"/>
      <c r="V269" s="8" t="inlineStr">
        <is>
          <t>inventory</t>
        </is>
      </c>
      <c r="W269" s="8" t="inlineStr">
        <is>
          <t>RUN</t>
        </is>
      </c>
      <c r="X269" s="5" t="inlineStr">
        <is>
          <t>Core</t>
        </is>
      </c>
      <c r="Y269" s="5" t="inlineStr">
        <is>
          <t>Cross-persona</t>
        </is>
      </c>
      <c r="Z269" s="5" t="inlineStr">
        <is>
          <t>Medium</t>
        </is>
      </c>
      <c r="AA269" s="5" t="inlineStr">
        <is>
          <t>Medium</t>
        </is>
      </c>
      <c r="AB269" s="8" t="inlineStr">
        <is>
          <t>Low</t>
        </is>
      </c>
      <c r="AC269" s="8" t="inlineStr">
        <is>
          <t>Pilot</t>
        </is>
      </c>
      <c r="AD269" s="5" t="inlineStr">
        <is>
          <t>Not independently checked</t>
        </is>
      </c>
      <c r="AE269" s="5" t="inlineStr">
        <is>
          <t>Not verified</t>
        </is>
      </c>
      <c r="AF269" s="5" t="inlineStr">
        <is>
          <t>Not verified</t>
        </is>
      </c>
      <c r="AG269" s="5" t="inlineStr">
        <is>
          <t>Not verified</t>
        </is>
      </c>
      <c r="AH269" s="5" t="inlineStr">
        <is>
          <t>Not verified</t>
        </is>
      </c>
      <c r="AI269" s="8" t="inlineStr">
        <is>
          <t>No</t>
        </is>
      </c>
      <c r="AJ269" s="8" t="inlineStr">
        <is>
          <t>Claimed - unverified</t>
        </is>
      </c>
      <c r="AK269" s="8" t="inlineStr">
        <is>
          <t>P1</t>
        </is>
      </c>
      <c r="AL269" s="8" t="n">
        <v>6</v>
      </c>
      <c r="AM269" s="5" t="inlineStr"/>
      <c r="AN269" s="5" t="inlineStr"/>
      <c r="AO269" s="5" t="inlineStr"/>
      <c r="AP269" s="5" t="inlineStr"/>
      <c r="AQ269" s="5" t="inlineStr"/>
      <c r="AR269" s="5" t="inlineStr"/>
      <c r="AS269" s="5" t="inlineStr"/>
      <c r="AT269" s="5" t="inlineStr"/>
      <c r="AU269" s="8" t="inlineStr">
        <is>
          <t>Not run</t>
        </is>
      </c>
    </row>
    <row r="270" ht="32" customHeight="1">
      <c r="A270" s="16" t="inlineStr">
        <is>
          <t>X-0269</t>
        </is>
      </c>
      <c r="B270" s="8" t="inlineStr">
        <is>
          <t>X</t>
        </is>
      </c>
      <c r="C270" s="5" t="inlineStr">
        <is>
          <t>Multiple / Cross-persona</t>
        </is>
      </c>
      <c r="D270" s="5" t="inlineStr">
        <is>
          <t>Multi-Godown / Multi-Store</t>
        </is>
      </c>
      <c r="E270" s="5" t="inlineStr">
        <is>
          <t>Owner drills from consolidated stock to location</t>
        </is>
      </c>
      <c r="F270" s="5" t="inlineStr">
        <is>
          <t>Reporting &amp; Business Intelligence</t>
        </is>
      </c>
      <c r="G270" s="5" t="inlineStr">
        <is>
          <t>Business Owner</t>
        </is>
      </c>
      <c r="H270" s="5" t="inlineStr">
        <is>
          <t>Drill down from company-wide product stock to see exact quantity held at each godown</t>
        </is>
      </c>
      <c r="I270" s="5" t="inlineStr">
        <is>
          <t>Displays location breakdown popup showing individual warehouse balances for the SKU</t>
        </is>
      </c>
      <c r="J270" s="20" t="inlineStr">
        <is>
          <t>P1</t>
        </is>
      </c>
      <c r="K270" s="20" t="inlineStr">
        <is>
          <t>Validated (Supported)</t>
        </is>
      </c>
      <c r="L270" s="5" t="inlineStr">
        <is>
          <t>Supported via SKU detail drawer with location breakdown table.</t>
        </is>
      </c>
      <c r="M270" s="8" t="inlineStr">
        <is>
          <t>Baseline</t>
        </is>
      </c>
      <c r="N270" s="8" t="inlineStr">
        <is>
          <t>Cross-persona</t>
        </is>
      </c>
      <c r="O270" s="8" t="inlineStr">
        <is>
          <t>P1</t>
        </is>
      </c>
      <c r="P270" s="5" t="inlineStr">
        <is>
          <t>Unchanged</t>
        </is>
      </c>
      <c r="Q270" s="20" t="inlineStr">
        <is>
          <t>Author assertion</t>
        </is>
      </c>
      <c r="R270" s="5" t="inlineStr"/>
      <c r="S270" s="8" t="inlineStr">
        <is>
          <t>WH</t>
        </is>
      </c>
      <c r="T270" s="5" t="inlineStr">
        <is>
          <t>Multi-godown and multi-store</t>
        </is>
      </c>
      <c r="U270" s="8" t="inlineStr"/>
      <c r="V270" s="8" t="inlineStr">
        <is>
          <t>inventory</t>
        </is>
      </c>
      <c r="W270" s="8" t="inlineStr">
        <is>
          <t>RUN</t>
        </is>
      </c>
      <c r="X270" s="5" t="inlineStr">
        <is>
          <t>Core</t>
        </is>
      </c>
      <c r="Y270" s="5" t="inlineStr">
        <is>
          <t>Cross-persona</t>
        </is>
      </c>
      <c r="Z270" s="5" t="inlineStr">
        <is>
          <t>Medium</t>
        </is>
      </c>
      <c r="AA270" s="5" t="inlineStr">
        <is>
          <t>Medium</t>
        </is>
      </c>
      <c r="AB270" s="8" t="inlineStr">
        <is>
          <t>Low</t>
        </is>
      </c>
      <c r="AC270" s="8" t="inlineStr">
        <is>
          <t>Pilot</t>
        </is>
      </c>
      <c r="AD270" s="5" t="inlineStr">
        <is>
          <t>Not independently checked</t>
        </is>
      </c>
      <c r="AE270" s="5" t="inlineStr">
        <is>
          <t>Not verified</t>
        </is>
      </c>
      <c r="AF270" s="5" t="inlineStr">
        <is>
          <t>Not verified</t>
        </is>
      </c>
      <c r="AG270" s="5" t="inlineStr">
        <is>
          <t>Not verified</t>
        </is>
      </c>
      <c r="AH270" s="5" t="inlineStr">
        <is>
          <t>Not verified</t>
        </is>
      </c>
      <c r="AI270" s="8" t="inlineStr">
        <is>
          <t>No</t>
        </is>
      </c>
      <c r="AJ270" s="8" t="inlineStr">
        <is>
          <t>Claimed - unverified</t>
        </is>
      </c>
      <c r="AK270" s="8" t="inlineStr">
        <is>
          <t>P1</t>
        </is>
      </c>
      <c r="AL270" s="8" t="n">
        <v>6</v>
      </c>
      <c r="AM270" s="5" t="inlineStr"/>
      <c r="AN270" s="5" t="inlineStr"/>
      <c r="AO270" s="5" t="inlineStr"/>
      <c r="AP270" s="5" t="inlineStr"/>
      <c r="AQ270" s="5" t="inlineStr"/>
      <c r="AR270" s="5" t="inlineStr"/>
      <c r="AS270" s="5" t="inlineStr"/>
      <c r="AT270" s="5" t="inlineStr"/>
      <c r="AU270" s="8" t="inlineStr">
        <is>
          <t>Not run</t>
        </is>
      </c>
    </row>
    <row r="271" ht="32" customHeight="1">
      <c r="A271" s="16" t="inlineStr">
        <is>
          <t>X-0270</t>
        </is>
      </c>
      <c r="B271" s="8" t="inlineStr">
        <is>
          <t>X</t>
        </is>
      </c>
      <c r="C271" s="5" t="inlineStr">
        <is>
          <t>Multiple / Cross-persona</t>
        </is>
      </c>
      <c r="D271" s="5" t="inlineStr">
        <is>
          <t>Multi-Godown / Multi-Store</t>
        </is>
      </c>
      <c r="E271" s="5" t="inlineStr">
        <is>
          <t>Owner compares location-wise sales</t>
        </is>
      </c>
      <c r="F271" s="5" t="inlineStr">
        <is>
          <t>Reporting &amp; Business Intelligence</t>
        </is>
      </c>
      <c r="G271" s="5" t="inlineStr">
        <is>
          <t>Business Owner</t>
        </is>
      </c>
      <c r="H271" s="5" t="inlineStr">
        <is>
          <t>Compare sales revenue and volume across different retail branches and warehouses</t>
        </is>
      </c>
      <c r="I271" s="5" t="inlineStr">
        <is>
          <t>Generates comparative sales reports broken down by originating location</t>
        </is>
      </c>
      <c r="J271" s="20" t="inlineStr">
        <is>
          <t>P1</t>
        </is>
      </c>
      <c r="K271" s="20" t="inlineStr">
        <is>
          <t>Validated (Supported)</t>
        </is>
      </c>
      <c r="L271" s="5" t="inlineStr">
        <is>
          <t>Supported via /reports/warehouse-sales/ comparative report.</t>
        </is>
      </c>
      <c r="M271" s="8" t="inlineStr">
        <is>
          <t>Baseline</t>
        </is>
      </c>
      <c r="N271" s="8" t="inlineStr">
        <is>
          <t>Cross-persona</t>
        </is>
      </c>
      <c r="O271" s="8" t="inlineStr">
        <is>
          <t>P1</t>
        </is>
      </c>
      <c r="P271" s="5" t="inlineStr">
        <is>
          <t>Unchanged</t>
        </is>
      </c>
      <c r="Q271" s="20" t="inlineStr">
        <is>
          <t>Author assertion</t>
        </is>
      </c>
      <c r="R271" s="5" t="inlineStr"/>
      <c r="S271" s="8" t="inlineStr">
        <is>
          <t>WH</t>
        </is>
      </c>
      <c r="T271" s="5" t="inlineStr">
        <is>
          <t>Multi-godown and multi-store</t>
        </is>
      </c>
      <c r="U271" s="8" t="inlineStr"/>
      <c r="V271" s="8" t="inlineStr">
        <is>
          <t>inventory</t>
        </is>
      </c>
      <c r="W271" s="8" t="inlineStr">
        <is>
          <t>RUN</t>
        </is>
      </c>
      <c r="X271" s="5" t="inlineStr">
        <is>
          <t>Core</t>
        </is>
      </c>
      <c r="Y271" s="5" t="inlineStr">
        <is>
          <t>Cross-persona</t>
        </is>
      </c>
      <c r="Z271" s="5" t="inlineStr">
        <is>
          <t>Medium</t>
        </is>
      </c>
      <c r="AA271" s="5" t="inlineStr">
        <is>
          <t>Medium</t>
        </is>
      </c>
      <c r="AB271" s="8" t="inlineStr">
        <is>
          <t>Low</t>
        </is>
      </c>
      <c r="AC271" s="8" t="inlineStr">
        <is>
          <t>Pilot</t>
        </is>
      </c>
      <c r="AD271" s="5" t="inlineStr">
        <is>
          <t>Not independently checked</t>
        </is>
      </c>
      <c r="AE271" s="5" t="inlineStr">
        <is>
          <t>Not verified</t>
        </is>
      </c>
      <c r="AF271" s="5" t="inlineStr">
        <is>
          <t>Not verified</t>
        </is>
      </c>
      <c r="AG271" s="5" t="inlineStr">
        <is>
          <t>Not verified</t>
        </is>
      </c>
      <c r="AH271" s="5" t="inlineStr">
        <is>
          <t>Not verified</t>
        </is>
      </c>
      <c r="AI271" s="8" t="inlineStr">
        <is>
          <t>No</t>
        </is>
      </c>
      <c r="AJ271" s="8" t="inlineStr">
        <is>
          <t>Claimed - unverified</t>
        </is>
      </c>
      <c r="AK271" s="8" t="inlineStr">
        <is>
          <t>P1</t>
        </is>
      </c>
      <c r="AL271" s="8" t="n">
        <v>6</v>
      </c>
      <c r="AM271" s="5" t="inlineStr"/>
      <c r="AN271" s="5" t="inlineStr"/>
      <c r="AO271" s="5" t="inlineStr"/>
      <c r="AP271" s="5" t="inlineStr"/>
      <c r="AQ271" s="5" t="inlineStr"/>
      <c r="AR271" s="5" t="inlineStr"/>
      <c r="AS271" s="5" t="inlineStr"/>
      <c r="AT271" s="5" t="inlineStr"/>
      <c r="AU271" s="8" t="inlineStr">
        <is>
          <t>Not run</t>
        </is>
      </c>
    </row>
    <row r="272" ht="32" customHeight="1">
      <c r="A272" s="16" t="inlineStr">
        <is>
          <t>X-0271</t>
        </is>
      </c>
      <c r="B272" s="8" t="inlineStr">
        <is>
          <t>X</t>
        </is>
      </c>
      <c r="C272" s="5" t="inlineStr">
        <is>
          <t>Multiple / Cross-persona</t>
        </is>
      </c>
      <c r="D272" s="5" t="inlineStr">
        <is>
          <t>Multi-Godown / Multi-Store</t>
        </is>
      </c>
      <c r="E272" s="5" t="inlineStr">
        <is>
          <t>Owner compares location-wise inventory</t>
        </is>
      </c>
      <c r="F272" s="5" t="inlineStr">
        <is>
          <t>Reporting &amp; Business Intelligence</t>
        </is>
      </c>
      <c r="G272" s="5" t="inlineStr">
        <is>
          <t>Business Owner</t>
        </is>
      </c>
      <c r="H272" s="5" t="inlineStr">
        <is>
          <t>Evaluate inventory turnover and stock-to-sales ratios across different locations</t>
        </is>
      </c>
      <c r="I272" s="5" t="inlineStr">
        <is>
          <t>Compares stock holding values and inventory velocity between branches</t>
        </is>
      </c>
      <c r="J272" s="20" t="inlineStr">
        <is>
          <t>P1</t>
        </is>
      </c>
      <c r="K272" s="20" t="inlineStr">
        <is>
          <t>Validated (Supported)</t>
        </is>
      </c>
      <c r="L272" s="5" t="inlineStr">
        <is>
          <t>Supported via Location Inventory Comparison dashboard.</t>
        </is>
      </c>
      <c r="M272" s="8" t="inlineStr">
        <is>
          <t>Baseline</t>
        </is>
      </c>
      <c r="N272" s="8" t="inlineStr">
        <is>
          <t>Cross-persona</t>
        </is>
      </c>
      <c r="O272" s="8" t="inlineStr">
        <is>
          <t>P1</t>
        </is>
      </c>
      <c r="P272" s="5" t="inlineStr">
        <is>
          <t>Unchanged</t>
        </is>
      </c>
      <c r="Q272" s="20" t="inlineStr">
        <is>
          <t>Author assertion</t>
        </is>
      </c>
      <c r="R272" s="5" t="inlineStr"/>
      <c r="S272" s="8" t="inlineStr">
        <is>
          <t>WH</t>
        </is>
      </c>
      <c r="T272" s="5" t="inlineStr">
        <is>
          <t>Multi-godown and multi-store</t>
        </is>
      </c>
      <c r="U272" s="8" t="inlineStr"/>
      <c r="V272" s="8" t="inlineStr">
        <is>
          <t>inventory</t>
        </is>
      </c>
      <c r="W272" s="8" t="inlineStr">
        <is>
          <t>RUN</t>
        </is>
      </c>
      <c r="X272" s="5" t="inlineStr">
        <is>
          <t>Core</t>
        </is>
      </c>
      <c r="Y272" s="5" t="inlineStr">
        <is>
          <t>Cross-persona</t>
        </is>
      </c>
      <c r="Z272" s="5" t="inlineStr">
        <is>
          <t>Medium</t>
        </is>
      </c>
      <c r="AA272" s="5" t="inlineStr">
        <is>
          <t>Medium</t>
        </is>
      </c>
      <c r="AB272" s="8" t="inlineStr">
        <is>
          <t>Low</t>
        </is>
      </c>
      <c r="AC272" s="8" t="inlineStr">
        <is>
          <t>Pilot</t>
        </is>
      </c>
      <c r="AD272" s="5" t="inlineStr">
        <is>
          <t>Not independently checked</t>
        </is>
      </c>
      <c r="AE272" s="5" t="inlineStr">
        <is>
          <t>Not verified</t>
        </is>
      </c>
      <c r="AF272" s="5" t="inlineStr">
        <is>
          <t>Not verified</t>
        </is>
      </c>
      <c r="AG272" s="5" t="inlineStr">
        <is>
          <t>Not verified</t>
        </is>
      </c>
      <c r="AH272" s="5" t="inlineStr">
        <is>
          <t>Not verified</t>
        </is>
      </c>
      <c r="AI272" s="8" t="inlineStr">
        <is>
          <t>No</t>
        </is>
      </c>
      <c r="AJ272" s="8" t="inlineStr">
        <is>
          <t>Claimed - unverified</t>
        </is>
      </c>
      <c r="AK272" s="8" t="inlineStr">
        <is>
          <t>P1</t>
        </is>
      </c>
      <c r="AL272" s="8" t="n">
        <v>6</v>
      </c>
      <c r="AM272" s="5" t="inlineStr"/>
      <c r="AN272" s="5" t="inlineStr"/>
      <c r="AO272" s="5" t="inlineStr"/>
      <c r="AP272" s="5" t="inlineStr"/>
      <c r="AQ272" s="5" t="inlineStr"/>
      <c r="AR272" s="5" t="inlineStr"/>
      <c r="AS272" s="5" t="inlineStr"/>
      <c r="AT272" s="5" t="inlineStr"/>
      <c r="AU272" s="8" t="inlineStr">
        <is>
          <t>Not run</t>
        </is>
      </c>
    </row>
    <row r="273" ht="32" customHeight="1">
      <c r="A273" s="16" t="inlineStr">
        <is>
          <t>X-0272</t>
        </is>
      </c>
      <c r="B273" s="8" t="inlineStr">
        <is>
          <t>X</t>
        </is>
      </c>
      <c r="C273" s="5" t="inlineStr">
        <is>
          <t>Multiple / Cross-persona</t>
        </is>
      </c>
      <c r="D273" s="5" t="inlineStr">
        <is>
          <t>Multi-Godown / Multi-Store</t>
        </is>
      </c>
      <c r="E273" s="5" t="inlineStr">
        <is>
          <t>Owner compares location-wise profitability</t>
        </is>
      </c>
      <c r="F273" s="5" t="inlineStr">
        <is>
          <t>Reporting &amp; Business Intelligence</t>
        </is>
      </c>
      <c r="G273" s="5" t="inlineStr">
        <is>
          <t>Business Owner</t>
        </is>
      </c>
      <c r="H273" s="5" t="inlineStr">
        <is>
          <t>Analyze gross margin and net profit delivered by each individual store and godown</t>
        </is>
      </c>
      <c r="I273" s="5" t="inlineStr">
        <is>
          <t>Generates location P&amp;L allocating revenues, COGS, and localized operating expenses</t>
        </is>
      </c>
      <c r="J273" s="20" t="inlineStr">
        <is>
          <t>P1</t>
        </is>
      </c>
      <c r="K273" s="20" t="inlineStr">
        <is>
          <t>Validated (Supported)</t>
        </is>
      </c>
      <c r="L273" s="5" t="inlineStr">
        <is>
          <t>Supported via Cost Center / Store P&amp;L reports.</t>
        </is>
      </c>
      <c r="M273" s="8" t="inlineStr">
        <is>
          <t>Baseline</t>
        </is>
      </c>
      <c r="N273" s="8" t="inlineStr">
        <is>
          <t>Cross-persona</t>
        </is>
      </c>
      <c r="O273" s="8" t="inlineStr">
        <is>
          <t>P1</t>
        </is>
      </c>
      <c r="P273" s="5" t="inlineStr">
        <is>
          <t>Unchanged</t>
        </is>
      </c>
      <c r="Q273" s="20" t="inlineStr">
        <is>
          <t>Author assertion</t>
        </is>
      </c>
      <c r="R273" s="5" t="inlineStr"/>
      <c r="S273" s="8" t="inlineStr">
        <is>
          <t>WH</t>
        </is>
      </c>
      <c r="T273" s="5" t="inlineStr">
        <is>
          <t>Multi-godown and multi-store</t>
        </is>
      </c>
      <c r="U273" s="8" t="inlineStr"/>
      <c r="V273" s="8" t="inlineStr">
        <is>
          <t>inventory</t>
        </is>
      </c>
      <c r="W273" s="8" t="inlineStr">
        <is>
          <t>RUN</t>
        </is>
      </c>
      <c r="X273" s="5" t="inlineStr">
        <is>
          <t>Core</t>
        </is>
      </c>
      <c r="Y273" s="5" t="inlineStr">
        <is>
          <t>Cross-persona</t>
        </is>
      </c>
      <c r="Z273" s="5" t="inlineStr">
        <is>
          <t>Medium</t>
        </is>
      </c>
      <c r="AA273" s="5" t="inlineStr">
        <is>
          <t>Medium</t>
        </is>
      </c>
      <c r="AB273" s="8" t="inlineStr">
        <is>
          <t>Low</t>
        </is>
      </c>
      <c r="AC273" s="8" t="inlineStr">
        <is>
          <t>Pilot</t>
        </is>
      </c>
      <c r="AD273" s="5" t="inlineStr">
        <is>
          <t>Not independently checked</t>
        </is>
      </c>
      <c r="AE273" s="5" t="inlineStr">
        <is>
          <t>Not verified</t>
        </is>
      </c>
      <c r="AF273" s="5" t="inlineStr">
        <is>
          <t>Not verified</t>
        </is>
      </c>
      <c r="AG273" s="5" t="inlineStr">
        <is>
          <t>Not verified</t>
        </is>
      </c>
      <c r="AH273" s="5" t="inlineStr">
        <is>
          <t>Not verified</t>
        </is>
      </c>
      <c r="AI273" s="8" t="inlineStr">
        <is>
          <t>No</t>
        </is>
      </c>
      <c r="AJ273" s="8" t="inlineStr">
        <is>
          <t>Claimed - unverified</t>
        </is>
      </c>
      <c r="AK273" s="8" t="inlineStr">
        <is>
          <t>P1</t>
        </is>
      </c>
      <c r="AL273" s="8" t="n">
        <v>6</v>
      </c>
      <c r="AM273" s="5" t="inlineStr"/>
      <c r="AN273" s="5" t="inlineStr"/>
      <c r="AO273" s="5" t="inlineStr"/>
      <c r="AP273" s="5" t="inlineStr"/>
      <c r="AQ273" s="5" t="inlineStr"/>
      <c r="AR273" s="5" t="inlineStr"/>
      <c r="AS273" s="5" t="inlineStr"/>
      <c r="AT273" s="5" t="inlineStr"/>
      <c r="AU273" s="8" t="inlineStr">
        <is>
          <t>Not run</t>
        </is>
      </c>
    </row>
    <row r="274" ht="32" customHeight="1">
      <c r="A274" s="16" t="inlineStr">
        <is>
          <t>X-0273</t>
        </is>
      </c>
      <c r="B274" s="8" t="inlineStr">
        <is>
          <t>X</t>
        </is>
      </c>
      <c r="C274" s="5" t="inlineStr">
        <is>
          <t>Multiple / Cross-persona</t>
        </is>
      </c>
      <c r="D274" s="5" t="inlineStr">
        <is>
          <t>Multi-Godown / Multi-Store</t>
        </is>
      </c>
      <c r="E274" s="5" t="inlineStr">
        <is>
          <t>One store requests stock from another store</t>
        </is>
      </c>
      <c r="F274" s="5" t="inlineStr">
        <is>
          <t>Store Manager (Requesting)</t>
        </is>
      </c>
      <c r="G274" s="5" t="inlineStr">
        <is>
          <t>Store Manager (Fulfilling)</t>
        </is>
      </c>
      <c r="H274" s="5" t="inlineStr">
        <is>
          <t>Peer-to-peer stock transfer request between retail stores to meet immediate customer demand</t>
        </is>
      </c>
      <c r="I274" s="5" t="inlineStr">
        <is>
          <t>Creates store-to-store requisition; notifies fulfilling store manager for approval</t>
        </is>
      </c>
      <c r="J274" s="20" t="inlineStr">
        <is>
          <t>P1</t>
        </is>
      </c>
      <c r="K274" s="20" t="inlineStr">
        <is>
          <t>Validated (Supported)</t>
        </is>
      </c>
      <c r="L274" s="5" t="inlineStr">
        <is>
          <t>Supported via peer-to-peer StockTransfer workflow.</t>
        </is>
      </c>
      <c r="M274" s="8" t="inlineStr">
        <is>
          <t>Baseline</t>
        </is>
      </c>
      <c r="N274" s="8" t="inlineStr">
        <is>
          <t>Cross-persona</t>
        </is>
      </c>
      <c r="O274" s="8" t="inlineStr">
        <is>
          <t>P1</t>
        </is>
      </c>
      <c r="P274" s="5" t="inlineStr">
        <is>
          <t>Unchanged</t>
        </is>
      </c>
      <c r="Q274" s="21" t="inlineStr">
        <is>
          <t>Code symbol found</t>
        </is>
      </c>
      <c r="R274" s="5" t="inlineStr">
        <is>
          <t>Matched StockTransfer in product code. This is not a functional test.</t>
        </is>
      </c>
      <c r="S274" s="8" t="inlineStr">
        <is>
          <t>WH</t>
        </is>
      </c>
      <c r="T274" s="5" t="inlineStr">
        <is>
          <t>Multi-godown and multi-store</t>
        </is>
      </c>
      <c r="U274" s="8" t="inlineStr"/>
      <c r="V274" s="8" t="inlineStr">
        <is>
          <t>inventory</t>
        </is>
      </c>
      <c r="W274" s="8" t="inlineStr">
        <is>
          <t>RUN</t>
        </is>
      </c>
      <c r="X274" s="5" t="inlineStr">
        <is>
          <t>Core</t>
        </is>
      </c>
      <c r="Y274" s="5" t="inlineStr">
        <is>
          <t>Cross-persona</t>
        </is>
      </c>
      <c r="Z274" s="5" t="inlineStr">
        <is>
          <t>Medium</t>
        </is>
      </c>
      <c r="AA274" s="5" t="inlineStr">
        <is>
          <t>Medium</t>
        </is>
      </c>
      <c r="AB274" s="8" t="inlineStr">
        <is>
          <t>Low</t>
        </is>
      </c>
      <c r="AC274" s="8" t="inlineStr">
        <is>
          <t>Pilot</t>
        </is>
      </c>
      <c r="AD274" s="5" t="inlineStr">
        <is>
          <t>Cited in code</t>
        </is>
      </c>
      <c r="AE274" s="5" t="inlineStr">
        <is>
          <t>Not verified</t>
        </is>
      </c>
      <c r="AF274" s="5" t="inlineStr">
        <is>
          <t>Not verified</t>
        </is>
      </c>
      <c r="AG274" s="5" t="inlineStr">
        <is>
          <t>Not verified</t>
        </is>
      </c>
      <c r="AH274" s="5" t="inlineStr">
        <is>
          <t>Not verified</t>
        </is>
      </c>
      <c r="AI274" s="8" t="inlineStr">
        <is>
          <t>No</t>
        </is>
      </c>
      <c r="AJ274" s="8" t="inlineStr">
        <is>
          <t>Built - unverified</t>
        </is>
      </c>
      <c r="AK274" s="8" t="inlineStr">
        <is>
          <t>P1</t>
        </is>
      </c>
      <c r="AL274" s="8" t="n">
        <v>6</v>
      </c>
      <c r="AM274" s="5" t="inlineStr"/>
      <c r="AN274" s="5" t="inlineStr"/>
      <c r="AO274" s="5" t="inlineStr"/>
      <c r="AP274" s="5" t="inlineStr"/>
      <c r="AQ274" s="5" t="inlineStr"/>
      <c r="AR274" s="5" t="inlineStr"/>
      <c r="AS274" s="5" t="inlineStr"/>
      <c r="AT274" s="5" t="inlineStr"/>
      <c r="AU274" s="8" t="inlineStr">
        <is>
          <t>Not run</t>
        </is>
      </c>
    </row>
    <row r="275" ht="32" customHeight="1">
      <c r="A275" s="16" t="inlineStr">
        <is>
          <t>X-0274</t>
        </is>
      </c>
      <c r="B275" s="8" t="inlineStr">
        <is>
          <t>X</t>
        </is>
      </c>
      <c r="C275" s="5" t="inlineStr">
        <is>
          <t>Multiple / Cross-persona</t>
        </is>
      </c>
      <c r="D275" s="5" t="inlineStr">
        <is>
          <t>Multi-Godown / Multi-Store</t>
        </is>
      </c>
      <c r="E275" s="5" t="inlineStr">
        <is>
          <t>Inter-store transfer is authorized</t>
        </is>
      </c>
      <c r="F275" s="5" t="inlineStr">
        <is>
          <t>Store Manager (Fulfilling)</t>
        </is>
      </c>
      <c r="G275" s="5" t="inlineStr">
        <is>
          <t>Requesting Store</t>
        </is>
      </c>
      <c r="H275" s="5" t="inlineStr">
        <is>
          <t>Fulfilling store authorizes transfer of stock to sister outlet</t>
        </is>
      </c>
      <c r="I275" s="5" t="inlineStr">
        <is>
          <t>Approves transfer; initiates stock dispatch and challan generation</t>
        </is>
      </c>
      <c r="J275" s="20" t="inlineStr">
        <is>
          <t>P1</t>
        </is>
      </c>
      <c r="K275" s="20" t="inlineStr">
        <is>
          <t>Validated (Supported)</t>
        </is>
      </c>
      <c r="L275" s="5" t="inlineStr">
        <is>
          <t>Supported via Transfer authorization screen.</t>
        </is>
      </c>
      <c r="M275" s="8" t="inlineStr">
        <is>
          <t>Baseline</t>
        </is>
      </c>
      <c r="N275" s="8" t="inlineStr">
        <is>
          <t>Cross-persona</t>
        </is>
      </c>
      <c r="O275" s="8" t="inlineStr">
        <is>
          <t>P1</t>
        </is>
      </c>
      <c r="P275" s="5" t="inlineStr">
        <is>
          <t>Unchanged</t>
        </is>
      </c>
      <c r="Q275" s="20" t="inlineStr">
        <is>
          <t>Author assertion</t>
        </is>
      </c>
      <c r="R275" s="5" t="inlineStr"/>
      <c r="S275" s="8" t="inlineStr">
        <is>
          <t>WH</t>
        </is>
      </c>
      <c r="T275" s="5" t="inlineStr">
        <is>
          <t>Multi-godown and multi-store</t>
        </is>
      </c>
      <c r="U275" s="8" t="inlineStr"/>
      <c r="V275" s="8" t="inlineStr">
        <is>
          <t>inventory</t>
        </is>
      </c>
      <c r="W275" s="8" t="inlineStr">
        <is>
          <t>RUN</t>
        </is>
      </c>
      <c r="X275" s="5" t="inlineStr">
        <is>
          <t>Core</t>
        </is>
      </c>
      <c r="Y275" s="5" t="inlineStr">
        <is>
          <t>Cross-persona</t>
        </is>
      </c>
      <c r="Z275" s="5" t="inlineStr">
        <is>
          <t>Medium</t>
        </is>
      </c>
      <c r="AA275" s="5" t="inlineStr">
        <is>
          <t>Medium</t>
        </is>
      </c>
      <c r="AB275" s="8" t="inlineStr">
        <is>
          <t>Low</t>
        </is>
      </c>
      <c r="AC275" s="8" t="inlineStr">
        <is>
          <t>Pilot</t>
        </is>
      </c>
      <c r="AD275" s="5" t="inlineStr">
        <is>
          <t>Not independently checked</t>
        </is>
      </c>
      <c r="AE275" s="5" t="inlineStr">
        <is>
          <t>Not verified</t>
        </is>
      </c>
      <c r="AF275" s="5" t="inlineStr">
        <is>
          <t>Not verified</t>
        </is>
      </c>
      <c r="AG275" s="5" t="inlineStr">
        <is>
          <t>Not verified</t>
        </is>
      </c>
      <c r="AH275" s="5" t="inlineStr">
        <is>
          <t>Not verified</t>
        </is>
      </c>
      <c r="AI275" s="8" t="inlineStr">
        <is>
          <t>No</t>
        </is>
      </c>
      <c r="AJ275" s="8" t="inlineStr">
        <is>
          <t>Claimed - unverified</t>
        </is>
      </c>
      <c r="AK275" s="8" t="inlineStr">
        <is>
          <t>P1</t>
        </is>
      </c>
      <c r="AL275" s="8" t="n">
        <v>6</v>
      </c>
      <c r="AM275" s="5" t="inlineStr"/>
      <c r="AN275" s="5" t="inlineStr"/>
      <c r="AO275" s="5" t="inlineStr"/>
      <c r="AP275" s="5" t="inlineStr"/>
      <c r="AQ275" s="5" t="inlineStr"/>
      <c r="AR275" s="5" t="inlineStr"/>
      <c r="AS275" s="5" t="inlineStr"/>
      <c r="AT275" s="5" t="inlineStr"/>
      <c r="AU275" s="8" t="inlineStr">
        <is>
          <t>Not run</t>
        </is>
      </c>
    </row>
    <row r="276" ht="32" customHeight="1">
      <c r="A276" s="16" t="inlineStr">
        <is>
          <t>X-0275</t>
        </is>
      </c>
      <c r="B276" s="8" t="inlineStr">
        <is>
          <t>X</t>
        </is>
      </c>
      <c r="C276" s="5" t="inlineStr">
        <is>
          <t>Multiple / Cross-persona</t>
        </is>
      </c>
      <c r="D276" s="5" t="inlineStr">
        <is>
          <t>Multi-Godown / Multi-Store</t>
        </is>
      </c>
      <c r="E276" s="5" t="inlineStr">
        <is>
          <t>Stock is moved between stores</t>
        </is>
      </c>
      <c r="F276" s="5" t="inlineStr">
        <is>
          <t>Store Staff / Driver</t>
        </is>
      </c>
      <c r="G276" s="5" t="inlineStr">
        <is>
          <t>Both Store Managers</t>
        </is>
      </c>
      <c r="H276" s="5" t="inlineStr">
        <is>
          <t>Physical transportation and receipt of stock between retail outlets completed</t>
        </is>
      </c>
      <c r="I276" s="5" t="inlineStr">
        <is>
          <t>Executes TRANSFER_OUT at source store and TRANSFER_IN at destination store</t>
        </is>
      </c>
      <c r="J276" s="20" t="inlineStr">
        <is>
          <t>P1</t>
        </is>
      </c>
      <c r="K276" s="20" t="inlineStr">
        <is>
          <t>Validated (Supported)</t>
        </is>
      </c>
      <c r="L276" s="5" t="inlineStr">
        <is>
          <t>Supported via completed StockTransfer state transition.</t>
        </is>
      </c>
      <c r="M276" s="8" t="inlineStr">
        <is>
          <t>Baseline</t>
        </is>
      </c>
      <c r="N276" s="8" t="inlineStr">
        <is>
          <t>Cross-persona</t>
        </is>
      </c>
      <c r="O276" s="8" t="inlineStr">
        <is>
          <t>P1</t>
        </is>
      </c>
      <c r="P276" s="5" t="inlineStr">
        <is>
          <t>Unchanged</t>
        </is>
      </c>
      <c r="Q276" s="21" t="inlineStr">
        <is>
          <t>Code symbol found</t>
        </is>
      </c>
      <c r="R276" s="5" t="inlineStr">
        <is>
          <t>Matched StockTransfer in product code. This is not a functional test.</t>
        </is>
      </c>
      <c r="S276" s="8" t="inlineStr">
        <is>
          <t>WH</t>
        </is>
      </c>
      <c r="T276" s="5" t="inlineStr">
        <is>
          <t>Multi-godown and multi-store</t>
        </is>
      </c>
      <c r="U276" s="8" t="inlineStr"/>
      <c r="V276" s="8" t="inlineStr">
        <is>
          <t>inventory</t>
        </is>
      </c>
      <c r="W276" s="8" t="inlineStr">
        <is>
          <t>RUN</t>
        </is>
      </c>
      <c r="X276" s="5" t="inlineStr">
        <is>
          <t>Core</t>
        </is>
      </c>
      <c r="Y276" s="5" t="inlineStr">
        <is>
          <t>Cross-persona</t>
        </is>
      </c>
      <c r="Z276" s="5" t="inlineStr">
        <is>
          <t>Medium</t>
        </is>
      </c>
      <c r="AA276" s="5" t="inlineStr">
        <is>
          <t>Medium</t>
        </is>
      </c>
      <c r="AB276" s="8" t="inlineStr">
        <is>
          <t>Low</t>
        </is>
      </c>
      <c r="AC276" s="8" t="inlineStr">
        <is>
          <t>Pilot</t>
        </is>
      </c>
      <c r="AD276" s="5" t="inlineStr">
        <is>
          <t>Cited in code</t>
        </is>
      </c>
      <c r="AE276" s="5" t="inlineStr">
        <is>
          <t>Not verified</t>
        </is>
      </c>
      <c r="AF276" s="5" t="inlineStr">
        <is>
          <t>Not verified</t>
        </is>
      </c>
      <c r="AG276" s="5" t="inlineStr">
        <is>
          <t>Not verified</t>
        </is>
      </c>
      <c r="AH276" s="5" t="inlineStr">
        <is>
          <t>Not verified</t>
        </is>
      </c>
      <c r="AI276" s="8" t="inlineStr">
        <is>
          <t>No</t>
        </is>
      </c>
      <c r="AJ276" s="8" t="inlineStr">
        <is>
          <t>Built - unverified</t>
        </is>
      </c>
      <c r="AK276" s="8" t="inlineStr">
        <is>
          <t>P1</t>
        </is>
      </c>
      <c r="AL276" s="8" t="n">
        <v>6</v>
      </c>
      <c r="AM276" s="5" t="inlineStr"/>
      <c r="AN276" s="5" t="inlineStr"/>
      <c r="AO276" s="5" t="inlineStr"/>
      <c r="AP276" s="5" t="inlineStr"/>
      <c r="AQ276" s="5" t="inlineStr"/>
      <c r="AR276" s="5" t="inlineStr"/>
      <c r="AS276" s="5" t="inlineStr"/>
      <c r="AT276" s="5" t="inlineStr"/>
      <c r="AU276" s="8" t="inlineStr">
        <is>
          <t>Not run</t>
        </is>
      </c>
    </row>
    <row r="277" ht="32" customHeight="1">
      <c r="A277" s="16" t="inlineStr">
        <is>
          <t>X-0276</t>
        </is>
      </c>
      <c r="B277" s="8" t="inlineStr">
        <is>
          <t>X</t>
        </is>
      </c>
      <c r="C277" s="5" t="inlineStr">
        <is>
          <t>Multiple / Cross-persona</t>
        </is>
      </c>
      <c r="D277" s="5" t="inlineStr">
        <is>
          <t>Multi-Godown / Multi-Store</t>
        </is>
      </c>
      <c r="E277" s="5" t="inlineStr">
        <is>
          <t>Location-specific user sees only authorized inventory</t>
        </is>
      </c>
      <c r="F277" s="5" t="inlineStr">
        <is>
          <t>Security / Exception / Recovery</t>
        </is>
      </c>
      <c r="G277" s="5" t="inlineStr">
        <is>
          <t>System Administrator</t>
        </is>
      </c>
      <c r="H277" s="5" t="inlineStr">
        <is>
          <t>Staff members restricted to viewing and billing only their assigned location's stock</t>
        </is>
      </c>
      <c r="I277" s="5" t="inlineStr">
        <is>
          <t>Applies warehouse filter in ORM queries based on user's assigned warehouse permissions</t>
        </is>
      </c>
      <c r="J277" s="20" t="inlineStr">
        <is>
          <t>P1</t>
        </is>
      </c>
      <c r="K277" s="20" t="inlineStr">
        <is>
          <t>Validated (Supported)</t>
        </is>
      </c>
      <c r="L277" s="5" t="inlineStr">
        <is>
          <t>Core security invariant: location-scoped RBAC strictly isolates store staff access.</t>
        </is>
      </c>
      <c r="M277" s="8" t="inlineStr">
        <is>
          <t>Baseline</t>
        </is>
      </c>
      <c r="N277" s="8" t="inlineStr">
        <is>
          <t>Cross-persona</t>
        </is>
      </c>
      <c r="O277" s="8" t="inlineStr">
        <is>
          <t>P1</t>
        </is>
      </c>
      <c r="P277" s="5" t="inlineStr">
        <is>
          <t>Unchanged</t>
        </is>
      </c>
      <c r="Q277" s="20" t="inlineStr">
        <is>
          <t>Author assertion</t>
        </is>
      </c>
      <c r="R277" s="5" t="inlineStr"/>
      <c r="S277" s="8" t="inlineStr">
        <is>
          <t>WH</t>
        </is>
      </c>
      <c r="T277" s="5" t="inlineStr">
        <is>
          <t>Multi-godown and multi-store</t>
        </is>
      </c>
      <c r="U277" s="8" t="inlineStr"/>
      <c r="V277" s="8" t="inlineStr">
        <is>
          <t>inventory</t>
        </is>
      </c>
      <c r="W277" s="8" t="inlineStr">
        <is>
          <t>RUN</t>
        </is>
      </c>
      <c r="X277" s="5" t="inlineStr">
        <is>
          <t>Core</t>
        </is>
      </c>
      <c r="Y277" s="5" t="inlineStr">
        <is>
          <t>Cross-persona</t>
        </is>
      </c>
      <c r="Z277" s="5" t="inlineStr">
        <is>
          <t>Medium</t>
        </is>
      </c>
      <c r="AA277" s="5" t="inlineStr">
        <is>
          <t>Medium</t>
        </is>
      </c>
      <c r="AB277" s="8" t="inlineStr">
        <is>
          <t>Low</t>
        </is>
      </c>
      <c r="AC277" s="8" t="inlineStr">
        <is>
          <t>Pilot</t>
        </is>
      </c>
      <c r="AD277" s="5" t="inlineStr">
        <is>
          <t>Not independently checked</t>
        </is>
      </c>
      <c r="AE277" s="5" t="inlineStr">
        <is>
          <t>Not verified</t>
        </is>
      </c>
      <c r="AF277" s="5" t="inlineStr">
        <is>
          <t>Not verified</t>
        </is>
      </c>
      <c r="AG277" s="5" t="inlineStr">
        <is>
          <t>Not verified</t>
        </is>
      </c>
      <c r="AH277" s="5" t="inlineStr">
        <is>
          <t>Not verified</t>
        </is>
      </c>
      <c r="AI277" s="8" t="inlineStr">
        <is>
          <t>No</t>
        </is>
      </c>
      <c r="AJ277" s="8" t="inlineStr">
        <is>
          <t>Claimed - unverified</t>
        </is>
      </c>
      <c r="AK277" s="8" t="inlineStr">
        <is>
          <t>P1</t>
        </is>
      </c>
      <c r="AL277" s="8" t="n">
        <v>6</v>
      </c>
      <c r="AM277" s="5" t="inlineStr"/>
      <c r="AN277" s="5" t="inlineStr"/>
      <c r="AO277" s="5" t="inlineStr"/>
      <c r="AP277" s="5" t="inlineStr"/>
      <c r="AQ277" s="5" t="inlineStr"/>
      <c r="AR277" s="5" t="inlineStr"/>
      <c r="AS277" s="5" t="inlineStr"/>
      <c r="AT277" s="5" t="inlineStr"/>
      <c r="AU277" s="8" t="inlineStr">
        <is>
          <t>Not run</t>
        </is>
      </c>
    </row>
    <row r="278" ht="32" customHeight="1">
      <c r="A278" s="16" t="inlineStr">
        <is>
          <t>X-0277</t>
        </is>
      </c>
      <c r="B278" s="8" t="inlineStr">
        <is>
          <t>X</t>
        </is>
      </c>
      <c r="C278" s="5" t="inlineStr">
        <is>
          <t>Multiple / Cross-persona</t>
        </is>
      </c>
      <c r="D278" s="5" t="inlineStr">
        <is>
          <t>Multi-Godown / Multi-Store</t>
        </is>
      </c>
      <c r="E278" s="5" t="inlineStr">
        <is>
          <t>Central accountant sees consolidated accounting</t>
        </is>
      </c>
      <c r="F278" s="5" t="inlineStr">
        <is>
          <t>Reporting &amp; Business Intelligence</t>
        </is>
      </c>
      <c r="G278" s="5" t="inlineStr">
        <is>
          <t>Central Accountant</t>
        </is>
      </c>
      <c r="H278" s="5" t="inlineStr">
        <is>
          <t>Head-office accountant accesses unified general ledger combining all branch operations</t>
        </is>
      </c>
      <c r="I278" s="5" t="inlineStr">
        <is>
          <t>Aggregates all store transactions into centralized Trial Balance, P&amp;L, and Balance Sheet</t>
        </is>
      </c>
      <c r="J278" s="20" t="inlineStr">
        <is>
          <t>P1</t>
        </is>
      </c>
      <c r="K278" s="20" t="inlineStr">
        <is>
          <t>Validated (Supported)</t>
        </is>
      </c>
      <c r="L278" s="5" t="inlineStr">
        <is>
          <t>Supported via consolidated accounting reports with store dimension slicing.</t>
        </is>
      </c>
      <c r="M278" s="8" t="inlineStr">
        <is>
          <t>Baseline</t>
        </is>
      </c>
      <c r="N278" s="8" t="inlineStr">
        <is>
          <t>Cross-persona</t>
        </is>
      </c>
      <c r="O278" s="8" t="inlineStr">
        <is>
          <t>P1</t>
        </is>
      </c>
      <c r="P278" s="5" t="inlineStr">
        <is>
          <t>Unchanged</t>
        </is>
      </c>
      <c r="Q278" s="20" t="inlineStr">
        <is>
          <t>Author assertion</t>
        </is>
      </c>
      <c r="R278" s="5" t="inlineStr"/>
      <c r="S278" s="8" t="inlineStr">
        <is>
          <t>WH</t>
        </is>
      </c>
      <c r="T278" s="5" t="inlineStr">
        <is>
          <t>Multi-godown and multi-store</t>
        </is>
      </c>
      <c r="U278" s="8" t="inlineStr"/>
      <c r="V278" s="8" t="inlineStr">
        <is>
          <t>inventory</t>
        </is>
      </c>
      <c r="W278" s="8" t="inlineStr">
        <is>
          <t>RUN</t>
        </is>
      </c>
      <c r="X278" s="5" t="inlineStr">
        <is>
          <t>Core</t>
        </is>
      </c>
      <c r="Y278" s="5" t="inlineStr">
        <is>
          <t>Cross-persona</t>
        </is>
      </c>
      <c r="Z278" s="5" t="inlineStr">
        <is>
          <t>Medium</t>
        </is>
      </c>
      <c r="AA278" s="5" t="inlineStr">
        <is>
          <t>Medium</t>
        </is>
      </c>
      <c r="AB278" s="8" t="inlineStr">
        <is>
          <t>Low</t>
        </is>
      </c>
      <c r="AC278" s="8" t="inlineStr">
        <is>
          <t>Pilot</t>
        </is>
      </c>
      <c r="AD278" s="5" t="inlineStr">
        <is>
          <t>Not independently checked</t>
        </is>
      </c>
      <c r="AE278" s="5" t="inlineStr">
        <is>
          <t>Not verified</t>
        </is>
      </c>
      <c r="AF278" s="5" t="inlineStr">
        <is>
          <t>Not verified</t>
        </is>
      </c>
      <c r="AG278" s="5" t="inlineStr">
        <is>
          <t>Not verified</t>
        </is>
      </c>
      <c r="AH278" s="5" t="inlineStr">
        <is>
          <t>Not verified</t>
        </is>
      </c>
      <c r="AI278" s="8" t="inlineStr">
        <is>
          <t>No</t>
        </is>
      </c>
      <c r="AJ278" s="8" t="inlineStr">
        <is>
          <t>Claimed - unverified</t>
        </is>
      </c>
      <c r="AK278" s="8" t="inlineStr">
        <is>
          <t>P1</t>
        </is>
      </c>
      <c r="AL278" s="8" t="n">
        <v>6</v>
      </c>
      <c r="AM278" s="5" t="inlineStr"/>
      <c r="AN278" s="5" t="inlineStr"/>
      <c r="AO278" s="5" t="inlineStr"/>
      <c r="AP278" s="5" t="inlineStr"/>
      <c r="AQ278" s="5" t="inlineStr"/>
      <c r="AR278" s="5" t="inlineStr"/>
      <c r="AS278" s="5" t="inlineStr"/>
      <c r="AT278" s="5" t="inlineStr"/>
      <c r="AU278" s="8" t="inlineStr">
        <is>
          <t>Not run</t>
        </is>
      </c>
    </row>
    <row r="279" ht="32" customHeight="1">
      <c r="A279" s="16" t="inlineStr">
        <is>
          <t>X-0278</t>
        </is>
      </c>
      <c r="B279" s="8" t="inlineStr">
        <is>
          <t>X</t>
        </is>
      </c>
      <c r="C279" s="5" t="inlineStr">
        <is>
          <t>Multiple / Cross-persona</t>
        </is>
      </c>
      <c r="D279" s="5" t="inlineStr">
        <is>
          <t>GST / Tax / Compliance</t>
        </is>
      </c>
      <c r="E279" s="5" t="inlineStr">
        <is>
          <t>Sales invoice → GST calculation</t>
        </is>
      </c>
      <c r="F279" s="5" t="inlineStr">
        <is>
          <t>Tax Calculation Engine</t>
        </is>
      </c>
      <c r="G279" s="5" t="inlineStr">
        <is>
          <t>Billing Clerk</t>
        </is>
      </c>
      <c r="H279" s="5" t="inlineStr">
        <is>
          <t>Automated GST calculation on sales invoices conforming to Place of Supply rules</t>
        </is>
      </c>
      <c r="I279" s="5" t="inlineStr">
        <is>
          <t>Computes taxable value, CGST/SGST (intra-state) or IGST (inter-state), and cess per line</t>
        </is>
      </c>
      <c r="J279" s="20" t="inlineStr">
        <is>
          <t>P1</t>
        </is>
      </c>
      <c r="K279" s="20" t="inlineStr">
        <is>
          <t>Validated (Supported)</t>
        </is>
      </c>
      <c r="L279" s="5" t="inlineStr">
        <is>
          <t>Supported via core TaxEngine; validates tax round-off against statutory Rule 46.</t>
        </is>
      </c>
      <c r="M279" s="8" t="inlineStr">
        <is>
          <t>Baseline</t>
        </is>
      </c>
      <c r="N279" s="8" t="inlineStr">
        <is>
          <t>Cross-persona</t>
        </is>
      </c>
      <c r="O279" s="8" t="inlineStr">
        <is>
          <t>P1</t>
        </is>
      </c>
      <c r="P279" s="5" t="inlineStr">
        <is>
          <t>Restored to authored P1. The previous workbook had P0 after a keyword rebalance.</t>
        </is>
      </c>
      <c r="Q279" s="21" t="inlineStr">
        <is>
          <t>Code symbol found</t>
        </is>
      </c>
      <c r="R279" s="5" t="inlineStr">
        <is>
          <t>Matched TaxEngine in product code. This is not a functional test. Restored to authored P1. The previous workbook had P0 after a keyword rebalance.</t>
        </is>
      </c>
      <c r="S279" s="8" t="inlineStr">
        <is>
          <t>GST</t>
        </is>
      </c>
      <c r="T279" s="5" t="inlineStr">
        <is>
          <t>GST and tax compliance</t>
        </is>
      </c>
      <c r="U279" s="8" t="inlineStr"/>
      <c r="V279" s="8" t="inlineStr">
        <is>
          <t>accounting</t>
        </is>
      </c>
      <c r="W279" s="8" t="inlineStr">
        <is>
          <t>CONTROL</t>
        </is>
      </c>
      <c r="X279" s="5" t="inlineStr">
        <is>
          <t>Core</t>
        </is>
      </c>
      <c r="Y279" s="5" t="inlineStr">
        <is>
          <t>Cross-persona</t>
        </is>
      </c>
      <c r="Z279" s="5" t="inlineStr">
        <is>
          <t>Critical</t>
        </is>
      </c>
      <c r="AA279" s="5" t="inlineStr">
        <is>
          <t>High</t>
        </is>
      </c>
      <c r="AB279" s="8" t="inlineStr">
        <is>
          <t>High</t>
        </is>
      </c>
      <c r="AC279" s="8" t="inlineStr">
        <is>
          <t>Pilot</t>
        </is>
      </c>
      <c r="AD279" s="5" t="inlineStr">
        <is>
          <t>Cited in code</t>
        </is>
      </c>
      <c r="AE279" s="5" t="inlineStr">
        <is>
          <t>Not verified</t>
        </is>
      </c>
      <c r="AF279" s="5" t="inlineStr">
        <is>
          <t>Not verified</t>
        </is>
      </c>
      <c r="AG279" s="5" t="inlineStr">
        <is>
          <t>Not verified</t>
        </is>
      </c>
      <c r="AH279" s="5" t="inlineStr">
        <is>
          <t>Not verified</t>
        </is>
      </c>
      <c r="AI279" s="8" t="inlineStr">
        <is>
          <t>No</t>
        </is>
      </c>
      <c r="AJ279" s="8" t="inlineStr">
        <is>
          <t>Built - unverified</t>
        </is>
      </c>
      <c r="AK279" s="8" t="inlineStr">
        <is>
          <t>P1</t>
        </is>
      </c>
      <c r="AL279" s="8" t="n">
        <v>27</v>
      </c>
      <c r="AM279" s="5" t="inlineStr"/>
      <c r="AN279" s="5" t="inlineStr"/>
      <c r="AO279" s="5" t="inlineStr"/>
      <c r="AP279" s="5" t="inlineStr"/>
      <c r="AQ279" s="5" t="inlineStr"/>
      <c r="AR279" s="5" t="inlineStr"/>
      <c r="AS279" s="5" t="inlineStr"/>
      <c r="AT279" s="5" t="inlineStr"/>
      <c r="AU279" s="8" t="inlineStr">
        <is>
          <t>Not run</t>
        </is>
      </c>
    </row>
    <row r="280" ht="32" customHeight="1">
      <c r="A280" s="16" t="inlineStr">
        <is>
          <t>X-0279</t>
        </is>
      </c>
      <c r="B280" s="8" t="inlineStr">
        <is>
          <t>X</t>
        </is>
      </c>
      <c r="C280" s="5" t="inlineStr">
        <is>
          <t>Multiple / Cross-persona</t>
        </is>
      </c>
      <c r="D280" s="5" t="inlineStr">
        <is>
          <t>GST / Tax / Compliance</t>
        </is>
      </c>
      <c r="E280" s="5" t="inlineStr">
        <is>
          <t>Purchase invoice → input GST calculation</t>
        </is>
      </c>
      <c r="F280" s="5" t="inlineStr">
        <is>
          <t>Tax Calculation Engine</t>
        </is>
      </c>
      <c r="G280" s="5" t="inlineStr">
        <is>
          <t>In-house Accountant</t>
        </is>
      </c>
      <c r="H280" s="5" t="inlineStr">
        <is>
          <t>Automated input GST breakdown on inward purchase bills for tax credit claims</t>
        </is>
      </c>
      <c r="I280" s="5" t="inlineStr">
        <is>
          <t>Calculates eligible input tax credit; records CGST, SGST, IGST input ledger entries</t>
        </is>
      </c>
      <c r="J280" s="20" t="inlineStr">
        <is>
          <t>P1</t>
        </is>
      </c>
      <c r="K280" s="20" t="inlineStr">
        <is>
          <t>Validated (Supported)</t>
        </is>
      </c>
      <c r="L280" s="5" t="inlineStr">
        <is>
          <t>Supported via purchase invoice tax calculation module.</t>
        </is>
      </c>
      <c r="M280" s="8" t="inlineStr">
        <is>
          <t>Baseline</t>
        </is>
      </c>
      <c r="N280" s="8" t="inlineStr">
        <is>
          <t>Cross-persona</t>
        </is>
      </c>
      <c r="O280" s="8" t="inlineStr">
        <is>
          <t>P1</t>
        </is>
      </c>
      <c r="P280" s="5" t="inlineStr">
        <is>
          <t>Unchanged</t>
        </is>
      </c>
      <c r="Q280" s="20" t="inlineStr">
        <is>
          <t>Author assertion</t>
        </is>
      </c>
      <c r="R280" s="5" t="inlineStr"/>
      <c r="S280" s="8" t="inlineStr">
        <is>
          <t>GST</t>
        </is>
      </c>
      <c r="T280" s="5" t="inlineStr">
        <is>
          <t>GST and tax compliance</t>
        </is>
      </c>
      <c r="U280" s="8" t="inlineStr"/>
      <c r="V280" s="8" t="inlineStr">
        <is>
          <t>accounting</t>
        </is>
      </c>
      <c r="W280" s="8" t="inlineStr">
        <is>
          <t>CONTROL</t>
        </is>
      </c>
      <c r="X280" s="5" t="inlineStr">
        <is>
          <t>Core</t>
        </is>
      </c>
      <c r="Y280" s="5" t="inlineStr">
        <is>
          <t>Cross-persona</t>
        </is>
      </c>
      <c r="Z280" s="5" t="inlineStr">
        <is>
          <t>Critical</t>
        </is>
      </c>
      <c r="AA280" s="5" t="inlineStr">
        <is>
          <t>High</t>
        </is>
      </c>
      <c r="AB280" s="8" t="inlineStr">
        <is>
          <t>High</t>
        </is>
      </c>
      <c r="AC280" s="8" t="inlineStr">
        <is>
          <t>Pilot</t>
        </is>
      </c>
      <c r="AD280" s="5" t="inlineStr">
        <is>
          <t>Not independently checked</t>
        </is>
      </c>
      <c r="AE280" s="5" t="inlineStr">
        <is>
          <t>Not verified</t>
        </is>
      </c>
      <c r="AF280" s="5" t="inlineStr">
        <is>
          <t>Not verified</t>
        </is>
      </c>
      <c r="AG280" s="5" t="inlineStr">
        <is>
          <t>Not verified</t>
        </is>
      </c>
      <c r="AH280" s="5" t="inlineStr">
        <is>
          <t>Not verified</t>
        </is>
      </c>
      <c r="AI280" s="8" t="inlineStr">
        <is>
          <t>No</t>
        </is>
      </c>
      <c r="AJ280" s="8" t="inlineStr">
        <is>
          <t>Claimed - unverified</t>
        </is>
      </c>
      <c r="AK280" s="8" t="inlineStr">
        <is>
          <t>P1</t>
        </is>
      </c>
      <c r="AL280" s="8" t="n">
        <v>27</v>
      </c>
      <c r="AM280" s="5" t="inlineStr"/>
      <c r="AN280" s="5" t="inlineStr"/>
      <c r="AO280" s="5" t="inlineStr"/>
      <c r="AP280" s="5" t="inlineStr"/>
      <c r="AQ280" s="5" t="inlineStr"/>
      <c r="AR280" s="5" t="inlineStr"/>
      <c r="AS280" s="5" t="inlineStr"/>
      <c r="AT280" s="5" t="inlineStr"/>
      <c r="AU280" s="8" t="inlineStr">
        <is>
          <t>Not run</t>
        </is>
      </c>
    </row>
    <row r="281" ht="32" customHeight="1">
      <c r="A281" s="16" t="inlineStr">
        <is>
          <t>X-0280</t>
        </is>
      </c>
      <c r="B281" s="8" t="inlineStr">
        <is>
          <t>X</t>
        </is>
      </c>
      <c r="C281" s="5" t="inlineStr">
        <is>
          <t>Multiple / Cross-persona</t>
        </is>
      </c>
      <c r="D281" s="5" t="inlineStr">
        <is>
          <t>GST / Tax / Compliance</t>
        </is>
      </c>
      <c r="E281" s="5" t="inlineStr">
        <is>
          <t>HSN selection → appropriate tax treatment</t>
        </is>
      </c>
      <c r="F281" s="5" t="inlineStr">
        <is>
          <t>Master Data &amp; Authorization</t>
        </is>
      </c>
      <c r="G281" s="5" t="inlineStr">
        <is>
          <t>Billing Clerk</t>
        </is>
      </c>
      <c r="H281" s="5" t="inlineStr">
        <is>
          <t>Selecting product HSN automatically populates correct statutory tax rates and cess</t>
        </is>
      </c>
      <c r="I281" s="5" t="inlineStr">
        <is>
          <t>Inherits GST tax rate and cess configuration from HSN master schedule</t>
        </is>
      </c>
      <c r="J281" s="20" t="inlineStr">
        <is>
          <t>P1</t>
        </is>
      </c>
      <c r="K281" s="20" t="inlineStr">
        <is>
          <t>Validated (Supported)</t>
        </is>
      </c>
      <c r="L281" s="5" t="inlineStr">
        <is>
          <t>Core system invariant: line-item tax rate strictly defaults to product HSN master.</t>
        </is>
      </c>
      <c r="M281" s="8" t="inlineStr">
        <is>
          <t>Baseline</t>
        </is>
      </c>
      <c r="N281" s="8" t="inlineStr">
        <is>
          <t>Cross-persona</t>
        </is>
      </c>
      <c r="O281" s="8" t="inlineStr">
        <is>
          <t>P1</t>
        </is>
      </c>
      <c r="P281" s="5" t="inlineStr">
        <is>
          <t>Unchanged</t>
        </is>
      </c>
      <c r="Q281" s="20" t="inlineStr">
        <is>
          <t>Author assertion</t>
        </is>
      </c>
      <c r="R281" s="5" t="inlineStr"/>
      <c r="S281" s="8" t="inlineStr">
        <is>
          <t>GST</t>
        </is>
      </c>
      <c r="T281" s="5" t="inlineStr">
        <is>
          <t>GST and tax compliance</t>
        </is>
      </c>
      <c r="U281" s="8" t="inlineStr"/>
      <c r="V281" s="8" t="inlineStr">
        <is>
          <t>accounting</t>
        </is>
      </c>
      <c r="W281" s="8" t="inlineStr">
        <is>
          <t>CONTROL</t>
        </is>
      </c>
      <c r="X281" s="5" t="inlineStr">
        <is>
          <t>Core</t>
        </is>
      </c>
      <c r="Y281" s="5" t="inlineStr">
        <is>
          <t>Cross-persona</t>
        </is>
      </c>
      <c r="Z281" s="5" t="inlineStr">
        <is>
          <t>Critical</t>
        </is>
      </c>
      <c r="AA281" s="5" t="inlineStr">
        <is>
          <t>High</t>
        </is>
      </c>
      <c r="AB281" s="8" t="inlineStr">
        <is>
          <t>High</t>
        </is>
      </c>
      <c r="AC281" s="8" t="inlineStr">
        <is>
          <t>Pilot</t>
        </is>
      </c>
      <c r="AD281" s="5" t="inlineStr">
        <is>
          <t>Not independently checked</t>
        </is>
      </c>
      <c r="AE281" s="5" t="inlineStr">
        <is>
          <t>Not verified</t>
        </is>
      </c>
      <c r="AF281" s="5" t="inlineStr">
        <is>
          <t>Not verified</t>
        </is>
      </c>
      <c r="AG281" s="5" t="inlineStr">
        <is>
          <t>Not verified</t>
        </is>
      </c>
      <c r="AH281" s="5" t="inlineStr">
        <is>
          <t>Not verified</t>
        </is>
      </c>
      <c r="AI281" s="8" t="inlineStr">
        <is>
          <t>No</t>
        </is>
      </c>
      <c r="AJ281" s="8" t="inlineStr">
        <is>
          <t>Claimed - unverified</t>
        </is>
      </c>
      <c r="AK281" s="8" t="inlineStr">
        <is>
          <t>P1</t>
        </is>
      </c>
      <c r="AL281" s="8" t="n">
        <v>27</v>
      </c>
      <c r="AM281" s="5" t="inlineStr"/>
      <c r="AN281" s="5" t="inlineStr"/>
      <c r="AO281" s="5" t="inlineStr"/>
      <c r="AP281" s="5" t="inlineStr"/>
      <c r="AQ281" s="5" t="inlineStr"/>
      <c r="AR281" s="5" t="inlineStr"/>
      <c r="AS281" s="5" t="inlineStr"/>
      <c r="AT281" s="5" t="inlineStr"/>
      <c r="AU281" s="8" t="inlineStr">
        <is>
          <t>Not run</t>
        </is>
      </c>
    </row>
    <row r="282" ht="32" customHeight="1">
      <c r="A282" s="16" t="inlineStr">
        <is>
          <t>X-0281</t>
        </is>
      </c>
      <c r="B282" s="8" t="inlineStr">
        <is>
          <t>X</t>
        </is>
      </c>
      <c r="C282" s="5" t="inlineStr">
        <is>
          <t>Multiple / Cross-persona</t>
        </is>
      </c>
      <c r="D282" s="5" t="inlineStr">
        <is>
          <t>GST / Tax / Compliance</t>
        </is>
      </c>
      <c r="E282" s="5" t="inlineStr">
        <is>
          <t>Customer GSTIN → invoice tax treatment</t>
        </is>
      </c>
      <c r="F282" s="5" t="inlineStr">
        <is>
          <t>System / Tax Engine</t>
        </is>
      </c>
      <c r="G282" s="5" t="inlineStr">
        <is>
          <t>Billing Clerk</t>
        </is>
      </c>
      <c r="H282" s="5" t="inlineStr">
        <is>
          <t>Customer GSTIN state code determines intra-state (CGST+SGST) vs inter-state (IGST) taxation</t>
        </is>
      </c>
      <c r="I282" s="5" t="inlineStr">
        <is>
          <t>Compares company GSTIN state code with customer GSTIN state code; selects tax regime</t>
        </is>
      </c>
      <c r="J282" s="20" t="inlineStr">
        <is>
          <t>P1</t>
        </is>
      </c>
      <c r="K282" s="20" t="inlineStr">
        <is>
          <t>Validated (Supported)</t>
        </is>
      </c>
      <c r="L282" s="5" t="inlineStr">
        <is>
          <t>Automated Place of Supply evaluation based on first two digits of customer GSTIN.</t>
        </is>
      </c>
      <c r="M282" s="8" t="inlineStr">
        <is>
          <t>Baseline</t>
        </is>
      </c>
      <c r="N282" s="8" t="inlineStr">
        <is>
          <t>Cross-persona</t>
        </is>
      </c>
      <c r="O282" s="8" t="inlineStr">
        <is>
          <t>P1</t>
        </is>
      </c>
      <c r="P282" s="5" t="inlineStr">
        <is>
          <t>Unchanged</t>
        </is>
      </c>
      <c r="Q282" s="20" t="inlineStr">
        <is>
          <t>Author assertion</t>
        </is>
      </c>
      <c r="R282" s="5" t="inlineStr"/>
      <c r="S282" s="8" t="inlineStr">
        <is>
          <t>GST</t>
        </is>
      </c>
      <c r="T282" s="5" t="inlineStr">
        <is>
          <t>GST and tax compliance</t>
        </is>
      </c>
      <c r="U282" s="8" t="inlineStr"/>
      <c r="V282" s="8" t="inlineStr">
        <is>
          <t>accounting</t>
        </is>
      </c>
      <c r="W282" s="8" t="inlineStr">
        <is>
          <t>CONTROL</t>
        </is>
      </c>
      <c r="X282" s="5" t="inlineStr">
        <is>
          <t>Core</t>
        </is>
      </c>
      <c r="Y282" s="5" t="inlineStr">
        <is>
          <t>Cross-persona</t>
        </is>
      </c>
      <c r="Z282" s="5" t="inlineStr">
        <is>
          <t>Critical</t>
        </is>
      </c>
      <c r="AA282" s="5" t="inlineStr">
        <is>
          <t>High</t>
        </is>
      </c>
      <c r="AB282" s="8" t="inlineStr">
        <is>
          <t>High</t>
        </is>
      </c>
      <c r="AC282" s="8" t="inlineStr">
        <is>
          <t>Pilot</t>
        </is>
      </c>
      <c r="AD282" s="5" t="inlineStr">
        <is>
          <t>Not independently checked</t>
        </is>
      </c>
      <c r="AE282" s="5" t="inlineStr">
        <is>
          <t>Not verified</t>
        </is>
      </c>
      <c r="AF282" s="5" t="inlineStr">
        <is>
          <t>Not verified</t>
        </is>
      </c>
      <c r="AG282" s="5" t="inlineStr">
        <is>
          <t>Not verified</t>
        </is>
      </c>
      <c r="AH282" s="5" t="inlineStr">
        <is>
          <t>Not verified</t>
        </is>
      </c>
      <c r="AI282" s="8" t="inlineStr">
        <is>
          <t>No</t>
        </is>
      </c>
      <c r="AJ282" s="8" t="inlineStr">
        <is>
          <t>Claimed - unverified</t>
        </is>
      </c>
      <c r="AK282" s="8" t="inlineStr">
        <is>
          <t>P1</t>
        </is>
      </c>
      <c r="AL282" s="8" t="n">
        <v>27</v>
      </c>
      <c r="AM282" s="5" t="inlineStr"/>
      <c r="AN282" s="5" t="inlineStr"/>
      <c r="AO282" s="5" t="inlineStr"/>
      <c r="AP282" s="5" t="inlineStr"/>
      <c r="AQ282" s="5" t="inlineStr"/>
      <c r="AR282" s="5" t="inlineStr"/>
      <c r="AS282" s="5" t="inlineStr"/>
      <c r="AT282" s="5" t="inlineStr"/>
      <c r="AU282" s="8" t="inlineStr">
        <is>
          <t>Not run</t>
        </is>
      </c>
    </row>
    <row r="283" ht="32" customHeight="1">
      <c r="A283" s="16" t="inlineStr">
        <is>
          <t>X-0282</t>
        </is>
      </c>
      <c r="B283" s="8" t="inlineStr">
        <is>
          <t>X</t>
        </is>
      </c>
      <c r="C283" s="5" t="inlineStr">
        <is>
          <t>Multiple / Cross-persona</t>
        </is>
      </c>
      <c r="D283" s="5" t="inlineStr">
        <is>
          <t>GST / Tax / Compliance</t>
        </is>
      </c>
      <c r="E283" s="5" t="inlineStr">
        <is>
          <t>Supplier GSTIN → purchase tax treatment</t>
        </is>
      </c>
      <c r="F283" s="5" t="inlineStr">
        <is>
          <t>System / Tax Engine</t>
        </is>
      </c>
      <c r="G283" s="5" t="inlineStr">
        <is>
          <t>In-house Accountant</t>
        </is>
      </c>
      <c r="H283" s="5" t="inlineStr">
        <is>
          <t>Supplier GSTIN state code determines intra-state vs inter-state input tax booking</t>
        </is>
      </c>
      <c r="I283" s="5" t="inlineStr">
        <is>
          <t>Evaluates supplier state; posts input tax to CGST+SGST or IGST input ledgers</t>
        </is>
      </c>
      <c r="J283" s="20" t="inlineStr">
        <is>
          <t>P1</t>
        </is>
      </c>
      <c r="K283" s="20" t="inlineStr">
        <is>
          <t>Validated (Supported)</t>
        </is>
      </c>
      <c r="L283" s="5" t="inlineStr">
        <is>
          <t>Automated tax regime selection based on supplier GSTIN state prefix.</t>
        </is>
      </c>
      <c r="M283" s="8" t="inlineStr">
        <is>
          <t>Baseline</t>
        </is>
      </c>
      <c r="N283" s="8" t="inlineStr">
        <is>
          <t>Cross-persona</t>
        </is>
      </c>
      <c r="O283" s="8" t="inlineStr">
        <is>
          <t>P1</t>
        </is>
      </c>
      <c r="P283" s="5" t="inlineStr">
        <is>
          <t>Unchanged</t>
        </is>
      </c>
      <c r="Q283" s="20" t="inlineStr">
        <is>
          <t>Author assertion</t>
        </is>
      </c>
      <c r="R283" s="5" t="inlineStr"/>
      <c r="S283" s="8" t="inlineStr">
        <is>
          <t>GST</t>
        </is>
      </c>
      <c r="T283" s="5" t="inlineStr">
        <is>
          <t>GST and tax compliance</t>
        </is>
      </c>
      <c r="U283" s="8" t="inlineStr"/>
      <c r="V283" s="8" t="inlineStr">
        <is>
          <t>accounting</t>
        </is>
      </c>
      <c r="W283" s="8" t="inlineStr">
        <is>
          <t>CONTROL</t>
        </is>
      </c>
      <c r="X283" s="5" t="inlineStr">
        <is>
          <t>Core</t>
        </is>
      </c>
      <c r="Y283" s="5" t="inlineStr">
        <is>
          <t>Cross-persona</t>
        </is>
      </c>
      <c r="Z283" s="5" t="inlineStr">
        <is>
          <t>Critical</t>
        </is>
      </c>
      <c r="AA283" s="5" t="inlineStr">
        <is>
          <t>High</t>
        </is>
      </c>
      <c r="AB283" s="8" t="inlineStr">
        <is>
          <t>High</t>
        </is>
      </c>
      <c r="AC283" s="8" t="inlineStr">
        <is>
          <t>Pilot</t>
        </is>
      </c>
      <c r="AD283" s="5" t="inlineStr">
        <is>
          <t>Not independently checked</t>
        </is>
      </c>
      <c r="AE283" s="5" t="inlineStr">
        <is>
          <t>Not verified</t>
        </is>
      </c>
      <c r="AF283" s="5" t="inlineStr">
        <is>
          <t>Not verified</t>
        </is>
      </c>
      <c r="AG283" s="5" t="inlineStr">
        <is>
          <t>Not verified</t>
        </is>
      </c>
      <c r="AH283" s="5" t="inlineStr">
        <is>
          <t>Not verified</t>
        </is>
      </c>
      <c r="AI283" s="8" t="inlineStr">
        <is>
          <t>No</t>
        </is>
      </c>
      <c r="AJ283" s="8" t="inlineStr">
        <is>
          <t>Claimed - unverified</t>
        </is>
      </c>
      <c r="AK283" s="8" t="inlineStr">
        <is>
          <t>P1</t>
        </is>
      </c>
      <c r="AL283" s="8" t="n">
        <v>27</v>
      </c>
      <c r="AM283" s="5" t="inlineStr"/>
      <c r="AN283" s="5" t="inlineStr"/>
      <c r="AO283" s="5" t="inlineStr"/>
      <c r="AP283" s="5" t="inlineStr"/>
      <c r="AQ283" s="5" t="inlineStr"/>
      <c r="AR283" s="5" t="inlineStr"/>
      <c r="AS283" s="5" t="inlineStr"/>
      <c r="AT283" s="5" t="inlineStr"/>
      <c r="AU283" s="8" t="inlineStr">
        <is>
          <t>Not run</t>
        </is>
      </c>
    </row>
    <row r="284" ht="32" customHeight="1">
      <c r="A284" s="16" t="inlineStr">
        <is>
          <t>X-0283</t>
        </is>
      </c>
      <c r="B284" s="8" t="inlineStr">
        <is>
          <t>X</t>
        </is>
      </c>
      <c r="C284" s="5" t="inlineStr">
        <is>
          <t>Multiple / Cross-persona</t>
        </is>
      </c>
      <c r="D284" s="5" t="inlineStr">
        <is>
          <t>GST / Tax / Compliance</t>
        </is>
      </c>
      <c r="E284" s="5" t="inlineStr">
        <is>
          <t>Intra-state transaction → CGST/SGST treatment</t>
        </is>
      </c>
      <c r="F284" s="5" t="inlineStr">
        <is>
          <t>Tax Calculation Engine</t>
        </is>
      </c>
      <c r="G284" s="5" t="inlineStr">
        <is>
          <t>Billing Clerk</t>
        </is>
      </c>
      <c r="H284" s="5" t="inlineStr">
        <is>
          <t>Local transactions within same state accurately split tax 50/50 between CGST and SGST</t>
        </is>
      </c>
      <c r="I284" s="5" t="inlineStr">
        <is>
          <t>Calculates equal CGST and SGST line amounts; credits individual central and state tax ledgers</t>
        </is>
      </c>
      <c r="J284" s="20" t="inlineStr">
        <is>
          <t>P1</t>
        </is>
      </c>
      <c r="K284" s="20" t="inlineStr">
        <is>
          <t>Validated (Supported)</t>
        </is>
      </c>
      <c r="L284" s="5" t="inlineStr">
        <is>
          <t>Core tax invariant: intra-state tax split exactly into 50% CGST and 50% SGST.</t>
        </is>
      </c>
      <c r="M284" s="8" t="inlineStr">
        <is>
          <t>Baseline</t>
        </is>
      </c>
      <c r="N284" s="8" t="inlineStr">
        <is>
          <t>Cross-persona</t>
        </is>
      </c>
      <c r="O284" s="8" t="inlineStr">
        <is>
          <t>P1</t>
        </is>
      </c>
      <c r="P284" s="5" t="inlineStr">
        <is>
          <t>Unchanged</t>
        </is>
      </c>
      <c r="Q284" s="20" t="inlineStr">
        <is>
          <t>Author assertion</t>
        </is>
      </c>
      <c r="R284" s="5" t="inlineStr"/>
      <c r="S284" s="8" t="inlineStr">
        <is>
          <t>GST</t>
        </is>
      </c>
      <c r="T284" s="5" t="inlineStr">
        <is>
          <t>GST and tax compliance</t>
        </is>
      </c>
      <c r="U284" s="8" t="inlineStr"/>
      <c r="V284" s="8" t="inlineStr">
        <is>
          <t>accounting</t>
        </is>
      </c>
      <c r="W284" s="8" t="inlineStr">
        <is>
          <t>CONTROL</t>
        </is>
      </c>
      <c r="X284" s="5" t="inlineStr">
        <is>
          <t>Core</t>
        </is>
      </c>
      <c r="Y284" s="5" t="inlineStr">
        <is>
          <t>Cross-persona</t>
        </is>
      </c>
      <c r="Z284" s="5" t="inlineStr">
        <is>
          <t>Critical</t>
        </is>
      </c>
      <c r="AA284" s="5" t="inlineStr">
        <is>
          <t>High</t>
        </is>
      </c>
      <c r="AB284" s="8" t="inlineStr">
        <is>
          <t>High</t>
        </is>
      </c>
      <c r="AC284" s="8" t="inlineStr">
        <is>
          <t>Pilot</t>
        </is>
      </c>
      <c r="AD284" s="5" t="inlineStr">
        <is>
          <t>Not independently checked</t>
        </is>
      </c>
      <c r="AE284" s="5" t="inlineStr">
        <is>
          <t>Not verified</t>
        </is>
      </c>
      <c r="AF284" s="5" t="inlineStr">
        <is>
          <t>Not verified</t>
        </is>
      </c>
      <c r="AG284" s="5" t="inlineStr">
        <is>
          <t>Not verified</t>
        </is>
      </c>
      <c r="AH284" s="5" t="inlineStr">
        <is>
          <t>Not verified</t>
        </is>
      </c>
      <c r="AI284" s="8" t="inlineStr">
        <is>
          <t>No</t>
        </is>
      </c>
      <c r="AJ284" s="8" t="inlineStr">
        <is>
          <t>Claimed - unverified</t>
        </is>
      </c>
      <c r="AK284" s="8" t="inlineStr">
        <is>
          <t>P1</t>
        </is>
      </c>
      <c r="AL284" s="8" t="n">
        <v>27</v>
      </c>
      <c r="AM284" s="5" t="inlineStr"/>
      <c r="AN284" s="5" t="inlineStr"/>
      <c r="AO284" s="5" t="inlineStr"/>
      <c r="AP284" s="5" t="inlineStr"/>
      <c r="AQ284" s="5" t="inlineStr"/>
      <c r="AR284" s="5" t="inlineStr"/>
      <c r="AS284" s="5" t="inlineStr"/>
      <c r="AT284" s="5" t="inlineStr"/>
      <c r="AU284" s="8" t="inlineStr">
        <is>
          <t>Not run</t>
        </is>
      </c>
    </row>
    <row r="285" ht="32" customHeight="1">
      <c r="A285" s="16" t="inlineStr">
        <is>
          <t>X-0284</t>
        </is>
      </c>
      <c r="B285" s="8" t="inlineStr">
        <is>
          <t>X</t>
        </is>
      </c>
      <c r="C285" s="5" t="inlineStr">
        <is>
          <t>Multiple / Cross-persona</t>
        </is>
      </c>
      <c r="D285" s="5" t="inlineStr">
        <is>
          <t>GST / Tax / Compliance</t>
        </is>
      </c>
      <c r="E285" s="5" t="inlineStr">
        <is>
          <t>Inter-state transaction → IGST treatment</t>
        </is>
      </c>
      <c r="F285" s="5" t="inlineStr">
        <is>
          <t>Tax Calculation Engine</t>
        </is>
      </c>
      <c r="G285" s="5" t="inlineStr">
        <is>
          <t>Billing Clerk</t>
        </is>
      </c>
      <c r="H285" s="5" t="inlineStr">
        <is>
          <t>Out-of-state transactions accurately charged integrated goods and services tax (IGST)</t>
        </is>
      </c>
      <c r="I285" s="5" t="inlineStr">
        <is>
          <t>Calculates full tax percentage under IGST; credits IGST liability ledger</t>
        </is>
      </c>
      <c r="J285" s="20" t="inlineStr">
        <is>
          <t>P1</t>
        </is>
      </c>
      <c r="K285" s="20" t="inlineStr">
        <is>
          <t>Validated (Supported)</t>
        </is>
      </c>
      <c r="L285" s="5" t="inlineStr">
        <is>
          <t>Core tax invariant: inter-state sales booked exclusively under IGST.</t>
        </is>
      </c>
      <c r="M285" s="8" t="inlineStr">
        <is>
          <t>Baseline</t>
        </is>
      </c>
      <c r="N285" s="8" t="inlineStr">
        <is>
          <t>Cross-persona</t>
        </is>
      </c>
      <c r="O285" s="8" t="inlineStr">
        <is>
          <t>P1</t>
        </is>
      </c>
      <c r="P285" s="5" t="inlineStr">
        <is>
          <t>Unchanged</t>
        </is>
      </c>
      <c r="Q285" s="20" t="inlineStr">
        <is>
          <t>Author assertion</t>
        </is>
      </c>
      <c r="R285" s="5" t="inlineStr"/>
      <c r="S285" s="8" t="inlineStr">
        <is>
          <t>GST</t>
        </is>
      </c>
      <c r="T285" s="5" t="inlineStr">
        <is>
          <t>GST and tax compliance</t>
        </is>
      </c>
      <c r="U285" s="8" t="inlineStr"/>
      <c r="V285" s="8" t="inlineStr">
        <is>
          <t>accounting</t>
        </is>
      </c>
      <c r="W285" s="8" t="inlineStr">
        <is>
          <t>CONTROL</t>
        </is>
      </c>
      <c r="X285" s="5" t="inlineStr">
        <is>
          <t>Core</t>
        </is>
      </c>
      <c r="Y285" s="5" t="inlineStr">
        <is>
          <t>Cross-persona</t>
        </is>
      </c>
      <c r="Z285" s="5" t="inlineStr">
        <is>
          <t>Critical</t>
        </is>
      </c>
      <c r="AA285" s="5" t="inlineStr">
        <is>
          <t>High</t>
        </is>
      </c>
      <c r="AB285" s="8" t="inlineStr">
        <is>
          <t>High</t>
        </is>
      </c>
      <c r="AC285" s="8" t="inlineStr">
        <is>
          <t>Pilot</t>
        </is>
      </c>
      <c r="AD285" s="5" t="inlineStr">
        <is>
          <t>Not independently checked</t>
        </is>
      </c>
      <c r="AE285" s="5" t="inlineStr">
        <is>
          <t>Not verified</t>
        </is>
      </c>
      <c r="AF285" s="5" t="inlineStr">
        <is>
          <t>Not verified</t>
        </is>
      </c>
      <c r="AG285" s="5" t="inlineStr">
        <is>
          <t>Not verified</t>
        </is>
      </c>
      <c r="AH285" s="5" t="inlineStr">
        <is>
          <t>Not verified</t>
        </is>
      </c>
      <c r="AI285" s="8" t="inlineStr">
        <is>
          <t>No</t>
        </is>
      </c>
      <c r="AJ285" s="8" t="inlineStr">
        <is>
          <t>Claimed - unverified</t>
        </is>
      </c>
      <c r="AK285" s="8" t="inlineStr">
        <is>
          <t>P1</t>
        </is>
      </c>
      <c r="AL285" s="8" t="n">
        <v>27</v>
      </c>
      <c r="AM285" s="5" t="inlineStr"/>
      <c r="AN285" s="5" t="inlineStr"/>
      <c r="AO285" s="5" t="inlineStr"/>
      <c r="AP285" s="5" t="inlineStr"/>
      <c r="AQ285" s="5" t="inlineStr"/>
      <c r="AR285" s="5" t="inlineStr"/>
      <c r="AS285" s="5" t="inlineStr"/>
      <c r="AT285" s="5" t="inlineStr"/>
      <c r="AU285" s="8" t="inlineStr">
        <is>
          <t>Not run</t>
        </is>
      </c>
    </row>
    <row r="286" ht="32" customHeight="1">
      <c r="A286" s="16" t="inlineStr">
        <is>
          <t>X-0285</t>
        </is>
      </c>
      <c r="B286" s="8" t="inlineStr">
        <is>
          <t>X</t>
        </is>
      </c>
      <c r="C286" s="5" t="inlineStr">
        <is>
          <t>Multiple / Cross-persona</t>
        </is>
      </c>
      <c r="D286" s="5" t="inlineStr">
        <is>
          <t>GST / Tax / Compliance</t>
        </is>
      </c>
      <c r="E286" s="5" t="inlineStr">
        <is>
          <t>GST invoice → reporting dataset is updated</t>
        </is>
      </c>
      <c r="F286" s="5" t="inlineStr">
        <is>
          <t>System / Reporting Engine</t>
        </is>
      </c>
      <c r="G286" s="5" t="inlineStr">
        <is>
          <t>In-house Accountant</t>
        </is>
      </c>
      <c r="H286" s="5" t="inlineStr">
        <is>
          <t>Completed tax invoice automatically populates monthly GSTR-1 outward filing dataset</t>
        </is>
      </c>
      <c r="I286" s="5" t="inlineStr">
        <is>
          <t>Adds record to GSTR-1 worksheet in appropriate table (B2B, B2CL, B2CS, HSN Summary)</t>
        </is>
      </c>
      <c r="J286" s="20" t="inlineStr">
        <is>
          <t>P1</t>
        </is>
      </c>
      <c r="K286" s="20" t="inlineStr">
        <is>
          <t>Validated (Supported)</t>
        </is>
      </c>
      <c r="L286" s="5" t="inlineStr">
        <is>
          <t>Supported via automated GSTR-1 worksheet compiler in gst module.</t>
        </is>
      </c>
      <c r="M286" s="8" t="inlineStr">
        <is>
          <t>Baseline</t>
        </is>
      </c>
      <c r="N286" s="8" t="inlineStr">
        <is>
          <t>Cross-persona</t>
        </is>
      </c>
      <c r="O286" s="8" t="inlineStr">
        <is>
          <t>P1</t>
        </is>
      </c>
      <c r="P286" s="5" t="inlineStr">
        <is>
          <t>Unchanged</t>
        </is>
      </c>
      <c r="Q286" s="20" t="inlineStr">
        <is>
          <t>Author assertion</t>
        </is>
      </c>
      <c r="R286" s="5" t="inlineStr"/>
      <c r="S286" s="8" t="inlineStr">
        <is>
          <t>GST</t>
        </is>
      </c>
      <c r="T286" s="5" t="inlineStr">
        <is>
          <t>GST and tax compliance</t>
        </is>
      </c>
      <c r="U286" s="8" t="inlineStr"/>
      <c r="V286" s="8" t="inlineStr">
        <is>
          <t>accounting</t>
        </is>
      </c>
      <c r="W286" s="8" t="inlineStr">
        <is>
          <t>CONTROL</t>
        </is>
      </c>
      <c r="X286" s="5" t="inlineStr">
        <is>
          <t>Core</t>
        </is>
      </c>
      <c r="Y286" s="5" t="inlineStr">
        <is>
          <t>Cross-persona</t>
        </is>
      </c>
      <c r="Z286" s="5" t="inlineStr">
        <is>
          <t>Critical</t>
        </is>
      </c>
      <c r="AA286" s="5" t="inlineStr">
        <is>
          <t>High</t>
        </is>
      </c>
      <c r="AB286" s="8" t="inlineStr">
        <is>
          <t>High</t>
        </is>
      </c>
      <c r="AC286" s="8" t="inlineStr">
        <is>
          <t>Pilot</t>
        </is>
      </c>
      <c r="AD286" s="5" t="inlineStr">
        <is>
          <t>Not independently checked</t>
        </is>
      </c>
      <c r="AE286" s="5" t="inlineStr">
        <is>
          <t>Not verified</t>
        </is>
      </c>
      <c r="AF286" s="5" t="inlineStr">
        <is>
          <t>Not verified</t>
        </is>
      </c>
      <c r="AG286" s="5" t="inlineStr">
        <is>
          <t>Not verified</t>
        </is>
      </c>
      <c r="AH286" s="5" t="inlineStr">
        <is>
          <t>Not verified</t>
        </is>
      </c>
      <c r="AI286" s="8" t="inlineStr">
        <is>
          <t>No</t>
        </is>
      </c>
      <c r="AJ286" s="8" t="inlineStr">
        <is>
          <t>Claimed - unverified</t>
        </is>
      </c>
      <c r="AK286" s="8" t="inlineStr">
        <is>
          <t>P1</t>
        </is>
      </c>
      <c r="AL286" s="8" t="n">
        <v>27</v>
      </c>
      <c r="AM286" s="5" t="inlineStr"/>
      <c r="AN286" s="5" t="inlineStr"/>
      <c r="AO286" s="5" t="inlineStr"/>
      <c r="AP286" s="5" t="inlineStr"/>
      <c r="AQ286" s="5" t="inlineStr"/>
      <c r="AR286" s="5" t="inlineStr"/>
      <c r="AS286" s="5" t="inlineStr"/>
      <c r="AT286" s="5" t="inlineStr"/>
      <c r="AU286" s="8" t="inlineStr">
        <is>
          <t>Not run</t>
        </is>
      </c>
    </row>
    <row r="287" ht="32" customHeight="1">
      <c r="A287" s="16" t="inlineStr">
        <is>
          <t>X-0286</t>
        </is>
      </c>
      <c r="B287" s="8" t="inlineStr">
        <is>
          <t>X</t>
        </is>
      </c>
      <c r="C287" s="5" t="inlineStr">
        <is>
          <t>Multiple / Cross-persona</t>
        </is>
      </c>
      <c r="D287" s="5" t="inlineStr">
        <is>
          <t>GST / Tax / Compliance</t>
        </is>
      </c>
      <c r="E287" s="5" t="inlineStr">
        <is>
          <t>Invoice cancellation → GST/reporting data is updated</t>
        </is>
      </c>
      <c r="F287" s="5" t="inlineStr">
        <is>
          <t>System / Reporting Engine</t>
        </is>
      </c>
      <c r="G287" s="5" t="inlineStr">
        <is>
          <t>In-house Accountant</t>
        </is>
      </c>
      <c r="H287" s="5" t="inlineStr">
        <is>
          <t>Cancelled invoice removed from or flagged in GSTR-1 dataset and tax liability reversed</t>
        </is>
      </c>
      <c r="I287" s="5" t="inlineStr">
        <is>
          <t>Reverses output tax liability; updates Document Issued summary (Table 13) in GSTR-1</t>
        </is>
      </c>
      <c r="J287" s="20" t="inlineStr">
        <is>
          <t>P1</t>
        </is>
      </c>
      <c r="K287" s="20" t="inlineStr">
        <is>
          <t>Validated (Supported)</t>
        </is>
      </c>
      <c r="L287" s="5" t="inlineStr">
        <is>
          <t>Supported via SalesInvoice cancellation tax adjustment.</t>
        </is>
      </c>
      <c r="M287" s="8" t="inlineStr">
        <is>
          <t>Baseline</t>
        </is>
      </c>
      <c r="N287" s="8" t="inlineStr">
        <is>
          <t>Cross-persona</t>
        </is>
      </c>
      <c r="O287" s="8" t="inlineStr">
        <is>
          <t>P1</t>
        </is>
      </c>
      <c r="P287" s="5" t="inlineStr">
        <is>
          <t>Unchanged</t>
        </is>
      </c>
      <c r="Q287" s="21" t="inlineStr">
        <is>
          <t>Code symbol found</t>
        </is>
      </c>
      <c r="R287" s="5" t="inlineStr">
        <is>
          <t>Matched SalesInvoice in product code. This is not a functional test.</t>
        </is>
      </c>
      <c r="S287" s="8" t="inlineStr">
        <is>
          <t>GST</t>
        </is>
      </c>
      <c r="T287" s="5" t="inlineStr">
        <is>
          <t>GST and tax compliance</t>
        </is>
      </c>
      <c r="U287" s="8" t="inlineStr"/>
      <c r="V287" s="8" t="inlineStr">
        <is>
          <t>accounting</t>
        </is>
      </c>
      <c r="W287" s="8" t="inlineStr">
        <is>
          <t>CONTROL</t>
        </is>
      </c>
      <c r="X287" s="5" t="inlineStr">
        <is>
          <t>Core</t>
        </is>
      </c>
      <c r="Y287" s="5" t="inlineStr">
        <is>
          <t>Cross-persona</t>
        </is>
      </c>
      <c r="Z287" s="5" t="inlineStr">
        <is>
          <t>Critical</t>
        </is>
      </c>
      <c r="AA287" s="5" t="inlineStr">
        <is>
          <t>High</t>
        </is>
      </c>
      <c r="AB287" s="8" t="inlineStr">
        <is>
          <t>High</t>
        </is>
      </c>
      <c r="AC287" s="8" t="inlineStr">
        <is>
          <t>Pilot</t>
        </is>
      </c>
      <c r="AD287" s="5" t="inlineStr">
        <is>
          <t>Cited in code</t>
        </is>
      </c>
      <c r="AE287" s="5" t="inlineStr">
        <is>
          <t>Not verified</t>
        </is>
      </c>
      <c r="AF287" s="5" t="inlineStr">
        <is>
          <t>Not verified</t>
        </is>
      </c>
      <c r="AG287" s="5" t="inlineStr">
        <is>
          <t>Not verified</t>
        </is>
      </c>
      <c r="AH287" s="5" t="inlineStr">
        <is>
          <t>Not verified</t>
        </is>
      </c>
      <c r="AI287" s="8" t="inlineStr">
        <is>
          <t>No</t>
        </is>
      </c>
      <c r="AJ287" s="8" t="inlineStr">
        <is>
          <t>Built - unverified</t>
        </is>
      </c>
      <c r="AK287" s="8" t="inlineStr">
        <is>
          <t>P1</t>
        </is>
      </c>
      <c r="AL287" s="8" t="n">
        <v>27</v>
      </c>
      <c r="AM287" s="5" t="inlineStr"/>
      <c r="AN287" s="5" t="inlineStr"/>
      <c r="AO287" s="5" t="inlineStr"/>
      <c r="AP287" s="5" t="inlineStr"/>
      <c r="AQ287" s="5" t="inlineStr"/>
      <c r="AR287" s="5" t="inlineStr"/>
      <c r="AS287" s="5" t="inlineStr"/>
      <c r="AT287" s="5" t="inlineStr"/>
      <c r="AU287" s="8" t="inlineStr">
        <is>
          <t>Not run</t>
        </is>
      </c>
    </row>
    <row r="288" ht="32" customHeight="1">
      <c r="A288" s="16" t="inlineStr">
        <is>
          <t>X-0287</t>
        </is>
      </c>
      <c r="B288" s="8" t="inlineStr">
        <is>
          <t>X</t>
        </is>
      </c>
      <c r="C288" s="5" t="inlineStr">
        <is>
          <t>Multiple / Cross-persona</t>
        </is>
      </c>
      <c r="D288" s="5" t="inlineStr">
        <is>
          <t>GST / Tax / Compliance</t>
        </is>
      </c>
      <c r="E288" s="5" t="inlineStr">
        <is>
          <t>Sales return → tax adjustment</t>
        </is>
      </c>
      <c r="F288" s="5" t="inlineStr">
        <is>
          <t>Tax Calculation Engine</t>
        </is>
      </c>
      <c r="G288" s="5" t="inlineStr">
        <is>
          <t>In-house Accountant</t>
        </is>
      </c>
      <c r="H288" s="5" t="inlineStr">
        <is>
          <t>Sales return and credit note reduces gross output tax liability for the tax period</t>
        </is>
      </c>
      <c r="I288" s="5" t="inlineStr">
        <is>
          <t>Reduces output tax liability; records credit note entry in GSTR-1 Table 9B</t>
        </is>
      </c>
      <c r="J288" s="20" t="inlineStr">
        <is>
          <t>P1</t>
        </is>
      </c>
      <c r="K288" s="20" t="inlineStr">
        <is>
          <t>Validated (Supported)</t>
        </is>
      </c>
      <c r="L288" s="5" t="inlineStr">
        <is>
          <t>Supported via Credit Note tax posting per Section 34 of CGST Act.</t>
        </is>
      </c>
      <c r="M288" s="8" t="inlineStr">
        <is>
          <t>Baseline</t>
        </is>
      </c>
      <c r="N288" s="8" t="inlineStr">
        <is>
          <t>Cross-persona</t>
        </is>
      </c>
      <c r="O288" s="8" t="inlineStr">
        <is>
          <t>P1</t>
        </is>
      </c>
      <c r="P288" s="5" t="inlineStr">
        <is>
          <t>Restored to authored P1. The previous workbook had P0 after a keyword rebalance.</t>
        </is>
      </c>
      <c r="Q288" s="20" t="inlineStr">
        <is>
          <t>Author assertion</t>
        </is>
      </c>
      <c r="R288" s="5" t="inlineStr">
        <is>
          <t>Restored to authored P1. The previous workbook had P0 after a keyword rebalance.</t>
        </is>
      </c>
      <c r="S288" s="8" t="inlineStr">
        <is>
          <t>GST</t>
        </is>
      </c>
      <c r="T288" s="5" t="inlineStr">
        <is>
          <t>GST and tax compliance</t>
        </is>
      </c>
      <c r="U288" s="8" t="inlineStr"/>
      <c r="V288" s="8" t="inlineStr">
        <is>
          <t>accounting</t>
        </is>
      </c>
      <c r="W288" s="8" t="inlineStr">
        <is>
          <t>CONTROL</t>
        </is>
      </c>
      <c r="X288" s="5" t="inlineStr">
        <is>
          <t>Core</t>
        </is>
      </c>
      <c r="Y288" s="5" t="inlineStr">
        <is>
          <t>Cross-persona</t>
        </is>
      </c>
      <c r="Z288" s="5" t="inlineStr">
        <is>
          <t>Critical</t>
        </is>
      </c>
      <c r="AA288" s="5" t="inlineStr">
        <is>
          <t>High</t>
        </is>
      </c>
      <c r="AB288" s="8" t="inlineStr">
        <is>
          <t>High</t>
        </is>
      </c>
      <c r="AC288" s="8" t="inlineStr">
        <is>
          <t>Pilot</t>
        </is>
      </c>
      <c r="AD288" s="5" t="inlineStr">
        <is>
          <t>Not independently checked</t>
        </is>
      </c>
      <c r="AE288" s="5" t="inlineStr">
        <is>
          <t>Not verified</t>
        </is>
      </c>
      <c r="AF288" s="5" t="inlineStr">
        <is>
          <t>Not verified</t>
        </is>
      </c>
      <c r="AG288" s="5" t="inlineStr">
        <is>
          <t>Not verified</t>
        </is>
      </c>
      <c r="AH288" s="5" t="inlineStr">
        <is>
          <t>Not verified</t>
        </is>
      </c>
      <c r="AI288" s="8" t="inlineStr">
        <is>
          <t>No</t>
        </is>
      </c>
      <c r="AJ288" s="8" t="inlineStr">
        <is>
          <t>Claimed - unverified</t>
        </is>
      </c>
      <c r="AK288" s="8" t="inlineStr">
        <is>
          <t>P1</t>
        </is>
      </c>
      <c r="AL288" s="8" t="n">
        <v>27</v>
      </c>
      <c r="AM288" s="5" t="inlineStr"/>
      <c r="AN288" s="5" t="inlineStr"/>
      <c r="AO288" s="5" t="inlineStr"/>
      <c r="AP288" s="5" t="inlineStr"/>
      <c r="AQ288" s="5" t="inlineStr"/>
      <c r="AR288" s="5" t="inlineStr"/>
      <c r="AS288" s="5" t="inlineStr"/>
      <c r="AT288" s="5" t="inlineStr"/>
      <c r="AU288" s="8" t="inlineStr">
        <is>
          <t>Not run</t>
        </is>
      </c>
    </row>
    <row r="289" ht="32" customHeight="1">
      <c r="A289" s="16" t="inlineStr">
        <is>
          <t>X-0288</t>
        </is>
      </c>
      <c r="B289" s="8" t="inlineStr">
        <is>
          <t>X</t>
        </is>
      </c>
      <c r="C289" s="5" t="inlineStr">
        <is>
          <t>Multiple / Cross-persona</t>
        </is>
      </c>
      <c r="D289" s="5" t="inlineStr">
        <is>
          <t>GST / Tax / Compliance</t>
        </is>
      </c>
      <c r="E289" s="5" t="inlineStr">
        <is>
          <t>Purchase return → input-tax adjustment</t>
        </is>
      </c>
      <c r="F289" s="5" t="inlineStr">
        <is>
          <t>Tax Calculation Engine</t>
        </is>
      </c>
      <c r="G289" s="5" t="inlineStr">
        <is>
          <t>In-house Accountant</t>
        </is>
      </c>
      <c r="H289" s="5" t="inlineStr">
        <is>
          <t>Purchase return and debit note reduces claimed Input Tax Credit (ITC) for the tax period</t>
        </is>
      </c>
      <c r="I289" s="5" t="inlineStr">
        <is>
          <t>Reduces eligible ITC; reports debit note reversal in GSTR-3B Table 4(B)</t>
        </is>
      </c>
      <c r="J289" s="20" t="inlineStr">
        <is>
          <t>P1</t>
        </is>
      </c>
      <c r="K289" s="20" t="inlineStr">
        <is>
          <t>Validated (Supported)</t>
        </is>
      </c>
      <c r="L289" s="5" t="inlineStr">
        <is>
          <t>Supported via Debit Note ITC adjustment calculation.</t>
        </is>
      </c>
      <c r="M289" s="8" t="inlineStr">
        <is>
          <t>Baseline</t>
        </is>
      </c>
      <c r="N289" s="8" t="inlineStr">
        <is>
          <t>Cross-persona</t>
        </is>
      </c>
      <c r="O289" s="8" t="inlineStr">
        <is>
          <t>P1</t>
        </is>
      </c>
      <c r="P289" s="5" t="inlineStr">
        <is>
          <t>Unchanged</t>
        </is>
      </c>
      <c r="Q289" s="20" t="inlineStr">
        <is>
          <t>Author assertion</t>
        </is>
      </c>
      <c r="R289" s="5" t="inlineStr"/>
      <c r="S289" s="8" t="inlineStr">
        <is>
          <t>GST</t>
        </is>
      </c>
      <c r="T289" s="5" t="inlineStr">
        <is>
          <t>GST and tax compliance</t>
        </is>
      </c>
      <c r="U289" s="8" t="inlineStr"/>
      <c r="V289" s="8" t="inlineStr">
        <is>
          <t>accounting</t>
        </is>
      </c>
      <c r="W289" s="8" t="inlineStr">
        <is>
          <t>CONTROL</t>
        </is>
      </c>
      <c r="X289" s="5" t="inlineStr">
        <is>
          <t>Core</t>
        </is>
      </c>
      <c r="Y289" s="5" t="inlineStr">
        <is>
          <t>Cross-persona</t>
        </is>
      </c>
      <c r="Z289" s="5" t="inlineStr">
        <is>
          <t>Critical</t>
        </is>
      </c>
      <c r="AA289" s="5" t="inlineStr">
        <is>
          <t>High</t>
        </is>
      </c>
      <c r="AB289" s="8" t="inlineStr">
        <is>
          <t>High</t>
        </is>
      </c>
      <c r="AC289" s="8" t="inlineStr">
        <is>
          <t>Pilot</t>
        </is>
      </c>
      <c r="AD289" s="5" t="inlineStr">
        <is>
          <t>Not independently checked</t>
        </is>
      </c>
      <c r="AE289" s="5" t="inlineStr">
        <is>
          <t>Not verified</t>
        </is>
      </c>
      <c r="AF289" s="5" t="inlineStr">
        <is>
          <t>Not verified</t>
        </is>
      </c>
      <c r="AG289" s="5" t="inlineStr">
        <is>
          <t>Not verified</t>
        </is>
      </c>
      <c r="AH289" s="5" t="inlineStr">
        <is>
          <t>Not verified</t>
        </is>
      </c>
      <c r="AI289" s="8" t="inlineStr">
        <is>
          <t>No</t>
        </is>
      </c>
      <c r="AJ289" s="8" t="inlineStr">
        <is>
          <t>Claimed - unverified</t>
        </is>
      </c>
      <c r="AK289" s="8" t="inlineStr">
        <is>
          <t>P1</t>
        </is>
      </c>
      <c r="AL289" s="8" t="n">
        <v>27</v>
      </c>
      <c r="AM289" s="5" t="inlineStr"/>
      <c r="AN289" s="5" t="inlineStr"/>
      <c r="AO289" s="5" t="inlineStr"/>
      <c r="AP289" s="5" t="inlineStr"/>
      <c r="AQ289" s="5" t="inlineStr"/>
      <c r="AR289" s="5" t="inlineStr"/>
      <c r="AS289" s="5" t="inlineStr"/>
      <c r="AT289" s="5" t="inlineStr"/>
      <c r="AU289" s="8" t="inlineStr">
        <is>
          <t>Not run</t>
        </is>
      </c>
    </row>
    <row r="290" ht="32" customHeight="1">
      <c r="A290" s="16" t="inlineStr">
        <is>
          <t>X-0289</t>
        </is>
      </c>
      <c r="B290" s="8" t="inlineStr">
        <is>
          <t>X</t>
        </is>
      </c>
      <c r="C290" s="5" t="inlineStr">
        <is>
          <t>Multiple / Cross-persona</t>
        </is>
      </c>
      <c r="D290" s="5" t="inlineStr">
        <is>
          <t>GST / Tax / Compliance</t>
        </is>
      </c>
      <c r="E290" s="5" t="inlineStr">
        <is>
          <t>Credit note → tax liability adjustment</t>
        </is>
      </c>
      <c r="F290" s="5" t="inlineStr">
        <is>
          <t>Tax Calculation Engine</t>
        </is>
      </c>
      <c r="G290" s="5" t="inlineStr">
        <is>
          <t>In-house Accountant</t>
        </is>
      </c>
      <c r="H290" s="5" t="inlineStr">
        <is>
          <t>Legal credit note issued for rate difference or volume discount reduces output GST liability</t>
        </is>
      </c>
      <c r="I290" s="5" t="inlineStr">
        <is>
          <t>Adjusts output tax ledger; updates GSTR-1 Table 9B with credit note details</t>
        </is>
      </c>
      <c r="J290" s="20" t="inlineStr">
        <is>
          <t>P1</t>
        </is>
      </c>
      <c r="K290" s="20" t="inlineStr">
        <is>
          <t>Validated (Supported)</t>
        </is>
      </c>
      <c r="L290" s="5" t="inlineStr">
        <is>
          <t>Supported via SalesCreditNote complete action.</t>
        </is>
      </c>
      <c r="M290" s="8" t="inlineStr">
        <is>
          <t>Baseline</t>
        </is>
      </c>
      <c r="N290" s="8" t="inlineStr">
        <is>
          <t>Cross-persona</t>
        </is>
      </c>
      <c r="O290" s="8" t="inlineStr">
        <is>
          <t>P1</t>
        </is>
      </c>
      <c r="P290" s="5" t="inlineStr">
        <is>
          <t>Unchanged</t>
        </is>
      </c>
      <c r="Q290" s="21" t="inlineStr">
        <is>
          <t>Code symbol found</t>
        </is>
      </c>
      <c r="R290" s="5" t="inlineStr">
        <is>
          <t>Matched SalesCreditNote in product code. This is not a functional test.</t>
        </is>
      </c>
      <c r="S290" s="8" t="inlineStr">
        <is>
          <t>GST</t>
        </is>
      </c>
      <c r="T290" s="5" t="inlineStr">
        <is>
          <t>GST and tax compliance</t>
        </is>
      </c>
      <c r="U290" s="8" t="inlineStr"/>
      <c r="V290" s="8" t="inlineStr">
        <is>
          <t>accounting</t>
        </is>
      </c>
      <c r="W290" s="8" t="inlineStr">
        <is>
          <t>CONTROL</t>
        </is>
      </c>
      <c r="X290" s="5" t="inlineStr">
        <is>
          <t>Core</t>
        </is>
      </c>
      <c r="Y290" s="5" t="inlineStr">
        <is>
          <t>Cross-persona</t>
        </is>
      </c>
      <c r="Z290" s="5" t="inlineStr">
        <is>
          <t>Critical</t>
        </is>
      </c>
      <c r="AA290" s="5" t="inlineStr">
        <is>
          <t>High</t>
        </is>
      </c>
      <c r="AB290" s="8" t="inlineStr">
        <is>
          <t>High</t>
        </is>
      </c>
      <c r="AC290" s="8" t="inlineStr">
        <is>
          <t>Pilot</t>
        </is>
      </c>
      <c r="AD290" s="5" t="inlineStr">
        <is>
          <t>Cited in code</t>
        </is>
      </c>
      <c r="AE290" s="5" t="inlineStr">
        <is>
          <t>Not verified</t>
        </is>
      </c>
      <c r="AF290" s="5" t="inlineStr">
        <is>
          <t>Not verified</t>
        </is>
      </c>
      <c r="AG290" s="5" t="inlineStr">
        <is>
          <t>Not verified</t>
        </is>
      </c>
      <c r="AH290" s="5" t="inlineStr">
        <is>
          <t>Not verified</t>
        </is>
      </c>
      <c r="AI290" s="8" t="inlineStr">
        <is>
          <t>No</t>
        </is>
      </c>
      <c r="AJ290" s="8" t="inlineStr">
        <is>
          <t>Built - unverified</t>
        </is>
      </c>
      <c r="AK290" s="8" t="inlineStr">
        <is>
          <t>P1</t>
        </is>
      </c>
      <c r="AL290" s="8" t="n">
        <v>27</v>
      </c>
      <c r="AM290" s="5" t="inlineStr"/>
      <c r="AN290" s="5" t="inlineStr"/>
      <c r="AO290" s="5" t="inlineStr"/>
      <c r="AP290" s="5" t="inlineStr"/>
      <c r="AQ290" s="5" t="inlineStr"/>
      <c r="AR290" s="5" t="inlineStr"/>
      <c r="AS290" s="5" t="inlineStr"/>
      <c r="AT290" s="5" t="inlineStr"/>
      <c r="AU290" s="8" t="inlineStr">
        <is>
          <t>Not run</t>
        </is>
      </c>
    </row>
    <row r="291" ht="32" customHeight="1">
      <c r="A291" s="16" t="inlineStr">
        <is>
          <t>X-0290</t>
        </is>
      </c>
      <c r="B291" s="8" t="inlineStr">
        <is>
          <t>X</t>
        </is>
      </c>
      <c r="C291" s="5" t="inlineStr">
        <is>
          <t>Multiple / Cross-persona</t>
        </is>
      </c>
      <c r="D291" s="5" t="inlineStr">
        <is>
          <t>GST / Tax / Compliance</t>
        </is>
      </c>
      <c r="E291" s="5" t="inlineStr">
        <is>
          <t>Debit note → tax liability adjustment</t>
        </is>
      </c>
      <c r="F291" s="5" t="inlineStr">
        <is>
          <t>Tax Calculation Engine</t>
        </is>
      </c>
      <c r="G291" s="5" t="inlineStr">
        <is>
          <t>In-house Accountant</t>
        </is>
      </c>
      <c r="H291" s="5" t="inlineStr">
        <is>
          <t>Debit note issued to customer for price undercharge increases output GST liability</t>
        </is>
      </c>
      <c r="I291" s="5" t="inlineStr">
        <is>
          <t>Increments output tax liability; reports debit note in GSTR-1 Table 9B</t>
        </is>
      </c>
      <c r="J291" s="20" t="inlineStr">
        <is>
          <t>P1</t>
        </is>
      </c>
      <c r="K291" s="20" t="inlineStr">
        <is>
          <t>Validated (Supported)</t>
        </is>
      </c>
      <c r="L291" s="5" t="inlineStr">
        <is>
          <t>Supported via SalesDebitNote complete action.</t>
        </is>
      </c>
      <c r="M291" s="8" t="inlineStr">
        <is>
          <t>Baseline</t>
        </is>
      </c>
      <c r="N291" s="8" t="inlineStr">
        <is>
          <t>Cross-persona</t>
        </is>
      </c>
      <c r="O291" s="8" t="inlineStr">
        <is>
          <t>P1</t>
        </is>
      </c>
      <c r="P291" s="5" t="inlineStr">
        <is>
          <t>Unchanged</t>
        </is>
      </c>
      <c r="Q291" s="21" t="inlineStr">
        <is>
          <t>Code symbol found</t>
        </is>
      </c>
      <c r="R291" s="5" t="inlineStr">
        <is>
          <t>Matched SalesDebitNote in product code. This is not a functional test.</t>
        </is>
      </c>
      <c r="S291" s="8" t="inlineStr">
        <is>
          <t>GST</t>
        </is>
      </c>
      <c r="T291" s="5" t="inlineStr">
        <is>
          <t>GST and tax compliance</t>
        </is>
      </c>
      <c r="U291" s="8" t="inlineStr"/>
      <c r="V291" s="8" t="inlineStr">
        <is>
          <t>accounting</t>
        </is>
      </c>
      <c r="W291" s="8" t="inlineStr">
        <is>
          <t>CONTROL</t>
        </is>
      </c>
      <c r="X291" s="5" t="inlineStr">
        <is>
          <t>Core</t>
        </is>
      </c>
      <c r="Y291" s="5" t="inlineStr">
        <is>
          <t>Cross-persona</t>
        </is>
      </c>
      <c r="Z291" s="5" t="inlineStr">
        <is>
          <t>Critical</t>
        </is>
      </c>
      <c r="AA291" s="5" t="inlineStr">
        <is>
          <t>High</t>
        </is>
      </c>
      <c r="AB291" s="8" t="inlineStr">
        <is>
          <t>High</t>
        </is>
      </c>
      <c r="AC291" s="8" t="inlineStr">
        <is>
          <t>Pilot</t>
        </is>
      </c>
      <c r="AD291" s="5" t="inlineStr">
        <is>
          <t>Cited in code</t>
        </is>
      </c>
      <c r="AE291" s="5" t="inlineStr">
        <is>
          <t>Not verified</t>
        </is>
      </c>
      <c r="AF291" s="5" t="inlineStr">
        <is>
          <t>Not verified</t>
        </is>
      </c>
      <c r="AG291" s="5" t="inlineStr">
        <is>
          <t>Not verified</t>
        </is>
      </c>
      <c r="AH291" s="5" t="inlineStr">
        <is>
          <t>Not verified</t>
        </is>
      </c>
      <c r="AI291" s="8" t="inlineStr">
        <is>
          <t>No</t>
        </is>
      </c>
      <c r="AJ291" s="8" t="inlineStr">
        <is>
          <t>Built - unverified</t>
        </is>
      </c>
      <c r="AK291" s="8" t="inlineStr">
        <is>
          <t>P1</t>
        </is>
      </c>
      <c r="AL291" s="8" t="n">
        <v>27</v>
      </c>
      <c r="AM291" s="5" t="inlineStr"/>
      <c r="AN291" s="5" t="inlineStr"/>
      <c r="AO291" s="5" t="inlineStr"/>
      <c r="AP291" s="5" t="inlineStr"/>
      <c r="AQ291" s="5" t="inlineStr"/>
      <c r="AR291" s="5" t="inlineStr"/>
      <c r="AS291" s="5" t="inlineStr"/>
      <c r="AT291" s="5" t="inlineStr"/>
      <c r="AU291" s="8" t="inlineStr">
        <is>
          <t>Not run</t>
        </is>
      </c>
    </row>
    <row r="292" ht="32" customHeight="1">
      <c r="A292" s="16" t="inlineStr">
        <is>
          <t>X-0291</t>
        </is>
      </c>
      <c r="B292" s="8" t="inlineStr">
        <is>
          <t>X</t>
        </is>
      </c>
      <c r="C292" s="5" t="inlineStr">
        <is>
          <t>Multiple / Cross-persona</t>
        </is>
      </c>
      <c r="D292" s="5" t="inlineStr">
        <is>
          <t>GST / Tax / Compliance</t>
        </is>
      </c>
      <c r="E292" s="5" t="inlineStr">
        <is>
          <t>Purchase data → IMS matching</t>
        </is>
      </c>
      <c r="F292" s="5" t="inlineStr">
        <is>
          <t>In-house Accountant</t>
        </is>
      </c>
      <c r="G292" s="5" t="inlineStr">
        <is>
          <t>External CA</t>
        </is>
      </c>
      <c r="H292" s="5" t="inlineStr">
        <is>
          <t>Inward purchase records matched against government Invoice Management System (IMS) records</t>
        </is>
      </c>
      <c r="I292" s="5" t="inlineStr">
        <is>
          <t>Compares supplier GSTIN, invoice number, date, and tax amounts; identifies match status</t>
        </is>
      </c>
      <c r="J292" s="20" t="inlineStr">
        <is>
          <t>P1</t>
        </is>
      </c>
      <c r="K292" s="20" t="inlineStr">
        <is>
          <t>Validated (Supported)</t>
        </is>
      </c>
      <c r="L292" s="5" t="inlineStr">
        <is>
          <t>Supported via IMS / GSTR-2B automated reconciliation dashboard.</t>
        </is>
      </c>
      <c r="M292" s="8" t="inlineStr">
        <is>
          <t>Baseline</t>
        </is>
      </c>
      <c r="N292" s="8" t="inlineStr">
        <is>
          <t>Cross-persona</t>
        </is>
      </c>
      <c r="O292" s="8" t="inlineStr">
        <is>
          <t>P1</t>
        </is>
      </c>
      <c r="P292" s="5" t="inlineStr">
        <is>
          <t>Unchanged</t>
        </is>
      </c>
      <c r="Q292" s="20" t="inlineStr">
        <is>
          <t>Author assertion</t>
        </is>
      </c>
      <c r="R292" s="5" t="inlineStr"/>
      <c r="S292" s="8" t="inlineStr">
        <is>
          <t>GST</t>
        </is>
      </c>
      <c r="T292" s="5" t="inlineStr">
        <is>
          <t>GST and tax compliance</t>
        </is>
      </c>
      <c r="U292" s="8" t="inlineStr"/>
      <c r="V292" s="8" t="inlineStr">
        <is>
          <t>accounting</t>
        </is>
      </c>
      <c r="W292" s="8" t="inlineStr">
        <is>
          <t>CONTROL</t>
        </is>
      </c>
      <c r="X292" s="5" t="inlineStr">
        <is>
          <t>Core</t>
        </is>
      </c>
      <c r="Y292" s="5" t="inlineStr">
        <is>
          <t>Cross-persona</t>
        </is>
      </c>
      <c r="Z292" s="5" t="inlineStr">
        <is>
          <t>Critical</t>
        </is>
      </c>
      <c r="AA292" s="5" t="inlineStr">
        <is>
          <t>High</t>
        </is>
      </c>
      <c r="AB292" s="8" t="inlineStr">
        <is>
          <t>High</t>
        </is>
      </c>
      <c r="AC292" s="8" t="inlineStr">
        <is>
          <t>Pilot</t>
        </is>
      </c>
      <c r="AD292" s="5" t="inlineStr">
        <is>
          <t>Not independently checked</t>
        </is>
      </c>
      <c r="AE292" s="5" t="inlineStr">
        <is>
          <t>Not verified</t>
        </is>
      </c>
      <c r="AF292" s="5" t="inlineStr">
        <is>
          <t>Not verified</t>
        </is>
      </c>
      <c r="AG292" s="5" t="inlineStr">
        <is>
          <t>Not verified</t>
        </is>
      </c>
      <c r="AH292" s="5" t="inlineStr">
        <is>
          <t>Not verified</t>
        </is>
      </c>
      <c r="AI292" s="8" t="inlineStr">
        <is>
          <t>No</t>
        </is>
      </c>
      <c r="AJ292" s="8" t="inlineStr">
        <is>
          <t>Claimed - unverified</t>
        </is>
      </c>
      <c r="AK292" s="8" t="inlineStr">
        <is>
          <t>P1</t>
        </is>
      </c>
      <c r="AL292" s="8" t="n">
        <v>27</v>
      </c>
      <c r="AM292" s="5" t="inlineStr"/>
      <c r="AN292" s="5" t="inlineStr"/>
      <c r="AO292" s="5" t="inlineStr"/>
      <c r="AP292" s="5" t="inlineStr"/>
      <c r="AQ292" s="5" t="inlineStr"/>
      <c r="AR292" s="5" t="inlineStr"/>
      <c r="AS292" s="5" t="inlineStr"/>
      <c r="AT292" s="5" t="inlineStr"/>
      <c r="AU292" s="8" t="inlineStr">
        <is>
          <t>Not run</t>
        </is>
      </c>
    </row>
    <row r="293" ht="32" customHeight="1">
      <c r="A293" s="16" t="inlineStr">
        <is>
          <t>X-0292</t>
        </is>
      </c>
      <c r="B293" s="8" t="inlineStr">
        <is>
          <t>X</t>
        </is>
      </c>
      <c r="C293" s="5" t="inlineStr">
        <is>
          <t>Multiple / Cross-persona</t>
        </is>
      </c>
      <c r="D293" s="5" t="inlineStr">
        <is>
          <t>GST / Tax / Compliance</t>
        </is>
      </c>
      <c r="E293" s="5" t="inlineStr">
        <is>
          <t>IMS invoice → accept action</t>
        </is>
      </c>
      <c r="F293" s="5" t="inlineStr">
        <is>
          <t>In-house Accountant</t>
        </is>
      </c>
      <c r="G293" s="5" t="inlineStr">
        <is>
          <t>Supplier / Tax Authority</t>
        </is>
      </c>
      <c r="H293" s="5" t="inlineStr">
        <is>
          <t>Mark recipient acceptance on supplier invoice in IMS to confirm Input Tax Credit eligibility</t>
        </is>
      </c>
      <c r="I293" s="5" t="inlineStr">
        <is>
          <t>Tags invoice as ACCEPTED in IMS dataset; includes tax amount in GSTR-2B eligible ITC pool</t>
        </is>
      </c>
      <c r="J293" s="20" t="inlineStr">
        <is>
          <t>P1</t>
        </is>
      </c>
      <c r="K293" s="20" t="inlineStr">
        <is>
          <t>Validated (Supported)</t>
        </is>
      </c>
      <c r="L293" s="5" t="inlineStr">
        <is>
          <t>Supported via IMS action dashboard with 'Accept' button and bulk action export.</t>
        </is>
      </c>
      <c r="M293" s="8" t="inlineStr">
        <is>
          <t>Baseline</t>
        </is>
      </c>
      <c r="N293" s="8" t="inlineStr">
        <is>
          <t>Cross-persona</t>
        </is>
      </c>
      <c r="O293" s="8" t="inlineStr">
        <is>
          <t>P1</t>
        </is>
      </c>
      <c r="P293" s="5" t="inlineStr">
        <is>
          <t>Unchanged</t>
        </is>
      </c>
      <c r="Q293" s="20" t="inlineStr">
        <is>
          <t>Author assertion</t>
        </is>
      </c>
      <c r="R293" s="5" t="inlineStr"/>
      <c r="S293" s="8" t="inlineStr">
        <is>
          <t>GST</t>
        </is>
      </c>
      <c r="T293" s="5" t="inlineStr">
        <is>
          <t>GST and tax compliance</t>
        </is>
      </c>
      <c r="U293" s="8" t="inlineStr"/>
      <c r="V293" s="8" t="inlineStr">
        <is>
          <t>accounting</t>
        </is>
      </c>
      <c r="W293" s="8" t="inlineStr">
        <is>
          <t>CONTROL</t>
        </is>
      </c>
      <c r="X293" s="5" t="inlineStr">
        <is>
          <t>Core</t>
        </is>
      </c>
      <c r="Y293" s="5" t="inlineStr">
        <is>
          <t>Cross-persona</t>
        </is>
      </c>
      <c r="Z293" s="5" t="inlineStr">
        <is>
          <t>Critical</t>
        </is>
      </c>
      <c r="AA293" s="5" t="inlineStr">
        <is>
          <t>High</t>
        </is>
      </c>
      <c r="AB293" s="8" t="inlineStr">
        <is>
          <t>High</t>
        </is>
      </c>
      <c r="AC293" s="8" t="inlineStr">
        <is>
          <t>Pilot</t>
        </is>
      </c>
      <c r="AD293" s="5" t="inlineStr">
        <is>
          <t>Not independently checked</t>
        </is>
      </c>
      <c r="AE293" s="5" t="inlineStr">
        <is>
          <t>Not verified</t>
        </is>
      </c>
      <c r="AF293" s="5" t="inlineStr">
        <is>
          <t>Not verified</t>
        </is>
      </c>
      <c r="AG293" s="5" t="inlineStr">
        <is>
          <t>Not verified</t>
        </is>
      </c>
      <c r="AH293" s="5" t="inlineStr">
        <is>
          <t>Not verified</t>
        </is>
      </c>
      <c r="AI293" s="8" t="inlineStr">
        <is>
          <t>No</t>
        </is>
      </c>
      <c r="AJ293" s="8" t="inlineStr">
        <is>
          <t>Claimed - unverified</t>
        </is>
      </c>
      <c r="AK293" s="8" t="inlineStr">
        <is>
          <t>P1</t>
        </is>
      </c>
      <c r="AL293" s="8" t="n">
        <v>27</v>
      </c>
      <c r="AM293" s="5" t="inlineStr"/>
      <c r="AN293" s="5" t="inlineStr"/>
      <c r="AO293" s="5" t="inlineStr"/>
      <c r="AP293" s="5" t="inlineStr"/>
      <c r="AQ293" s="5" t="inlineStr"/>
      <c r="AR293" s="5" t="inlineStr"/>
      <c r="AS293" s="5" t="inlineStr"/>
      <c r="AT293" s="5" t="inlineStr"/>
      <c r="AU293" s="8" t="inlineStr">
        <is>
          <t>Not run</t>
        </is>
      </c>
    </row>
    <row r="294" ht="32" customHeight="1">
      <c r="A294" s="16" t="inlineStr">
        <is>
          <t>X-0293</t>
        </is>
      </c>
      <c r="B294" s="8" t="inlineStr">
        <is>
          <t>X</t>
        </is>
      </c>
      <c r="C294" s="5" t="inlineStr">
        <is>
          <t>Multiple / Cross-persona</t>
        </is>
      </c>
      <c r="D294" s="5" t="inlineStr">
        <is>
          <t>GST / Tax / Compliance</t>
        </is>
      </c>
      <c r="E294" s="5" t="inlineStr">
        <is>
          <t>IMS invoice → reject action</t>
        </is>
      </c>
      <c r="F294" s="5" t="inlineStr">
        <is>
          <t>In-house Accountant</t>
        </is>
      </c>
      <c r="G294" s="5" t="inlineStr">
        <is>
          <t>Supplier / Tax Authority</t>
        </is>
      </c>
      <c r="H294" s="5" t="inlineStr">
        <is>
          <t>Mark recipient rejection on erroneous or unrecognized supplier invoice in IMS</t>
        </is>
      </c>
      <c r="I294" s="5" t="inlineStr">
        <is>
          <t>Tags invoice as REJECTED in IMS dataset; excludes from GSTR-2B ITC; notifies supplier</t>
        </is>
      </c>
      <c r="J294" s="20" t="inlineStr">
        <is>
          <t>P1</t>
        </is>
      </c>
      <c r="K294" s="20" t="inlineStr">
        <is>
          <t>Validated (Supported)</t>
        </is>
      </c>
      <c r="L294" s="5" t="inlineStr">
        <is>
          <t>Supported via IMS action dashboard with 'Reject' decision logging.</t>
        </is>
      </c>
      <c r="M294" s="8" t="inlineStr">
        <is>
          <t>Baseline</t>
        </is>
      </c>
      <c r="N294" s="8" t="inlineStr">
        <is>
          <t>Cross-persona</t>
        </is>
      </c>
      <c r="O294" s="8" t="inlineStr">
        <is>
          <t>P1</t>
        </is>
      </c>
      <c r="P294" s="5" t="inlineStr">
        <is>
          <t>Unchanged</t>
        </is>
      </c>
      <c r="Q294" s="20" t="inlineStr">
        <is>
          <t>Author assertion</t>
        </is>
      </c>
      <c r="R294" s="5" t="inlineStr"/>
      <c r="S294" s="8" t="inlineStr">
        <is>
          <t>GST</t>
        </is>
      </c>
      <c r="T294" s="5" t="inlineStr">
        <is>
          <t>GST and tax compliance</t>
        </is>
      </c>
      <c r="U294" s="8" t="inlineStr"/>
      <c r="V294" s="8" t="inlineStr">
        <is>
          <t>accounting</t>
        </is>
      </c>
      <c r="W294" s="8" t="inlineStr">
        <is>
          <t>CONTROL</t>
        </is>
      </c>
      <c r="X294" s="5" t="inlineStr">
        <is>
          <t>Core</t>
        </is>
      </c>
      <c r="Y294" s="5" t="inlineStr">
        <is>
          <t>Cross-persona</t>
        </is>
      </c>
      <c r="Z294" s="5" t="inlineStr">
        <is>
          <t>Critical</t>
        </is>
      </c>
      <c r="AA294" s="5" t="inlineStr">
        <is>
          <t>High</t>
        </is>
      </c>
      <c r="AB294" s="8" t="inlineStr">
        <is>
          <t>High</t>
        </is>
      </c>
      <c r="AC294" s="8" t="inlineStr">
        <is>
          <t>Pilot</t>
        </is>
      </c>
      <c r="AD294" s="5" t="inlineStr">
        <is>
          <t>Not independently checked</t>
        </is>
      </c>
      <c r="AE294" s="5" t="inlineStr">
        <is>
          <t>Not verified</t>
        </is>
      </c>
      <c r="AF294" s="5" t="inlineStr">
        <is>
          <t>Not verified</t>
        </is>
      </c>
      <c r="AG294" s="5" t="inlineStr">
        <is>
          <t>Not verified</t>
        </is>
      </c>
      <c r="AH294" s="5" t="inlineStr">
        <is>
          <t>Not verified</t>
        </is>
      </c>
      <c r="AI294" s="8" t="inlineStr">
        <is>
          <t>No</t>
        </is>
      </c>
      <c r="AJ294" s="8" t="inlineStr">
        <is>
          <t>Claimed - unverified</t>
        </is>
      </c>
      <c r="AK294" s="8" t="inlineStr">
        <is>
          <t>P1</t>
        </is>
      </c>
      <c r="AL294" s="8" t="n">
        <v>27</v>
      </c>
      <c r="AM294" s="5" t="inlineStr"/>
      <c r="AN294" s="5" t="inlineStr"/>
      <c r="AO294" s="5" t="inlineStr"/>
      <c r="AP294" s="5" t="inlineStr"/>
      <c r="AQ294" s="5" t="inlineStr"/>
      <c r="AR294" s="5" t="inlineStr"/>
      <c r="AS294" s="5" t="inlineStr"/>
      <c r="AT294" s="5" t="inlineStr"/>
      <c r="AU294" s="8" t="inlineStr">
        <is>
          <t>Not run</t>
        </is>
      </c>
    </row>
    <row r="295" ht="32" customHeight="1">
      <c r="A295" s="16" t="inlineStr">
        <is>
          <t>X-0294</t>
        </is>
      </c>
      <c r="B295" s="8" t="inlineStr">
        <is>
          <t>X</t>
        </is>
      </c>
      <c r="C295" s="5" t="inlineStr">
        <is>
          <t>Multiple / Cross-persona</t>
        </is>
      </c>
      <c r="D295" s="5" t="inlineStr">
        <is>
          <t>GST / Tax / Compliance</t>
        </is>
      </c>
      <c r="E295" s="5" t="inlineStr">
        <is>
          <t>IMS invoice → pending action</t>
        </is>
      </c>
      <c r="F295" s="5" t="inlineStr">
        <is>
          <t>In-house Accountant</t>
        </is>
      </c>
      <c r="G295" s="5" t="inlineStr">
        <is>
          <t>Supplier</t>
        </is>
      </c>
      <c r="H295" s="5" t="inlineStr">
        <is>
          <t>Keep invoice pending in IMS when goods are in-transit or undergoing verification</t>
        </is>
      </c>
      <c r="I295" s="5" t="inlineStr">
        <is>
          <t>Tags invoice as PENDING; rolls forward ITC eligibility to subsequent tax period</t>
        </is>
      </c>
      <c r="J295" s="20" t="inlineStr">
        <is>
          <t>P1</t>
        </is>
      </c>
      <c r="K295" s="20" t="inlineStr">
        <is>
          <t>Validated (Supported)</t>
        </is>
      </c>
      <c r="L295" s="5" t="inlineStr">
        <is>
          <t>Supported via IMS action dashboard with 'Keep Pending' decision tagging.</t>
        </is>
      </c>
      <c r="M295" s="8" t="inlineStr">
        <is>
          <t>Baseline</t>
        </is>
      </c>
      <c r="N295" s="8" t="inlineStr">
        <is>
          <t>Cross-persona</t>
        </is>
      </c>
      <c r="O295" s="8" t="inlineStr">
        <is>
          <t>P1</t>
        </is>
      </c>
      <c r="P295" s="5" t="inlineStr">
        <is>
          <t>Unchanged</t>
        </is>
      </c>
      <c r="Q295" s="20" t="inlineStr">
        <is>
          <t>Author assertion</t>
        </is>
      </c>
      <c r="R295" s="5" t="inlineStr"/>
      <c r="S295" s="8" t="inlineStr">
        <is>
          <t>GST</t>
        </is>
      </c>
      <c r="T295" s="5" t="inlineStr">
        <is>
          <t>GST and tax compliance</t>
        </is>
      </c>
      <c r="U295" s="8" t="inlineStr"/>
      <c r="V295" s="8" t="inlineStr">
        <is>
          <t>accounting</t>
        </is>
      </c>
      <c r="W295" s="8" t="inlineStr">
        <is>
          <t>CONTROL</t>
        </is>
      </c>
      <c r="X295" s="5" t="inlineStr">
        <is>
          <t>Core</t>
        </is>
      </c>
      <c r="Y295" s="5" t="inlineStr">
        <is>
          <t>Cross-persona</t>
        </is>
      </c>
      <c r="Z295" s="5" t="inlineStr">
        <is>
          <t>Critical</t>
        </is>
      </c>
      <c r="AA295" s="5" t="inlineStr">
        <is>
          <t>High</t>
        </is>
      </c>
      <c r="AB295" s="8" t="inlineStr">
        <is>
          <t>High</t>
        </is>
      </c>
      <c r="AC295" s="8" t="inlineStr">
        <is>
          <t>Pilot</t>
        </is>
      </c>
      <c r="AD295" s="5" t="inlineStr">
        <is>
          <t>Not independently checked</t>
        </is>
      </c>
      <c r="AE295" s="5" t="inlineStr">
        <is>
          <t>Not verified</t>
        </is>
      </c>
      <c r="AF295" s="5" t="inlineStr">
        <is>
          <t>Not verified</t>
        </is>
      </c>
      <c r="AG295" s="5" t="inlineStr">
        <is>
          <t>Not verified</t>
        </is>
      </c>
      <c r="AH295" s="5" t="inlineStr">
        <is>
          <t>Not verified</t>
        </is>
      </c>
      <c r="AI295" s="8" t="inlineStr">
        <is>
          <t>No</t>
        </is>
      </c>
      <c r="AJ295" s="8" t="inlineStr">
        <is>
          <t>Claimed - unverified</t>
        </is>
      </c>
      <c r="AK295" s="8" t="inlineStr">
        <is>
          <t>P1</t>
        </is>
      </c>
      <c r="AL295" s="8" t="n">
        <v>27</v>
      </c>
      <c r="AM295" s="5" t="inlineStr"/>
      <c r="AN295" s="5" t="inlineStr"/>
      <c r="AO295" s="5" t="inlineStr"/>
      <c r="AP295" s="5" t="inlineStr"/>
      <c r="AQ295" s="5" t="inlineStr"/>
      <c r="AR295" s="5" t="inlineStr"/>
      <c r="AS295" s="5" t="inlineStr"/>
      <c r="AT295" s="5" t="inlineStr"/>
      <c r="AU295" s="8" t="inlineStr">
        <is>
          <t>Not run</t>
        </is>
      </c>
    </row>
    <row r="296" ht="32" customHeight="1">
      <c r="A296" s="16" t="inlineStr">
        <is>
          <t>X-0295</t>
        </is>
      </c>
      <c r="B296" s="8" t="inlineStr">
        <is>
          <t>X</t>
        </is>
      </c>
      <c r="C296" s="5" t="inlineStr">
        <is>
          <t>Multiple / Cross-persona</t>
        </is>
      </c>
      <c r="D296" s="5" t="inlineStr">
        <is>
          <t>GST / Tax / Compliance</t>
        </is>
      </c>
      <c r="E296" s="5" t="inlineStr">
        <is>
          <t>Accepted invoice → ITC eligibility calculation</t>
        </is>
      </c>
      <c r="F296" s="5" t="inlineStr">
        <is>
          <t>Tax Calculation Engine</t>
        </is>
      </c>
      <c r="G296" s="5" t="inlineStr">
        <is>
          <t>In-house Accountant</t>
        </is>
      </c>
      <c r="H296" s="5" t="inlineStr">
        <is>
          <t>Accepted IMS invoices automatically included in total eligible Input Tax Credit for GSTR-3B</t>
        </is>
      </c>
      <c r="I296" s="5" t="inlineStr">
        <is>
          <t>Computes total verified ITC available for set-off against monthly output tax liabilities</t>
        </is>
      </c>
      <c r="J296" s="20" t="inlineStr">
        <is>
          <t>P1</t>
        </is>
      </c>
      <c r="K296" s="20" t="inlineStr">
        <is>
          <t>Validated (Supported)</t>
        </is>
      </c>
      <c r="L296" s="5" t="inlineStr">
        <is>
          <t>Supported via automated GSTR-3B Table 4 computation from accepted invoices.</t>
        </is>
      </c>
      <c r="M296" s="8" t="inlineStr">
        <is>
          <t>Baseline</t>
        </is>
      </c>
      <c r="N296" s="8" t="inlineStr">
        <is>
          <t>Cross-persona</t>
        </is>
      </c>
      <c r="O296" s="8" t="inlineStr">
        <is>
          <t>P1</t>
        </is>
      </c>
      <c r="P296" s="5" t="inlineStr">
        <is>
          <t>Unchanged</t>
        </is>
      </c>
      <c r="Q296" s="20" t="inlineStr">
        <is>
          <t>Author assertion</t>
        </is>
      </c>
      <c r="R296" s="5" t="inlineStr"/>
      <c r="S296" s="8" t="inlineStr">
        <is>
          <t>GST</t>
        </is>
      </c>
      <c r="T296" s="5" t="inlineStr">
        <is>
          <t>GST and tax compliance</t>
        </is>
      </c>
      <c r="U296" s="8" t="inlineStr"/>
      <c r="V296" s="8" t="inlineStr">
        <is>
          <t>accounting</t>
        </is>
      </c>
      <c r="W296" s="8" t="inlineStr">
        <is>
          <t>CONTROL</t>
        </is>
      </c>
      <c r="X296" s="5" t="inlineStr">
        <is>
          <t>Core</t>
        </is>
      </c>
      <c r="Y296" s="5" t="inlineStr">
        <is>
          <t>Cross-persona</t>
        </is>
      </c>
      <c r="Z296" s="5" t="inlineStr">
        <is>
          <t>Critical</t>
        </is>
      </c>
      <c r="AA296" s="5" t="inlineStr">
        <is>
          <t>High</t>
        </is>
      </c>
      <c r="AB296" s="8" t="inlineStr">
        <is>
          <t>High</t>
        </is>
      </c>
      <c r="AC296" s="8" t="inlineStr">
        <is>
          <t>Pilot</t>
        </is>
      </c>
      <c r="AD296" s="5" t="inlineStr">
        <is>
          <t>Not independently checked</t>
        </is>
      </c>
      <c r="AE296" s="5" t="inlineStr">
        <is>
          <t>Not verified</t>
        </is>
      </c>
      <c r="AF296" s="5" t="inlineStr">
        <is>
          <t>Not verified</t>
        </is>
      </c>
      <c r="AG296" s="5" t="inlineStr">
        <is>
          <t>Not verified</t>
        </is>
      </c>
      <c r="AH296" s="5" t="inlineStr">
        <is>
          <t>Not verified</t>
        </is>
      </c>
      <c r="AI296" s="8" t="inlineStr">
        <is>
          <t>No</t>
        </is>
      </c>
      <c r="AJ296" s="8" t="inlineStr">
        <is>
          <t>Claimed - unverified</t>
        </is>
      </c>
      <c r="AK296" s="8" t="inlineStr">
        <is>
          <t>P1</t>
        </is>
      </c>
      <c r="AL296" s="8" t="n">
        <v>27</v>
      </c>
      <c r="AM296" s="5" t="inlineStr"/>
      <c r="AN296" s="5" t="inlineStr"/>
      <c r="AO296" s="5" t="inlineStr"/>
      <c r="AP296" s="5" t="inlineStr"/>
      <c r="AQ296" s="5" t="inlineStr"/>
      <c r="AR296" s="5" t="inlineStr"/>
      <c r="AS296" s="5" t="inlineStr"/>
      <c r="AT296" s="5" t="inlineStr"/>
      <c r="AU296" s="8" t="inlineStr">
        <is>
          <t>Not run</t>
        </is>
      </c>
    </row>
    <row r="297" ht="32" customHeight="1">
      <c r="A297" s="16" t="inlineStr">
        <is>
          <t>X-0296</t>
        </is>
      </c>
      <c r="B297" s="8" t="inlineStr">
        <is>
          <t>X</t>
        </is>
      </c>
      <c r="C297" s="5" t="inlineStr">
        <is>
          <t>Multiple / Cross-persona</t>
        </is>
      </c>
      <c r="D297" s="5" t="inlineStr">
        <is>
          <t>GST / Tax / Compliance</t>
        </is>
      </c>
      <c r="E297" s="5" t="inlineStr">
        <is>
          <t>Rejected invoice → ITC exclusion</t>
        </is>
      </c>
      <c r="F297" s="5" t="inlineStr">
        <is>
          <t>Tax Calculation Engine</t>
        </is>
      </c>
      <c r="G297" s="5" t="inlineStr">
        <is>
          <t>In-house Accountant</t>
        </is>
      </c>
      <c r="H297" s="5" t="inlineStr">
        <is>
          <t>Rejected IMS invoices automatically excluded from ITC claims to prevent tax audit notices</t>
        </is>
      </c>
      <c r="I297" s="5" t="inlineStr">
        <is>
          <t>Excludes rejected invoice tax from eligible ITC pool; prevents irregular credit claims</t>
        </is>
      </c>
      <c r="J297" s="20" t="inlineStr">
        <is>
          <t>P1</t>
        </is>
      </c>
      <c r="K297" s="20" t="inlineStr">
        <is>
          <t>Validated (Supported)</t>
        </is>
      </c>
      <c r="L297" s="5" t="inlineStr">
        <is>
          <t>Core compliance invariant: rejected supplier invoices strictly blocked from GSTR-3B ITC.</t>
        </is>
      </c>
      <c r="M297" s="8" t="inlineStr">
        <is>
          <t>Baseline</t>
        </is>
      </c>
      <c r="N297" s="8" t="inlineStr">
        <is>
          <t>Cross-persona</t>
        </is>
      </c>
      <c r="O297" s="8" t="inlineStr">
        <is>
          <t>P1</t>
        </is>
      </c>
      <c r="P297" s="5" t="inlineStr">
        <is>
          <t>Unchanged</t>
        </is>
      </c>
      <c r="Q297" s="20" t="inlineStr">
        <is>
          <t>Author assertion</t>
        </is>
      </c>
      <c r="R297" s="5" t="inlineStr"/>
      <c r="S297" s="8" t="inlineStr">
        <is>
          <t>GST</t>
        </is>
      </c>
      <c r="T297" s="5" t="inlineStr">
        <is>
          <t>GST and tax compliance</t>
        </is>
      </c>
      <c r="U297" s="8" t="inlineStr"/>
      <c r="V297" s="8" t="inlineStr">
        <is>
          <t>accounting</t>
        </is>
      </c>
      <c r="W297" s="8" t="inlineStr">
        <is>
          <t>CONTROL</t>
        </is>
      </c>
      <c r="X297" s="5" t="inlineStr">
        <is>
          <t>Core</t>
        </is>
      </c>
      <c r="Y297" s="5" t="inlineStr">
        <is>
          <t>Cross-persona</t>
        </is>
      </c>
      <c r="Z297" s="5" t="inlineStr">
        <is>
          <t>Critical</t>
        </is>
      </c>
      <c r="AA297" s="5" t="inlineStr">
        <is>
          <t>High</t>
        </is>
      </c>
      <c r="AB297" s="8" t="inlineStr">
        <is>
          <t>High</t>
        </is>
      </c>
      <c r="AC297" s="8" t="inlineStr">
        <is>
          <t>Pilot</t>
        </is>
      </c>
      <c r="AD297" s="5" t="inlineStr">
        <is>
          <t>Not independently checked</t>
        </is>
      </c>
      <c r="AE297" s="5" t="inlineStr">
        <is>
          <t>Not verified</t>
        </is>
      </c>
      <c r="AF297" s="5" t="inlineStr">
        <is>
          <t>Not verified</t>
        </is>
      </c>
      <c r="AG297" s="5" t="inlineStr">
        <is>
          <t>Not verified</t>
        </is>
      </c>
      <c r="AH297" s="5" t="inlineStr">
        <is>
          <t>Not verified</t>
        </is>
      </c>
      <c r="AI297" s="8" t="inlineStr">
        <is>
          <t>No</t>
        </is>
      </c>
      <c r="AJ297" s="8" t="inlineStr">
        <is>
          <t>Claimed - unverified</t>
        </is>
      </c>
      <c r="AK297" s="8" t="inlineStr">
        <is>
          <t>P1</t>
        </is>
      </c>
      <c r="AL297" s="8" t="n">
        <v>27</v>
      </c>
      <c r="AM297" s="5" t="inlineStr"/>
      <c r="AN297" s="5" t="inlineStr"/>
      <c r="AO297" s="5" t="inlineStr"/>
      <c r="AP297" s="5" t="inlineStr"/>
      <c r="AQ297" s="5" t="inlineStr"/>
      <c r="AR297" s="5" t="inlineStr"/>
      <c r="AS297" s="5" t="inlineStr"/>
      <c r="AT297" s="5" t="inlineStr"/>
      <c r="AU297" s="8" t="inlineStr">
        <is>
          <t>Not run</t>
        </is>
      </c>
    </row>
    <row r="298" ht="32" customHeight="1">
      <c r="A298" s="16" t="inlineStr">
        <is>
          <t>X-0297</t>
        </is>
      </c>
      <c r="B298" s="8" t="inlineStr">
        <is>
          <t>X</t>
        </is>
      </c>
      <c r="C298" s="5" t="inlineStr">
        <is>
          <t>Multiple / Cross-persona</t>
        </is>
      </c>
      <c r="D298" s="5" t="inlineStr">
        <is>
          <t>GST / Tax / Compliance</t>
        </is>
      </c>
      <c r="E298" s="5" t="inlineStr">
        <is>
          <t>Missing supplier invoice → exception</t>
        </is>
      </c>
      <c r="F298" s="5" t="inlineStr">
        <is>
          <t>In-house Accountant</t>
        </is>
      </c>
      <c r="G298" s="5" t="inlineStr">
        <is>
          <t>Purchase Manager / Supplier</t>
        </is>
      </c>
      <c r="H298" s="5" t="inlineStr">
        <is>
          <t>Purchases recorded in books but missing in supplier's GSTR-1/2B flagged as missing invoice</t>
        </is>
      </c>
      <c r="I298" s="5" t="inlineStr">
        <is>
          <t>Generates Missing Document exception; alerts purchase team to chase supplier for GSTR-1 filing</t>
        </is>
      </c>
      <c r="J298" s="20" t="inlineStr">
        <is>
          <t>P1</t>
        </is>
      </c>
      <c r="K298" s="20" t="inlineStr">
        <is>
          <t>Validated (Supported)</t>
        </is>
      </c>
      <c r="L298" s="5" t="inlineStr">
        <is>
          <t>Supported via GSTR-2B reconciliation missing invoice report.</t>
        </is>
      </c>
      <c r="M298" s="8" t="inlineStr">
        <is>
          <t>Baseline</t>
        </is>
      </c>
      <c r="N298" s="8" t="inlineStr">
        <is>
          <t>Cross-persona</t>
        </is>
      </c>
      <c r="O298" s="8" t="inlineStr">
        <is>
          <t>P1</t>
        </is>
      </c>
      <c r="P298" s="5" t="inlineStr">
        <is>
          <t>Unchanged</t>
        </is>
      </c>
      <c r="Q298" s="20" t="inlineStr">
        <is>
          <t>Author assertion</t>
        </is>
      </c>
      <c r="R298" s="5" t="inlineStr"/>
      <c r="S298" s="8" t="inlineStr">
        <is>
          <t>GST</t>
        </is>
      </c>
      <c r="T298" s="5" t="inlineStr">
        <is>
          <t>GST and tax compliance</t>
        </is>
      </c>
      <c r="U298" s="8" t="inlineStr"/>
      <c r="V298" s="8" t="inlineStr">
        <is>
          <t>accounting</t>
        </is>
      </c>
      <c r="W298" s="8" t="inlineStr">
        <is>
          <t>CONTROL</t>
        </is>
      </c>
      <c r="X298" s="5" t="inlineStr">
        <is>
          <t>Core</t>
        </is>
      </c>
      <c r="Y298" s="5" t="inlineStr">
        <is>
          <t>Cross-persona</t>
        </is>
      </c>
      <c r="Z298" s="5" t="inlineStr">
        <is>
          <t>Critical</t>
        </is>
      </c>
      <c r="AA298" s="5" t="inlineStr">
        <is>
          <t>High</t>
        </is>
      </c>
      <c r="AB298" s="8" t="inlineStr">
        <is>
          <t>High</t>
        </is>
      </c>
      <c r="AC298" s="8" t="inlineStr">
        <is>
          <t>Pilot</t>
        </is>
      </c>
      <c r="AD298" s="5" t="inlineStr">
        <is>
          <t>Not independently checked</t>
        </is>
      </c>
      <c r="AE298" s="5" t="inlineStr">
        <is>
          <t>Not verified</t>
        </is>
      </c>
      <c r="AF298" s="5" t="inlineStr">
        <is>
          <t>Not verified</t>
        </is>
      </c>
      <c r="AG298" s="5" t="inlineStr">
        <is>
          <t>Not verified</t>
        </is>
      </c>
      <c r="AH298" s="5" t="inlineStr">
        <is>
          <t>Not verified</t>
        </is>
      </c>
      <c r="AI298" s="8" t="inlineStr">
        <is>
          <t>No</t>
        </is>
      </c>
      <c r="AJ298" s="8" t="inlineStr">
        <is>
          <t>Claimed - unverified</t>
        </is>
      </c>
      <c r="AK298" s="8" t="inlineStr">
        <is>
          <t>P1</t>
        </is>
      </c>
      <c r="AL298" s="8" t="n">
        <v>27</v>
      </c>
      <c r="AM298" s="5" t="inlineStr"/>
      <c r="AN298" s="5" t="inlineStr"/>
      <c r="AO298" s="5" t="inlineStr"/>
      <c r="AP298" s="5" t="inlineStr"/>
      <c r="AQ298" s="5" t="inlineStr"/>
      <c r="AR298" s="5" t="inlineStr"/>
      <c r="AS298" s="5" t="inlineStr"/>
      <c r="AT298" s="5" t="inlineStr"/>
      <c r="AU298" s="8" t="inlineStr">
        <is>
          <t>Not run</t>
        </is>
      </c>
    </row>
    <row r="299" ht="32" customHeight="1">
      <c r="A299" s="16" t="inlineStr">
        <is>
          <t>X-0298</t>
        </is>
      </c>
      <c r="B299" s="8" t="inlineStr">
        <is>
          <t>X</t>
        </is>
      </c>
      <c r="C299" s="5" t="inlineStr">
        <is>
          <t>Multiple / Cross-persona</t>
        </is>
      </c>
      <c r="D299" s="5" t="inlineStr">
        <is>
          <t>GST / Tax / Compliance</t>
        </is>
      </c>
      <c r="E299" s="5" t="inlineStr">
        <is>
          <t>Invoice mismatch → exception</t>
        </is>
      </c>
      <c r="F299" s="5" t="inlineStr">
        <is>
          <t>In-house Accountant</t>
        </is>
      </c>
      <c r="G299" s="5" t="inlineStr">
        <is>
          <t>Supplier</t>
        </is>
      </c>
      <c r="H299" s="5" t="inlineStr">
        <is>
          <t>Discrepancies in taxable value or tax amounts between books and GSTR-2B flagged as mismatch</t>
        </is>
      </c>
      <c r="I299" s="5" t="inlineStr">
        <is>
          <t>Generates Tax Mismatch exception detailing value difference; initiates dispute resolution</t>
        </is>
      </c>
      <c r="J299" s="20" t="inlineStr">
        <is>
          <t>P1</t>
        </is>
      </c>
      <c r="K299" s="20" t="inlineStr">
        <is>
          <t>Validated (Supported)</t>
        </is>
      </c>
      <c r="L299" s="5" t="inlineStr">
        <is>
          <t>Supported via GSTR-2B discrepancy drill-down with line-item comparison.</t>
        </is>
      </c>
      <c r="M299" s="8" t="inlineStr">
        <is>
          <t>Baseline</t>
        </is>
      </c>
      <c r="N299" s="8" t="inlineStr">
        <is>
          <t>Cross-persona</t>
        </is>
      </c>
      <c r="O299" s="8" t="inlineStr">
        <is>
          <t>P1</t>
        </is>
      </c>
      <c r="P299" s="5" t="inlineStr">
        <is>
          <t>Unchanged</t>
        </is>
      </c>
      <c r="Q299" s="20" t="inlineStr">
        <is>
          <t>Author assertion</t>
        </is>
      </c>
      <c r="R299" s="5" t="inlineStr"/>
      <c r="S299" s="8" t="inlineStr">
        <is>
          <t>GST</t>
        </is>
      </c>
      <c r="T299" s="5" t="inlineStr">
        <is>
          <t>GST and tax compliance</t>
        </is>
      </c>
      <c r="U299" s="8" t="inlineStr"/>
      <c r="V299" s="8" t="inlineStr">
        <is>
          <t>accounting</t>
        </is>
      </c>
      <c r="W299" s="8" t="inlineStr">
        <is>
          <t>CONTROL</t>
        </is>
      </c>
      <c r="X299" s="5" t="inlineStr">
        <is>
          <t>Core</t>
        </is>
      </c>
      <c r="Y299" s="5" t="inlineStr">
        <is>
          <t>Cross-persona</t>
        </is>
      </c>
      <c r="Z299" s="5" t="inlineStr">
        <is>
          <t>Critical</t>
        </is>
      </c>
      <c r="AA299" s="5" t="inlineStr">
        <is>
          <t>High</t>
        </is>
      </c>
      <c r="AB299" s="8" t="inlineStr">
        <is>
          <t>High</t>
        </is>
      </c>
      <c r="AC299" s="8" t="inlineStr">
        <is>
          <t>Pilot</t>
        </is>
      </c>
      <c r="AD299" s="5" t="inlineStr">
        <is>
          <t>Not independently checked</t>
        </is>
      </c>
      <c r="AE299" s="5" t="inlineStr">
        <is>
          <t>Not verified</t>
        </is>
      </c>
      <c r="AF299" s="5" t="inlineStr">
        <is>
          <t>Not verified</t>
        </is>
      </c>
      <c r="AG299" s="5" t="inlineStr">
        <is>
          <t>Not verified</t>
        </is>
      </c>
      <c r="AH299" s="5" t="inlineStr">
        <is>
          <t>Not verified</t>
        </is>
      </c>
      <c r="AI299" s="8" t="inlineStr">
        <is>
          <t>No</t>
        </is>
      </c>
      <c r="AJ299" s="8" t="inlineStr">
        <is>
          <t>Claimed - unverified</t>
        </is>
      </c>
      <c r="AK299" s="8" t="inlineStr">
        <is>
          <t>P1</t>
        </is>
      </c>
      <c r="AL299" s="8" t="n">
        <v>27</v>
      </c>
      <c r="AM299" s="5" t="inlineStr"/>
      <c r="AN299" s="5" t="inlineStr"/>
      <c r="AO299" s="5" t="inlineStr"/>
      <c r="AP299" s="5" t="inlineStr"/>
      <c r="AQ299" s="5" t="inlineStr"/>
      <c r="AR299" s="5" t="inlineStr"/>
      <c r="AS299" s="5" t="inlineStr"/>
      <c r="AT299" s="5" t="inlineStr"/>
      <c r="AU299" s="8" t="inlineStr">
        <is>
          <t>Not run</t>
        </is>
      </c>
    </row>
    <row r="300" ht="32" customHeight="1">
      <c r="A300" s="16" t="inlineStr">
        <is>
          <t>X-0299</t>
        </is>
      </c>
      <c r="B300" s="8" t="inlineStr">
        <is>
          <t>X</t>
        </is>
      </c>
      <c r="C300" s="5" t="inlineStr">
        <is>
          <t>Multiple / Cross-persona</t>
        </is>
      </c>
      <c r="D300" s="5" t="inlineStr">
        <is>
          <t>GST / Tax / Compliance</t>
        </is>
      </c>
      <c r="E300" s="5" t="inlineStr">
        <is>
          <t>Duplicate invoice → duplicate detection</t>
        </is>
      </c>
      <c r="F300" s="5" t="inlineStr">
        <is>
          <t>System / Validation Engine</t>
        </is>
      </c>
      <c r="G300" s="5" t="inlineStr">
        <is>
          <t>In-house Accountant</t>
        </is>
      </c>
      <c r="H300" s="5" t="inlineStr">
        <is>
          <t>Duplicate supplier invoice numbers detected automatically upon entry or GSTR-2B import</t>
        </is>
      </c>
      <c r="I300" s="5" t="inlineStr">
        <is>
          <t>Blocks duplicate entry; alerts user that invoice was already recorded in previous period</t>
        </is>
      </c>
      <c r="J300" s="20" t="inlineStr">
        <is>
          <t>P1</t>
        </is>
      </c>
      <c r="K300" s="20" t="inlineStr">
        <is>
          <t>Validated (Supported)</t>
        </is>
      </c>
      <c r="L300" s="5" t="inlineStr">
        <is>
          <t>Enforced via unique database constraint (company_id, supplier_id, invoice_number).</t>
        </is>
      </c>
      <c r="M300" s="8" t="inlineStr">
        <is>
          <t>Baseline</t>
        </is>
      </c>
      <c r="N300" s="8" t="inlineStr">
        <is>
          <t>Cross-persona</t>
        </is>
      </c>
      <c r="O300" s="8" t="inlineStr">
        <is>
          <t>P1</t>
        </is>
      </c>
      <c r="P300" s="5" t="inlineStr">
        <is>
          <t>Unchanged</t>
        </is>
      </c>
      <c r="Q300" s="21" t="inlineStr">
        <is>
          <t>Code symbol found</t>
        </is>
      </c>
      <c r="R300" s="5" t="inlineStr">
        <is>
          <t>Matched invoice_number in product code. This is not a functional test.</t>
        </is>
      </c>
      <c r="S300" s="8" t="inlineStr">
        <is>
          <t>GST</t>
        </is>
      </c>
      <c r="T300" s="5" t="inlineStr">
        <is>
          <t>GST and tax compliance</t>
        </is>
      </c>
      <c r="U300" s="8" t="inlineStr"/>
      <c r="V300" s="8" t="inlineStr">
        <is>
          <t>accounting</t>
        </is>
      </c>
      <c r="W300" s="8" t="inlineStr">
        <is>
          <t>CONTROL</t>
        </is>
      </c>
      <c r="X300" s="5" t="inlineStr">
        <is>
          <t>Core</t>
        </is>
      </c>
      <c r="Y300" s="5" t="inlineStr">
        <is>
          <t>Cross-persona</t>
        </is>
      </c>
      <c r="Z300" s="5" t="inlineStr">
        <is>
          <t>Critical</t>
        </is>
      </c>
      <c r="AA300" s="5" t="inlineStr">
        <is>
          <t>High</t>
        </is>
      </c>
      <c r="AB300" s="8" t="inlineStr">
        <is>
          <t>High</t>
        </is>
      </c>
      <c r="AC300" s="8" t="inlineStr">
        <is>
          <t>Pilot</t>
        </is>
      </c>
      <c r="AD300" s="5" t="inlineStr">
        <is>
          <t>Cited in code</t>
        </is>
      </c>
      <c r="AE300" s="5" t="inlineStr">
        <is>
          <t>Not verified</t>
        </is>
      </c>
      <c r="AF300" s="5" t="inlineStr">
        <is>
          <t>Not verified</t>
        </is>
      </c>
      <c r="AG300" s="5" t="inlineStr">
        <is>
          <t>Not verified</t>
        </is>
      </c>
      <c r="AH300" s="5" t="inlineStr">
        <is>
          <t>Not verified</t>
        </is>
      </c>
      <c r="AI300" s="8" t="inlineStr">
        <is>
          <t>No</t>
        </is>
      </c>
      <c r="AJ300" s="8" t="inlineStr">
        <is>
          <t>Built - unverified</t>
        </is>
      </c>
      <c r="AK300" s="8" t="inlineStr">
        <is>
          <t>P1</t>
        </is>
      </c>
      <c r="AL300" s="8" t="n">
        <v>27</v>
      </c>
      <c r="AM300" s="5" t="inlineStr"/>
      <c r="AN300" s="5" t="inlineStr"/>
      <c r="AO300" s="5" t="inlineStr"/>
      <c r="AP300" s="5" t="inlineStr"/>
      <c r="AQ300" s="5" t="inlineStr"/>
      <c r="AR300" s="5" t="inlineStr"/>
      <c r="AS300" s="5" t="inlineStr"/>
      <c r="AT300" s="5" t="inlineStr"/>
      <c r="AU300" s="8" t="inlineStr">
        <is>
          <t>Not run</t>
        </is>
      </c>
    </row>
    <row r="301" ht="32" customHeight="1">
      <c r="A301" s="16" t="inlineStr">
        <is>
          <t>X-0300</t>
        </is>
      </c>
      <c r="B301" s="8" t="inlineStr">
        <is>
          <t>X</t>
        </is>
      </c>
      <c r="C301" s="5" t="inlineStr">
        <is>
          <t>Multiple / Cross-persona</t>
        </is>
      </c>
      <c r="D301" s="5" t="inlineStr">
        <is>
          <t>GST / Tax / Compliance</t>
        </is>
      </c>
      <c r="E301" s="5" t="inlineStr">
        <is>
          <t>Supplier defect → supplier defect score updates</t>
        </is>
      </c>
      <c r="F301" s="5" t="inlineStr">
        <is>
          <t>System / Vendor Scoring</t>
        </is>
      </c>
      <c r="G301" s="5" t="inlineStr">
        <is>
          <t>Purchase Manager</t>
        </is>
      </c>
      <c r="H301" s="5" t="inlineStr">
        <is>
          <t>Suppliers with missing invoices, tax errors, or delayed filings penalized in compliance score</t>
        </is>
      </c>
      <c r="I301" s="5" t="inlineStr">
        <is>
          <t>Updates supplier compliance score; displays risk badge on future purchase orders</t>
        </is>
      </c>
      <c r="J301" s="20" t="inlineStr">
        <is>
          <t>P1</t>
        </is>
      </c>
      <c r="K301" s="20" t="inlineStr">
        <is>
          <t>Validated (Supported)</t>
        </is>
      </c>
      <c r="L301" s="5" t="inlineStr">
        <is>
          <t>Supported via Supplier Compliance Scorecard in purchases module.</t>
        </is>
      </c>
      <c r="M301" s="8" t="inlineStr">
        <is>
          <t>Baseline</t>
        </is>
      </c>
      <c r="N301" s="8" t="inlineStr">
        <is>
          <t>Cross-persona</t>
        </is>
      </c>
      <c r="O301" s="8" t="inlineStr">
        <is>
          <t>P1</t>
        </is>
      </c>
      <c r="P301" s="5" t="inlineStr">
        <is>
          <t>Unchanged</t>
        </is>
      </c>
      <c r="Q301" s="20" t="inlineStr">
        <is>
          <t>Author assertion</t>
        </is>
      </c>
      <c r="R301" s="5" t="inlineStr"/>
      <c r="S301" s="8" t="inlineStr">
        <is>
          <t>GST</t>
        </is>
      </c>
      <c r="T301" s="5" t="inlineStr">
        <is>
          <t>GST and tax compliance</t>
        </is>
      </c>
      <c r="U301" s="8" t="inlineStr"/>
      <c r="V301" s="8" t="inlineStr">
        <is>
          <t>accounting</t>
        </is>
      </c>
      <c r="W301" s="8" t="inlineStr">
        <is>
          <t>CONTROL</t>
        </is>
      </c>
      <c r="X301" s="5" t="inlineStr">
        <is>
          <t>Core</t>
        </is>
      </c>
      <c r="Y301" s="5" t="inlineStr">
        <is>
          <t>Cross-persona</t>
        </is>
      </c>
      <c r="Z301" s="5" t="inlineStr">
        <is>
          <t>Critical</t>
        </is>
      </c>
      <c r="AA301" s="5" t="inlineStr">
        <is>
          <t>High</t>
        </is>
      </c>
      <c r="AB301" s="8" t="inlineStr">
        <is>
          <t>High</t>
        </is>
      </c>
      <c r="AC301" s="8" t="inlineStr">
        <is>
          <t>Pilot</t>
        </is>
      </c>
      <c r="AD301" s="5" t="inlineStr">
        <is>
          <t>Not independently checked</t>
        </is>
      </c>
      <c r="AE301" s="5" t="inlineStr">
        <is>
          <t>Not verified</t>
        </is>
      </c>
      <c r="AF301" s="5" t="inlineStr">
        <is>
          <t>Not verified</t>
        </is>
      </c>
      <c r="AG301" s="5" t="inlineStr">
        <is>
          <t>Not verified</t>
        </is>
      </c>
      <c r="AH301" s="5" t="inlineStr">
        <is>
          <t>Not verified</t>
        </is>
      </c>
      <c r="AI301" s="8" t="inlineStr">
        <is>
          <t>No</t>
        </is>
      </c>
      <c r="AJ301" s="8" t="inlineStr">
        <is>
          <t>Claimed - unverified</t>
        </is>
      </c>
      <c r="AK301" s="8" t="inlineStr">
        <is>
          <t>P1</t>
        </is>
      </c>
      <c r="AL301" s="8" t="n">
        <v>27</v>
      </c>
      <c r="AM301" s="5" t="inlineStr"/>
      <c r="AN301" s="5" t="inlineStr"/>
      <c r="AO301" s="5" t="inlineStr"/>
      <c r="AP301" s="5" t="inlineStr"/>
      <c r="AQ301" s="5" t="inlineStr"/>
      <c r="AR301" s="5" t="inlineStr"/>
      <c r="AS301" s="5" t="inlineStr"/>
      <c r="AT301" s="5" t="inlineStr"/>
      <c r="AU301" s="8" t="inlineStr">
        <is>
          <t>Not run</t>
        </is>
      </c>
    </row>
    <row r="302" ht="32" customHeight="1">
      <c r="A302" s="16" t="inlineStr">
        <is>
          <t>X-0301</t>
        </is>
      </c>
      <c r="B302" s="8" t="inlineStr">
        <is>
          <t>X</t>
        </is>
      </c>
      <c r="C302" s="5" t="inlineStr">
        <is>
          <t>Multiple / Cross-persona</t>
        </is>
      </c>
      <c r="D302" s="5" t="inlineStr">
        <is>
          <t>GST / Tax / Compliance</t>
        </is>
      </c>
      <c r="E302" s="5" t="inlineStr">
        <is>
          <t>ITC deadline approaching → alert</t>
        </is>
      </c>
      <c r="F302" s="5" t="inlineStr">
        <is>
          <t>Alert Notification Engine</t>
        </is>
      </c>
      <c r="G302" s="5" t="inlineStr">
        <is>
          <t>In-house Accountant / Owner</t>
        </is>
      </c>
      <c r="H302" s="5" t="inlineStr">
        <is>
          <t>Proactive alert warning of approaching Section 16(4) statutory deadline for claiming open ITC</t>
        </is>
      </c>
      <c r="I302" s="5" t="inlineStr">
        <is>
          <t>Surfaces high-priority warning for unclaimed purchase invoices older than 180 days</t>
        </is>
      </c>
      <c r="J302" s="20" t="inlineStr">
        <is>
          <t>P1</t>
        </is>
      </c>
      <c r="K302" s="20" t="inlineStr">
        <is>
          <t>Validated (Supported)</t>
        </is>
      </c>
      <c r="L302" s="5" t="inlineStr">
        <is>
          <t>Supported via statutory deadline alert trigger in GST module.</t>
        </is>
      </c>
      <c r="M302" s="8" t="inlineStr">
        <is>
          <t>Baseline</t>
        </is>
      </c>
      <c r="N302" s="8" t="inlineStr">
        <is>
          <t>Cross-persona</t>
        </is>
      </c>
      <c r="O302" s="8" t="inlineStr">
        <is>
          <t>P1</t>
        </is>
      </c>
      <c r="P302" s="5" t="inlineStr">
        <is>
          <t>Restored to authored P1. The previous workbook had P0 after a keyword rebalance.</t>
        </is>
      </c>
      <c r="Q302" s="20" t="inlineStr">
        <is>
          <t>Author assertion</t>
        </is>
      </c>
      <c r="R302" s="5" t="inlineStr">
        <is>
          <t>Restored to authored P1. The previous workbook had P0 after a keyword rebalance.</t>
        </is>
      </c>
      <c r="S302" s="8" t="inlineStr">
        <is>
          <t>GST</t>
        </is>
      </c>
      <c r="T302" s="5" t="inlineStr">
        <is>
          <t>GST and tax compliance</t>
        </is>
      </c>
      <c r="U302" s="8" t="inlineStr"/>
      <c r="V302" s="8" t="inlineStr">
        <is>
          <t>accounting</t>
        </is>
      </c>
      <c r="W302" s="8" t="inlineStr">
        <is>
          <t>CONTROL</t>
        </is>
      </c>
      <c r="X302" s="5" t="inlineStr">
        <is>
          <t>Core</t>
        </is>
      </c>
      <c r="Y302" s="5" t="inlineStr">
        <is>
          <t>Cross-persona</t>
        </is>
      </c>
      <c r="Z302" s="5" t="inlineStr">
        <is>
          <t>Critical</t>
        </is>
      </c>
      <c r="AA302" s="5" t="inlineStr">
        <is>
          <t>High</t>
        </is>
      </c>
      <c r="AB302" s="8" t="inlineStr">
        <is>
          <t>High</t>
        </is>
      </c>
      <c r="AC302" s="8" t="inlineStr">
        <is>
          <t>Pilot</t>
        </is>
      </c>
      <c r="AD302" s="5" t="inlineStr">
        <is>
          <t>Not independently checked</t>
        </is>
      </c>
      <c r="AE302" s="5" t="inlineStr">
        <is>
          <t>Not verified</t>
        </is>
      </c>
      <c r="AF302" s="5" t="inlineStr">
        <is>
          <t>Not verified</t>
        </is>
      </c>
      <c r="AG302" s="5" t="inlineStr">
        <is>
          <t>Not verified</t>
        </is>
      </c>
      <c r="AH302" s="5" t="inlineStr">
        <is>
          <t>Not verified</t>
        </is>
      </c>
      <c r="AI302" s="8" t="inlineStr">
        <is>
          <t>No</t>
        </is>
      </c>
      <c r="AJ302" s="8" t="inlineStr">
        <is>
          <t>Claimed - unverified</t>
        </is>
      </c>
      <c r="AK302" s="8" t="inlineStr">
        <is>
          <t>P1</t>
        </is>
      </c>
      <c r="AL302" s="8" t="n">
        <v>27</v>
      </c>
      <c r="AM302" s="5" t="inlineStr"/>
      <c r="AN302" s="5" t="inlineStr"/>
      <c r="AO302" s="5" t="inlineStr"/>
      <c r="AP302" s="5" t="inlineStr"/>
      <c r="AQ302" s="5" t="inlineStr"/>
      <c r="AR302" s="5" t="inlineStr"/>
      <c r="AS302" s="5" t="inlineStr"/>
      <c r="AT302" s="5" t="inlineStr"/>
      <c r="AU302" s="8" t="inlineStr">
        <is>
          <t>Not run</t>
        </is>
      </c>
    </row>
    <row r="303" ht="32" customHeight="1">
      <c r="A303" s="16" t="inlineStr">
        <is>
          <t>X-0302</t>
        </is>
      </c>
      <c r="B303" s="8" t="inlineStr">
        <is>
          <t>X</t>
        </is>
      </c>
      <c r="C303" s="5" t="inlineStr">
        <is>
          <t>Multiple / Cross-persona</t>
        </is>
      </c>
      <c r="D303" s="5" t="inlineStr">
        <is>
          <t>GST / Tax / Compliance</t>
        </is>
      </c>
      <c r="E303" s="5" t="inlineStr">
        <is>
          <t>ITC-at-risk invoice → credit-at-risk dashboard updates</t>
        </is>
      </c>
      <c r="F303" s="5" t="inlineStr">
        <is>
          <t>Reporting &amp; Business Intelligence</t>
        </is>
      </c>
      <c r="G303" s="5" t="inlineStr">
        <is>
          <t>In-house Accountant / Owner</t>
        </is>
      </c>
      <c r="H303" s="5" t="inlineStr">
        <is>
          <t>Dashboard tracking total monetary value of Input Tax Credit currently at risk of lapsing</t>
        </is>
      </c>
      <c r="I303" s="5" t="inlineStr">
        <is>
          <t>Aggregates total disputed or unfiled ITC; updates Credit-at-Risk KPI card on home screen</t>
        </is>
      </c>
      <c r="J303" s="20" t="inlineStr">
        <is>
          <t>P1</t>
        </is>
      </c>
      <c r="K303" s="20" t="inlineStr">
        <is>
          <t>Validated (Supported)</t>
        </is>
      </c>
      <c r="L303" s="5" t="inlineStr">
        <is>
          <t>Supported via Credit-at-Risk Dashboard (/gst/itc-risk/).</t>
        </is>
      </c>
      <c r="M303" s="8" t="inlineStr">
        <is>
          <t>Baseline</t>
        </is>
      </c>
      <c r="N303" s="8" t="inlineStr">
        <is>
          <t>Cross-persona</t>
        </is>
      </c>
      <c r="O303" s="8" t="inlineStr">
        <is>
          <t>P1</t>
        </is>
      </c>
      <c r="P303" s="5" t="inlineStr">
        <is>
          <t>Unchanged</t>
        </is>
      </c>
      <c r="Q303" s="20" t="inlineStr">
        <is>
          <t>Author assertion</t>
        </is>
      </c>
      <c r="R303" s="5" t="inlineStr"/>
      <c r="S303" s="8" t="inlineStr">
        <is>
          <t>GST</t>
        </is>
      </c>
      <c r="T303" s="5" t="inlineStr">
        <is>
          <t>GST and tax compliance</t>
        </is>
      </c>
      <c r="U303" s="8" t="inlineStr"/>
      <c r="V303" s="8" t="inlineStr">
        <is>
          <t>accounting</t>
        </is>
      </c>
      <c r="W303" s="8" t="inlineStr">
        <is>
          <t>CONTROL</t>
        </is>
      </c>
      <c r="X303" s="5" t="inlineStr">
        <is>
          <t>Core</t>
        </is>
      </c>
      <c r="Y303" s="5" t="inlineStr">
        <is>
          <t>Cross-persona</t>
        </is>
      </c>
      <c r="Z303" s="5" t="inlineStr">
        <is>
          <t>Critical</t>
        </is>
      </c>
      <c r="AA303" s="5" t="inlineStr">
        <is>
          <t>High</t>
        </is>
      </c>
      <c r="AB303" s="8" t="inlineStr">
        <is>
          <t>High</t>
        </is>
      </c>
      <c r="AC303" s="8" t="inlineStr">
        <is>
          <t>Pilot</t>
        </is>
      </c>
      <c r="AD303" s="5" t="inlineStr">
        <is>
          <t>Not independently checked</t>
        </is>
      </c>
      <c r="AE303" s="5" t="inlineStr">
        <is>
          <t>Not verified</t>
        </is>
      </c>
      <c r="AF303" s="5" t="inlineStr">
        <is>
          <t>Not verified</t>
        </is>
      </c>
      <c r="AG303" s="5" t="inlineStr">
        <is>
          <t>Not verified</t>
        </is>
      </c>
      <c r="AH303" s="5" t="inlineStr">
        <is>
          <t>Not verified</t>
        </is>
      </c>
      <c r="AI303" s="8" t="inlineStr">
        <is>
          <t>No</t>
        </is>
      </c>
      <c r="AJ303" s="8" t="inlineStr">
        <is>
          <t>Claimed - unverified</t>
        </is>
      </c>
      <c r="AK303" s="8" t="inlineStr">
        <is>
          <t>P1</t>
        </is>
      </c>
      <c r="AL303" s="8" t="n">
        <v>27</v>
      </c>
      <c r="AM303" s="5" t="inlineStr"/>
      <c r="AN303" s="5" t="inlineStr"/>
      <c r="AO303" s="5" t="inlineStr"/>
      <c r="AP303" s="5" t="inlineStr"/>
      <c r="AQ303" s="5" t="inlineStr"/>
      <c r="AR303" s="5" t="inlineStr"/>
      <c r="AS303" s="5" t="inlineStr"/>
      <c r="AT303" s="5" t="inlineStr"/>
      <c r="AU303" s="8" t="inlineStr">
        <is>
          <t>Not run</t>
        </is>
      </c>
    </row>
    <row r="304" ht="32" customHeight="1">
      <c r="A304" s="16" t="inlineStr">
        <is>
          <t>X-0303</t>
        </is>
      </c>
      <c r="B304" s="8" t="inlineStr">
        <is>
          <t>X</t>
        </is>
      </c>
      <c r="C304" s="5" t="inlineStr">
        <is>
          <t>Multiple / Cross-persona</t>
        </is>
      </c>
      <c r="D304" s="5" t="inlineStr">
        <is>
          <t>GST / Tax / Compliance</t>
        </is>
      </c>
      <c r="E304" s="5" t="inlineStr">
        <is>
          <t>GST data correction → audit trail maintained</t>
        </is>
      </c>
      <c r="F304" s="5" t="inlineStr">
        <is>
          <t>Security / Exception / Recovery</t>
        </is>
      </c>
      <c r="G304" s="5" t="inlineStr">
        <is>
          <t>Statutory Auditor</t>
        </is>
      </c>
      <c r="H304" s="5" t="inlineStr">
        <is>
          <t>Any adjustments or corrections made to statutory tax data preserve complete audit trail</t>
        </is>
      </c>
      <c r="I304" s="5" t="inlineStr">
        <is>
          <t>Records user ID, previous tax values, new values, timestamp, and justification reason</t>
        </is>
      </c>
      <c r="J304" s="20" t="inlineStr">
        <is>
          <t>P1</t>
        </is>
      </c>
      <c r="K304" s="20" t="inlineStr">
        <is>
          <t>Validated (Supported)</t>
        </is>
      </c>
      <c r="L304" s="5" t="inlineStr">
        <is>
          <t>Core system invariant: immutable audit logging for all statutory tax modifications.</t>
        </is>
      </c>
      <c r="M304" s="8" t="inlineStr">
        <is>
          <t>Baseline</t>
        </is>
      </c>
      <c r="N304" s="8" t="inlineStr">
        <is>
          <t>Cross-persona</t>
        </is>
      </c>
      <c r="O304" s="8" t="inlineStr">
        <is>
          <t>P1</t>
        </is>
      </c>
      <c r="P304" s="5" t="inlineStr">
        <is>
          <t>Unchanged</t>
        </is>
      </c>
      <c r="Q304" s="20" t="inlineStr">
        <is>
          <t>Author assertion</t>
        </is>
      </c>
      <c r="R304" s="5" t="inlineStr"/>
      <c r="S304" s="8" t="inlineStr">
        <is>
          <t>GST</t>
        </is>
      </c>
      <c r="T304" s="5" t="inlineStr">
        <is>
          <t>GST and tax compliance</t>
        </is>
      </c>
      <c r="U304" s="8" t="inlineStr"/>
      <c r="V304" s="8" t="inlineStr">
        <is>
          <t>accounting</t>
        </is>
      </c>
      <c r="W304" s="8" t="inlineStr">
        <is>
          <t>CONTROL</t>
        </is>
      </c>
      <c r="X304" s="5" t="inlineStr">
        <is>
          <t>Core</t>
        </is>
      </c>
      <c r="Y304" s="5" t="inlineStr">
        <is>
          <t>Cross-persona</t>
        </is>
      </c>
      <c r="Z304" s="5" t="inlineStr">
        <is>
          <t>Critical</t>
        </is>
      </c>
      <c r="AA304" s="5" t="inlineStr">
        <is>
          <t>High</t>
        </is>
      </c>
      <c r="AB304" s="8" t="inlineStr">
        <is>
          <t>High</t>
        </is>
      </c>
      <c r="AC304" s="8" t="inlineStr">
        <is>
          <t>Pilot</t>
        </is>
      </c>
      <c r="AD304" s="5" t="inlineStr">
        <is>
          <t>Not independently checked</t>
        </is>
      </c>
      <c r="AE304" s="5" t="inlineStr">
        <is>
          <t>Not verified</t>
        </is>
      </c>
      <c r="AF304" s="5" t="inlineStr">
        <is>
          <t>Not verified</t>
        </is>
      </c>
      <c r="AG304" s="5" t="inlineStr">
        <is>
          <t>Not verified</t>
        </is>
      </c>
      <c r="AH304" s="5" t="inlineStr">
        <is>
          <t>Not verified</t>
        </is>
      </c>
      <c r="AI304" s="8" t="inlineStr">
        <is>
          <t>No</t>
        </is>
      </c>
      <c r="AJ304" s="8" t="inlineStr">
        <is>
          <t>Claimed - unverified</t>
        </is>
      </c>
      <c r="AK304" s="8" t="inlineStr">
        <is>
          <t>P1</t>
        </is>
      </c>
      <c r="AL304" s="8" t="n">
        <v>27</v>
      </c>
      <c r="AM304" s="5" t="inlineStr"/>
      <c r="AN304" s="5" t="inlineStr"/>
      <c r="AO304" s="5" t="inlineStr"/>
      <c r="AP304" s="5" t="inlineStr"/>
      <c r="AQ304" s="5" t="inlineStr"/>
      <c r="AR304" s="5" t="inlineStr"/>
      <c r="AS304" s="5" t="inlineStr"/>
      <c r="AT304" s="5" t="inlineStr"/>
      <c r="AU304" s="8" t="inlineStr">
        <is>
          <t>Not run</t>
        </is>
      </c>
    </row>
    <row r="305" ht="32" customHeight="1">
      <c r="A305" s="16" t="inlineStr">
        <is>
          <t>X-0304</t>
        </is>
      </c>
      <c r="B305" s="8" t="inlineStr">
        <is>
          <t>X</t>
        </is>
      </c>
      <c r="C305" s="5" t="inlineStr">
        <is>
          <t>Multiple / Cross-persona</t>
        </is>
      </c>
      <c r="D305" s="5" t="inlineStr">
        <is>
          <t>GST / Tax / Compliance</t>
        </is>
      </c>
      <c r="E305" s="5" t="inlineStr">
        <is>
          <t>GST return preparation → source transactions remain traceable</t>
        </is>
      </c>
      <c r="F305" s="5" t="inlineStr">
        <is>
          <t>In-house Accountant</t>
        </is>
      </c>
      <c r="G305" s="5" t="inlineStr">
        <is>
          <t>Statutory Auditor</t>
        </is>
      </c>
      <c r="H305" s="5" t="inlineStr">
        <is>
          <t>Every aggregate number on GSTR-1, GSTR-3B, or CMP-08 drillable to underlying source invoices</t>
        </is>
      </c>
      <c r="I305" s="5" t="inlineStr">
        <is>
          <t>Provides bidirectional audit linkage between return line items and individual vouchers</t>
        </is>
      </c>
      <c r="J305" s="20" t="inlineStr">
        <is>
          <t>P1</t>
        </is>
      </c>
      <c r="K305" s="20" t="inlineStr">
        <is>
          <t>Validated (Supported)</t>
        </is>
      </c>
      <c r="L305" s="5" t="inlineStr">
        <is>
          <t>Supported via full drill-down from return summary tables to underlying transaction ledgers.</t>
        </is>
      </c>
      <c r="M305" s="8" t="inlineStr">
        <is>
          <t>Baseline</t>
        </is>
      </c>
      <c r="N305" s="8" t="inlineStr">
        <is>
          <t>Cross-persona</t>
        </is>
      </c>
      <c r="O305" s="8" t="inlineStr">
        <is>
          <t>P1</t>
        </is>
      </c>
      <c r="P305" s="5" t="inlineStr">
        <is>
          <t>Unchanged</t>
        </is>
      </c>
      <c r="Q305" s="20" t="inlineStr">
        <is>
          <t>Author assertion</t>
        </is>
      </c>
      <c r="R305" s="5" t="inlineStr"/>
      <c r="S305" s="8" t="inlineStr">
        <is>
          <t>GST</t>
        </is>
      </c>
      <c r="T305" s="5" t="inlineStr">
        <is>
          <t>GST and tax compliance</t>
        </is>
      </c>
      <c r="U305" s="8" t="inlineStr"/>
      <c r="V305" s="8" t="inlineStr">
        <is>
          <t>accounting</t>
        </is>
      </c>
      <c r="W305" s="8" t="inlineStr">
        <is>
          <t>CONTROL</t>
        </is>
      </c>
      <c r="X305" s="5" t="inlineStr">
        <is>
          <t>Core</t>
        </is>
      </c>
      <c r="Y305" s="5" t="inlineStr">
        <is>
          <t>Cross-persona</t>
        </is>
      </c>
      <c r="Z305" s="5" t="inlineStr">
        <is>
          <t>Critical</t>
        </is>
      </c>
      <c r="AA305" s="5" t="inlineStr">
        <is>
          <t>High</t>
        </is>
      </c>
      <c r="AB305" s="8" t="inlineStr">
        <is>
          <t>High</t>
        </is>
      </c>
      <c r="AC305" s="8" t="inlineStr">
        <is>
          <t>Pilot</t>
        </is>
      </c>
      <c r="AD305" s="5" t="inlineStr">
        <is>
          <t>Not independently checked</t>
        </is>
      </c>
      <c r="AE305" s="5" t="inlineStr">
        <is>
          <t>Not verified</t>
        </is>
      </c>
      <c r="AF305" s="5" t="inlineStr">
        <is>
          <t>Not verified</t>
        </is>
      </c>
      <c r="AG305" s="5" t="inlineStr">
        <is>
          <t>Not verified</t>
        </is>
      </c>
      <c r="AH305" s="5" t="inlineStr">
        <is>
          <t>Not verified</t>
        </is>
      </c>
      <c r="AI305" s="8" t="inlineStr">
        <is>
          <t>No</t>
        </is>
      </c>
      <c r="AJ305" s="8" t="inlineStr">
        <is>
          <t>Claimed - unverified</t>
        </is>
      </c>
      <c r="AK305" s="8" t="inlineStr">
        <is>
          <t>P1</t>
        </is>
      </c>
      <c r="AL305" s="8" t="n">
        <v>27</v>
      </c>
      <c r="AM305" s="5" t="inlineStr"/>
      <c r="AN305" s="5" t="inlineStr"/>
      <c r="AO305" s="5" t="inlineStr"/>
      <c r="AP305" s="5" t="inlineStr"/>
      <c r="AQ305" s="5" t="inlineStr"/>
      <c r="AR305" s="5" t="inlineStr"/>
      <c r="AS305" s="5" t="inlineStr"/>
      <c r="AT305" s="5" t="inlineStr"/>
      <c r="AU305" s="8" t="inlineStr">
        <is>
          <t>Not run</t>
        </is>
      </c>
    </row>
    <row r="306" ht="32" customHeight="1">
      <c r="A306" s="16" t="inlineStr">
        <is>
          <t>X-0305</t>
        </is>
      </c>
      <c r="B306" s="8" t="inlineStr">
        <is>
          <t>X</t>
        </is>
      </c>
      <c r="C306" s="5" t="inlineStr">
        <is>
          <t>Multiple / Cross-persona</t>
        </is>
      </c>
      <c r="D306" s="5" t="inlineStr">
        <is>
          <t>GST / Tax / Compliance</t>
        </is>
      </c>
      <c r="E306" s="5" t="inlineStr">
        <is>
          <t>Accountant reviews GST exception → exception resolved</t>
        </is>
      </c>
      <c r="F306" s="5" t="inlineStr">
        <is>
          <t>In-house Accountant</t>
        </is>
      </c>
      <c r="G306" s="5" t="inlineStr">
        <is>
          <t>Billing Clerk / Supplier</t>
        </is>
      </c>
      <c r="H306" s="5" t="inlineStr">
        <is>
          <t>Accountant investigates flagged tax exception, updates data, and marks exception resolved</t>
        </is>
      </c>
      <c r="I306" s="5" t="inlineStr">
        <is>
          <t>Updates exception status to RESOLVED; re-runs validation checks; includes in return pool</t>
        </is>
      </c>
      <c r="J306" s="20" t="inlineStr">
        <is>
          <t>P1</t>
        </is>
      </c>
      <c r="K306" s="20" t="inlineStr">
        <is>
          <t>Validated (Supported)</t>
        </is>
      </c>
      <c r="L306" s="5" t="inlineStr">
        <is>
          <t>Supported via Attention Row exception management interface.</t>
        </is>
      </c>
      <c r="M306" s="8" t="inlineStr">
        <is>
          <t>Baseline</t>
        </is>
      </c>
      <c r="N306" s="8" t="inlineStr">
        <is>
          <t>Cross-persona</t>
        </is>
      </c>
      <c r="O306" s="8" t="inlineStr">
        <is>
          <t>P1</t>
        </is>
      </c>
      <c r="P306" s="5" t="inlineStr">
        <is>
          <t>Unchanged</t>
        </is>
      </c>
      <c r="Q306" s="20" t="inlineStr">
        <is>
          <t>Author assertion</t>
        </is>
      </c>
      <c r="R306" s="5" t="inlineStr"/>
      <c r="S306" s="8" t="inlineStr">
        <is>
          <t>GST</t>
        </is>
      </c>
      <c r="T306" s="5" t="inlineStr">
        <is>
          <t>GST and tax compliance</t>
        </is>
      </c>
      <c r="U306" s="8" t="inlineStr"/>
      <c r="V306" s="8" t="inlineStr">
        <is>
          <t>accounting</t>
        </is>
      </c>
      <c r="W306" s="8" t="inlineStr">
        <is>
          <t>CONTROL</t>
        </is>
      </c>
      <c r="X306" s="5" t="inlineStr">
        <is>
          <t>Core</t>
        </is>
      </c>
      <c r="Y306" s="5" t="inlineStr">
        <is>
          <t>Cross-persona</t>
        </is>
      </c>
      <c r="Z306" s="5" t="inlineStr">
        <is>
          <t>Critical</t>
        </is>
      </c>
      <c r="AA306" s="5" t="inlineStr">
        <is>
          <t>High</t>
        </is>
      </c>
      <c r="AB306" s="8" t="inlineStr">
        <is>
          <t>High</t>
        </is>
      </c>
      <c r="AC306" s="8" t="inlineStr">
        <is>
          <t>Pilot</t>
        </is>
      </c>
      <c r="AD306" s="5" t="inlineStr">
        <is>
          <t>Not independently checked</t>
        </is>
      </c>
      <c r="AE306" s="5" t="inlineStr">
        <is>
          <t>Not verified</t>
        </is>
      </c>
      <c r="AF306" s="5" t="inlineStr">
        <is>
          <t>Not verified</t>
        </is>
      </c>
      <c r="AG306" s="5" t="inlineStr">
        <is>
          <t>Not verified</t>
        </is>
      </c>
      <c r="AH306" s="5" t="inlineStr">
        <is>
          <t>Not verified</t>
        </is>
      </c>
      <c r="AI306" s="8" t="inlineStr">
        <is>
          <t>No</t>
        </is>
      </c>
      <c r="AJ306" s="8" t="inlineStr">
        <is>
          <t>Claimed - unverified</t>
        </is>
      </c>
      <c r="AK306" s="8" t="inlineStr">
        <is>
          <t>P1</t>
        </is>
      </c>
      <c r="AL306" s="8" t="n">
        <v>27</v>
      </c>
      <c r="AM306" s="5" t="inlineStr"/>
      <c r="AN306" s="5" t="inlineStr"/>
      <c r="AO306" s="5" t="inlineStr"/>
      <c r="AP306" s="5" t="inlineStr"/>
      <c r="AQ306" s="5" t="inlineStr"/>
      <c r="AR306" s="5" t="inlineStr"/>
      <c r="AS306" s="5" t="inlineStr"/>
      <c r="AT306" s="5" t="inlineStr"/>
      <c r="AU306" s="8" t="inlineStr">
        <is>
          <t>Not run</t>
        </is>
      </c>
    </row>
    <row r="307" ht="32" customHeight="1">
      <c r="A307" s="16" t="inlineStr">
        <is>
          <t>X-0306</t>
        </is>
      </c>
      <c r="B307" s="8" t="inlineStr">
        <is>
          <t>X</t>
        </is>
      </c>
      <c r="C307" s="5" t="inlineStr">
        <is>
          <t>Multiple / Cross-persona</t>
        </is>
      </c>
      <c r="D307" s="5" t="inlineStr">
        <is>
          <t>GST / Tax / Compliance</t>
        </is>
      </c>
      <c r="E307" s="5" t="inlineStr">
        <is>
          <t>GST export → exported data reconciles with system</t>
        </is>
      </c>
      <c r="F307" s="5" t="inlineStr">
        <is>
          <t>In-house Accountant</t>
        </is>
      </c>
      <c r="G307" s="5" t="inlineStr">
        <is>
          <t>External CA</t>
        </is>
      </c>
      <c r="H307" s="5" t="inlineStr">
        <is>
          <t>Exported GSTR-1 JSON or Excel reconciles to the last rupee with system general ledger balances</t>
        </is>
      </c>
      <c r="I307" s="5" t="inlineStr">
        <is>
          <t>Performs automated cross-checksum validation between exported JSON and GL tax accounts</t>
        </is>
      </c>
      <c r="J307" s="20" t="inlineStr">
        <is>
          <t>P1</t>
        </is>
      </c>
      <c r="K307" s="20" t="inlineStr">
        <is>
          <t>Validated (Supported)</t>
        </is>
      </c>
      <c r="L307" s="5" t="inlineStr">
        <is>
          <t>Core compliance invariant: exported return data matches general ledger balances exactly.</t>
        </is>
      </c>
      <c r="M307" s="8" t="inlineStr">
        <is>
          <t>Baseline</t>
        </is>
      </c>
      <c r="N307" s="8" t="inlineStr">
        <is>
          <t>Cross-persona</t>
        </is>
      </c>
      <c r="O307" s="8" t="inlineStr">
        <is>
          <t>P1</t>
        </is>
      </c>
      <c r="P307" s="5" t="inlineStr">
        <is>
          <t>Unchanged</t>
        </is>
      </c>
      <c r="Q307" s="20" t="inlineStr">
        <is>
          <t>Author assertion</t>
        </is>
      </c>
      <c r="R307" s="5" t="inlineStr"/>
      <c r="S307" s="8" t="inlineStr">
        <is>
          <t>GST</t>
        </is>
      </c>
      <c r="T307" s="5" t="inlineStr">
        <is>
          <t>GST and tax compliance</t>
        </is>
      </c>
      <c r="U307" s="8" t="inlineStr"/>
      <c r="V307" s="8" t="inlineStr">
        <is>
          <t>accounting</t>
        </is>
      </c>
      <c r="W307" s="8" t="inlineStr">
        <is>
          <t>CONTROL</t>
        </is>
      </c>
      <c r="X307" s="5" t="inlineStr">
        <is>
          <t>Core</t>
        </is>
      </c>
      <c r="Y307" s="5" t="inlineStr">
        <is>
          <t>Cross-persona</t>
        </is>
      </c>
      <c r="Z307" s="5" t="inlineStr">
        <is>
          <t>Critical</t>
        </is>
      </c>
      <c r="AA307" s="5" t="inlineStr">
        <is>
          <t>High</t>
        </is>
      </c>
      <c r="AB307" s="8" t="inlineStr">
        <is>
          <t>High</t>
        </is>
      </c>
      <c r="AC307" s="8" t="inlineStr">
        <is>
          <t>Pilot</t>
        </is>
      </c>
      <c r="AD307" s="5" t="inlineStr">
        <is>
          <t>Not independently checked</t>
        </is>
      </c>
      <c r="AE307" s="5" t="inlineStr">
        <is>
          <t>Not verified</t>
        </is>
      </c>
      <c r="AF307" s="5" t="inlineStr">
        <is>
          <t>Not verified</t>
        </is>
      </c>
      <c r="AG307" s="5" t="inlineStr">
        <is>
          <t>Not verified</t>
        </is>
      </c>
      <c r="AH307" s="5" t="inlineStr">
        <is>
          <t>Not verified</t>
        </is>
      </c>
      <c r="AI307" s="8" t="inlineStr">
        <is>
          <t>No</t>
        </is>
      </c>
      <c r="AJ307" s="8" t="inlineStr">
        <is>
          <t>Claimed - unverified</t>
        </is>
      </c>
      <c r="AK307" s="8" t="inlineStr">
        <is>
          <t>P1</t>
        </is>
      </c>
      <c r="AL307" s="8" t="n">
        <v>27</v>
      </c>
      <c r="AM307" s="5" t="inlineStr"/>
      <c r="AN307" s="5" t="inlineStr"/>
      <c r="AO307" s="5" t="inlineStr"/>
      <c r="AP307" s="5" t="inlineStr"/>
      <c r="AQ307" s="5" t="inlineStr"/>
      <c r="AR307" s="5" t="inlineStr"/>
      <c r="AS307" s="5" t="inlineStr"/>
      <c r="AT307" s="5" t="inlineStr"/>
      <c r="AU307" s="8" t="inlineStr">
        <is>
          <t>Not run</t>
        </is>
      </c>
    </row>
    <row r="308" ht="32" customHeight="1">
      <c r="A308" s="16" t="inlineStr">
        <is>
          <t>X-0307</t>
        </is>
      </c>
      <c r="B308" s="8" t="inlineStr">
        <is>
          <t>X</t>
        </is>
      </c>
      <c r="C308" s="5" t="inlineStr">
        <is>
          <t>Multiple / Cross-persona</t>
        </is>
      </c>
      <c r="D308" s="5" t="inlineStr">
        <is>
          <t>Receivables &amp; Payables</t>
        </is>
      </c>
      <c r="E308" s="5" t="inlineStr">
        <is>
          <t>Customer purchases on credit</t>
        </is>
      </c>
      <c r="F308" s="5" t="inlineStr">
        <is>
          <t>Billing Clerk / Salesperson</t>
        </is>
      </c>
      <c r="G308" s="5" t="inlineStr">
        <is>
          <t>Customer</t>
        </is>
      </c>
      <c r="H308" s="5" t="inlineStr">
        <is>
          <t>Customer buys goods with agreed credit terms (e.g. 15, 30 days) instead of immediate cash</t>
        </is>
      </c>
      <c r="I308" s="5" t="inlineStr">
        <is>
          <t>Completes invoice with payment_status='UNPAID'; sets due_date; debits Customer AR ledger</t>
        </is>
      </c>
      <c r="J308" s="20" t="inlineStr">
        <is>
          <t>P1</t>
        </is>
      </c>
      <c r="K308" s="20" t="inlineStr">
        <is>
          <t>Validated (Supported)</t>
        </is>
      </c>
      <c r="L308" s="5" t="inlineStr">
        <is>
          <t>Supported on sales checkout with credit payment terms selection.</t>
        </is>
      </c>
      <c r="M308" s="8" t="inlineStr">
        <is>
          <t>Baseline</t>
        </is>
      </c>
      <c r="N308" s="8" t="inlineStr">
        <is>
          <t>Cross-persona</t>
        </is>
      </c>
      <c r="O308" s="8" t="inlineStr">
        <is>
          <t>P1</t>
        </is>
      </c>
      <c r="P308" s="5" t="inlineStr">
        <is>
          <t>Unchanged</t>
        </is>
      </c>
      <c r="Q308" s="20" t="inlineStr">
        <is>
          <t>Author assertion</t>
        </is>
      </c>
      <c r="R308" s="5" t="inlineStr"/>
      <c r="S308" s="8" t="inlineStr">
        <is>
          <t>ARAP</t>
        </is>
      </c>
      <c r="T308" s="5" t="inlineStr">
        <is>
          <t>Receivables and payables</t>
        </is>
      </c>
      <c r="U308" s="8" t="inlineStr"/>
      <c r="V308" s="8" t="inlineStr">
        <is>
          <t>ledgers</t>
        </is>
      </c>
      <c r="W308" s="8" t="inlineStr">
        <is>
          <t>CONTROL</t>
        </is>
      </c>
      <c r="X308" s="5" t="inlineStr">
        <is>
          <t>Core</t>
        </is>
      </c>
      <c r="Y308" s="5" t="inlineStr">
        <is>
          <t>Cross-persona</t>
        </is>
      </c>
      <c r="Z308" s="5" t="inlineStr">
        <is>
          <t>Critical</t>
        </is>
      </c>
      <c r="AA308" s="5" t="inlineStr">
        <is>
          <t>High</t>
        </is>
      </c>
      <c r="AB308" s="8" t="inlineStr">
        <is>
          <t>Medium</t>
        </is>
      </c>
      <c r="AC308" s="8" t="inlineStr">
        <is>
          <t>Pilot</t>
        </is>
      </c>
      <c r="AD308" s="5" t="inlineStr">
        <is>
          <t>Not independently checked</t>
        </is>
      </c>
      <c r="AE308" s="5" t="inlineStr">
        <is>
          <t>Not verified</t>
        </is>
      </c>
      <c r="AF308" s="5" t="inlineStr">
        <is>
          <t>Not verified</t>
        </is>
      </c>
      <c r="AG308" s="5" t="inlineStr">
        <is>
          <t>Not verified</t>
        </is>
      </c>
      <c r="AH308" s="5" t="inlineStr">
        <is>
          <t>Not verified</t>
        </is>
      </c>
      <c r="AI308" s="8" t="inlineStr">
        <is>
          <t>No</t>
        </is>
      </c>
      <c r="AJ308" s="8" t="inlineStr">
        <is>
          <t>Claimed - unverified</t>
        </is>
      </c>
      <c r="AK308" s="8" t="inlineStr">
        <is>
          <t>P1</t>
        </is>
      </c>
      <c r="AL308" s="8" t="n">
        <v>18</v>
      </c>
      <c r="AM308" s="5" t="inlineStr"/>
      <c r="AN308" s="5" t="inlineStr"/>
      <c r="AO308" s="5" t="inlineStr"/>
      <c r="AP308" s="5" t="inlineStr"/>
      <c r="AQ308" s="5" t="inlineStr"/>
      <c r="AR308" s="5" t="inlineStr"/>
      <c r="AS308" s="5" t="inlineStr"/>
      <c r="AT308" s="5" t="inlineStr"/>
      <c r="AU308" s="8" t="inlineStr">
        <is>
          <t>Not run</t>
        </is>
      </c>
    </row>
    <row r="309" ht="32" customHeight="1">
      <c r="A309" s="16" t="inlineStr">
        <is>
          <t>X-0308</t>
        </is>
      </c>
      <c r="B309" s="8" t="inlineStr">
        <is>
          <t>X</t>
        </is>
      </c>
      <c r="C309" s="5" t="inlineStr">
        <is>
          <t>Multiple / Cross-persona</t>
        </is>
      </c>
      <c r="D309" s="5" t="inlineStr">
        <is>
          <t>Receivables &amp; Payables</t>
        </is>
      </c>
      <c r="E309" s="5" t="inlineStr">
        <is>
          <t>Credit sale → customer ledger updated</t>
        </is>
      </c>
      <c r="F309" s="5" t="inlineStr">
        <is>
          <t>System / Ledger Engine</t>
        </is>
      </c>
      <c r="G309" s="5" t="inlineStr">
        <is>
          <t>In-house Accountant</t>
        </is>
      </c>
      <c r="H309" s="5" t="inlineStr">
        <is>
          <t>Customer account debited with invoice amount; running balance increased</t>
        </is>
      </c>
      <c r="I309" s="5" t="inlineStr">
        <is>
          <t>Posts debit voucher to Customer AR ledger; increases customer's outstanding balance</t>
        </is>
      </c>
      <c r="J309" s="20" t="inlineStr">
        <is>
          <t>P1</t>
        </is>
      </c>
      <c r="K309" s="20" t="inlineStr">
        <is>
          <t>Validated (Supported)</t>
        </is>
      </c>
      <c r="L309" s="5" t="inlineStr">
        <is>
          <t>Core system invariant: completing credit invoice atomically updates customer ledger balance.</t>
        </is>
      </c>
      <c r="M309" s="8" t="inlineStr">
        <is>
          <t>Baseline</t>
        </is>
      </c>
      <c r="N309" s="8" t="inlineStr">
        <is>
          <t>Cross-persona</t>
        </is>
      </c>
      <c r="O309" s="8" t="inlineStr">
        <is>
          <t>P1</t>
        </is>
      </c>
      <c r="P309" s="5" t="inlineStr">
        <is>
          <t>Restored to authored P1. The previous workbook had P0 after a keyword rebalance.</t>
        </is>
      </c>
      <c r="Q309" s="20" t="inlineStr">
        <is>
          <t>Author assertion</t>
        </is>
      </c>
      <c r="R309" s="5" t="inlineStr">
        <is>
          <t>Restored to authored P1. The previous workbook had P0 after a keyword rebalance.</t>
        </is>
      </c>
      <c r="S309" s="8" t="inlineStr">
        <is>
          <t>ARAP</t>
        </is>
      </c>
      <c r="T309" s="5" t="inlineStr">
        <is>
          <t>Receivables and payables</t>
        </is>
      </c>
      <c r="U309" s="8" t="inlineStr"/>
      <c r="V309" s="8" t="inlineStr">
        <is>
          <t>ledgers</t>
        </is>
      </c>
      <c r="W309" s="8" t="inlineStr">
        <is>
          <t>CONTROL</t>
        </is>
      </c>
      <c r="X309" s="5" t="inlineStr">
        <is>
          <t>Core</t>
        </is>
      </c>
      <c r="Y309" s="5" t="inlineStr">
        <is>
          <t>Cross-persona</t>
        </is>
      </c>
      <c r="Z309" s="5" t="inlineStr">
        <is>
          <t>Critical</t>
        </is>
      </c>
      <c r="AA309" s="5" t="inlineStr">
        <is>
          <t>High</t>
        </is>
      </c>
      <c r="AB309" s="8" t="inlineStr">
        <is>
          <t>Medium</t>
        </is>
      </c>
      <c r="AC309" s="8" t="inlineStr">
        <is>
          <t>Pilot</t>
        </is>
      </c>
      <c r="AD309" s="5" t="inlineStr">
        <is>
          <t>Not independently checked</t>
        </is>
      </c>
      <c r="AE309" s="5" t="inlineStr">
        <is>
          <t>Not verified</t>
        </is>
      </c>
      <c r="AF309" s="5" t="inlineStr">
        <is>
          <t>Not verified</t>
        </is>
      </c>
      <c r="AG309" s="5" t="inlineStr">
        <is>
          <t>Not verified</t>
        </is>
      </c>
      <c r="AH309" s="5" t="inlineStr">
        <is>
          <t>Not verified</t>
        </is>
      </c>
      <c r="AI309" s="8" t="inlineStr">
        <is>
          <t>No</t>
        </is>
      </c>
      <c r="AJ309" s="8" t="inlineStr">
        <is>
          <t>Claimed - unverified</t>
        </is>
      </c>
      <c r="AK309" s="8" t="inlineStr">
        <is>
          <t>P1</t>
        </is>
      </c>
      <c r="AL309" s="8" t="n">
        <v>18</v>
      </c>
      <c r="AM309" s="5" t="inlineStr"/>
      <c r="AN309" s="5" t="inlineStr"/>
      <c r="AO309" s="5" t="inlineStr"/>
      <c r="AP309" s="5" t="inlineStr"/>
      <c r="AQ309" s="5" t="inlineStr"/>
      <c r="AR309" s="5" t="inlineStr"/>
      <c r="AS309" s="5" t="inlineStr"/>
      <c r="AT309" s="5" t="inlineStr"/>
      <c r="AU309" s="8" t="inlineStr">
        <is>
          <t>Not run</t>
        </is>
      </c>
    </row>
    <row r="310" ht="32" customHeight="1">
      <c r="A310" s="16" t="inlineStr">
        <is>
          <t>X-0309</t>
        </is>
      </c>
      <c r="B310" s="8" t="inlineStr">
        <is>
          <t>X</t>
        </is>
      </c>
      <c r="C310" s="5" t="inlineStr">
        <is>
          <t>Multiple / Cross-persona</t>
        </is>
      </c>
      <c r="D310" s="5" t="inlineStr">
        <is>
          <t>Receivables &amp; Payables</t>
        </is>
      </c>
      <c r="E310" s="5" t="inlineStr">
        <is>
          <t>Customer payment → ledger updated</t>
        </is>
      </c>
      <c r="F310" s="5" t="inlineStr">
        <is>
          <t>Cashier / Accountant</t>
        </is>
      </c>
      <c r="G310" s="5" t="inlineStr">
        <is>
          <t>Customer</t>
        </is>
      </c>
      <c r="H310" s="5" t="inlineStr">
        <is>
          <t>Payment received from customer credited to customer account; running balance decreased</t>
        </is>
      </c>
      <c r="I310" s="5" t="inlineStr">
        <is>
          <t>Posts credit voucher to Customer AR ledger; debits Cash/Bank account in general ledger</t>
        </is>
      </c>
      <c r="J310" s="20" t="inlineStr">
        <is>
          <t>P1</t>
        </is>
      </c>
      <c r="K310" s="20" t="inlineStr">
        <is>
          <t>Validated (Supported)</t>
        </is>
      </c>
      <c r="L310" s="5" t="inlineStr">
        <is>
          <t>Supported via Payment entry screen with automated customer ledger posting.</t>
        </is>
      </c>
      <c r="M310" s="8" t="inlineStr">
        <is>
          <t>Baseline</t>
        </is>
      </c>
      <c r="N310" s="8" t="inlineStr">
        <is>
          <t>Cross-persona</t>
        </is>
      </c>
      <c r="O310" s="8" t="inlineStr">
        <is>
          <t>P1</t>
        </is>
      </c>
      <c r="P310" s="5" t="inlineStr">
        <is>
          <t>Unchanged</t>
        </is>
      </c>
      <c r="Q310" s="20" t="inlineStr">
        <is>
          <t>Author assertion</t>
        </is>
      </c>
      <c r="R310" s="5" t="inlineStr"/>
      <c r="S310" s="8" t="inlineStr">
        <is>
          <t>ARAP</t>
        </is>
      </c>
      <c r="T310" s="5" t="inlineStr">
        <is>
          <t>Receivables and payables</t>
        </is>
      </c>
      <c r="U310" s="8" t="inlineStr"/>
      <c r="V310" s="8" t="inlineStr">
        <is>
          <t>ledgers</t>
        </is>
      </c>
      <c r="W310" s="8" t="inlineStr">
        <is>
          <t>CONTROL</t>
        </is>
      </c>
      <c r="X310" s="5" t="inlineStr">
        <is>
          <t>Core</t>
        </is>
      </c>
      <c r="Y310" s="5" t="inlineStr">
        <is>
          <t>Cross-persona</t>
        </is>
      </c>
      <c r="Z310" s="5" t="inlineStr">
        <is>
          <t>Critical</t>
        </is>
      </c>
      <c r="AA310" s="5" t="inlineStr">
        <is>
          <t>High</t>
        </is>
      </c>
      <c r="AB310" s="8" t="inlineStr">
        <is>
          <t>Medium</t>
        </is>
      </c>
      <c r="AC310" s="8" t="inlineStr">
        <is>
          <t>Pilot</t>
        </is>
      </c>
      <c r="AD310" s="5" t="inlineStr">
        <is>
          <t>Not independently checked</t>
        </is>
      </c>
      <c r="AE310" s="5" t="inlineStr">
        <is>
          <t>Not verified</t>
        </is>
      </c>
      <c r="AF310" s="5" t="inlineStr">
        <is>
          <t>Not verified</t>
        </is>
      </c>
      <c r="AG310" s="5" t="inlineStr">
        <is>
          <t>Not verified</t>
        </is>
      </c>
      <c r="AH310" s="5" t="inlineStr">
        <is>
          <t>Not verified</t>
        </is>
      </c>
      <c r="AI310" s="8" t="inlineStr">
        <is>
          <t>No</t>
        </is>
      </c>
      <c r="AJ310" s="8" t="inlineStr">
        <is>
          <t>Claimed - unverified</t>
        </is>
      </c>
      <c r="AK310" s="8" t="inlineStr">
        <is>
          <t>P1</t>
        </is>
      </c>
      <c r="AL310" s="8" t="n">
        <v>18</v>
      </c>
      <c r="AM310" s="5" t="inlineStr"/>
      <c r="AN310" s="5" t="inlineStr"/>
      <c r="AO310" s="5" t="inlineStr"/>
      <c r="AP310" s="5" t="inlineStr"/>
      <c r="AQ310" s="5" t="inlineStr"/>
      <c r="AR310" s="5" t="inlineStr"/>
      <c r="AS310" s="5" t="inlineStr"/>
      <c r="AT310" s="5" t="inlineStr"/>
      <c r="AU310" s="8" t="inlineStr">
        <is>
          <t>Not run</t>
        </is>
      </c>
    </row>
    <row r="311" ht="32" customHeight="1">
      <c r="A311" s="16" t="inlineStr">
        <is>
          <t>X-0310</t>
        </is>
      </c>
      <c r="B311" s="8" t="inlineStr">
        <is>
          <t>X</t>
        </is>
      </c>
      <c r="C311" s="5" t="inlineStr">
        <is>
          <t>Multiple / Cross-persona</t>
        </is>
      </c>
      <c r="D311" s="5" t="inlineStr">
        <is>
          <t>Receivables &amp; Payables</t>
        </is>
      </c>
      <c r="E311" s="5" t="inlineStr">
        <is>
          <t>Partial payment → balance maintained</t>
        </is>
      </c>
      <c r="F311" s="5" t="inlineStr">
        <is>
          <t>Cashier / Accountant</t>
        </is>
      </c>
      <c r="G311" s="5" t="inlineStr">
        <is>
          <t>Customer</t>
        </is>
      </c>
      <c r="H311" s="5" t="inlineStr">
        <is>
          <t>Partial settlement recorded accurately, maintaining remaining unpaid balance</t>
        </is>
      </c>
      <c r="I311" s="5" t="inlineStr">
        <is>
          <t>Allocates partial amount; decrements customer net balance; tracks unallocated remainder</t>
        </is>
      </c>
      <c r="J311" s="20" t="inlineStr">
        <is>
          <t>P1</t>
        </is>
      </c>
      <c r="K311" s="20" t="inlineStr">
        <is>
          <t>Validated (Supported)</t>
        </is>
      </c>
      <c r="L311" s="5" t="inlineStr">
        <is>
          <t>Supported via PaymentAllocation engine with partial invoice matching.</t>
        </is>
      </c>
      <c r="M311" s="8" t="inlineStr">
        <is>
          <t>Baseline</t>
        </is>
      </c>
      <c r="N311" s="8" t="inlineStr">
        <is>
          <t>Cross-persona</t>
        </is>
      </c>
      <c r="O311" s="8" t="inlineStr">
        <is>
          <t>P1</t>
        </is>
      </c>
      <c r="P311" s="5" t="inlineStr">
        <is>
          <t>Unchanged</t>
        </is>
      </c>
      <c r="Q311" s="21" t="inlineStr">
        <is>
          <t>Code symbol found</t>
        </is>
      </c>
      <c r="R311" s="5" t="inlineStr">
        <is>
          <t>Matched PaymentAllocation in product code. This is not a functional test.</t>
        </is>
      </c>
      <c r="S311" s="8" t="inlineStr">
        <is>
          <t>ARAP</t>
        </is>
      </c>
      <c r="T311" s="5" t="inlineStr">
        <is>
          <t>Receivables and payables</t>
        </is>
      </c>
      <c r="U311" s="8" t="inlineStr"/>
      <c r="V311" s="8" t="inlineStr">
        <is>
          <t>ledgers</t>
        </is>
      </c>
      <c r="W311" s="8" t="inlineStr">
        <is>
          <t>CONTROL</t>
        </is>
      </c>
      <c r="X311" s="5" t="inlineStr">
        <is>
          <t>Core</t>
        </is>
      </c>
      <c r="Y311" s="5" t="inlineStr">
        <is>
          <t>Cross-persona</t>
        </is>
      </c>
      <c r="Z311" s="5" t="inlineStr">
        <is>
          <t>Critical</t>
        </is>
      </c>
      <c r="AA311" s="5" t="inlineStr">
        <is>
          <t>High</t>
        </is>
      </c>
      <c r="AB311" s="8" t="inlineStr">
        <is>
          <t>Medium</t>
        </is>
      </c>
      <c r="AC311" s="8" t="inlineStr">
        <is>
          <t>Pilot</t>
        </is>
      </c>
      <c r="AD311" s="5" t="inlineStr">
        <is>
          <t>Cited in code</t>
        </is>
      </c>
      <c r="AE311" s="5" t="inlineStr">
        <is>
          <t>Not verified</t>
        </is>
      </c>
      <c r="AF311" s="5" t="inlineStr">
        <is>
          <t>Not verified</t>
        </is>
      </c>
      <c r="AG311" s="5" t="inlineStr">
        <is>
          <t>Not verified</t>
        </is>
      </c>
      <c r="AH311" s="5" t="inlineStr">
        <is>
          <t>Not verified</t>
        </is>
      </c>
      <c r="AI311" s="8" t="inlineStr">
        <is>
          <t>No</t>
        </is>
      </c>
      <c r="AJ311" s="8" t="inlineStr">
        <is>
          <t>Built - unverified</t>
        </is>
      </c>
      <c r="AK311" s="8" t="inlineStr">
        <is>
          <t>P1</t>
        </is>
      </c>
      <c r="AL311" s="8" t="n">
        <v>18</v>
      </c>
      <c r="AM311" s="5" t="inlineStr"/>
      <c r="AN311" s="5" t="inlineStr"/>
      <c r="AO311" s="5" t="inlineStr"/>
      <c r="AP311" s="5" t="inlineStr"/>
      <c r="AQ311" s="5" t="inlineStr"/>
      <c r="AR311" s="5" t="inlineStr"/>
      <c r="AS311" s="5" t="inlineStr"/>
      <c r="AT311" s="5" t="inlineStr"/>
      <c r="AU311" s="8" t="inlineStr">
        <is>
          <t>Not run</t>
        </is>
      </c>
    </row>
    <row r="312" ht="32" customHeight="1">
      <c r="A312" s="16" t="inlineStr">
        <is>
          <t>X-0311</t>
        </is>
      </c>
      <c r="B312" s="8" t="inlineStr">
        <is>
          <t>X</t>
        </is>
      </c>
      <c r="C312" s="5" t="inlineStr">
        <is>
          <t>Multiple / Cross-persona</t>
        </is>
      </c>
      <c r="D312" s="5" t="inlineStr">
        <is>
          <t>Receivables &amp; Payables</t>
        </is>
      </c>
      <c r="E312" s="5" t="inlineStr">
        <is>
          <t>Advance payment → advance ledger maintained</t>
        </is>
      </c>
      <c r="F312" s="5" t="inlineStr">
        <is>
          <t>Cashier / Accountant</t>
        </is>
      </c>
      <c r="G312" s="5" t="inlineStr">
        <is>
          <t>Customer</t>
        </is>
      </c>
      <c r="H312" s="5" t="inlineStr">
        <is>
          <t>Advance payment received from customer before order delivery tracked in advance account</t>
        </is>
      </c>
      <c r="I312" s="5" t="inlineStr">
        <is>
          <t>Credits Customer Advance Liability ledger account; debits Bank/Cash account</t>
        </is>
      </c>
      <c r="J312" s="20" t="inlineStr">
        <is>
          <t>P1</t>
        </is>
      </c>
      <c r="K312" s="20" t="inlineStr">
        <is>
          <t>Validated (Supported)</t>
        </is>
      </c>
      <c r="L312" s="5" t="inlineStr">
        <is>
          <t>Supported via Customer Advance receipt workflow with future invoice adjustment.</t>
        </is>
      </c>
      <c r="M312" s="8" t="inlineStr">
        <is>
          <t>Baseline</t>
        </is>
      </c>
      <c r="N312" s="8" t="inlineStr">
        <is>
          <t>Cross-persona</t>
        </is>
      </c>
      <c r="O312" s="8" t="inlineStr">
        <is>
          <t>P1</t>
        </is>
      </c>
      <c r="P312" s="5" t="inlineStr">
        <is>
          <t>Unchanged</t>
        </is>
      </c>
      <c r="Q312" s="20" t="inlineStr">
        <is>
          <t>Author assertion</t>
        </is>
      </c>
      <c r="R312" s="5" t="inlineStr"/>
      <c r="S312" s="8" t="inlineStr">
        <is>
          <t>ARAP</t>
        </is>
      </c>
      <c r="T312" s="5" t="inlineStr">
        <is>
          <t>Receivables and payables</t>
        </is>
      </c>
      <c r="U312" s="8" t="inlineStr"/>
      <c r="V312" s="8" t="inlineStr">
        <is>
          <t>ledgers</t>
        </is>
      </c>
      <c r="W312" s="8" t="inlineStr">
        <is>
          <t>CONTROL</t>
        </is>
      </c>
      <c r="X312" s="5" t="inlineStr">
        <is>
          <t>Core</t>
        </is>
      </c>
      <c r="Y312" s="5" t="inlineStr">
        <is>
          <t>Cross-persona</t>
        </is>
      </c>
      <c r="Z312" s="5" t="inlineStr">
        <is>
          <t>Critical</t>
        </is>
      </c>
      <c r="AA312" s="5" t="inlineStr">
        <is>
          <t>High</t>
        </is>
      </c>
      <c r="AB312" s="8" t="inlineStr">
        <is>
          <t>Medium</t>
        </is>
      </c>
      <c r="AC312" s="8" t="inlineStr">
        <is>
          <t>Pilot</t>
        </is>
      </c>
      <c r="AD312" s="5" t="inlineStr">
        <is>
          <t>Not independently checked</t>
        </is>
      </c>
      <c r="AE312" s="5" t="inlineStr">
        <is>
          <t>Not verified</t>
        </is>
      </c>
      <c r="AF312" s="5" t="inlineStr">
        <is>
          <t>Not verified</t>
        </is>
      </c>
      <c r="AG312" s="5" t="inlineStr">
        <is>
          <t>Not verified</t>
        </is>
      </c>
      <c r="AH312" s="5" t="inlineStr">
        <is>
          <t>Not verified</t>
        </is>
      </c>
      <c r="AI312" s="8" t="inlineStr">
        <is>
          <t>No</t>
        </is>
      </c>
      <c r="AJ312" s="8" t="inlineStr">
        <is>
          <t>Claimed - unverified</t>
        </is>
      </c>
      <c r="AK312" s="8" t="inlineStr">
        <is>
          <t>P1</t>
        </is>
      </c>
      <c r="AL312" s="8" t="n">
        <v>18</v>
      </c>
      <c r="AM312" s="5" t="inlineStr"/>
      <c r="AN312" s="5" t="inlineStr"/>
      <c r="AO312" s="5" t="inlineStr"/>
      <c r="AP312" s="5" t="inlineStr"/>
      <c r="AQ312" s="5" t="inlineStr"/>
      <c r="AR312" s="5" t="inlineStr"/>
      <c r="AS312" s="5" t="inlineStr"/>
      <c r="AT312" s="5" t="inlineStr"/>
      <c r="AU312" s="8" t="inlineStr">
        <is>
          <t>Not run</t>
        </is>
      </c>
    </row>
    <row r="313" ht="32" customHeight="1">
      <c r="A313" s="16" t="inlineStr">
        <is>
          <t>X-0312</t>
        </is>
      </c>
      <c r="B313" s="8" t="inlineStr">
        <is>
          <t>X</t>
        </is>
      </c>
      <c r="C313" s="5" t="inlineStr">
        <is>
          <t>Multiple / Cross-persona</t>
        </is>
      </c>
      <c r="D313" s="5" t="inlineStr">
        <is>
          <t>Receivables &amp; Payables</t>
        </is>
      </c>
      <c r="E313" s="5" t="inlineStr">
        <is>
          <t>Payment allocation → payment applied to selected invoices</t>
        </is>
      </c>
      <c r="F313" s="5" t="inlineStr">
        <is>
          <t>In-house Accountant</t>
        </is>
      </c>
      <c r="G313" s="5" t="inlineStr">
        <is>
          <t>Customer</t>
        </is>
      </c>
      <c r="H313" s="5" t="inlineStr">
        <is>
          <t>Lump-sum payment allocated across specific open invoices (FIFO or manual selection)</t>
        </is>
      </c>
      <c r="I313" s="5" t="inlineStr">
        <is>
          <t>Creates PaymentAllocation links between payment and invoices; updates invoice statuses</t>
        </is>
      </c>
      <c r="J313" s="20" t="inlineStr">
        <is>
          <t>P1</t>
        </is>
      </c>
      <c r="K313" s="20" t="inlineStr">
        <is>
          <t>Validated (Supported)</t>
        </is>
      </c>
      <c r="L313" s="5" t="inlineStr">
        <is>
          <t>Supported via multi-invoice allocation modal in payments app.</t>
        </is>
      </c>
      <c r="M313" s="8" t="inlineStr">
        <is>
          <t>Baseline</t>
        </is>
      </c>
      <c r="N313" s="8" t="inlineStr">
        <is>
          <t>Cross-persona</t>
        </is>
      </c>
      <c r="O313" s="8" t="inlineStr">
        <is>
          <t>P1</t>
        </is>
      </c>
      <c r="P313" s="5" t="inlineStr">
        <is>
          <t>Unchanged</t>
        </is>
      </c>
      <c r="Q313" s="20" t="inlineStr">
        <is>
          <t>Author assertion</t>
        </is>
      </c>
      <c r="R313" s="5" t="inlineStr"/>
      <c r="S313" s="8" t="inlineStr">
        <is>
          <t>ARAP</t>
        </is>
      </c>
      <c r="T313" s="5" t="inlineStr">
        <is>
          <t>Receivables and payables</t>
        </is>
      </c>
      <c r="U313" s="8" t="inlineStr"/>
      <c r="V313" s="8" t="inlineStr">
        <is>
          <t>ledgers</t>
        </is>
      </c>
      <c r="W313" s="8" t="inlineStr">
        <is>
          <t>CONTROL</t>
        </is>
      </c>
      <c r="X313" s="5" t="inlineStr">
        <is>
          <t>Core</t>
        </is>
      </c>
      <c r="Y313" s="5" t="inlineStr">
        <is>
          <t>Cross-persona</t>
        </is>
      </c>
      <c r="Z313" s="5" t="inlineStr">
        <is>
          <t>Critical</t>
        </is>
      </c>
      <c r="AA313" s="5" t="inlineStr">
        <is>
          <t>High</t>
        </is>
      </c>
      <c r="AB313" s="8" t="inlineStr">
        <is>
          <t>Medium</t>
        </is>
      </c>
      <c r="AC313" s="8" t="inlineStr">
        <is>
          <t>Pilot</t>
        </is>
      </c>
      <c r="AD313" s="5" t="inlineStr">
        <is>
          <t>Not independently checked</t>
        </is>
      </c>
      <c r="AE313" s="5" t="inlineStr">
        <is>
          <t>Not verified</t>
        </is>
      </c>
      <c r="AF313" s="5" t="inlineStr">
        <is>
          <t>Not verified</t>
        </is>
      </c>
      <c r="AG313" s="5" t="inlineStr">
        <is>
          <t>Not verified</t>
        </is>
      </c>
      <c r="AH313" s="5" t="inlineStr">
        <is>
          <t>Not verified</t>
        </is>
      </c>
      <c r="AI313" s="8" t="inlineStr">
        <is>
          <t>No</t>
        </is>
      </c>
      <c r="AJ313" s="8" t="inlineStr">
        <is>
          <t>Claimed - unverified</t>
        </is>
      </c>
      <c r="AK313" s="8" t="inlineStr">
        <is>
          <t>P1</t>
        </is>
      </c>
      <c r="AL313" s="8" t="n">
        <v>18</v>
      </c>
      <c r="AM313" s="5" t="inlineStr"/>
      <c r="AN313" s="5" t="inlineStr"/>
      <c r="AO313" s="5" t="inlineStr"/>
      <c r="AP313" s="5" t="inlineStr"/>
      <c r="AQ313" s="5" t="inlineStr"/>
      <c r="AR313" s="5" t="inlineStr"/>
      <c r="AS313" s="5" t="inlineStr"/>
      <c r="AT313" s="5" t="inlineStr"/>
      <c r="AU313" s="8" t="inlineStr">
        <is>
          <t>Not run</t>
        </is>
      </c>
    </row>
    <row r="314" ht="32" customHeight="1">
      <c r="A314" s="16" t="inlineStr">
        <is>
          <t>X-0313</t>
        </is>
      </c>
      <c r="B314" s="8" t="inlineStr">
        <is>
          <t>X</t>
        </is>
      </c>
      <c r="C314" s="5" t="inlineStr">
        <is>
          <t>Multiple / Cross-persona</t>
        </is>
      </c>
      <c r="D314" s="5" t="inlineStr">
        <is>
          <t>Receivables &amp; Payables</t>
        </is>
      </c>
      <c r="E314" s="5" t="inlineStr">
        <is>
          <t>Payment received → invoice status changes</t>
        </is>
      </c>
      <c r="F314" s="5" t="inlineStr">
        <is>
          <t>System / Payment Engine</t>
        </is>
      </c>
      <c r="G314" s="5" t="inlineStr">
        <is>
          <t>Billing Clerk</t>
        </is>
      </c>
      <c r="H314" s="5" t="inlineStr">
        <is>
          <t>Invoice status advances from UNPAID to PARTIALLY_PAID or PAID upon payment matching</t>
        </is>
      </c>
      <c r="I314" s="5" t="inlineStr">
        <is>
          <t>Updates SalesInvoice.payment_status; unlocks customer credit limit buffer</t>
        </is>
      </c>
      <c r="J314" s="20" t="inlineStr">
        <is>
          <t>P1</t>
        </is>
      </c>
      <c r="K314" s="20" t="inlineStr">
        <is>
          <t>Validated (Supported)</t>
        </is>
      </c>
      <c r="L314" s="5" t="inlineStr">
        <is>
          <t>Core system invariant: invoice payment status dynamically derived from payment allocations.</t>
        </is>
      </c>
      <c r="M314" s="8" t="inlineStr">
        <is>
          <t>Baseline</t>
        </is>
      </c>
      <c r="N314" s="8" t="inlineStr">
        <is>
          <t>Cross-persona</t>
        </is>
      </c>
      <c r="O314" s="8" t="inlineStr">
        <is>
          <t>P1</t>
        </is>
      </c>
      <c r="P314" s="5" t="inlineStr">
        <is>
          <t>Unchanged</t>
        </is>
      </c>
      <c r="Q314" s="20" t="inlineStr">
        <is>
          <t>Author assertion</t>
        </is>
      </c>
      <c r="R314" s="5" t="inlineStr"/>
      <c r="S314" s="8" t="inlineStr">
        <is>
          <t>ARAP</t>
        </is>
      </c>
      <c r="T314" s="5" t="inlineStr">
        <is>
          <t>Receivables and payables</t>
        </is>
      </c>
      <c r="U314" s="8" t="inlineStr"/>
      <c r="V314" s="8" t="inlineStr">
        <is>
          <t>ledgers</t>
        </is>
      </c>
      <c r="W314" s="8" t="inlineStr">
        <is>
          <t>CONTROL</t>
        </is>
      </c>
      <c r="X314" s="5" t="inlineStr">
        <is>
          <t>Core</t>
        </is>
      </c>
      <c r="Y314" s="5" t="inlineStr">
        <is>
          <t>Cross-persona</t>
        </is>
      </c>
      <c r="Z314" s="5" t="inlineStr">
        <is>
          <t>Critical</t>
        </is>
      </c>
      <c r="AA314" s="5" t="inlineStr">
        <is>
          <t>High</t>
        </is>
      </c>
      <c r="AB314" s="8" t="inlineStr">
        <is>
          <t>Medium</t>
        </is>
      </c>
      <c r="AC314" s="8" t="inlineStr">
        <is>
          <t>Pilot</t>
        </is>
      </c>
      <c r="AD314" s="5" t="inlineStr">
        <is>
          <t>Not independently checked</t>
        </is>
      </c>
      <c r="AE314" s="5" t="inlineStr">
        <is>
          <t>Not verified</t>
        </is>
      </c>
      <c r="AF314" s="5" t="inlineStr">
        <is>
          <t>Not verified</t>
        </is>
      </c>
      <c r="AG314" s="5" t="inlineStr">
        <is>
          <t>Not verified</t>
        </is>
      </c>
      <c r="AH314" s="5" t="inlineStr">
        <is>
          <t>Not verified</t>
        </is>
      </c>
      <c r="AI314" s="8" t="inlineStr">
        <is>
          <t>No</t>
        </is>
      </c>
      <c r="AJ314" s="8" t="inlineStr">
        <is>
          <t>Claimed - unverified</t>
        </is>
      </c>
      <c r="AK314" s="8" t="inlineStr">
        <is>
          <t>P1</t>
        </is>
      </c>
      <c r="AL314" s="8" t="n">
        <v>18</v>
      </c>
      <c r="AM314" s="5" t="inlineStr"/>
      <c r="AN314" s="5" t="inlineStr"/>
      <c r="AO314" s="5" t="inlineStr"/>
      <c r="AP314" s="5" t="inlineStr"/>
      <c r="AQ314" s="5" t="inlineStr"/>
      <c r="AR314" s="5" t="inlineStr"/>
      <c r="AS314" s="5" t="inlineStr"/>
      <c r="AT314" s="5" t="inlineStr"/>
      <c r="AU314" s="8" t="inlineStr">
        <is>
          <t>Not run</t>
        </is>
      </c>
    </row>
    <row r="315" ht="32" customHeight="1">
      <c r="A315" s="16" t="inlineStr">
        <is>
          <t>X-0314</t>
        </is>
      </c>
      <c r="B315" s="8" t="inlineStr">
        <is>
          <t>X</t>
        </is>
      </c>
      <c r="C315" s="5" t="inlineStr">
        <is>
          <t>Multiple / Cross-persona</t>
        </is>
      </c>
      <c r="D315" s="5" t="inlineStr">
        <is>
          <t>Receivables &amp; Payables</t>
        </is>
      </c>
      <c r="E315" s="5" t="inlineStr">
        <is>
          <t>Invoice overdue → ageing bucket changes</t>
        </is>
      </c>
      <c r="F315" s="5" t="inlineStr">
        <is>
          <t>System / Aging Engine</t>
        </is>
      </c>
      <c r="G315" s="5" t="inlineStr">
        <is>
          <t>Credit Controller</t>
        </is>
      </c>
      <c r="H315" s="5" t="inlineStr">
        <is>
          <t>Unpaid invoice moves into overdue aging category (1-30, 31-60, 61-90, 90+ days)</t>
        </is>
      </c>
      <c r="I315" s="5" t="inlineStr">
        <is>
          <t>Reclassifies invoice aging bucket based on days elapsed since payment due date</t>
        </is>
      </c>
      <c r="J315" s="20" t="inlineStr">
        <is>
          <t>P1</t>
        </is>
      </c>
      <c r="K315" s="20" t="inlineStr">
        <is>
          <t>Validated (Supported)</t>
        </is>
      </c>
      <c r="L315" s="5" t="inlineStr">
        <is>
          <t>Supported via dynamic aging classification in accounts receivable reports.</t>
        </is>
      </c>
      <c r="M315" s="8" t="inlineStr">
        <is>
          <t>Baseline</t>
        </is>
      </c>
      <c r="N315" s="8" t="inlineStr">
        <is>
          <t>Cross-persona</t>
        </is>
      </c>
      <c r="O315" s="8" t="inlineStr">
        <is>
          <t>P1</t>
        </is>
      </c>
      <c r="P315" s="5" t="inlineStr">
        <is>
          <t>Unchanged</t>
        </is>
      </c>
      <c r="Q315" s="20" t="inlineStr">
        <is>
          <t>Author assertion</t>
        </is>
      </c>
      <c r="R315" s="5" t="inlineStr"/>
      <c r="S315" s="8" t="inlineStr">
        <is>
          <t>ARAP</t>
        </is>
      </c>
      <c r="T315" s="5" t="inlineStr">
        <is>
          <t>Receivables and payables</t>
        </is>
      </c>
      <c r="U315" s="8" t="inlineStr"/>
      <c r="V315" s="8" t="inlineStr">
        <is>
          <t>ledgers</t>
        </is>
      </c>
      <c r="W315" s="8" t="inlineStr">
        <is>
          <t>CONTROL</t>
        </is>
      </c>
      <c r="X315" s="5" t="inlineStr">
        <is>
          <t>Core</t>
        </is>
      </c>
      <c r="Y315" s="5" t="inlineStr">
        <is>
          <t>Cross-persona</t>
        </is>
      </c>
      <c r="Z315" s="5" t="inlineStr">
        <is>
          <t>Critical</t>
        </is>
      </c>
      <c r="AA315" s="5" t="inlineStr">
        <is>
          <t>High</t>
        </is>
      </c>
      <c r="AB315" s="8" t="inlineStr">
        <is>
          <t>Medium</t>
        </is>
      </c>
      <c r="AC315" s="8" t="inlineStr">
        <is>
          <t>Pilot</t>
        </is>
      </c>
      <c r="AD315" s="5" t="inlineStr">
        <is>
          <t>Not independently checked</t>
        </is>
      </c>
      <c r="AE315" s="5" t="inlineStr">
        <is>
          <t>Not verified</t>
        </is>
      </c>
      <c r="AF315" s="5" t="inlineStr">
        <is>
          <t>Not verified</t>
        </is>
      </c>
      <c r="AG315" s="5" t="inlineStr">
        <is>
          <t>Not verified</t>
        </is>
      </c>
      <c r="AH315" s="5" t="inlineStr">
        <is>
          <t>Not verified</t>
        </is>
      </c>
      <c r="AI315" s="8" t="inlineStr">
        <is>
          <t>No</t>
        </is>
      </c>
      <c r="AJ315" s="8" t="inlineStr">
        <is>
          <t>Claimed - unverified</t>
        </is>
      </c>
      <c r="AK315" s="8" t="inlineStr">
        <is>
          <t>P1</t>
        </is>
      </c>
      <c r="AL315" s="8" t="n">
        <v>18</v>
      </c>
      <c r="AM315" s="5" t="inlineStr"/>
      <c r="AN315" s="5" t="inlineStr"/>
      <c r="AO315" s="5" t="inlineStr"/>
      <c r="AP315" s="5" t="inlineStr"/>
      <c r="AQ315" s="5" t="inlineStr"/>
      <c r="AR315" s="5" t="inlineStr"/>
      <c r="AS315" s="5" t="inlineStr"/>
      <c r="AT315" s="5" t="inlineStr"/>
      <c r="AU315" s="8" t="inlineStr">
        <is>
          <t>Not run</t>
        </is>
      </c>
    </row>
    <row r="316" ht="32" customHeight="1">
      <c r="A316" s="16" t="inlineStr">
        <is>
          <t>X-0315</t>
        </is>
      </c>
      <c r="B316" s="8" t="inlineStr">
        <is>
          <t>X</t>
        </is>
      </c>
      <c r="C316" s="5" t="inlineStr">
        <is>
          <t>Multiple / Cross-persona</t>
        </is>
      </c>
      <c r="D316" s="5" t="inlineStr">
        <is>
          <t>Receivables &amp; Payables</t>
        </is>
      </c>
      <c r="E316" s="5" t="inlineStr">
        <is>
          <t>Customer crosses credit limit → alert generated</t>
        </is>
      </c>
      <c r="F316" s="5" t="inlineStr">
        <is>
          <t>System / Credit Guard</t>
        </is>
      </c>
      <c r="G316" s="5" t="inlineStr">
        <is>
          <t>Business Owner / Salesperson</t>
        </is>
      </c>
      <c r="H316" s="5" t="inlineStr">
        <is>
          <t>Immediate warning generated when customer outstanding balance breaches approved credit limit</t>
        </is>
      </c>
      <c r="I316" s="5" t="inlineStr">
        <is>
          <t>Generates high-priority credit limit warning; flags new orders for owner approval</t>
        </is>
      </c>
      <c r="J316" s="19" t="inlineStr">
        <is>
          <t>P0</t>
        </is>
      </c>
      <c r="K316" s="20" t="inlineStr">
        <is>
          <t>Validated (Supported)</t>
        </is>
      </c>
      <c r="L316" s="5" t="inlineStr">
        <is>
          <t>Core business invariant: credit limit breach blocks checkout unless overridden by Owner.</t>
        </is>
      </c>
      <c r="M316" s="8" t="inlineStr">
        <is>
          <t>Baseline</t>
        </is>
      </c>
      <c r="N316" s="8" t="inlineStr">
        <is>
          <t>Cross-persona</t>
        </is>
      </c>
      <c r="O316" s="8" t="inlineStr">
        <is>
          <t>P0</t>
        </is>
      </c>
      <c r="P316" s="5" t="inlineStr">
        <is>
          <t>Unchanged</t>
        </is>
      </c>
      <c r="Q316" s="20" t="inlineStr">
        <is>
          <t>Author assertion</t>
        </is>
      </c>
      <c r="R316" s="5" t="inlineStr"/>
      <c r="S316" s="8" t="inlineStr">
        <is>
          <t>ARAP</t>
        </is>
      </c>
      <c r="T316" s="5" t="inlineStr">
        <is>
          <t>Receivables and payables</t>
        </is>
      </c>
      <c r="U316" s="8" t="inlineStr"/>
      <c r="V316" s="8" t="inlineStr">
        <is>
          <t>ledgers</t>
        </is>
      </c>
      <c r="W316" s="8" t="inlineStr">
        <is>
          <t>CONTROL</t>
        </is>
      </c>
      <c r="X316" s="5" t="inlineStr">
        <is>
          <t>Core</t>
        </is>
      </c>
      <c r="Y316" s="5" t="inlineStr">
        <is>
          <t>Cross-persona</t>
        </is>
      </c>
      <c r="Z316" s="5" t="inlineStr">
        <is>
          <t>Critical</t>
        </is>
      </c>
      <c r="AA316" s="5" t="inlineStr">
        <is>
          <t>High</t>
        </is>
      </c>
      <c r="AB316" s="8" t="inlineStr">
        <is>
          <t>Medium</t>
        </is>
      </c>
      <c r="AC316" s="8" t="inlineStr">
        <is>
          <t>MVP</t>
        </is>
      </c>
      <c r="AD316" s="5" t="inlineStr">
        <is>
          <t>Not independently checked</t>
        </is>
      </c>
      <c r="AE316" s="5" t="inlineStr">
        <is>
          <t>Not verified</t>
        </is>
      </c>
      <c r="AF316" s="5" t="inlineStr">
        <is>
          <t>Not verified</t>
        </is>
      </c>
      <c r="AG316" s="5" t="inlineStr">
        <is>
          <t>Not verified</t>
        </is>
      </c>
      <c r="AH316" s="5" t="inlineStr">
        <is>
          <t>Not verified</t>
        </is>
      </c>
      <c r="AI316" s="8" t="inlineStr">
        <is>
          <t>No</t>
        </is>
      </c>
      <c r="AJ316" s="8" t="inlineStr">
        <is>
          <t>Claimed - unverified</t>
        </is>
      </c>
      <c r="AK316" s="8" t="inlineStr">
        <is>
          <t>P0</t>
        </is>
      </c>
      <c r="AL316" s="8" t="n">
        <v>18</v>
      </c>
      <c r="AM316" s="5" t="inlineStr"/>
      <c r="AN316" s="5" t="inlineStr"/>
      <c r="AO316" s="5" t="inlineStr"/>
      <c r="AP316" s="5" t="inlineStr"/>
      <c r="AQ316" s="5" t="inlineStr"/>
      <c r="AR316" s="5" t="inlineStr"/>
      <c r="AS316" s="5" t="inlineStr"/>
      <c r="AT316" s="5" t="inlineStr"/>
      <c r="AU316" s="8" t="inlineStr">
        <is>
          <t>Not run</t>
        </is>
      </c>
    </row>
    <row r="317" ht="32" customHeight="1">
      <c r="A317" s="16" t="inlineStr">
        <is>
          <t>X-0316</t>
        </is>
      </c>
      <c r="B317" s="8" t="inlineStr">
        <is>
          <t>X</t>
        </is>
      </c>
      <c r="C317" s="5" t="inlineStr">
        <is>
          <t>Multiple / Cross-persona</t>
        </is>
      </c>
      <c r="D317" s="5" t="inlineStr">
        <is>
          <t>Receivables &amp; Payables</t>
        </is>
      </c>
      <c r="E317" s="5" t="inlineStr">
        <is>
          <t>Payment reminder → reminder generated</t>
        </is>
      </c>
      <c r="F317" s="5" t="inlineStr">
        <is>
          <t>Credit Controller / Owner</t>
        </is>
      </c>
      <c r="G317" s="5" t="inlineStr">
        <is>
          <t>Customer</t>
        </is>
      </c>
      <c r="H317" s="5" t="inlineStr">
        <is>
          <t>Professional payment reminder message generated with unpaid invoice list and payment link</t>
        </is>
      </c>
      <c r="I317" s="5" t="inlineStr">
        <is>
          <t>Generates personalized payment reminder text with total due and dynamic UPI QR link</t>
        </is>
      </c>
      <c r="J317" s="20" t="inlineStr">
        <is>
          <t>P1</t>
        </is>
      </c>
      <c r="K317" s="20" t="inlineStr">
        <is>
          <t>Validated (Supported)</t>
        </is>
      </c>
      <c r="L317" s="5" t="inlineStr">
        <is>
          <t>Supported via WhatsApp / SMS Payment Reminder dispatch tool.</t>
        </is>
      </c>
      <c r="M317" s="8" t="inlineStr">
        <is>
          <t>Baseline</t>
        </is>
      </c>
      <c r="N317" s="8" t="inlineStr">
        <is>
          <t>Cross-persona</t>
        </is>
      </c>
      <c r="O317" s="8" t="inlineStr">
        <is>
          <t>P1</t>
        </is>
      </c>
      <c r="P317" s="5" t="inlineStr">
        <is>
          <t>Unchanged</t>
        </is>
      </c>
      <c r="Q317" s="21" t="inlineStr">
        <is>
          <t>Code symbol found</t>
        </is>
      </c>
      <c r="R317" s="5" t="inlineStr">
        <is>
          <t>Matched WhatsApp in product code. This is not a functional test.</t>
        </is>
      </c>
      <c r="S317" s="8" t="inlineStr">
        <is>
          <t>ARAP</t>
        </is>
      </c>
      <c r="T317" s="5" t="inlineStr">
        <is>
          <t>Receivables and payables</t>
        </is>
      </c>
      <c r="U317" s="8" t="inlineStr"/>
      <c r="V317" s="8" t="inlineStr">
        <is>
          <t>ledgers</t>
        </is>
      </c>
      <c r="W317" s="8" t="inlineStr">
        <is>
          <t>CONTROL</t>
        </is>
      </c>
      <c r="X317" s="5" t="inlineStr">
        <is>
          <t>Core</t>
        </is>
      </c>
      <c r="Y317" s="5" t="inlineStr">
        <is>
          <t>Cross-persona</t>
        </is>
      </c>
      <c r="Z317" s="5" t="inlineStr">
        <is>
          <t>Critical</t>
        </is>
      </c>
      <c r="AA317" s="5" t="inlineStr">
        <is>
          <t>High</t>
        </is>
      </c>
      <c r="AB317" s="8" t="inlineStr">
        <is>
          <t>Medium</t>
        </is>
      </c>
      <c r="AC317" s="8" t="inlineStr">
        <is>
          <t>Pilot</t>
        </is>
      </c>
      <c r="AD317" s="5" t="inlineStr">
        <is>
          <t>Cited in code</t>
        </is>
      </c>
      <c r="AE317" s="5" t="inlineStr">
        <is>
          <t>Not verified</t>
        </is>
      </c>
      <c r="AF317" s="5" t="inlineStr">
        <is>
          <t>Not verified</t>
        </is>
      </c>
      <c r="AG317" s="5" t="inlineStr">
        <is>
          <t>Not verified</t>
        </is>
      </c>
      <c r="AH317" s="5" t="inlineStr">
        <is>
          <t>Not verified</t>
        </is>
      </c>
      <c r="AI317" s="8" t="inlineStr">
        <is>
          <t>No</t>
        </is>
      </c>
      <c r="AJ317" s="8" t="inlineStr">
        <is>
          <t>Built - unverified</t>
        </is>
      </c>
      <c r="AK317" s="8" t="inlineStr">
        <is>
          <t>P1</t>
        </is>
      </c>
      <c r="AL317" s="8" t="n">
        <v>18</v>
      </c>
      <c r="AM317" s="5" t="inlineStr"/>
      <c r="AN317" s="5" t="inlineStr"/>
      <c r="AO317" s="5" t="inlineStr"/>
      <c r="AP317" s="5" t="inlineStr"/>
      <c r="AQ317" s="5" t="inlineStr"/>
      <c r="AR317" s="5" t="inlineStr"/>
      <c r="AS317" s="5" t="inlineStr"/>
      <c r="AT317" s="5" t="inlineStr"/>
      <c r="AU317" s="8" t="inlineStr">
        <is>
          <t>Not run</t>
        </is>
      </c>
    </row>
    <row r="318" ht="32" customHeight="1">
      <c r="A318" s="16" t="inlineStr">
        <is>
          <t>X-0317</t>
        </is>
      </c>
      <c r="B318" s="8" t="inlineStr">
        <is>
          <t>X</t>
        </is>
      </c>
      <c r="C318" s="5" t="inlineStr">
        <is>
          <t>Multiple / Cross-persona</t>
        </is>
      </c>
      <c r="D318" s="5" t="inlineStr">
        <is>
          <t>Receivables &amp; Payables</t>
        </is>
      </c>
      <c r="E318" s="5" t="inlineStr">
        <is>
          <t>Customer settles multiple invoices → allocation is maintained</t>
        </is>
      </c>
      <c r="F318" s="5" t="inlineStr">
        <is>
          <t>In-house Accountant</t>
        </is>
      </c>
      <c r="G318" s="5" t="inlineStr">
        <is>
          <t>Customer</t>
        </is>
      </c>
      <c r="H318" s="5" t="inlineStr">
        <is>
          <t>Single lump-sum remittance allocated across multiple past invoices with clear audit trail</t>
        </is>
      </c>
      <c r="I318" s="5" t="inlineStr">
        <is>
          <t>Maintains exact allocation breakdown per invoice; updates individual invoice paid amounts</t>
        </is>
      </c>
      <c r="J318" s="20" t="inlineStr">
        <is>
          <t>P1</t>
        </is>
      </c>
      <c r="K318" s="20" t="inlineStr">
        <is>
          <t>Validated (Supported)</t>
        </is>
      </c>
      <c r="L318" s="5" t="inlineStr">
        <is>
          <t>Supported via bulk payment allocation interface.</t>
        </is>
      </c>
      <c r="M318" s="8" t="inlineStr">
        <is>
          <t>Baseline</t>
        </is>
      </c>
      <c r="N318" s="8" t="inlineStr">
        <is>
          <t>Cross-persona</t>
        </is>
      </c>
      <c r="O318" s="8" t="inlineStr">
        <is>
          <t>P1</t>
        </is>
      </c>
      <c r="P318" s="5" t="inlineStr">
        <is>
          <t>Unchanged</t>
        </is>
      </c>
      <c r="Q318" s="20" t="inlineStr">
        <is>
          <t>Author assertion</t>
        </is>
      </c>
      <c r="R318" s="5" t="inlineStr"/>
      <c r="S318" s="8" t="inlineStr">
        <is>
          <t>ARAP</t>
        </is>
      </c>
      <c r="T318" s="5" t="inlineStr">
        <is>
          <t>Receivables and payables</t>
        </is>
      </c>
      <c r="U318" s="8" t="inlineStr"/>
      <c r="V318" s="8" t="inlineStr">
        <is>
          <t>ledgers</t>
        </is>
      </c>
      <c r="W318" s="8" t="inlineStr">
        <is>
          <t>CONTROL</t>
        </is>
      </c>
      <c r="X318" s="5" t="inlineStr">
        <is>
          <t>Core</t>
        </is>
      </c>
      <c r="Y318" s="5" t="inlineStr">
        <is>
          <t>Cross-persona</t>
        </is>
      </c>
      <c r="Z318" s="5" t="inlineStr">
        <is>
          <t>Critical</t>
        </is>
      </c>
      <c r="AA318" s="5" t="inlineStr">
        <is>
          <t>High</t>
        </is>
      </c>
      <c r="AB318" s="8" t="inlineStr">
        <is>
          <t>Medium</t>
        </is>
      </c>
      <c r="AC318" s="8" t="inlineStr">
        <is>
          <t>Pilot</t>
        </is>
      </c>
      <c r="AD318" s="5" t="inlineStr">
        <is>
          <t>Not independently checked</t>
        </is>
      </c>
      <c r="AE318" s="5" t="inlineStr">
        <is>
          <t>Not verified</t>
        </is>
      </c>
      <c r="AF318" s="5" t="inlineStr">
        <is>
          <t>Not verified</t>
        </is>
      </c>
      <c r="AG318" s="5" t="inlineStr">
        <is>
          <t>Not verified</t>
        </is>
      </c>
      <c r="AH318" s="5" t="inlineStr">
        <is>
          <t>Not verified</t>
        </is>
      </c>
      <c r="AI318" s="8" t="inlineStr">
        <is>
          <t>No</t>
        </is>
      </c>
      <c r="AJ318" s="8" t="inlineStr">
        <is>
          <t>Claimed - unverified</t>
        </is>
      </c>
      <c r="AK318" s="8" t="inlineStr">
        <is>
          <t>P1</t>
        </is>
      </c>
      <c r="AL318" s="8" t="n">
        <v>18</v>
      </c>
      <c r="AM318" s="5" t="inlineStr"/>
      <c r="AN318" s="5" t="inlineStr"/>
      <c r="AO318" s="5" t="inlineStr"/>
      <c r="AP318" s="5" t="inlineStr"/>
      <c r="AQ318" s="5" t="inlineStr"/>
      <c r="AR318" s="5" t="inlineStr"/>
      <c r="AS318" s="5" t="inlineStr"/>
      <c r="AT318" s="5" t="inlineStr"/>
      <c r="AU318" s="8" t="inlineStr">
        <is>
          <t>Not run</t>
        </is>
      </c>
    </row>
    <row r="319" ht="32" customHeight="1">
      <c r="A319" s="16" t="inlineStr">
        <is>
          <t>X-0318</t>
        </is>
      </c>
      <c r="B319" s="8" t="inlineStr">
        <is>
          <t>X</t>
        </is>
      </c>
      <c r="C319" s="5" t="inlineStr">
        <is>
          <t>Multiple / Cross-persona</t>
        </is>
      </c>
      <c r="D319" s="5" t="inlineStr">
        <is>
          <t>Receivables &amp; Payables</t>
        </is>
      </c>
      <c r="E319" s="5" t="inlineStr">
        <is>
          <t>Credit note → customer balance changes</t>
        </is>
      </c>
      <c r="F319" s="5" t="inlineStr">
        <is>
          <t>In-house Accountant</t>
        </is>
      </c>
      <c r="G319" s="5" t="inlineStr">
        <is>
          <t>Customer</t>
        </is>
      </c>
      <c r="H319" s="5" t="inlineStr">
        <is>
          <t>Approved credit note for return or rate concession reduces customer outstanding balance</t>
        </is>
      </c>
      <c r="I319" s="5" t="inlineStr">
        <is>
          <t>Credits Customer AR ledger; reduces net outstanding balance owed by customer</t>
        </is>
      </c>
      <c r="J319" s="20" t="inlineStr">
        <is>
          <t>P1</t>
        </is>
      </c>
      <c r="K319" s="20" t="inlineStr">
        <is>
          <t>Validated (Supported)</t>
        </is>
      </c>
      <c r="L319" s="5" t="inlineStr">
        <is>
          <t>Core system invariant: Credit Note completion immediately reduces customer AR balance.</t>
        </is>
      </c>
      <c r="M319" s="8" t="inlineStr">
        <is>
          <t>Baseline</t>
        </is>
      </c>
      <c r="N319" s="8" t="inlineStr">
        <is>
          <t>Cross-persona</t>
        </is>
      </c>
      <c r="O319" s="8" t="inlineStr">
        <is>
          <t>P1</t>
        </is>
      </c>
      <c r="P319" s="5" t="inlineStr">
        <is>
          <t>Unchanged</t>
        </is>
      </c>
      <c r="Q319" s="20" t="inlineStr">
        <is>
          <t>Author assertion</t>
        </is>
      </c>
      <c r="R319" s="5" t="inlineStr"/>
      <c r="S319" s="8" t="inlineStr">
        <is>
          <t>ARAP</t>
        </is>
      </c>
      <c r="T319" s="5" t="inlineStr">
        <is>
          <t>Receivables and payables</t>
        </is>
      </c>
      <c r="U319" s="8" t="inlineStr"/>
      <c r="V319" s="8" t="inlineStr">
        <is>
          <t>ledgers</t>
        </is>
      </c>
      <c r="W319" s="8" t="inlineStr">
        <is>
          <t>CONTROL</t>
        </is>
      </c>
      <c r="X319" s="5" t="inlineStr">
        <is>
          <t>Core</t>
        </is>
      </c>
      <c r="Y319" s="5" t="inlineStr">
        <is>
          <t>Cross-persona</t>
        </is>
      </c>
      <c r="Z319" s="5" t="inlineStr">
        <is>
          <t>Critical</t>
        </is>
      </c>
      <c r="AA319" s="5" t="inlineStr">
        <is>
          <t>High</t>
        </is>
      </c>
      <c r="AB319" s="8" t="inlineStr">
        <is>
          <t>Medium</t>
        </is>
      </c>
      <c r="AC319" s="8" t="inlineStr">
        <is>
          <t>Pilot</t>
        </is>
      </c>
      <c r="AD319" s="5" t="inlineStr">
        <is>
          <t>Not independently checked</t>
        </is>
      </c>
      <c r="AE319" s="5" t="inlineStr">
        <is>
          <t>Not verified</t>
        </is>
      </c>
      <c r="AF319" s="5" t="inlineStr">
        <is>
          <t>Not verified</t>
        </is>
      </c>
      <c r="AG319" s="5" t="inlineStr">
        <is>
          <t>Not verified</t>
        </is>
      </c>
      <c r="AH319" s="5" t="inlineStr">
        <is>
          <t>Not verified</t>
        </is>
      </c>
      <c r="AI319" s="8" t="inlineStr">
        <is>
          <t>No</t>
        </is>
      </c>
      <c r="AJ319" s="8" t="inlineStr">
        <is>
          <t>Claimed - unverified</t>
        </is>
      </c>
      <c r="AK319" s="8" t="inlineStr">
        <is>
          <t>P1</t>
        </is>
      </c>
      <c r="AL319" s="8" t="n">
        <v>18</v>
      </c>
      <c r="AM319" s="5" t="inlineStr"/>
      <c r="AN319" s="5" t="inlineStr"/>
      <c r="AO319" s="5" t="inlineStr"/>
      <c r="AP319" s="5" t="inlineStr"/>
      <c r="AQ319" s="5" t="inlineStr"/>
      <c r="AR319" s="5" t="inlineStr"/>
      <c r="AS319" s="5" t="inlineStr"/>
      <c r="AT319" s="5" t="inlineStr"/>
      <c r="AU319" s="8" t="inlineStr">
        <is>
          <t>Not run</t>
        </is>
      </c>
    </row>
    <row r="320" ht="32" customHeight="1">
      <c r="A320" s="16" t="inlineStr">
        <is>
          <t>X-0319</t>
        </is>
      </c>
      <c r="B320" s="8" t="inlineStr">
        <is>
          <t>X</t>
        </is>
      </c>
      <c r="C320" s="5" t="inlineStr">
        <is>
          <t>Multiple / Cross-persona</t>
        </is>
      </c>
      <c r="D320" s="5" t="inlineStr">
        <is>
          <t>Receivables &amp; Payables</t>
        </is>
      </c>
      <c r="E320" s="5" t="inlineStr">
        <is>
          <t>Refund → customer balance changes</t>
        </is>
      </c>
      <c r="F320" s="5" t="inlineStr">
        <is>
          <t>Cashier / Accountant</t>
        </is>
      </c>
      <c r="G320" s="5" t="inlineStr">
        <is>
          <t>Customer</t>
        </is>
      </c>
      <c r="H320" s="5" t="inlineStr">
        <is>
          <t>Cash or bank refund issued to customer increases customer ledger balance</t>
        </is>
      </c>
      <c r="I320" s="5" t="inlineStr">
        <is>
          <t>Debits Customer AR ledger; credits Bank/Cash account; offsets open credit notes</t>
        </is>
      </c>
      <c r="J320" s="20" t="inlineStr">
        <is>
          <t>P1</t>
        </is>
      </c>
      <c r="K320" s="20" t="inlineStr">
        <is>
          <t>Validated (Supported)</t>
        </is>
      </c>
      <c r="L320" s="5" t="inlineStr">
        <is>
          <t>Supported via Refund payment workflow linked to Credit Note.</t>
        </is>
      </c>
      <c r="M320" s="8" t="inlineStr">
        <is>
          <t>Baseline</t>
        </is>
      </c>
      <c r="N320" s="8" t="inlineStr">
        <is>
          <t>Cross-persona</t>
        </is>
      </c>
      <c r="O320" s="8" t="inlineStr">
        <is>
          <t>P1</t>
        </is>
      </c>
      <c r="P320" s="5" t="inlineStr">
        <is>
          <t>Unchanged</t>
        </is>
      </c>
      <c r="Q320" s="20" t="inlineStr">
        <is>
          <t>Author assertion</t>
        </is>
      </c>
      <c r="R320" s="5" t="inlineStr"/>
      <c r="S320" s="8" t="inlineStr">
        <is>
          <t>ARAP</t>
        </is>
      </c>
      <c r="T320" s="5" t="inlineStr">
        <is>
          <t>Receivables and payables</t>
        </is>
      </c>
      <c r="U320" s="8" t="inlineStr"/>
      <c r="V320" s="8" t="inlineStr">
        <is>
          <t>ledgers</t>
        </is>
      </c>
      <c r="W320" s="8" t="inlineStr">
        <is>
          <t>CONTROL</t>
        </is>
      </c>
      <c r="X320" s="5" t="inlineStr">
        <is>
          <t>Core</t>
        </is>
      </c>
      <c r="Y320" s="5" t="inlineStr">
        <is>
          <t>Cross-persona</t>
        </is>
      </c>
      <c r="Z320" s="5" t="inlineStr">
        <is>
          <t>Critical</t>
        </is>
      </c>
      <c r="AA320" s="5" t="inlineStr">
        <is>
          <t>High</t>
        </is>
      </c>
      <c r="AB320" s="8" t="inlineStr">
        <is>
          <t>Medium</t>
        </is>
      </c>
      <c r="AC320" s="8" t="inlineStr">
        <is>
          <t>Pilot</t>
        </is>
      </c>
      <c r="AD320" s="5" t="inlineStr">
        <is>
          <t>Not independently checked</t>
        </is>
      </c>
      <c r="AE320" s="5" t="inlineStr">
        <is>
          <t>Not verified</t>
        </is>
      </c>
      <c r="AF320" s="5" t="inlineStr">
        <is>
          <t>Not verified</t>
        </is>
      </c>
      <c r="AG320" s="5" t="inlineStr">
        <is>
          <t>Not verified</t>
        </is>
      </c>
      <c r="AH320" s="5" t="inlineStr">
        <is>
          <t>Not verified</t>
        </is>
      </c>
      <c r="AI320" s="8" t="inlineStr">
        <is>
          <t>No</t>
        </is>
      </c>
      <c r="AJ320" s="8" t="inlineStr">
        <is>
          <t>Claimed - unverified</t>
        </is>
      </c>
      <c r="AK320" s="8" t="inlineStr">
        <is>
          <t>P1</t>
        </is>
      </c>
      <c r="AL320" s="8" t="n">
        <v>18</v>
      </c>
      <c r="AM320" s="5" t="inlineStr"/>
      <c r="AN320" s="5" t="inlineStr"/>
      <c r="AO320" s="5" t="inlineStr"/>
      <c r="AP320" s="5" t="inlineStr"/>
      <c r="AQ320" s="5" t="inlineStr"/>
      <c r="AR320" s="5" t="inlineStr"/>
      <c r="AS320" s="5" t="inlineStr"/>
      <c r="AT320" s="5" t="inlineStr"/>
      <c r="AU320" s="8" t="inlineStr">
        <is>
          <t>Not run</t>
        </is>
      </c>
    </row>
    <row r="321" ht="32" customHeight="1">
      <c r="A321" s="16" t="inlineStr">
        <is>
          <t>X-0320</t>
        </is>
      </c>
      <c r="B321" s="8" t="inlineStr">
        <is>
          <t>X</t>
        </is>
      </c>
      <c r="C321" s="5" t="inlineStr">
        <is>
          <t>Multiple / Cross-persona</t>
        </is>
      </c>
      <c r="D321" s="5" t="inlineStr">
        <is>
          <t>Receivables &amp; Payables</t>
        </is>
      </c>
      <c r="E321" s="5" t="inlineStr">
        <is>
          <t>Customer statement → all transactions are visible</t>
        </is>
      </c>
      <c r="F321" s="5" t="inlineStr">
        <is>
          <t>In-house Accountant</t>
        </is>
      </c>
      <c r="G321" s="5" t="inlineStr">
        <is>
          <t>Customer / Owner</t>
        </is>
      </c>
      <c r="H321" s="5" t="inlineStr">
        <is>
          <t>Comprehensive statement of account showing all invoices, debit/credit notes, and payments</t>
        </is>
      </c>
      <c r="I321" s="5" t="inlineStr">
        <is>
          <t>Renders chronological customer ledger statement with debit, credit, and running balance</t>
        </is>
      </c>
      <c r="J321" s="20" t="inlineStr">
        <is>
          <t>P1</t>
        </is>
      </c>
      <c r="K321" s="20" t="inlineStr">
        <is>
          <t>Validated (Supported)</t>
        </is>
      </c>
      <c r="L321" s="5" t="inlineStr">
        <is>
          <t>Supported via /sales/customers/{id}/statement/ with PDF and Excel export.</t>
        </is>
      </c>
      <c r="M321" s="8" t="inlineStr">
        <is>
          <t>Baseline</t>
        </is>
      </c>
      <c r="N321" s="8" t="inlineStr">
        <is>
          <t>Cross-persona</t>
        </is>
      </c>
      <c r="O321" s="8" t="inlineStr">
        <is>
          <t>P1</t>
        </is>
      </c>
      <c r="P321" s="5" t="inlineStr">
        <is>
          <t>Unchanged</t>
        </is>
      </c>
      <c r="Q321" s="20" t="inlineStr">
        <is>
          <t>Author assertion</t>
        </is>
      </c>
      <c r="R321" s="5" t="inlineStr"/>
      <c r="S321" s="8" t="inlineStr">
        <is>
          <t>ARAP</t>
        </is>
      </c>
      <c r="T321" s="5" t="inlineStr">
        <is>
          <t>Receivables and payables</t>
        </is>
      </c>
      <c r="U321" s="8" t="inlineStr"/>
      <c r="V321" s="8" t="inlineStr">
        <is>
          <t>ledgers</t>
        </is>
      </c>
      <c r="W321" s="8" t="inlineStr">
        <is>
          <t>CONTROL</t>
        </is>
      </c>
      <c r="X321" s="5" t="inlineStr">
        <is>
          <t>Core</t>
        </is>
      </c>
      <c r="Y321" s="5" t="inlineStr">
        <is>
          <t>Cross-persona</t>
        </is>
      </c>
      <c r="Z321" s="5" t="inlineStr">
        <is>
          <t>Critical</t>
        </is>
      </c>
      <c r="AA321" s="5" t="inlineStr">
        <is>
          <t>High</t>
        </is>
      </c>
      <c r="AB321" s="8" t="inlineStr">
        <is>
          <t>Medium</t>
        </is>
      </c>
      <c r="AC321" s="8" t="inlineStr">
        <is>
          <t>Pilot</t>
        </is>
      </c>
      <c r="AD321" s="5" t="inlineStr">
        <is>
          <t>Not independently checked</t>
        </is>
      </c>
      <c r="AE321" s="5" t="inlineStr">
        <is>
          <t>Not verified</t>
        </is>
      </c>
      <c r="AF321" s="5" t="inlineStr">
        <is>
          <t>Not verified</t>
        </is>
      </c>
      <c r="AG321" s="5" t="inlineStr">
        <is>
          <t>Not verified</t>
        </is>
      </c>
      <c r="AH321" s="5" t="inlineStr">
        <is>
          <t>Not verified</t>
        </is>
      </c>
      <c r="AI321" s="8" t="inlineStr">
        <is>
          <t>No</t>
        </is>
      </c>
      <c r="AJ321" s="8" t="inlineStr">
        <is>
          <t>Claimed - unverified</t>
        </is>
      </c>
      <c r="AK321" s="8" t="inlineStr">
        <is>
          <t>P1</t>
        </is>
      </c>
      <c r="AL321" s="8" t="n">
        <v>18</v>
      </c>
      <c r="AM321" s="5" t="inlineStr"/>
      <c r="AN321" s="5" t="inlineStr"/>
      <c r="AO321" s="5" t="inlineStr"/>
      <c r="AP321" s="5" t="inlineStr"/>
      <c r="AQ321" s="5" t="inlineStr"/>
      <c r="AR321" s="5" t="inlineStr"/>
      <c r="AS321" s="5" t="inlineStr"/>
      <c r="AT321" s="5" t="inlineStr"/>
      <c r="AU321" s="8" t="inlineStr">
        <is>
          <t>Not run</t>
        </is>
      </c>
    </row>
    <row r="322" ht="32" customHeight="1">
      <c r="A322" s="16" t="inlineStr">
        <is>
          <t>X-0321</t>
        </is>
      </c>
      <c r="B322" s="8" t="inlineStr">
        <is>
          <t>X</t>
        </is>
      </c>
      <c r="C322" s="5" t="inlineStr">
        <is>
          <t>Multiple / Cross-persona</t>
        </is>
      </c>
      <c r="D322" s="5" t="inlineStr">
        <is>
          <t>Receivables &amp; Payables</t>
        </is>
      </c>
      <c r="E322" s="5" t="inlineStr">
        <is>
          <t>Owner reviews receivables → customer-level drill-down</t>
        </is>
      </c>
      <c r="F322" s="5" t="inlineStr">
        <is>
          <t>Reporting &amp; Business Intelligence</t>
        </is>
      </c>
      <c r="G322" s="5" t="inlineStr">
        <is>
          <t>Business Owner</t>
        </is>
      </c>
      <c r="H322" s="5" t="inlineStr">
        <is>
          <t>Owner inspects total market receivables and clicks into any customer to see unpaid bills</t>
        </is>
      </c>
      <c r="I322" s="5" t="inlineStr">
        <is>
          <t>Provides instant drill-down from receivables summary KPI to individual customer invoices</t>
        </is>
      </c>
      <c r="J322" s="20" t="inlineStr">
        <is>
          <t>P1</t>
        </is>
      </c>
      <c r="K322" s="20" t="inlineStr">
        <is>
          <t>Validated (Supported)</t>
        </is>
      </c>
      <c r="L322" s="5" t="inlineStr">
        <is>
          <t>Supported via Receivables Dashboard with interactive drill-down.</t>
        </is>
      </c>
      <c r="M322" s="8" t="inlineStr">
        <is>
          <t>Baseline</t>
        </is>
      </c>
      <c r="N322" s="8" t="inlineStr">
        <is>
          <t>Cross-persona</t>
        </is>
      </c>
      <c r="O322" s="8" t="inlineStr">
        <is>
          <t>P1</t>
        </is>
      </c>
      <c r="P322" s="5" t="inlineStr">
        <is>
          <t>Unchanged</t>
        </is>
      </c>
      <c r="Q322" s="20" t="inlineStr">
        <is>
          <t>Author assertion</t>
        </is>
      </c>
      <c r="R322" s="5" t="inlineStr"/>
      <c r="S322" s="8" t="inlineStr">
        <is>
          <t>ARAP</t>
        </is>
      </c>
      <c r="T322" s="5" t="inlineStr">
        <is>
          <t>Receivables and payables</t>
        </is>
      </c>
      <c r="U322" s="8" t="inlineStr"/>
      <c r="V322" s="8" t="inlineStr">
        <is>
          <t>ledgers</t>
        </is>
      </c>
      <c r="W322" s="8" t="inlineStr">
        <is>
          <t>CONTROL</t>
        </is>
      </c>
      <c r="X322" s="5" t="inlineStr">
        <is>
          <t>Core</t>
        </is>
      </c>
      <c r="Y322" s="5" t="inlineStr">
        <is>
          <t>Cross-persona</t>
        </is>
      </c>
      <c r="Z322" s="5" t="inlineStr">
        <is>
          <t>Critical</t>
        </is>
      </c>
      <c r="AA322" s="5" t="inlineStr">
        <is>
          <t>High</t>
        </is>
      </c>
      <c r="AB322" s="8" t="inlineStr">
        <is>
          <t>Medium</t>
        </is>
      </c>
      <c r="AC322" s="8" t="inlineStr">
        <is>
          <t>Pilot</t>
        </is>
      </c>
      <c r="AD322" s="5" t="inlineStr">
        <is>
          <t>Not independently checked</t>
        </is>
      </c>
      <c r="AE322" s="5" t="inlineStr">
        <is>
          <t>Not verified</t>
        </is>
      </c>
      <c r="AF322" s="5" t="inlineStr">
        <is>
          <t>Not verified</t>
        </is>
      </c>
      <c r="AG322" s="5" t="inlineStr">
        <is>
          <t>Not verified</t>
        </is>
      </c>
      <c r="AH322" s="5" t="inlineStr">
        <is>
          <t>Not verified</t>
        </is>
      </c>
      <c r="AI322" s="8" t="inlineStr">
        <is>
          <t>No</t>
        </is>
      </c>
      <c r="AJ322" s="8" t="inlineStr">
        <is>
          <t>Claimed - unverified</t>
        </is>
      </c>
      <c r="AK322" s="8" t="inlineStr">
        <is>
          <t>P1</t>
        </is>
      </c>
      <c r="AL322" s="8" t="n">
        <v>18</v>
      </c>
      <c r="AM322" s="5" t="inlineStr"/>
      <c r="AN322" s="5" t="inlineStr"/>
      <c r="AO322" s="5" t="inlineStr"/>
      <c r="AP322" s="5" t="inlineStr"/>
      <c r="AQ322" s="5" t="inlineStr"/>
      <c r="AR322" s="5" t="inlineStr"/>
      <c r="AS322" s="5" t="inlineStr"/>
      <c r="AT322" s="5" t="inlineStr"/>
      <c r="AU322" s="8" t="inlineStr">
        <is>
          <t>Not run</t>
        </is>
      </c>
    </row>
    <row r="323" ht="32" customHeight="1">
      <c r="A323" s="16" t="inlineStr">
        <is>
          <t>X-0322</t>
        </is>
      </c>
      <c r="B323" s="8" t="inlineStr">
        <is>
          <t>X</t>
        </is>
      </c>
      <c r="C323" s="5" t="inlineStr">
        <is>
          <t>Multiple / Cross-persona</t>
        </is>
      </c>
      <c r="D323" s="5" t="inlineStr">
        <is>
          <t>Receivables &amp; Payables</t>
        </is>
      </c>
      <c r="E323" s="5" t="inlineStr">
        <is>
          <t>Accountant reconciles customer ledger → discrepancies identified</t>
        </is>
      </c>
      <c r="F323" s="5" t="inlineStr">
        <is>
          <t>In-house Accountant</t>
        </is>
      </c>
      <c r="G323" s="5" t="inlineStr">
        <is>
          <t>Customer Accounts Team</t>
        </is>
      </c>
      <c r="H323" s="5" t="inlineStr">
        <is>
          <t>Periodic ledger reconciliation with customer accounting department to resolve variances</t>
        </is>
      </c>
      <c r="I323" s="5" t="inlineStr">
        <is>
          <t>Highlights mismatched invoice amounts, unrecorded deductions, or disputed debit notes</t>
        </is>
      </c>
      <c r="J323" s="20" t="inlineStr">
        <is>
          <t>P1</t>
        </is>
      </c>
      <c r="K323" s="20" t="inlineStr">
        <is>
          <t>Validated (Supported)</t>
        </is>
      </c>
      <c r="L323" s="5" t="inlineStr">
        <is>
          <t>Supported via Customer Ledger Reconciliation tool.</t>
        </is>
      </c>
      <c r="M323" s="8" t="inlineStr">
        <is>
          <t>Baseline</t>
        </is>
      </c>
      <c r="N323" s="8" t="inlineStr">
        <is>
          <t>Cross-persona</t>
        </is>
      </c>
      <c r="O323" s="8" t="inlineStr">
        <is>
          <t>P1</t>
        </is>
      </c>
      <c r="P323" s="5" t="inlineStr">
        <is>
          <t>Unchanged</t>
        </is>
      </c>
      <c r="Q323" s="20" t="inlineStr">
        <is>
          <t>Author assertion</t>
        </is>
      </c>
      <c r="R323" s="5" t="inlineStr"/>
      <c r="S323" s="8" t="inlineStr">
        <is>
          <t>ARAP</t>
        </is>
      </c>
      <c r="T323" s="5" t="inlineStr">
        <is>
          <t>Receivables and payables</t>
        </is>
      </c>
      <c r="U323" s="8" t="inlineStr"/>
      <c r="V323" s="8" t="inlineStr">
        <is>
          <t>ledgers</t>
        </is>
      </c>
      <c r="W323" s="8" t="inlineStr">
        <is>
          <t>CONTROL</t>
        </is>
      </c>
      <c r="X323" s="5" t="inlineStr">
        <is>
          <t>Core</t>
        </is>
      </c>
      <c r="Y323" s="5" t="inlineStr">
        <is>
          <t>Cross-persona</t>
        </is>
      </c>
      <c r="Z323" s="5" t="inlineStr">
        <is>
          <t>Critical</t>
        </is>
      </c>
      <c r="AA323" s="5" t="inlineStr">
        <is>
          <t>High</t>
        </is>
      </c>
      <c r="AB323" s="8" t="inlineStr">
        <is>
          <t>Medium</t>
        </is>
      </c>
      <c r="AC323" s="8" t="inlineStr">
        <is>
          <t>Pilot</t>
        </is>
      </c>
      <c r="AD323" s="5" t="inlineStr">
        <is>
          <t>Not independently checked</t>
        </is>
      </c>
      <c r="AE323" s="5" t="inlineStr">
        <is>
          <t>Not verified</t>
        </is>
      </c>
      <c r="AF323" s="5" t="inlineStr">
        <is>
          <t>Not verified</t>
        </is>
      </c>
      <c r="AG323" s="5" t="inlineStr">
        <is>
          <t>Not verified</t>
        </is>
      </c>
      <c r="AH323" s="5" t="inlineStr">
        <is>
          <t>Not verified</t>
        </is>
      </c>
      <c r="AI323" s="8" t="inlineStr">
        <is>
          <t>No</t>
        </is>
      </c>
      <c r="AJ323" s="8" t="inlineStr">
        <is>
          <t>Claimed - unverified</t>
        </is>
      </c>
      <c r="AK323" s="8" t="inlineStr">
        <is>
          <t>P1</t>
        </is>
      </c>
      <c r="AL323" s="8" t="n">
        <v>18</v>
      </c>
      <c r="AM323" s="5" t="inlineStr"/>
      <c r="AN323" s="5" t="inlineStr"/>
      <c r="AO323" s="5" t="inlineStr"/>
      <c r="AP323" s="5" t="inlineStr"/>
      <c r="AQ323" s="5" t="inlineStr"/>
      <c r="AR323" s="5" t="inlineStr"/>
      <c r="AS323" s="5" t="inlineStr"/>
      <c r="AT323" s="5" t="inlineStr"/>
      <c r="AU323" s="8" t="inlineStr">
        <is>
          <t>Not run</t>
        </is>
      </c>
    </row>
    <row r="324" ht="32" customHeight="1">
      <c r="A324" s="16" t="inlineStr">
        <is>
          <t>X-0323</t>
        </is>
      </c>
      <c r="B324" s="8" t="inlineStr">
        <is>
          <t>X</t>
        </is>
      </c>
      <c r="C324" s="5" t="inlineStr">
        <is>
          <t>Multiple / Cross-persona</t>
        </is>
      </c>
      <c r="D324" s="5" t="inlineStr">
        <is>
          <t>Receivables &amp; Payables</t>
        </is>
      </c>
      <c r="E324" s="5" t="inlineStr">
        <is>
          <t>Purchase creates supplier payable</t>
        </is>
      </c>
      <c r="F324" s="5" t="inlineStr">
        <is>
          <t>System / Ledger Engine</t>
        </is>
      </c>
      <c r="G324" s="5" t="inlineStr">
        <is>
          <t>Purchase Manager</t>
        </is>
      </c>
      <c r="H324" s="5" t="inlineStr">
        <is>
          <t>Completed purchase bill creates accounts payable liability owed to supplier</t>
        </is>
      </c>
      <c r="I324" s="5" t="inlineStr">
        <is>
          <t>Credits Supplier Accounts Payable ledger account; increases total trade payables</t>
        </is>
      </c>
      <c r="J324" s="20" t="inlineStr">
        <is>
          <t>P1</t>
        </is>
      </c>
      <c r="K324" s="20" t="inlineStr">
        <is>
          <t>Validated (Supported)</t>
        </is>
      </c>
      <c r="L324" s="5" t="inlineStr">
        <is>
          <t>Core system invariant: PurchaseInvoice completion atomically creates supplier payable.</t>
        </is>
      </c>
      <c r="M324" s="8" t="inlineStr">
        <is>
          <t>Baseline</t>
        </is>
      </c>
      <c r="N324" s="8" t="inlineStr">
        <is>
          <t>Cross-persona</t>
        </is>
      </c>
      <c r="O324" s="8" t="inlineStr">
        <is>
          <t>P1</t>
        </is>
      </c>
      <c r="P324" s="5" t="inlineStr">
        <is>
          <t>Restored to authored P1. The previous workbook had P0 after a keyword rebalance.</t>
        </is>
      </c>
      <c r="Q324" s="21" t="inlineStr">
        <is>
          <t>Code symbol found</t>
        </is>
      </c>
      <c r="R324" s="5" t="inlineStr">
        <is>
          <t>Matched PurchaseInvoice in product code. This is not a functional test. Restored to authored P1. The previous workbook had P0 after a keyword rebalance.</t>
        </is>
      </c>
      <c r="S324" s="8" t="inlineStr">
        <is>
          <t>ARAP</t>
        </is>
      </c>
      <c r="T324" s="5" t="inlineStr">
        <is>
          <t>Receivables and payables</t>
        </is>
      </c>
      <c r="U324" s="8" t="inlineStr"/>
      <c r="V324" s="8" t="inlineStr">
        <is>
          <t>ledgers</t>
        </is>
      </c>
      <c r="W324" s="8" t="inlineStr">
        <is>
          <t>CONTROL</t>
        </is>
      </c>
      <c r="X324" s="5" t="inlineStr">
        <is>
          <t>Core</t>
        </is>
      </c>
      <c r="Y324" s="5" t="inlineStr">
        <is>
          <t>Cross-persona</t>
        </is>
      </c>
      <c r="Z324" s="5" t="inlineStr">
        <is>
          <t>Critical</t>
        </is>
      </c>
      <c r="AA324" s="5" t="inlineStr">
        <is>
          <t>High</t>
        </is>
      </c>
      <c r="AB324" s="8" t="inlineStr">
        <is>
          <t>Medium</t>
        </is>
      </c>
      <c r="AC324" s="8" t="inlineStr">
        <is>
          <t>Pilot</t>
        </is>
      </c>
      <c r="AD324" s="5" t="inlineStr">
        <is>
          <t>Cited in code</t>
        </is>
      </c>
      <c r="AE324" s="5" t="inlineStr">
        <is>
          <t>Not verified</t>
        </is>
      </c>
      <c r="AF324" s="5" t="inlineStr">
        <is>
          <t>Not verified</t>
        </is>
      </c>
      <c r="AG324" s="5" t="inlineStr">
        <is>
          <t>Not verified</t>
        </is>
      </c>
      <c r="AH324" s="5" t="inlineStr">
        <is>
          <t>Not verified</t>
        </is>
      </c>
      <c r="AI324" s="8" t="inlineStr">
        <is>
          <t>No</t>
        </is>
      </c>
      <c r="AJ324" s="8" t="inlineStr">
        <is>
          <t>Built - unverified</t>
        </is>
      </c>
      <c r="AK324" s="8" t="inlineStr">
        <is>
          <t>P1</t>
        </is>
      </c>
      <c r="AL324" s="8" t="n">
        <v>18</v>
      </c>
      <c r="AM324" s="5" t="inlineStr"/>
      <c r="AN324" s="5" t="inlineStr"/>
      <c r="AO324" s="5" t="inlineStr"/>
      <c r="AP324" s="5" t="inlineStr"/>
      <c r="AQ324" s="5" t="inlineStr"/>
      <c r="AR324" s="5" t="inlineStr"/>
      <c r="AS324" s="5" t="inlineStr"/>
      <c r="AT324" s="5" t="inlineStr"/>
      <c r="AU324" s="8" t="inlineStr">
        <is>
          <t>Not run</t>
        </is>
      </c>
    </row>
    <row r="325" ht="32" customHeight="1">
      <c r="A325" s="16" t="inlineStr">
        <is>
          <t>X-0324</t>
        </is>
      </c>
      <c r="B325" s="8" t="inlineStr">
        <is>
          <t>X</t>
        </is>
      </c>
      <c r="C325" s="5" t="inlineStr">
        <is>
          <t>Multiple / Cross-persona</t>
        </is>
      </c>
      <c r="D325" s="5" t="inlineStr">
        <is>
          <t>Receivables &amp; Payables</t>
        </is>
      </c>
      <c r="E325" s="5" t="inlineStr">
        <is>
          <t>Supplier invoice updates payable</t>
        </is>
      </c>
      <c r="F325" s="5" t="inlineStr">
        <is>
          <t>In-house Accountant</t>
        </is>
      </c>
      <c r="G325" s="5" t="inlineStr">
        <is>
          <t>Supplier</t>
        </is>
      </c>
      <c r="H325" s="5" t="inlineStr">
        <is>
          <t>Vendor bill recording updates supplier running ledger balance and payment schedule</t>
        </is>
      </c>
      <c r="I325" s="5" t="inlineStr">
        <is>
          <t>Updates net balance owed to supplier; sets payment due date based on vendor credit terms</t>
        </is>
      </c>
      <c r="J325" s="20" t="inlineStr">
        <is>
          <t>P1</t>
        </is>
      </c>
      <c r="K325" s="20" t="inlineStr">
        <is>
          <t>Validated (Supported)</t>
        </is>
      </c>
      <c r="L325" s="5" t="inlineStr">
        <is>
          <t>Supported in Purchase Invoice complete flow.</t>
        </is>
      </c>
      <c r="M325" s="8" t="inlineStr">
        <is>
          <t>Baseline</t>
        </is>
      </c>
      <c r="N325" s="8" t="inlineStr">
        <is>
          <t>Cross-persona</t>
        </is>
      </c>
      <c r="O325" s="8" t="inlineStr">
        <is>
          <t>P1</t>
        </is>
      </c>
      <c r="P325" s="5" t="inlineStr">
        <is>
          <t>Unchanged</t>
        </is>
      </c>
      <c r="Q325" s="20" t="inlineStr">
        <is>
          <t>Author assertion</t>
        </is>
      </c>
      <c r="R325" s="5" t="inlineStr"/>
      <c r="S325" s="8" t="inlineStr">
        <is>
          <t>ARAP</t>
        </is>
      </c>
      <c r="T325" s="5" t="inlineStr">
        <is>
          <t>Receivables and payables</t>
        </is>
      </c>
      <c r="U325" s="8" t="inlineStr"/>
      <c r="V325" s="8" t="inlineStr">
        <is>
          <t>ledgers</t>
        </is>
      </c>
      <c r="W325" s="8" t="inlineStr">
        <is>
          <t>CONTROL</t>
        </is>
      </c>
      <c r="X325" s="5" t="inlineStr">
        <is>
          <t>Core</t>
        </is>
      </c>
      <c r="Y325" s="5" t="inlineStr">
        <is>
          <t>Cross-persona</t>
        </is>
      </c>
      <c r="Z325" s="5" t="inlineStr">
        <is>
          <t>Critical</t>
        </is>
      </c>
      <c r="AA325" s="5" t="inlineStr">
        <is>
          <t>High</t>
        </is>
      </c>
      <c r="AB325" s="8" t="inlineStr">
        <is>
          <t>Medium</t>
        </is>
      </c>
      <c r="AC325" s="8" t="inlineStr">
        <is>
          <t>Pilot</t>
        </is>
      </c>
      <c r="AD325" s="5" t="inlineStr">
        <is>
          <t>Not independently checked</t>
        </is>
      </c>
      <c r="AE325" s="5" t="inlineStr">
        <is>
          <t>Not verified</t>
        </is>
      </c>
      <c r="AF325" s="5" t="inlineStr">
        <is>
          <t>Not verified</t>
        </is>
      </c>
      <c r="AG325" s="5" t="inlineStr">
        <is>
          <t>Not verified</t>
        </is>
      </c>
      <c r="AH325" s="5" t="inlineStr">
        <is>
          <t>Not verified</t>
        </is>
      </c>
      <c r="AI325" s="8" t="inlineStr">
        <is>
          <t>No</t>
        </is>
      </c>
      <c r="AJ325" s="8" t="inlineStr">
        <is>
          <t>Claimed - unverified</t>
        </is>
      </c>
      <c r="AK325" s="8" t="inlineStr">
        <is>
          <t>P1</t>
        </is>
      </c>
      <c r="AL325" s="8" t="n">
        <v>18</v>
      </c>
      <c r="AM325" s="5" t="inlineStr"/>
      <c r="AN325" s="5" t="inlineStr"/>
      <c r="AO325" s="5" t="inlineStr"/>
      <c r="AP325" s="5" t="inlineStr"/>
      <c r="AQ325" s="5" t="inlineStr"/>
      <c r="AR325" s="5" t="inlineStr"/>
      <c r="AS325" s="5" t="inlineStr"/>
      <c r="AT325" s="5" t="inlineStr"/>
      <c r="AU325" s="8" t="inlineStr">
        <is>
          <t>Not run</t>
        </is>
      </c>
    </row>
    <row r="326" ht="32" customHeight="1">
      <c r="A326" s="16" t="inlineStr">
        <is>
          <t>X-0325</t>
        </is>
      </c>
      <c r="B326" s="8" t="inlineStr">
        <is>
          <t>X</t>
        </is>
      </c>
      <c r="C326" s="5" t="inlineStr">
        <is>
          <t>Multiple / Cross-persona</t>
        </is>
      </c>
      <c r="D326" s="5" t="inlineStr">
        <is>
          <t>Receivables &amp; Payables</t>
        </is>
      </c>
      <c r="E326" s="5" t="inlineStr">
        <is>
          <t>Supplier payment reduces payable</t>
        </is>
      </c>
      <c r="F326" s="5" t="inlineStr">
        <is>
          <t>Accounts Cashier</t>
        </is>
      </c>
      <c r="G326" s="5" t="inlineStr">
        <is>
          <t>Supplier</t>
        </is>
      </c>
      <c r="H326" s="5" t="inlineStr">
        <is>
          <t>Disbursing payment to supplier reduces total liability balance in accounts payable</t>
        </is>
      </c>
      <c r="I326" s="5" t="inlineStr">
        <is>
          <t>Debits Supplier AP account; credits Bank/Cash account; updates vendor outstanding</t>
        </is>
      </c>
      <c r="J326" s="20" t="inlineStr">
        <is>
          <t>P1</t>
        </is>
      </c>
      <c r="K326" s="20" t="inlineStr">
        <is>
          <t>Validated (Supported)</t>
        </is>
      </c>
      <c r="L326" s="5" t="inlineStr">
        <is>
          <t>Supported via /purchases/payments/create.</t>
        </is>
      </c>
      <c r="M326" s="8" t="inlineStr">
        <is>
          <t>Baseline</t>
        </is>
      </c>
      <c r="N326" s="8" t="inlineStr">
        <is>
          <t>Cross-persona</t>
        </is>
      </c>
      <c r="O326" s="8" t="inlineStr">
        <is>
          <t>P1</t>
        </is>
      </c>
      <c r="P326" s="5" t="inlineStr">
        <is>
          <t>Unchanged</t>
        </is>
      </c>
      <c r="Q326" s="20" t="inlineStr">
        <is>
          <t>Author assertion</t>
        </is>
      </c>
      <c r="R326" s="5" t="inlineStr"/>
      <c r="S326" s="8" t="inlineStr">
        <is>
          <t>ARAP</t>
        </is>
      </c>
      <c r="T326" s="5" t="inlineStr">
        <is>
          <t>Receivables and payables</t>
        </is>
      </c>
      <c r="U326" s="8" t="inlineStr"/>
      <c r="V326" s="8" t="inlineStr">
        <is>
          <t>ledgers</t>
        </is>
      </c>
      <c r="W326" s="8" t="inlineStr">
        <is>
          <t>CONTROL</t>
        </is>
      </c>
      <c r="X326" s="5" t="inlineStr">
        <is>
          <t>Core</t>
        </is>
      </c>
      <c r="Y326" s="5" t="inlineStr">
        <is>
          <t>Cross-persona</t>
        </is>
      </c>
      <c r="Z326" s="5" t="inlineStr">
        <is>
          <t>Critical</t>
        </is>
      </c>
      <c r="AA326" s="5" t="inlineStr">
        <is>
          <t>High</t>
        </is>
      </c>
      <c r="AB326" s="8" t="inlineStr">
        <is>
          <t>Medium</t>
        </is>
      </c>
      <c r="AC326" s="8" t="inlineStr">
        <is>
          <t>Pilot</t>
        </is>
      </c>
      <c r="AD326" s="5" t="inlineStr">
        <is>
          <t>Not independently checked</t>
        </is>
      </c>
      <c r="AE326" s="5" t="inlineStr">
        <is>
          <t>Not verified</t>
        </is>
      </c>
      <c r="AF326" s="5" t="inlineStr">
        <is>
          <t>Not verified</t>
        </is>
      </c>
      <c r="AG326" s="5" t="inlineStr">
        <is>
          <t>Not verified</t>
        </is>
      </c>
      <c r="AH326" s="5" t="inlineStr">
        <is>
          <t>Not verified</t>
        </is>
      </c>
      <c r="AI326" s="8" t="inlineStr">
        <is>
          <t>No</t>
        </is>
      </c>
      <c r="AJ326" s="8" t="inlineStr">
        <is>
          <t>Claimed - unverified</t>
        </is>
      </c>
      <c r="AK326" s="8" t="inlineStr">
        <is>
          <t>P1</t>
        </is>
      </c>
      <c r="AL326" s="8" t="n">
        <v>18</v>
      </c>
      <c r="AM326" s="5" t="inlineStr"/>
      <c r="AN326" s="5" t="inlineStr"/>
      <c r="AO326" s="5" t="inlineStr"/>
      <c r="AP326" s="5" t="inlineStr"/>
      <c r="AQ326" s="5" t="inlineStr"/>
      <c r="AR326" s="5" t="inlineStr"/>
      <c r="AS326" s="5" t="inlineStr"/>
      <c r="AT326" s="5" t="inlineStr"/>
      <c r="AU326" s="8" t="inlineStr">
        <is>
          <t>Not run</t>
        </is>
      </c>
    </row>
    <row r="327" ht="32" customHeight="1">
      <c r="A327" s="16" t="inlineStr">
        <is>
          <t>X-0326</t>
        </is>
      </c>
      <c r="B327" s="8" t="inlineStr">
        <is>
          <t>X</t>
        </is>
      </c>
      <c r="C327" s="5" t="inlineStr">
        <is>
          <t>Multiple / Cross-persona</t>
        </is>
      </c>
      <c r="D327" s="5" t="inlineStr">
        <is>
          <t>Receivables &amp; Payables</t>
        </is>
      </c>
      <c r="E327" s="5" t="inlineStr">
        <is>
          <t>Partial supplier payment maintains balance</t>
        </is>
      </c>
      <c r="F327" s="5" t="inlineStr">
        <is>
          <t>In-house Accountant</t>
        </is>
      </c>
      <c r="G327" s="5" t="inlineStr">
        <is>
          <t>Supplier</t>
        </is>
      </c>
      <c r="H327" s="5" t="inlineStr">
        <is>
          <t>Partial payment to vendor maintains accurate record of remaining unpaid bill amount</t>
        </is>
      </c>
      <c r="I327" s="5" t="inlineStr">
        <is>
          <t>Updates purchase invoice paid_amount; keeps remaining balance active in payables aging</t>
        </is>
      </c>
      <c r="J327" s="20" t="inlineStr">
        <is>
          <t>P1</t>
        </is>
      </c>
      <c r="K327" s="20" t="inlineStr">
        <is>
          <t>Validated (Supported)</t>
        </is>
      </c>
      <c r="L327" s="5" t="inlineStr">
        <is>
          <t>Supported via purchase PaymentAllocation engine.</t>
        </is>
      </c>
      <c r="M327" s="8" t="inlineStr">
        <is>
          <t>Baseline</t>
        </is>
      </c>
      <c r="N327" s="8" t="inlineStr">
        <is>
          <t>Cross-persona</t>
        </is>
      </c>
      <c r="O327" s="8" t="inlineStr">
        <is>
          <t>P1</t>
        </is>
      </c>
      <c r="P327" s="5" t="inlineStr">
        <is>
          <t>Unchanged</t>
        </is>
      </c>
      <c r="Q327" s="21" t="inlineStr">
        <is>
          <t>Code symbol found</t>
        </is>
      </c>
      <c r="R327" s="5" t="inlineStr">
        <is>
          <t>Matched PaymentAllocation in product code. This is not a functional test.</t>
        </is>
      </c>
      <c r="S327" s="8" t="inlineStr">
        <is>
          <t>ARAP</t>
        </is>
      </c>
      <c r="T327" s="5" t="inlineStr">
        <is>
          <t>Receivables and payables</t>
        </is>
      </c>
      <c r="U327" s="8" t="inlineStr"/>
      <c r="V327" s="8" t="inlineStr">
        <is>
          <t>ledgers</t>
        </is>
      </c>
      <c r="W327" s="8" t="inlineStr">
        <is>
          <t>CONTROL</t>
        </is>
      </c>
      <c r="X327" s="5" t="inlineStr">
        <is>
          <t>Core</t>
        </is>
      </c>
      <c r="Y327" s="5" t="inlineStr">
        <is>
          <t>Cross-persona</t>
        </is>
      </c>
      <c r="Z327" s="5" t="inlineStr">
        <is>
          <t>Critical</t>
        </is>
      </c>
      <c r="AA327" s="5" t="inlineStr">
        <is>
          <t>High</t>
        </is>
      </c>
      <c r="AB327" s="8" t="inlineStr">
        <is>
          <t>Medium</t>
        </is>
      </c>
      <c r="AC327" s="8" t="inlineStr">
        <is>
          <t>Pilot</t>
        </is>
      </c>
      <c r="AD327" s="5" t="inlineStr">
        <is>
          <t>Cited in code</t>
        </is>
      </c>
      <c r="AE327" s="5" t="inlineStr">
        <is>
          <t>Not verified</t>
        </is>
      </c>
      <c r="AF327" s="5" t="inlineStr">
        <is>
          <t>Not verified</t>
        </is>
      </c>
      <c r="AG327" s="5" t="inlineStr">
        <is>
          <t>Not verified</t>
        </is>
      </c>
      <c r="AH327" s="5" t="inlineStr">
        <is>
          <t>Not verified</t>
        </is>
      </c>
      <c r="AI327" s="8" t="inlineStr">
        <is>
          <t>No</t>
        </is>
      </c>
      <c r="AJ327" s="8" t="inlineStr">
        <is>
          <t>Built - unverified</t>
        </is>
      </c>
      <c r="AK327" s="8" t="inlineStr">
        <is>
          <t>P1</t>
        </is>
      </c>
      <c r="AL327" s="8" t="n">
        <v>18</v>
      </c>
      <c r="AM327" s="5" t="inlineStr"/>
      <c r="AN327" s="5" t="inlineStr"/>
      <c r="AO327" s="5" t="inlineStr"/>
      <c r="AP327" s="5" t="inlineStr"/>
      <c r="AQ327" s="5" t="inlineStr"/>
      <c r="AR327" s="5" t="inlineStr"/>
      <c r="AS327" s="5" t="inlineStr"/>
      <c r="AT327" s="5" t="inlineStr"/>
      <c r="AU327" s="8" t="inlineStr">
        <is>
          <t>Not run</t>
        </is>
      </c>
    </row>
    <row r="328" ht="32" customHeight="1">
      <c r="A328" s="16" t="inlineStr">
        <is>
          <t>X-0327</t>
        </is>
      </c>
      <c r="B328" s="8" t="inlineStr">
        <is>
          <t>X</t>
        </is>
      </c>
      <c r="C328" s="5" t="inlineStr">
        <is>
          <t>Multiple / Cross-persona</t>
        </is>
      </c>
      <c r="D328" s="5" t="inlineStr">
        <is>
          <t>Receivables &amp; Payables</t>
        </is>
      </c>
      <c r="E328" s="5" t="inlineStr">
        <is>
          <t>Supplier advance is recorded</t>
        </is>
      </c>
      <c r="F328" s="5" t="inlineStr">
        <is>
          <t>Accounts Cashier</t>
        </is>
      </c>
      <c r="G328" s="5" t="inlineStr">
        <is>
          <t>Supplier</t>
        </is>
      </c>
      <c r="H328" s="5" t="inlineStr">
        <is>
          <t>Advance deposit paid to vendor prior to shipment tracked in supplier advance ledger</t>
        </is>
      </c>
      <c r="I328" s="5" t="inlineStr">
        <is>
          <t>Debits Supplier Advance Asset account; credits Bank/Cash account</t>
        </is>
      </c>
      <c r="J328" s="20" t="inlineStr">
        <is>
          <t>P1</t>
        </is>
      </c>
      <c r="K328" s="20" t="inlineStr">
        <is>
          <t>Validated (Supported)</t>
        </is>
      </c>
      <c r="L328" s="5" t="inlineStr">
        <is>
          <t>Supported via Supplier Advance payment workflow.</t>
        </is>
      </c>
      <c r="M328" s="8" t="inlineStr">
        <is>
          <t>Baseline</t>
        </is>
      </c>
      <c r="N328" s="8" t="inlineStr">
        <is>
          <t>Cross-persona</t>
        </is>
      </c>
      <c r="O328" s="8" t="inlineStr">
        <is>
          <t>P1</t>
        </is>
      </c>
      <c r="P328" s="5" t="inlineStr">
        <is>
          <t>Unchanged</t>
        </is>
      </c>
      <c r="Q328" s="20" t="inlineStr">
        <is>
          <t>Author assertion</t>
        </is>
      </c>
      <c r="R328" s="5" t="inlineStr"/>
      <c r="S328" s="8" t="inlineStr">
        <is>
          <t>ARAP</t>
        </is>
      </c>
      <c r="T328" s="5" t="inlineStr">
        <is>
          <t>Receivables and payables</t>
        </is>
      </c>
      <c r="U328" s="8" t="inlineStr"/>
      <c r="V328" s="8" t="inlineStr">
        <is>
          <t>ledgers</t>
        </is>
      </c>
      <c r="W328" s="8" t="inlineStr">
        <is>
          <t>CONTROL</t>
        </is>
      </c>
      <c r="X328" s="5" t="inlineStr">
        <is>
          <t>Core</t>
        </is>
      </c>
      <c r="Y328" s="5" t="inlineStr">
        <is>
          <t>Cross-persona</t>
        </is>
      </c>
      <c r="Z328" s="5" t="inlineStr">
        <is>
          <t>Critical</t>
        </is>
      </c>
      <c r="AA328" s="5" t="inlineStr">
        <is>
          <t>High</t>
        </is>
      </c>
      <c r="AB328" s="8" t="inlineStr">
        <is>
          <t>Medium</t>
        </is>
      </c>
      <c r="AC328" s="8" t="inlineStr">
        <is>
          <t>Pilot</t>
        </is>
      </c>
      <c r="AD328" s="5" t="inlineStr">
        <is>
          <t>Not independently checked</t>
        </is>
      </c>
      <c r="AE328" s="5" t="inlineStr">
        <is>
          <t>Not verified</t>
        </is>
      </c>
      <c r="AF328" s="5" t="inlineStr">
        <is>
          <t>Not verified</t>
        </is>
      </c>
      <c r="AG328" s="5" t="inlineStr">
        <is>
          <t>Not verified</t>
        </is>
      </c>
      <c r="AH328" s="5" t="inlineStr">
        <is>
          <t>Not verified</t>
        </is>
      </c>
      <c r="AI328" s="8" t="inlineStr">
        <is>
          <t>No</t>
        </is>
      </c>
      <c r="AJ328" s="8" t="inlineStr">
        <is>
          <t>Claimed - unverified</t>
        </is>
      </c>
      <c r="AK328" s="8" t="inlineStr">
        <is>
          <t>P1</t>
        </is>
      </c>
      <c r="AL328" s="8" t="n">
        <v>18</v>
      </c>
      <c r="AM328" s="5" t="inlineStr"/>
      <c r="AN328" s="5" t="inlineStr"/>
      <c r="AO328" s="5" t="inlineStr"/>
      <c r="AP328" s="5" t="inlineStr"/>
      <c r="AQ328" s="5" t="inlineStr"/>
      <c r="AR328" s="5" t="inlineStr"/>
      <c r="AS328" s="5" t="inlineStr"/>
      <c r="AT328" s="5" t="inlineStr"/>
      <c r="AU328" s="8" t="inlineStr">
        <is>
          <t>Not run</t>
        </is>
      </c>
    </row>
    <row r="329" ht="32" customHeight="1">
      <c r="A329" s="16" t="inlineStr">
        <is>
          <t>X-0328</t>
        </is>
      </c>
      <c r="B329" s="8" t="inlineStr">
        <is>
          <t>X</t>
        </is>
      </c>
      <c r="C329" s="5" t="inlineStr">
        <is>
          <t>Multiple / Cross-persona</t>
        </is>
      </c>
      <c r="D329" s="5" t="inlineStr">
        <is>
          <t>Receivables &amp; Payables</t>
        </is>
      </c>
      <c r="E329" s="5" t="inlineStr">
        <is>
          <t>Advance is adjusted against invoice</t>
        </is>
      </c>
      <c r="F329" s="5" t="inlineStr">
        <is>
          <t>In-house Accountant</t>
        </is>
      </c>
      <c r="G329" s="5" t="inlineStr">
        <is>
          <t>Supplier</t>
        </is>
      </c>
      <c r="H329" s="5" t="inlineStr">
        <is>
          <t>Previously paid advance applied against incoming supplier bill upon delivery</t>
        </is>
      </c>
      <c r="I329" s="5" t="inlineStr">
        <is>
          <t>Credits Supplier Advance Asset account; debits Accounts Payable; reduces net payable</t>
        </is>
      </c>
      <c r="J329" s="20" t="inlineStr">
        <is>
          <t>P1</t>
        </is>
      </c>
      <c r="K329" s="20" t="inlineStr">
        <is>
          <t>Validated (Supported)</t>
        </is>
      </c>
      <c r="L329" s="5" t="inlineStr">
        <is>
          <t>Supported via Advance Allocation against purchase invoices.</t>
        </is>
      </c>
      <c r="M329" s="8" t="inlineStr">
        <is>
          <t>Baseline</t>
        </is>
      </c>
      <c r="N329" s="8" t="inlineStr">
        <is>
          <t>Cross-persona</t>
        </is>
      </c>
      <c r="O329" s="8" t="inlineStr">
        <is>
          <t>P1</t>
        </is>
      </c>
      <c r="P329" s="5" t="inlineStr">
        <is>
          <t>Unchanged</t>
        </is>
      </c>
      <c r="Q329" s="20" t="inlineStr">
        <is>
          <t>Author assertion</t>
        </is>
      </c>
      <c r="R329" s="5" t="inlineStr"/>
      <c r="S329" s="8" t="inlineStr">
        <is>
          <t>ARAP</t>
        </is>
      </c>
      <c r="T329" s="5" t="inlineStr">
        <is>
          <t>Receivables and payables</t>
        </is>
      </c>
      <c r="U329" s="8" t="inlineStr"/>
      <c r="V329" s="8" t="inlineStr">
        <is>
          <t>ledgers</t>
        </is>
      </c>
      <c r="W329" s="8" t="inlineStr">
        <is>
          <t>CONTROL</t>
        </is>
      </c>
      <c r="X329" s="5" t="inlineStr">
        <is>
          <t>Core</t>
        </is>
      </c>
      <c r="Y329" s="5" t="inlineStr">
        <is>
          <t>Cross-persona</t>
        </is>
      </c>
      <c r="Z329" s="5" t="inlineStr">
        <is>
          <t>Critical</t>
        </is>
      </c>
      <c r="AA329" s="5" t="inlineStr">
        <is>
          <t>High</t>
        </is>
      </c>
      <c r="AB329" s="8" t="inlineStr">
        <is>
          <t>Medium</t>
        </is>
      </c>
      <c r="AC329" s="8" t="inlineStr">
        <is>
          <t>Pilot</t>
        </is>
      </c>
      <c r="AD329" s="5" t="inlineStr">
        <is>
          <t>Not independently checked</t>
        </is>
      </c>
      <c r="AE329" s="5" t="inlineStr">
        <is>
          <t>Not verified</t>
        </is>
      </c>
      <c r="AF329" s="5" t="inlineStr">
        <is>
          <t>Not verified</t>
        </is>
      </c>
      <c r="AG329" s="5" t="inlineStr">
        <is>
          <t>Not verified</t>
        </is>
      </c>
      <c r="AH329" s="5" t="inlineStr">
        <is>
          <t>Not verified</t>
        </is>
      </c>
      <c r="AI329" s="8" t="inlineStr">
        <is>
          <t>No</t>
        </is>
      </c>
      <c r="AJ329" s="8" t="inlineStr">
        <is>
          <t>Claimed - unverified</t>
        </is>
      </c>
      <c r="AK329" s="8" t="inlineStr">
        <is>
          <t>P1</t>
        </is>
      </c>
      <c r="AL329" s="8" t="n">
        <v>18</v>
      </c>
      <c r="AM329" s="5" t="inlineStr"/>
      <c r="AN329" s="5" t="inlineStr"/>
      <c r="AO329" s="5" t="inlineStr"/>
      <c r="AP329" s="5" t="inlineStr"/>
      <c r="AQ329" s="5" t="inlineStr"/>
      <c r="AR329" s="5" t="inlineStr"/>
      <c r="AS329" s="5" t="inlineStr"/>
      <c r="AT329" s="5" t="inlineStr"/>
      <c r="AU329" s="8" t="inlineStr">
        <is>
          <t>Not run</t>
        </is>
      </c>
    </row>
    <row r="330" ht="32" customHeight="1">
      <c r="A330" s="16" t="inlineStr">
        <is>
          <t>X-0329</t>
        </is>
      </c>
      <c r="B330" s="8" t="inlineStr">
        <is>
          <t>X</t>
        </is>
      </c>
      <c r="C330" s="5" t="inlineStr">
        <is>
          <t>Multiple / Cross-persona</t>
        </is>
      </c>
      <c r="D330" s="5" t="inlineStr">
        <is>
          <t>Receivables &amp; Payables</t>
        </is>
      </c>
      <c r="E330" s="5" t="inlineStr">
        <is>
          <t>Purchase return reduces payable</t>
        </is>
      </c>
      <c r="F330" s="5" t="inlineStr">
        <is>
          <t>In-house Accountant</t>
        </is>
      </c>
      <c r="G330" s="5" t="inlineStr">
        <is>
          <t>Supplier</t>
        </is>
      </c>
      <c r="H330" s="5" t="inlineStr">
        <is>
          <t>Returning goods to supplier and issuing Debit Note reduces accounts payable liability</t>
        </is>
      </c>
      <c r="I330" s="5" t="inlineStr">
        <is>
          <t>Debits Supplier Accounts Payable account; credits Purchase Returns account in GL</t>
        </is>
      </c>
      <c r="J330" s="20" t="inlineStr">
        <is>
          <t>P1</t>
        </is>
      </c>
      <c r="K330" s="20" t="inlineStr">
        <is>
          <t>Validated (Supported)</t>
        </is>
      </c>
      <c r="L330" s="5" t="inlineStr">
        <is>
          <t>Supported via PurchaseDebitNote generation upon PurchaseReturn.</t>
        </is>
      </c>
      <c r="M330" s="8" t="inlineStr">
        <is>
          <t>Baseline</t>
        </is>
      </c>
      <c r="N330" s="8" t="inlineStr">
        <is>
          <t>Cross-persona</t>
        </is>
      </c>
      <c r="O330" s="8" t="inlineStr">
        <is>
          <t>P1</t>
        </is>
      </c>
      <c r="P330" s="5" t="inlineStr">
        <is>
          <t>Unchanged</t>
        </is>
      </c>
      <c r="Q330" s="21" t="inlineStr">
        <is>
          <t>Code symbol found</t>
        </is>
      </c>
      <c r="R330" s="5" t="inlineStr">
        <is>
          <t>Matched PurchaseDebitNote in product code. This is not a functional test.</t>
        </is>
      </c>
      <c r="S330" s="8" t="inlineStr">
        <is>
          <t>ARAP</t>
        </is>
      </c>
      <c r="T330" s="5" t="inlineStr">
        <is>
          <t>Receivables and payables</t>
        </is>
      </c>
      <c r="U330" s="8" t="inlineStr"/>
      <c r="V330" s="8" t="inlineStr">
        <is>
          <t>ledgers</t>
        </is>
      </c>
      <c r="W330" s="8" t="inlineStr">
        <is>
          <t>CONTROL</t>
        </is>
      </c>
      <c r="X330" s="5" t="inlineStr">
        <is>
          <t>Core</t>
        </is>
      </c>
      <c r="Y330" s="5" t="inlineStr">
        <is>
          <t>Cross-persona</t>
        </is>
      </c>
      <c r="Z330" s="5" t="inlineStr">
        <is>
          <t>Critical</t>
        </is>
      </c>
      <c r="AA330" s="5" t="inlineStr">
        <is>
          <t>High</t>
        </is>
      </c>
      <c r="AB330" s="8" t="inlineStr">
        <is>
          <t>Medium</t>
        </is>
      </c>
      <c r="AC330" s="8" t="inlineStr">
        <is>
          <t>Pilot</t>
        </is>
      </c>
      <c r="AD330" s="5" t="inlineStr">
        <is>
          <t>Cited in code</t>
        </is>
      </c>
      <c r="AE330" s="5" t="inlineStr">
        <is>
          <t>Not verified</t>
        </is>
      </c>
      <c r="AF330" s="5" t="inlineStr">
        <is>
          <t>Not verified</t>
        </is>
      </c>
      <c r="AG330" s="5" t="inlineStr">
        <is>
          <t>Not verified</t>
        </is>
      </c>
      <c r="AH330" s="5" t="inlineStr">
        <is>
          <t>Not verified</t>
        </is>
      </c>
      <c r="AI330" s="8" t="inlineStr">
        <is>
          <t>No</t>
        </is>
      </c>
      <c r="AJ330" s="8" t="inlineStr">
        <is>
          <t>Built - unverified</t>
        </is>
      </c>
      <c r="AK330" s="8" t="inlineStr">
        <is>
          <t>P1</t>
        </is>
      </c>
      <c r="AL330" s="8" t="n">
        <v>18</v>
      </c>
      <c r="AM330" s="5" t="inlineStr"/>
      <c r="AN330" s="5" t="inlineStr"/>
      <c r="AO330" s="5" t="inlineStr"/>
      <c r="AP330" s="5" t="inlineStr"/>
      <c r="AQ330" s="5" t="inlineStr"/>
      <c r="AR330" s="5" t="inlineStr"/>
      <c r="AS330" s="5" t="inlineStr"/>
      <c r="AT330" s="5" t="inlineStr"/>
      <c r="AU330" s="8" t="inlineStr">
        <is>
          <t>Not run</t>
        </is>
      </c>
    </row>
    <row r="331" ht="32" customHeight="1">
      <c r="A331" s="16" t="inlineStr">
        <is>
          <t>X-0330</t>
        </is>
      </c>
      <c r="B331" s="8" t="inlineStr">
        <is>
          <t>X</t>
        </is>
      </c>
      <c r="C331" s="5" t="inlineStr">
        <is>
          <t>Multiple / Cross-persona</t>
        </is>
      </c>
      <c r="D331" s="5" t="inlineStr">
        <is>
          <t>Receivables &amp; Payables</t>
        </is>
      </c>
      <c r="E331" s="5" t="inlineStr">
        <is>
          <t>Supplier credit note reduces payable</t>
        </is>
      </c>
      <c r="F331" s="5" t="inlineStr">
        <is>
          <t>In-house Accountant</t>
        </is>
      </c>
      <c r="G331" s="5" t="inlineStr">
        <is>
          <t>Supplier</t>
        </is>
      </c>
      <c r="H331" s="5" t="inlineStr">
        <is>
          <t>Credit note received from supplier for price rebate or discount reduces amount owed</t>
        </is>
      </c>
      <c r="I331" s="5" t="inlineStr">
        <is>
          <t>Debits Accounts Payable; credits Purchase Discount / Expense reduction in GL</t>
        </is>
      </c>
      <c r="J331" s="20" t="inlineStr">
        <is>
          <t>P1</t>
        </is>
      </c>
      <c r="K331" s="20" t="inlineStr">
        <is>
          <t>Validated (Supported)</t>
        </is>
      </c>
      <c r="L331" s="5" t="inlineStr">
        <is>
          <t>Supported via PurchaseCreditNote recording workflow.</t>
        </is>
      </c>
      <c r="M331" s="8" t="inlineStr">
        <is>
          <t>Baseline</t>
        </is>
      </c>
      <c r="N331" s="8" t="inlineStr">
        <is>
          <t>Cross-persona</t>
        </is>
      </c>
      <c r="O331" s="8" t="inlineStr">
        <is>
          <t>P1</t>
        </is>
      </c>
      <c r="P331" s="5" t="inlineStr">
        <is>
          <t>Unchanged</t>
        </is>
      </c>
      <c r="Q331" s="21" t="inlineStr">
        <is>
          <t>Code symbol found</t>
        </is>
      </c>
      <c r="R331" s="5" t="inlineStr">
        <is>
          <t>Matched PurchaseCreditNote in product code. This is not a functional test.</t>
        </is>
      </c>
      <c r="S331" s="8" t="inlineStr">
        <is>
          <t>ARAP</t>
        </is>
      </c>
      <c r="T331" s="5" t="inlineStr">
        <is>
          <t>Receivables and payables</t>
        </is>
      </c>
      <c r="U331" s="8" t="inlineStr"/>
      <c r="V331" s="8" t="inlineStr">
        <is>
          <t>ledgers</t>
        </is>
      </c>
      <c r="W331" s="8" t="inlineStr">
        <is>
          <t>CONTROL</t>
        </is>
      </c>
      <c r="X331" s="5" t="inlineStr">
        <is>
          <t>Core</t>
        </is>
      </c>
      <c r="Y331" s="5" t="inlineStr">
        <is>
          <t>Cross-persona</t>
        </is>
      </c>
      <c r="Z331" s="5" t="inlineStr">
        <is>
          <t>Critical</t>
        </is>
      </c>
      <c r="AA331" s="5" t="inlineStr">
        <is>
          <t>High</t>
        </is>
      </c>
      <c r="AB331" s="8" t="inlineStr">
        <is>
          <t>Medium</t>
        </is>
      </c>
      <c r="AC331" s="8" t="inlineStr">
        <is>
          <t>Pilot</t>
        </is>
      </c>
      <c r="AD331" s="5" t="inlineStr">
        <is>
          <t>Cited in code</t>
        </is>
      </c>
      <c r="AE331" s="5" t="inlineStr">
        <is>
          <t>Not verified</t>
        </is>
      </c>
      <c r="AF331" s="5" t="inlineStr">
        <is>
          <t>Not verified</t>
        </is>
      </c>
      <c r="AG331" s="5" t="inlineStr">
        <is>
          <t>Not verified</t>
        </is>
      </c>
      <c r="AH331" s="5" t="inlineStr">
        <is>
          <t>Not verified</t>
        </is>
      </c>
      <c r="AI331" s="8" t="inlineStr">
        <is>
          <t>No</t>
        </is>
      </c>
      <c r="AJ331" s="8" t="inlineStr">
        <is>
          <t>Built - unverified</t>
        </is>
      </c>
      <c r="AK331" s="8" t="inlineStr">
        <is>
          <t>P1</t>
        </is>
      </c>
      <c r="AL331" s="8" t="n">
        <v>18</v>
      </c>
      <c r="AM331" s="5" t="inlineStr"/>
      <c r="AN331" s="5" t="inlineStr"/>
      <c r="AO331" s="5" t="inlineStr"/>
      <c r="AP331" s="5" t="inlineStr"/>
      <c r="AQ331" s="5" t="inlineStr"/>
      <c r="AR331" s="5" t="inlineStr"/>
      <c r="AS331" s="5" t="inlineStr"/>
      <c r="AT331" s="5" t="inlineStr"/>
      <c r="AU331" s="8" t="inlineStr">
        <is>
          <t>Not run</t>
        </is>
      </c>
    </row>
    <row r="332" ht="32" customHeight="1">
      <c r="A332" s="16" t="inlineStr">
        <is>
          <t>X-0331</t>
        </is>
      </c>
      <c r="B332" s="8" t="inlineStr">
        <is>
          <t>X</t>
        </is>
      </c>
      <c r="C332" s="5" t="inlineStr">
        <is>
          <t>Multiple / Cross-persona</t>
        </is>
      </c>
      <c r="D332" s="5" t="inlineStr">
        <is>
          <t>Receivables &amp; Payables</t>
        </is>
      </c>
      <c r="E332" s="5" t="inlineStr">
        <is>
          <t>Supplier statement is generated</t>
        </is>
      </c>
      <c r="F332" s="5" t="inlineStr">
        <is>
          <t>In-house Accountant</t>
        </is>
      </c>
      <c r="G332" s="5" t="inlineStr">
        <is>
          <t>Supplier / Owner</t>
        </is>
      </c>
      <c r="H332" s="5" t="inlineStr">
        <is>
          <t>Comprehensive statement of account showing all purchase bills, debit notes, and payments</t>
        </is>
      </c>
      <c r="I332" s="5" t="inlineStr">
        <is>
          <t>Renders chronological supplier ledger statement with debit, credit, and running balance</t>
        </is>
      </c>
      <c r="J332" s="20" t="inlineStr">
        <is>
          <t>P1</t>
        </is>
      </c>
      <c r="K332" s="20" t="inlineStr">
        <is>
          <t>Validated (Supported)</t>
        </is>
      </c>
      <c r="L332" s="5" t="inlineStr">
        <is>
          <t>Supported via /purchases/suppliers/{id}/statement/ with PDF export.</t>
        </is>
      </c>
      <c r="M332" s="8" t="inlineStr">
        <is>
          <t>Baseline</t>
        </is>
      </c>
      <c r="N332" s="8" t="inlineStr">
        <is>
          <t>Cross-persona</t>
        </is>
      </c>
      <c r="O332" s="8" t="inlineStr">
        <is>
          <t>P1</t>
        </is>
      </c>
      <c r="P332" s="5" t="inlineStr">
        <is>
          <t>Unchanged</t>
        </is>
      </c>
      <c r="Q332" s="20" t="inlineStr">
        <is>
          <t>Author assertion</t>
        </is>
      </c>
      <c r="R332" s="5" t="inlineStr"/>
      <c r="S332" s="8" t="inlineStr">
        <is>
          <t>ARAP</t>
        </is>
      </c>
      <c r="T332" s="5" t="inlineStr">
        <is>
          <t>Receivables and payables</t>
        </is>
      </c>
      <c r="U332" s="8" t="inlineStr"/>
      <c r="V332" s="8" t="inlineStr">
        <is>
          <t>ledgers</t>
        </is>
      </c>
      <c r="W332" s="8" t="inlineStr">
        <is>
          <t>CONTROL</t>
        </is>
      </c>
      <c r="X332" s="5" t="inlineStr">
        <is>
          <t>Core</t>
        </is>
      </c>
      <c r="Y332" s="5" t="inlineStr">
        <is>
          <t>Cross-persona</t>
        </is>
      </c>
      <c r="Z332" s="5" t="inlineStr">
        <is>
          <t>Critical</t>
        </is>
      </c>
      <c r="AA332" s="5" t="inlineStr">
        <is>
          <t>High</t>
        </is>
      </c>
      <c r="AB332" s="8" t="inlineStr">
        <is>
          <t>Medium</t>
        </is>
      </c>
      <c r="AC332" s="8" t="inlineStr">
        <is>
          <t>Pilot</t>
        </is>
      </c>
      <c r="AD332" s="5" t="inlineStr">
        <is>
          <t>Not independently checked</t>
        </is>
      </c>
      <c r="AE332" s="5" t="inlineStr">
        <is>
          <t>Not verified</t>
        </is>
      </c>
      <c r="AF332" s="5" t="inlineStr">
        <is>
          <t>Not verified</t>
        </is>
      </c>
      <c r="AG332" s="5" t="inlineStr">
        <is>
          <t>Not verified</t>
        </is>
      </c>
      <c r="AH332" s="5" t="inlineStr">
        <is>
          <t>Not verified</t>
        </is>
      </c>
      <c r="AI332" s="8" t="inlineStr">
        <is>
          <t>No</t>
        </is>
      </c>
      <c r="AJ332" s="8" t="inlineStr">
        <is>
          <t>Claimed - unverified</t>
        </is>
      </c>
      <c r="AK332" s="8" t="inlineStr">
        <is>
          <t>P1</t>
        </is>
      </c>
      <c r="AL332" s="8" t="n">
        <v>18</v>
      </c>
      <c r="AM332" s="5" t="inlineStr"/>
      <c r="AN332" s="5" t="inlineStr"/>
      <c r="AO332" s="5" t="inlineStr"/>
      <c r="AP332" s="5" t="inlineStr"/>
      <c r="AQ332" s="5" t="inlineStr"/>
      <c r="AR332" s="5" t="inlineStr"/>
      <c r="AS332" s="5" t="inlineStr"/>
      <c r="AT332" s="5" t="inlineStr"/>
      <c r="AU332" s="8" t="inlineStr">
        <is>
          <t>Not run</t>
        </is>
      </c>
    </row>
    <row r="333" ht="32" customHeight="1">
      <c r="A333" s="16" t="inlineStr">
        <is>
          <t>X-0332</t>
        </is>
      </c>
      <c r="B333" s="8" t="inlineStr">
        <is>
          <t>X</t>
        </is>
      </c>
      <c r="C333" s="5" t="inlineStr">
        <is>
          <t>Multiple / Cross-persona</t>
        </is>
      </c>
      <c r="D333" s="5" t="inlineStr">
        <is>
          <t>Receivables &amp; Payables</t>
        </is>
      </c>
      <c r="E333" s="5" t="inlineStr">
        <is>
          <t>Supplier ageing is calculated</t>
        </is>
      </c>
      <c r="F333" s="5" t="inlineStr">
        <is>
          <t>System / Aging Engine</t>
        </is>
      </c>
      <c r="G333" s="5" t="inlineStr">
        <is>
          <t>Purchase Manager / Accountant</t>
        </is>
      </c>
      <c r="H333" s="5" t="inlineStr">
        <is>
          <t>Payables classified into aging buckets (0-30, 31-60, 61-90, 90+ days) to manage working capital</t>
        </is>
      </c>
      <c r="I333" s="5" t="inlineStr">
        <is>
          <t>Computes aging days based on bill due dates; displays priority payment schedule</t>
        </is>
      </c>
      <c r="J333" s="20" t="inlineStr">
        <is>
          <t>P1</t>
        </is>
      </c>
      <c r="K333" s="20" t="inlineStr">
        <is>
          <t>Validated (Supported)</t>
        </is>
      </c>
      <c r="L333" s="5" t="inlineStr">
        <is>
          <t>Supported via Payables Aging Report (/purchases/reports/payables-aging/).</t>
        </is>
      </c>
      <c r="M333" s="8" t="inlineStr">
        <is>
          <t>Baseline</t>
        </is>
      </c>
      <c r="N333" s="8" t="inlineStr">
        <is>
          <t>Cross-persona</t>
        </is>
      </c>
      <c r="O333" s="8" t="inlineStr">
        <is>
          <t>P1</t>
        </is>
      </c>
      <c r="P333" s="5" t="inlineStr">
        <is>
          <t>Unchanged</t>
        </is>
      </c>
      <c r="Q333" s="20" t="inlineStr">
        <is>
          <t>Author assertion</t>
        </is>
      </c>
      <c r="R333" s="5" t="inlineStr"/>
      <c r="S333" s="8" t="inlineStr">
        <is>
          <t>ARAP</t>
        </is>
      </c>
      <c r="T333" s="5" t="inlineStr">
        <is>
          <t>Receivables and payables</t>
        </is>
      </c>
      <c r="U333" s="8" t="inlineStr"/>
      <c r="V333" s="8" t="inlineStr">
        <is>
          <t>ledgers</t>
        </is>
      </c>
      <c r="W333" s="8" t="inlineStr">
        <is>
          <t>CONTROL</t>
        </is>
      </c>
      <c r="X333" s="5" t="inlineStr">
        <is>
          <t>Core</t>
        </is>
      </c>
      <c r="Y333" s="5" t="inlineStr">
        <is>
          <t>Cross-persona</t>
        </is>
      </c>
      <c r="Z333" s="5" t="inlineStr">
        <is>
          <t>Critical</t>
        </is>
      </c>
      <c r="AA333" s="5" t="inlineStr">
        <is>
          <t>High</t>
        </is>
      </c>
      <c r="AB333" s="8" t="inlineStr">
        <is>
          <t>Medium</t>
        </is>
      </c>
      <c r="AC333" s="8" t="inlineStr">
        <is>
          <t>Pilot</t>
        </is>
      </c>
      <c r="AD333" s="5" t="inlineStr">
        <is>
          <t>Not independently checked</t>
        </is>
      </c>
      <c r="AE333" s="5" t="inlineStr">
        <is>
          <t>Not verified</t>
        </is>
      </c>
      <c r="AF333" s="5" t="inlineStr">
        <is>
          <t>Not verified</t>
        </is>
      </c>
      <c r="AG333" s="5" t="inlineStr">
        <is>
          <t>Not verified</t>
        </is>
      </c>
      <c r="AH333" s="5" t="inlineStr">
        <is>
          <t>Not verified</t>
        </is>
      </c>
      <c r="AI333" s="8" t="inlineStr">
        <is>
          <t>No</t>
        </is>
      </c>
      <c r="AJ333" s="8" t="inlineStr">
        <is>
          <t>Claimed - unverified</t>
        </is>
      </c>
      <c r="AK333" s="8" t="inlineStr">
        <is>
          <t>P1</t>
        </is>
      </c>
      <c r="AL333" s="8" t="n">
        <v>18</v>
      </c>
      <c r="AM333" s="5" t="inlineStr"/>
      <c r="AN333" s="5" t="inlineStr"/>
      <c r="AO333" s="5" t="inlineStr"/>
      <c r="AP333" s="5" t="inlineStr"/>
      <c r="AQ333" s="5" t="inlineStr"/>
      <c r="AR333" s="5" t="inlineStr"/>
      <c r="AS333" s="5" t="inlineStr"/>
      <c r="AT333" s="5" t="inlineStr"/>
      <c r="AU333" s="8" t="inlineStr">
        <is>
          <t>Not run</t>
        </is>
      </c>
    </row>
    <row r="334" ht="32" customHeight="1">
      <c r="A334" s="16" t="inlineStr">
        <is>
          <t>X-0333</t>
        </is>
      </c>
      <c r="B334" s="8" t="inlineStr">
        <is>
          <t>X</t>
        </is>
      </c>
      <c r="C334" s="5" t="inlineStr">
        <is>
          <t>Multiple / Cross-persona</t>
        </is>
      </c>
      <c r="D334" s="5" t="inlineStr">
        <is>
          <t>Receivables &amp; Payables</t>
        </is>
      </c>
      <c r="E334" s="5" t="inlineStr">
        <is>
          <t>Overdue supplier payment is identified</t>
        </is>
      </c>
      <c r="F334" s="5" t="inlineStr">
        <is>
          <t>In-house Accountant</t>
        </is>
      </c>
      <c r="G334" s="5" t="inlineStr">
        <is>
          <t>Business Owner</t>
        </is>
      </c>
      <c r="H334" s="5" t="inlineStr">
        <is>
          <t>Spot overdue supplier bills to prioritize payments and maintain critical vendor relationships</t>
        </is>
      </c>
      <c r="I334" s="5" t="inlineStr">
        <is>
          <t>Flags purchase bills past their due date; highlights risk of supplier supply disruption</t>
        </is>
      </c>
      <c r="J334" s="20" t="inlineStr">
        <is>
          <t>P1</t>
        </is>
      </c>
      <c r="K334" s="20" t="inlineStr">
        <is>
          <t>Validated (Supported)</t>
        </is>
      </c>
      <c r="L334" s="5" t="inlineStr">
        <is>
          <t>Supported via Overdue Payables list on accounting dashboard.</t>
        </is>
      </c>
      <c r="M334" s="8" t="inlineStr">
        <is>
          <t>Baseline</t>
        </is>
      </c>
      <c r="N334" s="8" t="inlineStr">
        <is>
          <t>Cross-persona</t>
        </is>
      </c>
      <c r="O334" s="8" t="inlineStr">
        <is>
          <t>P1</t>
        </is>
      </c>
      <c r="P334" s="5" t="inlineStr">
        <is>
          <t>Unchanged</t>
        </is>
      </c>
      <c r="Q334" s="20" t="inlineStr">
        <is>
          <t>Author assertion</t>
        </is>
      </c>
      <c r="R334" s="5" t="inlineStr"/>
      <c r="S334" s="8" t="inlineStr">
        <is>
          <t>ARAP</t>
        </is>
      </c>
      <c r="T334" s="5" t="inlineStr">
        <is>
          <t>Receivables and payables</t>
        </is>
      </c>
      <c r="U334" s="8" t="inlineStr"/>
      <c r="V334" s="8" t="inlineStr">
        <is>
          <t>ledgers</t>
        </is>
      </c>
      <c r="W334" s="8" t="inlineStr">
        <is>
          <t>CONTROL</t>
        </is>
      </c>
      <c r="X334" s="5" t="inlineStr">
        <is>
          <t>Core</t>
        </is>
      </c>
      <c r="Y334" s="5" t="inlineStr">
        <is>
          <t>Cross-persona</t>
        </is>
      </c>
      <c r="Z334" s="5" t="inlineStr">
        <is>
          <t>Critical</t>
        </is>
      </c>
      <c r="AA334" s="5" t="inlineStr">
        <is>
          <t>High</t>
        </is>
      </c>
      <c r="AB334" s="8" t="inlineStr">
        <is>
          <t>Medium</t>
        </is>
      </c>
      <c r="AC334" s="8" t="inlineStr">
        <is>
          <t>Pilot</t>
        </is>
      </c>
      <c r="AD334" s="5" t="inlineStr">
        <is>
          <t>Not independently checked</t>
        </is>
      </c>
      <c r="AE334" s="5" t="inlineStr">
        <is>
          <t>Not verified</t>
        </is>
      </c>
      <c r="AF334" s="5" t="inlineStr">
        <is>
          <t>Not verified</t>
        </is>
      </c>
      <c r="AG334" s="5" t="inlineStr">
        <is>
          <t>Not verified</t>
        </is>
      </c>
      <c r="AH334" s="5" t="inlineStr">
        <is>
          <t>Not verified</t>
        </is>
      </c>
      <c r="AI334" s="8" t="inlineStr">
        <is>
          <t>No</t>
        </is>
      </c>
      <c r="AJ334" s="8" t="inlineStr">
        <is>
          <t>Claimed - unverified</t>
        </is>
      </c>
      <c r="AK334" s="8" t="inlineStr">
        <is>
          <t>P1</t>
        </is>
      </c>
      <c r="AL334" s="8" t="n">
        <v>18</v>
      </c>
      <c r="AM334" s="5" t="inlineStr"/>
      <c r="AN334" s="5" t="inlineStr"/>
      <c r="AO334" s="5" t="inlineStr"/>
      <c r="AP334" s="5" t="inlineStr"/>
      <c r="AQ334" s="5" t="inlineStr"/>
      <c r="AR334" s="5" t="inlineStr"/>
      <c r="AS334" s="5" t="inlineStr"/>
      <c r="AT334" s="5" t="inlineStr"/>
      <c r="AU334" s="8" t="inlineStr">
        <is>
          <t>Not run</t>
        </is>
      </c>
    </row>
    <row r="335" ht="32" customHeight="1">
      <c r="A335" s="16" t="inlineStr">
        <is>
          <t>X-0334</t>
        </is>
      </c>
      <c r="B335" s="8" t="inlineStr">
        <is>
          <t>X</t>
        </is>
      </c>
      <c r="C335" s="5" t="inlineStr">
        <is>
          <t>Multiple / Cross-persona</t>
        </is>
      </c>
      <c r="D335" s="5" t="inlineStr">
        <is>
          <t>Receivables &amp; Payables</t>
        </is>
      </c>
      <c r="E335" s="5" t="inlineStr">
        <is>
          <t>Owner reviews supplier liabilities</t>
        </is>
      </c>
      <c r="F335" s="5" t="inlineStr">
        <is>
          <t>Reporting &amp; Business Intelligence</t>
        </is>
      </c>
      <c r="G335" s="5" t="inlineStr">
        <is>
          <t>Business Owner</t>
        </is>
      </c>
      <c r="H335" s="5" t="inlineStr">
        <is>
          <t>Owner reviews total trade payables commitments to plan weekly treasury cash outflows</t>
        </is>
      </c>
      <c r="I335" s="5" t="inlineStr">
        <is>
          <t>Displays summary of total supplier liabilities, upcoming due dates, and major vendor balances</t>
        </is>
      </c>
      <c r="J335" s="20" t="inlineStr">
        <is>
          <t>P1</t>
        </is>
      </c>
      <c r="K335" s="20" t="inlineStr">
        <is>
          <t>Validated (Supported)</t>
        </is>
      </c>
      <c r="L335" s="5" t="inlineStr">
        <is>
          <t>Supported via Owner Executive Payables Overview card.</t>
        </is>
      </c>
      <c r="M335" s="8" t="inlineStr">
        <is>
          <t>Baseline</t>
        </is>
      </c>
      <c r="N335" s="8" t="inlineStr">
        <is>
          <t>Cross-persona</t>
        </is>
      </c>
      <c r="O335" s="8" t="inlineStr">
        <is>
          <t>P1</t>
        </is>
      </c>
      <c r="P335" s="5" t="inlineStr">
        <is>
          <t>Unchanged</t>
        </is>
      </c>
      <c r="Q335" s="20" t="inlineStr">
        <is>
          <t>Author assertion</t>
        </is>
      </c>
      <c r="R335" s="5" t="inlineStr"/>
      <c r="S335" s="8" t="inlineStr">
        <is>
          <t>ARAP</t>
        </is>
      </c>
      <c r="T335" s="5" t="inlineStr">
        <is>
          <t>Receivables and payables</t>
        </is>
      </c>
      <c r="U335" s="8" t="inlineStr"/>
      <c r="V335" s="8" t="inlineStr">
        <is>
          <t>ledgers</t>
        </is>
      </c>
      <c r="W335" s="8" t="inlineStr">
        <is>
          <t>CONTROL</t>
        </is>
      </c>
      <c r="X335" s="5" t="inlineStr">
        <is>
          <t>Core</t>
        </is>
      </c>
      <c r="Y335" s="5" t="inlineStr">
        <is>
          <t>Cross-persona</t>
        </is>
      </c>
      <c r="Z335" s="5" t="inlineStr">
        <is>
          <t>Critical</t>
        </is>
      </c>
      <c r="AA335" s="5" t="inlineStr">
        <is>
          <t>High</t>
        </is>
      </c>
      <c r="AB335" s="8" t="inlineStr">
        <is>
          <t>Medium</t>
        </is>
      </c>
      <c r="AC335" s="8" t="inlineStr">
        <is>
          <t>Pilot</t>
        </is>
      </c>
      <c r="AD335" s="5" t="inlineStr">
        <is>
          <t>Not independently checked</t>
        </is>
      </c>
      <c r="AE335" s="5" t="inlineStr">
        <is>
          <t>Not verified</t>
        </is>
      </c>
      <c r="AF335" s="5" t="inlineStr">
        <is>
          <t>Not verified</t>
        </is>
      </c>
      <c r="AG335" s="5" t="inlineStr">
        <is>
          <t>Not verified</t>
        </is>
      </c>
      <c r="AH335" s="5" t="inlineStr">
        <is>
          <t>Not verified</t>
        </is>
      </c>
      <c r="AI335" s="8" t="inlineStr">
        <is>
          <t>No</t>
        </is>
      </c>
      <c r="AJ335" s="8" t="inlineStr">
        <is>
          <t>Claimed - unverified</t>
        </is>
      </c>
      <c r="AK335" s="8" t="inlineStr">
        <is>
          <t>P1</t>
        </is>
      </c>
      <c r="AL335" s="8" t="n">
        <v>18</v>
      </c>
      <c r="AM335" s="5" t="inlineStr"/>
      <c r="AN335" s="5" t="inlineStr"/>
      <c r="AO335" s="5" t="inlineStr"/>
      <c r="AP335" s="5" t="inlineStr"/>
      <c r="AQ335" s="5" t="inlineStr"/>
      <c r="AR335" s="5" t="inlineStr"/>
      <c r="AS335" s="5" t="inlineStr"/>
      <c r="AT335" s="5" t="inlineStr"/>
      <c r="AU335" s="8" t="inlineStr">
        <is>
          <t>Not run</t>
        </is>
      </c>
    </row>
    <row r="336" ht="32" customHeight="1">
      <c r="A336" s="16" t="inlineStr">
        <is>
          <t>X-0335</t>
        </is>
      </c>
      <c r="B336" s="8" t="inlineStr">
        <is>
          <t>X</t>
        </is>
      </c>
      <c r="C336" s="5" t="inlineStr">
        <is>
          <t>Multiple / Cross-persona</t>
        </is>
      </c>
      <c r="D336" s="5" t="inlineStr">
        <is>
          <t>Receivables &amp; Payables</t>
        </is>
      </c>
      <c r="E336" s="5" t="inlineStr">
        <is>
          <t>Accountant reconciles supplier ledger</t>
        </is>
      </c>
      <c r="F336" s="5" t="inlineStr">
        <is>
          <t>In-house Accountant</t>
        </is>
      </c>
      <c r="G336" s="5" t="inlineStr">
        <is>
          <t>Supplier Accounts Desk</t>
        </is>
      </c>
      <c r="H336" s="5" t="inlineStr">
        <is>
          <t>Periodic ledger reconciliation with vendor statement to identify missing bills or payments</t>
        </is>
      </c>
      <c r="I336" s="5" t="inlineStr">
        <is>
          <t>Compares buyer AP ledger with vendor statement; highlights unrecorded bills or deductions</t>
        </is>
      </c>
      <c r="J336" s="20" t="inlineStr">
        <is>
          <t>P1</t>
        </is>
      </c>
      <c r="K336" s="20" t="inlineStr">
        <is>
          <t>Validated (Supported)</t>
        </is>
      </c>
      <c r="L336" s="5" t="inlineStr">
        <is>
          <t>Supported via Supplier Reconciliation worksheet.</t>
        </is>
      </c>
      <c r="M336" s="8" t="inlineStr">
        <is>
          <t>Baseline</t>
        </is>
      </c>
      <c r="N336" s="8" t="inlineStr">
        <is>
          <t>Cross-persona</t>
        </is>
      </c>
      <c r="O336" s="8" t="inlineStr">
        <is>
          <t>P1</t>
        </is>
      </c>
      <c r="P336" s="5" t="inlineStr">
        <is>
          <t>Unchanged</t>
        </is>
      </c>
      <c r="Q336" s="20" t="inlineStr">
        <is>
          <t>Author assertion</t>
        </is>
      </c>
      <c r="R336" s="5" t="inlineStr"/>
      <c r="S336" s="8" t="inlineStr">
        <is>
          <t>ARAP</t>
        </is>
      </c>
      <c r="T336" s="5" t="inlineStr">
        <is>
          <t>Receivables and payables</t>
        </is>
      </c>
      <c r="U336" s="8" t="inlineStr"/>
      <c r="V336" s="8" t="inlineStr">
        <is>
          <t>ledgers</t>
        </is>
      </c>
      <c r="W336" s="8" t="inlineStr">
        <is>
          <t>CONTROL</t>
        </is>
      </c>
      <c r="X336" s="5" t="inlineStr">
        <is>
          <t>Core</t>
        </is>
      </c>
      <c r="Y336" s="5" t="inlineStr">
        <is>
          <t>Cross-persona</t>
        </is>
      </c>
      <c r="Z336" s="5" t="inlineStr">
        <is>
          <t>Critical</t>
        </is>
      </c>
      <c r="AA336" s="5" t="inlineStr">
        <is>
          <t>High</t>
        </is>
      </c>
      <c r="AB336" s="8" t="inlineStr">
        <is>
          <t>Medium</t>
        </is>
      </c>
      <c r="AC336" s="8" t="inlineStr">
        <is>
          <t>Pilot</t>
        </is>
      </c>
      <c r="AD336" s="5" t="inlineStr">
        <is>
          <t>Not independently checked</t>
        </is>
      </c>
      <c r="AE336" s="5" t="inlineStr">
        <is>
          <t>Not verified</t>
        </is>
      </c>
      <c r="AF336" s="5" t="inlineStr">
        <is>
          <t>Not verified</t>
        </is>
      </c>
      <c r="AG336" s="5" t="inlineStr">
        <is>
          <t>Not verified</t>
        </is>
      </c>
      <c r="AH336" s="5" t="inlineStr">
        <is>
          <t>Not verified</t>
        </is>
      </c>
      <c r="AI336" s="8" t="inlineStr">
        <is>
          <t>No</t>
        </is>
      </c>
      <c r="AJ336" s="8" t="inlineStr">
        <is>
          <t>Claimed - unverified</t>
        </is>
      </c>
      <c r="AK336" s="8" t="inlineStr">
        <is>
          <t>P1</t>
        </is>
      </c>
      <c r="AL336" s="8" t="n">
        <v>18</v>
      </c>
      <c r="AM336" s="5" t="inlineStr"/>
      <c r="AN336" s="5" t="inlineStr"/>
      <c r="AO336" s="5" t="inlineStr"/>
      <c r="AP336" s="5" t="inlineStr"/>
      <c r="AQ336" s="5" t="inlineStr"/>
      <c r="AR336" s="5" t="inlineStr"/>
      <c r="AS336" s="5" t="inlineStr"/>
      <c r="AT336" s="5" t="inlineStr"/>
      <c r="AU336" s="8" t="inlineStr">
        <is>
          <t>Not run</t>
        </is>
      </c>
    </row>
    <row r="337" ht="32" customHeight="1">
      <c r="A337" s="16" t="inlineStr">
        <is>
          <t>X-0336</t>
        </is>
      </c>
      <c r="B337" s="8" t="inlineStr">
        <is>
          <t>X</t>
        </is>
      </c>
      <c r="C337" s="5" t="inlineStr">
        <is>
          <t>Multiple / Cross-persona</t>
        </is>
      </c>
      <c r="D337" s="5" t="inlineStr">
        <is>
          <t>Receivables &amp; Payables</t>
        </is>
      </c>
      <c r="E337" s="5" t="inlineStr">
        <is>
          <t>Supplier payment is linked to bank/cash transaction</t>
        </is>
      </c>
      <c r="F337" s="5" t="inlineStr">
        <is>
          <t>In-house Accountant</t>
        </is>
      </c>
      <c r="G337" s="5" t="inlineStr">
        <is>
          <t>Auditor</t>
        </is>
      </c>
      <c r="H337" s="5" t="inlineStr">
        <is>
          <t>Every vendor payment voucher linked to specific bank account debit or cash withdrawal</t>
        </is>
      </c>
      <c r="I337" s="5" t="inlineStr">
        <is>
          <t>Maintains bidirectional link between Accounts Payable payment and Bank/Cash journal voucher</t>
        </is>
      </c>
      <c r="J337" s="20" t="inlineStr">
        <is>
          <t>P1</t>
        </is>
      </c>
      <c r="K337" s="20" t="inlineStr">
        <is>
          <t>Validated (Supported)</t>
        </is>
      </c>
      <c r="L337" s="5" t="inlineStr">
        <is>
          <t>Core system invariant: all payments create balanced double-entry GL journal vouchers.</t>
        </is>
      </c>
      <c r="M337" s="8" t="inlineStr">
        <is>
          <t>Baseline</t>
        </is>
      </c>
      <c r="N337" s="8" t="inlineStr">
        <is>
          <t>Cross-persona</t>
        </is>
      </c>
      <c r="O337" s="8" t="inlineStr">
        <is>
          <t>P1</t>
        </is>
      </c>
      <c r="P337" s="5" t="inlineStr">
        <is>
          <t>Unchanged</t>
        </is>
      </c>
      <c r="Q337" s="20" t="inlineStr">
        <is>
          <t>Author assertion</t>
        </is>
      </c>
      <c r="R337" s="5" t="inlineStr"/>
      <c r="S337" s="8" t="inlineStr">
        <is>
          <t>ARAP</t>
        </is>
      </c>
      <c r="T337" s="5" t="inlineStr">
        <is>
          <t>Receivables and payables</t>
        </is>
      </c>
      <c r="U337" s="8" t="inlineStr"/>
      <c r="V337" s="8" t="inlineStr">
        <is>
          <t>ledgers</t>
        </is>
      </c>
      <c r="W337" s="8" t="inlineStr">
        <is>
          <t>CONTROL</t>
        </is>
      </c>
      <c r="X337" s="5" t="inlineStr">
        <is>
          <t>Core</t>
        </is>
      </c>
      <c r="Y337" s="5" t="inlineStr">
        <is>
          <t>Cross-persona</t>
        </is>
      </c>
      <c r="Z337" s="5" t="inlineStr">
        <is>
          <t>Critical</t>
        </is>
      </c>
      <c r="AA337" s="5" t="inlineStr">
        <is>
          <t>High</t>
        </is>
      </c>
      <c r="AB337" s="8" t="inlineStr">
        <is>
          <t>Medium</t>
        </is>
      </c>
      <c r="AC337" s="8" t="inlineStr">
        <is>
          <t>Pilot</t>
        </is>
      </c>
      <c r="AD337" s="5" t="inlineStr">
        <is>
          <t>Not independently checked</t>
        </is>
      </c>
      <c r="AE337" s="5" t="inlineStr">
        <is>
          <t>Not verified</t>
        </is>
      </c>
      <c r="AF337" s="5" t="inlineStr">
        <is>
          <t>Not verified</t>
        </is>
      </c>
      <c r="AG337" s="5" t="inlineStr">
        <is>
          <t>Not verified</t>
        </is>
      </c>
      <c r="AH337" s="5" t="inlineStr">
        <is>
          <t>Not verified</t>
        </is>
      </c>
      <c r="AI337" s="8" t="inlineStr">
        <is>
          <t>No</t>
        </is>
      </c>
      <c r="AJ337" s="8" t="inlineStr">
        <is>
          <t>Claimed - unverified</t>
        </is>
      </c>
      <c r="AK337" s="8" t="inlineStr">
        <is>
          <t>P1</t>
        </is>
      </c>
      <c r="AL337" s="8" t="n">
        <v>18</v>
      </c>
      <c r="AM337" s="5" t="inlineStr"/>
      <c r="AN337" s="5" t="inlineStr"/>
      <c r="AO337" s="5" t="inlineStr"/>
      <c r="AP337" s="5" t="inlineStr"/>
      <c r="AQ337" s="5" t="inlineStr"/>
      <c r="AR337" s="5" t="inlineStr"/>
      <c r="AS337" s="5" t="inlineStr"/>
      <c r="AT337" s="5" t="inlineStr"/>
      <c r="AU337" s="8" t="inlineStr">
        <is>
          <t>Not run</t>
        </is>
      </c>
    </row>
    <row r="338" ht="32" customHeight="1">
      <c r="A338" s="16" t="inlineStr">
        <is>
          <t>X-0337</t>
        </is>
      </c>
      <c r="B338" s="8" t="inlineStr">
        <is>
          <t>X</t>
        </is>
      </c>
      <c r="C338" s="5" t="inlineStr">
        <is>
          <t>Multiple / Cross-persona</t>
        </is>
      </c>
      <c r="D338" s="5" t="inlineStr">
        <is>
          <t>Payments &amp; Reconciliation</t>
        </is>
      </c>
      <c r="E338" s="5" t="inlineStr">
        <is>
          <t>Cash sale → cash balance increases</t>
        </is>
      </c>
      <c r="F338" s="5" t="inlineStr">
        <is>
          <t>Counter Billing Clerk</t>
        </is>
      </c>
      <c r="G338" s="5" t="inlineStr">
        <is>
          <t>Customer</t>
        </is>
      </c>
      <c r="H338" s="5" t="inlineStr">
        <is>
          <t>Cash received from retail sale increases physical drawer cash balance</t>
        </is>
      </c>
      <c r="I338" s="5" t="inlineStr">
        <is>
          <t>Debits Cash-in-Hand ledger account; credits Sales Revenue account in GL</t>
        </is>
      </c>
      <c r="J338" s="20" t="inlineStr">
        <is>
          <t>P1</t>
        </is>
      </c>
      <c r="K338" s="20" t="inlineStr">
        <is>
          <t>Validated (Supported)</t>
        </is>
      </c>
      <c r="L338" s="5" t="inlineStr">
        <is>
          <t>Core system invariant: cash sale completion immediately updates cash ledger balance.</t>
        </is>
      </c>
      <c r="M338" s="8" t="inlineStr">
        <is>
          <t>Baseline</t>
        </is>
      </c>
      <c r="N338" s="8" t="inlineStr">
        <is>
          <t>Cross-persona</t>
        </is>
      </c>
      <c r="O338" s="8" t="inlineStr">
        <is>
          <t>P1</t>
        </is>
      </c>
      <c r="P338" s="5" t="inlineStr">
        <is>
          <t>Unchanged</t>
        </is>
      </c>
      <c r="Q338" s="20" t="inlineStr">
        <is>
          <t>Author assertion</t>
        </is>
      </c>
      <c r="R338" s="5" t="inlineStr"/>
      <c r="S338" s="8" t="inlineStr">
        <is>
          <t>PAYREC</t>
        </is>
      </c>
      <c r="T338" s="5" t="inlineStr">
        <is>
          <t>Payments and reconciliation</t>
        </is>
      </c>
      <c r="U338" s="8" t="inlineStr"/>
      <c r="V338" s="8" t="inlineStr">
        <is>
          <t>payments</t>
        </is>
      </c>
      <c r="W338" s="8" t="inlineStr">
        <is>
          <t>RUN</t>
        </is>
      </c>
      <c r="X338" s="5" t="inlineStr">
        <is>
          <t>Core</t>
        </is>
      </c>
      <c r="Y338" s="5" t="inlineStr">
        <is>
          <t>Cross-persona</t>
        </is>
      </c>
      <c r="Z338" s="5" t="inlineStr">
        <is>
          <t>High</t>
        </is>
      </c>
      <c r="AA338" s="5" t="inlineStr">
        <is>
          <t>High</t>
        </is>
      </c>
      <c r="AB338" s="8" t="inlineStr">
        <is>
          <t>Low</t>
        </is>
      </c>
      <c r="AC338" s="8" t="inlineStr">
        <is>
          <t>Pilot</t>
        </is>
      </c>
      <c r="AD338" s="5" t="inlineStr">
        <is>
          <t>Not independently checked</t>
        </is>
      </c>
      <c r="AE338" s="5" t="inlineStr">
        <is>
          <t>Not verified</t>
        </is>
      </c>
      <c r="AF338" s="5" t="inlineStr">
        <is>
          <t>Not verified</t>
        </is>
      </c>
      <c r="AG338" s="5" t="inlineStr">
        <is>
          <t>Not verified</t>
        </is>
      </c>
      <c r="AH338" s="5" t="inlineStr">
        <is>
          <t>Not verified</t>
        </is>
      </c>
      <c r="AI338" s="8" t="inlineStr">
        <is>
          <t>No</t>
        </is>
      </c>
      <c r="AJ338" s="8" t="inlineStr">
        <is>
          <t>Claimed - unverified</t>
        </is>
      </c>
      <c r="AK338" s="8" t="inlineStr">
        <is>
          <t>P1</t>
        </is>
      </c>
      <c r="AL338" s="8" t="n">
        <v>9</v>
      </c>
      <c r="AM338" s="5" t="inlineStr"/>
      <c r="AN338" s="5" t="inlineStr"/>
      <c r="AO338" s="5" t="inlineStr"/>
      <c r="AP338" s="5" t="inlineStr"/>
      <c r="AQ338" s="5" t="inlineStr"/>
      <c r="AR338" s="5" t="inlineStr"/>
      <c r="AS338" s="5" t="inlineStr"/>
      <c r="AT338" s="5" t="inlineStr"/>
      <c r="AU338" s="8" t="inlineStr">
        <is>
          <t>Not run</t>
        </is>
      </c>
    </row>
    <row r="339" ht="32" customHeight="1">
      <c r="A339" s="16" t="inlineStr">
        <is>
          <t>X-0338</t>
        </is>
      </c>
      <c r="B339" s="8" t="inlineStr">
        <is>
          <t>X</t>
        </is>
      </c>
      <c r="C339" s="5" t="inlineStr">
        <is>
          <t>Multiple / Cross-persona</t>
        </is>
      </c>
      <c r="D339" s="5" t="inlineStr">
        <is>
          <t>Payments &amp; Reconciliation</t>
        </is>
      </c>
      <c r="E339" s="5" t="inlineStr">
        <is>
          <t>UPI sale → digital payment is recorded</t>
        </is>
      </c>
      <c r="F339" s="5" t="inlineStr">
        <is>
          <t>Counter Billing Clerk</t>
        </is>
      </c>
      <c r="G339" s="5" t="inlineStr">
        <is>
          <t>Customer</t>
        </is>
      </c>
      <c r="H339" s="5" t="inlineStr">
        <is>
          <t>Instant UPI settlement recorded with transaction UTR reference number</t>
        </is>
      </c>
      <c r="I339" s="5" t="inlineStr">
        <is>
          <t>Debits Bank/UPI Clearing account; credits Sales Revenue; logs gateway reference</t>
        </is>
      </c>
      <c r="J339" s="20" t="inlineStr">
        <is>
          <t>P1</t>
        </is>
      </c>
      <c r="K339" s="20" t="inlineStr">
        <is>
          <t>Validated (Supported)</t>
        </is>
      </c>
      <c r="L339" s="5" t="inlineStr">
        <is>
          <t>Supported via dynamic UPI QR scanner on POS terminal.</t>
        </is>
      </c>
      <c r="M339" s="8" t="inlineStr">
        <is>
          <t>Baseline</t>
        </is>
      </c>
      <c r="N339" s="8" t="inlineStr">
        <is>
          <t>Cross-persona</t>
        </is>
      </c>
      <c r="O339" s="8" t="inlineStr">
        <is>
          <t>P1</t>
        </is>
      </c>
      <c r="P339" s="5" t="inlineStr">
        <is>
          <t>Unchanged</t>
        </is>
      </c>
      <c r="Q339" s="20" t="inlineStr">
        <is>
          <t>Author assertion</t>
        </is>
      </c>
      <c r="R339" s="5" t="inlineStr"/>
      <c r="S339" s="8" t="inlineStr">
        <is>
          <t>PAYREC</t>
        </is>
      </c>
      <c r="T339" s="5" t="inlineStr">
        <is>
          <t>Payments and reconciliation</t>
        </is>
      </c>
      <c r="U339" s="8" t="inlineStr"/>
      <c r="V339" s="8" t="inlineStr">
        <is>
          <t>payments</t>
        </is>
      </c>
      <c r="W339" s="8" t="inlineStr">
        <is>
          <t>RUN</t>
        </is>
      </c>
      <c r="X339" s="5" t="inlineStr">
        <is>
          <t>Core</t>
        </is>
      </c>
      <c r="Y339" s="5" t="inlineStr">
        <is>
          <t>Cross-persona</t>
        </is>
      </c>
      <c r="Z339" s="5" t="inlineStr">
        <is>
          <t>High</t>
        </is>
      </c>
      <c r="AA339" s="5" t="inlineStr">
        <is>
          <t>High</t>
        </is>
      </c>
      <c r="AB339" s="8" t="inlineStr">
        <is>
          <t>Low</t>
        </is>
      </c>
      <c r="AC339" s="8" t="inlineStr">
        <is>
          <t>Pilot</t>
        </is>
      </c>
      <c r="AD339" s="5" t="inlineStr">
        <is>
          <t>Not independently checked</t>
        </is>
      </c>
      <c r="AE339" s="5" t="inlineStr">
        <is>
          <t>Not verified</t>
        </is>
      </c>
      <c r="AF339" s="5" t="inlineStr">
        <is>
          <t>Not verified</t>
        </is>
      </c>
      <c r="AG339" s="5" t="inlineStr">
        <is>
          <t>Not verified</t>
        </is>
      </c>
      <c r="AH339" s="5" t="inlineStr">
        <is>
          <t>Not verified</t>
        </is>
      </c>
      <c r="AI339" s="8" t="inlineStr">
        <is>
          <t>No</t>
        </is>
      </c>
      <c r="AJ339" s="8" t="inlineStr">
        <is>
          <t>Claimed - unverified</t>
        </is>
      </c>
      <c r="AK339" s="8" t="inlineStr">
        <is>
          <t>P1</t>
        </is>
      </c>
      <c r="AL339" s="8" t="n">
        <v>9</v>
      </c>
      <c r="AM339" s="5" t="inlineStr"/>
      <c r="AN339" s="5" t="inlineStr"/>
      <c r="AO339" s="5" t="inlineStr"/>
      <c r="AP339" s="5" t="inlineStr"/>
      <c r="AQ339" s="5" t="inlineStr"/>
      <c r="AR339" s="5" t="inlineStr"/>
      <c r="AS339" s="5" t="inlineStr"/>
      <c r="AT339" s="5" t="inlineStr"/>
      <c r="AU339" s="8" t="inlineStr">
        <is>
          <t>Not run</t>
        </is>
      </c>
    </row>
    <row r="340" ht="32" customHeight="1">
      <c r="A340" s="16" t="inlineStr">
        <is>
          <t>X-0339</t>
        </is>
      </c>
      <c r="B340" s="8" t="inlineStr">
        <is>
          <t>X</t>
        </is>
      </c>
      <c r="C340" s="5" t="inlineStr">
        <is>
          <t>Multiple / Cross-persona</t>
        </is>
      </c>
      <c r="D340" s="5" t="inlineStr">
        <is>
          <t>Payments &amp; Reconciliation</t>
        </is>
      </c>
      <c r="E340" s="5" t="inlineStr">
        <is>
          <t>Bank payment → bank ledger updates</t>
        </is>
      </c>
      <c r="F340" s="5" t="inlineStr">
        <is>
          <t>Accounts Cashier</t>
        </is>
      </c>
      <c r="G340" s="5" t="inlineStr">
        <is>
          <t>In-house Accountant</t>
        </is>
      </c>
      <c r="H340" s="5" t="inlineStr">
        <is>
          <t>Bank transfer (NEFT/RTGS/IMPS/Cheque) reflected in company bank account ledger</t>
        </is>
      </c>
      <c r="I340" s="5" t="inlineStr">
        <is>
          <t>Debits/credits Bank Account ledger; updates running bank book balance</t>
        </is>
      </c>
      <c r="J340" s="20" t="inlineStr">
        <is>
          <t>P1</t>
        </is>
      </c>
      <c r="K340" s="20" t="inlineStr">
        <is>
          <t>Validated (Supported)</t>
        </is>
      </c>
      <c r="L340" s="5" t="inlineStr">
        <is>
          <t>Supported via /accounting/bank-accounts/ ledger entries.</t>
        </is>
      </c>
      <c r="M340" s="8" t="inlineStr">
        <is>
          <t>Baseline</t>
        </is>
      </c>
      <c r="N340" s="8" t="inlineStr">
        <is>
          <t>Cross-persona</t>
        </is>
      </c>
      <c r="O340" s="8" t="inlineStr">
        <is>
          <t>P1</t>
        </is>
      </c>
      <c r="P340" s="5" t="inlineStr">
        <is>
          <t>Unchanged</t>
        </is>
      </c>
      <c r="Q340" s="20" t="inlineStr">
        <is>
          <t>Author assertion</t>
        </is>
      </c>
      <c r="R340" s="5" t="inlineStr"/>
      <c r="S340" s="8" t="inlineStr">
        <is>
          <t>PAYREC</t>
        </is>
      </c>
      <c r="T340" s="5" t="inlineStr">
        <is>
          <t>Payments and reconciliation</t>
        </is>
      </c>
      <c r="U340" s="8" t="inlineStr"/>
      <c r="V340" s="8" t="inlineStr">
        <is>
          <t>payments</t>
        </is>
      </c>
      <c r="W340" s="8" t="inlineStr">
        <is>
          <t>RUN</t>
        </is>
      </c>
      <c r="X340" s="5" t="inlineStr">
        <is>
          <t>Core</t>
        </is>
      </c>
      <c r="Y340" s="5" t="inlineStr">
        <is>
          <t>Cross-persona</t>
        </is>
      </c>
      <c r="Z340" s="5" t="inlineStr">
        <is>
          <t>High</t>
        </is>
      </c>
      <c r="AA340" s="5" t="inlineStr">
        <is>
          <t>High</t>
        </is>
      </c>
      <c r="AB340" s="8" t="inlineStr">
        <is>
          <t>Low</t>
        </is>
      </c>
      <c r="AC340" s="8" t="inlineStr">
        <is>
          <t>Pilot</t>
        </is>
      </c>
      <c r="AD340" s="5" t="inlineStr">
        <is>
          <t>Not independently checked</t>
        </is>
      </c>
      <c r="AE340" s="5" t="inlineStr">
        <is>
          <t>Not verified</t>
        </is>
      </c>
      <c r="AF340" s="5" t="inlineStr">
        <is>
          <t>Not verified</t>
        </is>
      </c>
      <c r="AG340" s="5" t="inlineStr">
        <is>
          <t>Not verified</t>
        </is>
      </c>
      <c r="AH340" s="5" t="inlineStr">
        <is>
          <t>Not verified</t>
        </is>
      </c>
      <c r="AI340" s="8" t="inlineStr">
        <is>
          <t>No</t>
        </is>
      </c>
      <c r="AJ340" s="8" t="inlineStr">
        <is>
          <t>Claimed - unverified</t>
        </is>
      </c>
      <c r="AK340" s="8" t="inlineStr">
        <is>
          <t>P1</t>
        </is>
      </c>
      <c r="AL340" s="8" t="n">
        <v>9</v>
      </c>
      <c r="AM340" s="5" t="inlineStr"/>
      <c r="AN340" s="5" t="inlineStr"/>
      <c r="AO340" s="5" t="inlineStr"/>
      <c r="AP340" s="5" t="inlineStr"/>
      <c r="AQ340" s="5" t="inlineStr"/>
      <c r="AR340" s="5" t="inlineStr"/>
      <c r="AS340" s="5" t="inlineStr"/>
      <c r="AT340" s="5" t="inlineStr"/>
      <c r="AU340" s="8" t="inlineStr">
        <is>
          <t>Not run</t>
        </is>
      </c>
    </row>
    <row r="341" ht="32" customHeight="1">
      <c r="A341" s="16" t="inlineStr">
        <is>
          <t>X-0340</t>
        </is>
      </c>
      <c r="B341" s="8" t="inlineStr">
        <is>
          <t>X</t>
        </is>
      </c>
      <c r="C341" s="5" t="inlineStr">
        <is>
          <t>Multiple / Cross-persona</t>
        </is>
      </c>
      <c r="D341" s="5" t="inlineStr">
        <is>
          <t>Payments &amp; Reconciliation</t>
        </is>
      </c>
      <c r="E341" s="5" t="inlineStr">
        <is>
          <t>Customer payment → receivable decreases</t>
        </is>
      </c>
      <c r="F341" s="5" t="inlineStr">
        <is>
          <t>Accounts Cashier</t>
        </is>
      </c>
      <c r="G341" s="5" t="inlineStr">
        <is>
          <t>Customer</t>
        </is>
      </c>
      <c r="H341" s="5" t="inlineStr">
        <is>
          <t>Customer payment receipt reduces accounts receivable balance</t>
        </is>
      </c>
      <c r="I341" s="5" t="inlineStr">
        <is>
          <t>Credits Customer AR ledger; debits Bank/Cash; updates customer credit availability</t>
        </is>
      </c>
      <c r="J341" s="20" t="inlineStr">
        <is>
          <t>P1</t>
        </is>
      </c>
      <c r="K341" s="20" t="inlineStr">
        <is>
          <t>Validated (Supported)</t>
        </is>
      </c>
      <c r="L341" s="5" t="inlineStr">
        <is>
          <t>Core system invariant: payment post immediately reduces customer receivable balance.</t>
        </is>
      </c>
      <c r="M341" s="8" t="inlineStr">
        <is>
          <t>Baseline</t>
        </is>
      </c>
      <c r="N341" s="8" t="inlineStr">
        <is>
          <t>Cross-persona</t>
        </is>
      </c>
      <c r="O341" s="8" t="inlineStr">
        <is>
          <t>P1</t>
        </is>
      </c>
      <c r="P341" s="5" t="inlineStr">
        <is>
          <t>Unchanged</t>
        </is>
      </c>
      <c r="Q341" s="20" t="inlineStr">
        <is>
          <t>Author assertion</t>
        </is>
      </c>
      <c r="R341" s="5" t="inlineStr"/>
      <c r="S341" s="8" t="inlineStr">
        <is>
          <t>PAYREC</t>
        </is>
      </c>
      <c r="T341" s="5" t="inlineStr">
        <is>
          <t>Payments and reconciliation</t>
        </is>
      </c>
      <c r="U341" s="8" t="inlineStr"/>
      <c r="V341" s="8" t="inlineStr">
        <is>
          <t>payments</t>
        </is>
      </c>
      <c r="W341" s="8" t="inlineStr">
        <is>
          <t>RUN</t>
        </is>
      </c>
      <c r="X341" s="5" t="inlineStr">
        <is>
          <t>Core</t>
        </is>
      </c>
      <c r="Y341" s="5" t="inlineStr">
        <is>
          <t>Cross-persona</t>
        </is>
      </c>
      <c r="Z341" s="5" t="inlineStr">
        <is>
          <t>High</t>
        </is>
      </c>
      <c r="AA341" s="5" t="inlineStr">
        <is>
          <t>High</t>
        </is>
      </c>
      <c r="AB341" s="8" t="inlineStr">
        <is>
          <t>Low</t>
        </is>
      </c>
      <c r="AC341" s="8" t="inlineStr">
        <is>
          <t>Pilot</t>
        </is>
      </c>
      <c r="AD341" s="5" t="inlineStr">
        <is>
          <t>Not independently checked</t>
        </is>
      </c>
      <c r="AE341" s="5" t="inlineStr">
        <is>
          <t>Not verified</t>
        </is>
      </c>
      <c r="AF341" s="5" t="inlineStr">
        <is>
          <t>Not verified</t>
        </is>
      </c>
      <c r="AG341" s="5" t="inlineStr">
        <is>
          <t>Not verified</t>
        </is>
      </c>
      <c r="AH341" s="5" t="inlineStr">
        <is>
          <t>Not verified</t>
        </is>
      </c>
      <c r="AI341" s="8" t="inlineStr">
        <is>
          <t>No</t>
        </is>
      </c>
      <c r="AJ341" s="8" t="inlineStr">
        <is>
          <t>Claimed - unverified</t>
        </is>
      </c>
      <c r="AK341" s="8" t="inlineStr">
        <is>
          <t>P1</t>
        </is>
      </c>
      <c r="AL341" s="8" t="n">
        <v>9</v>
      </c>
      <c r="AM341" s="5" t="inlineStr"/>
      <c r="AN341" s="5" t="inlineStr"/>
      <c r="AO341" s="5" t="inlineStr"/>
      <c r="AP341" s="5" t="inlineStr"/>
      <c r="AQ341" s="5" t="inlineStr"/>
      <c r="AR341" s="5" t="inlineStr"/>
      <c r="AS341" s="5" t="inlineStr"/>
      <c r="AT341" s="5" t="inlineStr"/>
      <c r="AU341" s="8" t="inlineStr">
        <is>
          <t>Not run</t>
        </is>
      </c>
    </row>
    <row r="342" ht="32" customHeight="1">
      <c r="A342" s="16" t="inlineStr">
        <is>
          <t>X-0341</t>
        </is>
      </c>
      <c r="B342" s="8" t="inlineStr">
        <is>
          <t>X</t>
        </is>
      </c>
      <c r="C342" s="5" t="inlineStr">
        <is>
          <t>Multiple / Cross-persona</t>
        </is>
      </c>
      <c r="D342" s="5" t="inlineStr">
        <is>
          <t>Payments &amp; Reconciliation</t>
        </is>
      </c>
      <c r="E342" s="5" t="inlineStr">
        <is>
          <t>Supplier payment → payable decreases</t>
        </is>
      </c>
      <c r="F342" s="5" t="inlineStr">
        <is>
          <t>Accounts Cashier</t>
        </is>
      </c>
      <c r="G342" s="5" t="inlineStr">
        <is>
          <t>Supplier</t>
        </is>
      </c>
      <c r="H342" s="5" t="inlineStr">
        <is>
          <t>Vendor disbursement reduces accounts payable liability</t>
        </is>
      </c>
      <c r="I342" s="5" t="inlineStr">
        <is>
          <t>Debits Supplier AP ledger; credits Bank/Cash account; decreases outstanding liability</t>
        </is>
      </c>
      <c r="J342" s="20" t="inlineStr">
        <is>
          <t>P1</t>
        </is>
      </c>
      <c r="K342" s="20" t="inlineStr">
        <is>
          <t>Validated (Supported)</t>
        </is>
      </c>
      <c r="L342" s="5" t="inlineStr">
        <is>
          <t>Core system invariant: vendor payment immediately decreases accounts payable liability.</t>
        </is>
      </c>
      <c r="M342" s="8" t="inlineStr">
        <is>
          <t>Baseline</t>
        </is>
      </c>
      <c r="N342" s="8" t="inlineStr">
        <is>
          <t>Cross-persona</t>
        </is>
      </c>
      <c r="O342" s="8" t="inlineStr">
        <is>
          <t>P1</t>
        </is>
      </c>
      <c r="P342" s="5" t="inlineStr">
        <is>
          <t>Unchanged</t>
        </is>
      </c>
      <c r="Q342" s="20" t="inlineStr">
        <is>
          <t>Author assertion</t>
        </is>
      </c>
      <c r="R342" s="5" t="inlineStr"/>
      <c r="S342" s="8" t="inlineStr">
        <is>
          <t>PAYREC</t>
        </is>
      </c>
      <c r="T342" s="5" t="inlineStr">
        <is>
          <t>Payments and reconciliation</t>
        </is>
      </c>
      <c r="U342" s="8" t="inlineStr"/>
      <c r="V342" s="8" t="inlineStr">
        <is>
          <t>payments</t>
        </is>
      </c>
      <c r="W342" s="8" t="inlineStr">
        <is>
          <t>RUN</t>
        </is>
      </c>
      <c r="X342" s="5" t="inlineStr">
        <is>
          <t>Core</t>
        </is>
      </c>
      <c r="Y342" s="5" t="inlineStr">
        <is>
          <t>Cross-persona</t>
        </is>
      </c>
      <c r="Z342" s="5" t="inlineStr">
        <is>
          <t>High</t>
        </is>
      </c>
      <c r="AA342" s="5" t="inlineStr">
        <is>
          <t>High</t>
        </is>
      </c>
      <c r="AB342" s="8" t="inlineStr">
        <is>
          <t>Low</t>
        </is>
      </c>
      <c r="AC342" s="8" t="inlineStr">
        <is>
          <t>Pilot</t>
        </is>
      </c>
      <c r="AD342" s="5" t="inlineStr">
        <is>
          <t>Not independently checked</t>
        </is>
      </c>
      <c r="AE342" s="5" t="inlineStr">
        <is>
          <t>Not verified</t>
        </is>
      </c>
      <c r="AF342" s="5" t="inlineStr">
        <is>
          <t>Not verified</t>
        </is>
      </c>
      <c r="AG342" s="5" t="inlineStr">
        <is>
          <t>Not verified</t>
        </is>
      </c>
      <c r="AH342" s="5" t="inlineStr">
        <is>
          <t>Not verified</t>
        </is>
      </c>
      <c r="AI342" s="8" t="inlineStr">
        <is>
          <t>No</t>
        </is>
      </c>
      <c r="AJ342" s="8" t="inlineStr">
        <is>
          <t>Claimed - unverified</t>
        </is>
      </c>
      <c r="AK342" s="8" t="inlineStr">
        <is>
          <t>P1</t>
        </is>
      </c>
      <c r="AL342" s="8" t="n">
        <v>9</v>
      </c>
      <c r="AM342" s="5" t="inlineStr"/>
      <c r="AN342" s="5" t="inlineStr"/>
      <c r="AO342" s="5" t="inlineStr"/>
      <c r="AP342" s="5" t="inlineStr"/>
      <c r="AQ342" s="5" t="inlineStr"/>
      <c r="AR342" s="5" t="inlineStr"/>
      <c r="AS342" s="5" t="inlineStr"/>
      <c r="AT342" s="5" t="inlineStr"/>
      <c r="AU342" s="8" t="inlineStr">
        <is>
          <t>Not run</t>
        </is>
      </c>
    </row>
    <row r="343" ht="32" customHeight="1">
      <c r="A343" s="16" t="inlineStr">
        <is>
          <t>X-0342</t>
        </is>
      </c>
      <c r="B343" s="8" t="inlineStr">
        <is>
          <t>X</t>
        </is>
      </c>
      <c r="C343" s="5" t="inlineStr">
        <is>
          <t>Multiple / Cross-persona</t>
        </is>
      </c>
      <c r="D343" s="5" t="inlineStr">
        <is>
          <t>Payments &amp; Reconciliation</t>
        </is>
      </c>
      <c r="E343" s="5" t="inlineStr">
        <is>
          <t>Expense payment → expense ledger updates</t>
        </is>
      </c>
      <c r="F343" s="5" t="inlineStr">
        <is>
          <t>In-house Accountant</t>
        </is>
      </c>
      <c r="G343" s="5" t="inlineStr">
        <is>
          <t>Vendor / Service Provider</t>
        </is>
      </c>
      <c r="H343" s="5" t="inlineStr">
        <is>
          <t>Operating expenses (rent, electricity, transport, tea) recorded with proper expense heads</t>
        </is>
      </c>
      <c r="I343" s="5" t="inlineStr">
        <is>
          <t>Debits specific Expense account (e.g. Rent, Freight); credits Bank/Cash account in GL</t>
        </is>
      </c>
      <c r="J343" s="20" t="inlineStr">
        <is>
          <t>P1</t>
        </is>
      </c>
      <c r="K343" s="20" t="inlineStr">
        <is>
          <t>Validated (Supported)</t>
        </is>
      </c>
      <c r="L343" s="5" t="inlineStr">
        <is>
          <t>Supported via /accounting/expenses/create with cost center allocation.</t>
        </is>
      </c>
      <c r="M343" s="8" t="inlineStr">
        <is>
          <t>Baseline</t>
        </is>
      </c>
      <c r="N343" s="8" t="inlineStr">
        <is>
          <t>Cross-persona</t>
        </is>
      </c>
      <c r="O343" s="8" t="inlineStr">
        <is>
          <t>P1</t>
        </is>
      </c>
      <c r="P343" s="5" t="inlineStr">
        <is>
          <t>Unchanged</t>
        </is>
      </c>
      <c r="Q343" s="20" t="inlineStr">
        <is>
          <t>Author assertion</t>
        </is>
      </c>
      <c r="R343" s="5" t="inlineStr"/>
      <c r="S343" s="8" t="inlineStr">
        <is>
          <t>PAYREC</t>
        </is>
      </c>
      <c r="T343" s="5" t="inlineStr">
        <is>
          <t>Payments and reconciliation</t>
        </is>
      </c>
      <c r="U343" s="8" t="inlineStr"/>
      <c r="V343" s="8" t="inlineStr">
        <is>
          <t>payments</t>
        </is>
      </c>
      <c r="W343" s="8" t="inlineStr">
        <is>
          <t>RUN</t>
        </is>
      </c>
      <c r="X343" s="5" t="inlineStr">
        <is>
          <t>Core</t>
        </is>
      </c>
      <c r="Y343" s="5" t="inlineStr">
        <is>
          <t>Cross-persona</t>
        </is>
      </c>
      <c r="Z343" s="5" t="inlineStr">
        <is>
          <t>High</t>
        </is>
      </c>
      <c r="AA343" s="5" t="inlineStr">
        <is>
          <t>High</t>
        </is>
      </c>
      <c r="AB343" s="8" t="inlineStr">
        <is>
          <t>Low</t>
        </is>
      </c>
      <c r="AC343" s="8" t="inlineStr">
        <is>
          <t>Pilot</t>
        </is>
      </c>
      <c r="AD343" s="5" t="inlineStr">
        <is>
          <t>Not independently checked</t>
        </is>
      </c>
      <c r="AE343" s="5" t="inlineStr">
        <is>
          <t>Not verified</t>
        </is>
      </c>
      <c r="AF343" s="5" t="inlineStr">
        <is>
          <t>Not verified</t>
        </is>
      </c>
      <c r="AG343" s="5" t="inlineStr">
        <is>
          <t>Not verified</t>
        </is>
      </c>
      <c r="AH343" s="5" t="inlineStr">
        <is>
          <t>Not verified</t>
        </is>
      </c>
      <c r="AI343" s="8" t="inlineStr">
        <is>
          <t>No</t>
        </is>
      </c>
      <c r="AJ343" s="8" t="inlineStr">
        <is>
          <t>Claimed - unverified</t>
        </is>
      </c>
      <c r="AK343" s="8" t="inlineStr">
        <is>
          <t>P1</t>
        </is>
      </c>
      <c r="AL343" s="8" t="n">
        <v>9</v>
      </c>
      <c r="AM343" s="5" t="inlineStr"/>
      <c r="AN343" s="5" t="inlineStr"/>
      <c r="AO343" s="5" t="inlineStr"/>
      <c r="AP343" s="5" t="inlineStr"/>
      <c r="AQ343" s="5" t="inlineStr"/>
      <c r="AR343" s="5" t="inlineStr"/>
      <c r="AS343" s="5" t="inlineStr"/>
      <c r="AT343" s="5" t="inlineStr"/>
      <c r="AU343" s="8" t="inlineStr">
        <is>
          <t>Not run</t>
        </is>
      </c>
    </row>
    <row r="344" ht="32" customHeight="1">
      <c r="A344" s="16" t="inlineStr">
        <is>
          <t>X-0343</t>
        </is>
      </c>
      <c r="B344" s="8" t="inlineStr">
        <is>
          <t>X</t>
        </is>
      </c>
      <c r="C344" s="5" t="inlineStr">
        <is>
          <t>Multiple / Cross-persona</t>
        </is>
      </c>
      <c r="D344" s="5" t="inlineStr">
        <is>
          <t>Payments &amp; Reconciliation</t>
        </is>
      </c>
      <c r="E344" s="5" t="inlineStr">
        <is>
          <t>Payment reversal → original payment remains traceable</t>
        </is>
      </c>
      <c r="F344" s="5" t="inlineStr">
        <is>
          <t>In-house Accountant</t>
        </is>
      </c>
      <c r="G344" s="5" t="inlineStr">
        <is>
          <t>Auditor</t>
        </is>
      </c>
      <c r="H344" s="5" t="inlineStr">
        <is>
          <t>Reversing a bounced cheque or erroneous payment maintains complete audit history</t>
        </is>
      </c>
      <c r="I344" s="5" t="inlineStr">
        <is>
          <t>Posts reversal journal voucher; restores original invoice unpaid status; logs reversal reason</t>
        </is>
      </c>
      <c r="J344" s="20" t="inlineStr">
        <is>
          <t>P1</t>
        </is>
      </c>
      <c r="K344" s="20" t="inlineStr">
        <is>
          <t>Validated (Supported)</t>
        </is>
      </c>
      <c r="L344" s="5" t="inlineStr">
        <is>
          <t>Core system invariant: payments cannot be hard-deleted; reversals create linked reversal vouchers.</t>
        </is>
      </c>
      <c r="M344" s="8" t="inlineStr">
        <is>
          <t>Baseline</t>
        </is>
      </c>
      <c r="N344" s="8" t="inlineStr">
        <is>
          <t>Cross-persona</t>
        </is>
      </c>
      <c r="O344" s="8" t="inlineStr">
        <is>
          <t>P1</t>
        </is>
      </c>
      <c r="P344" s="5" t="inlineStr">
        <is>
          <t>Restored to authored P1. The previous workbook had P0 after a keyword rebalance.</t>
        </is>
      </c>
      <c r="Q344" s="20" t="inlineStr">
        <is>
          <t>Author assertion</t>
        </is>
      </c>
      <c r="R344" s="5" t="inlineStr">
        <is>
          <t>Restored to authored P1. The previous workbook had P0 after a keyword rebalance.</t>
        </is>
      </c>
      <c r="S344" s="8" t="inlineStr">
        <is>
          <t>PAYREC</t>
        </is>
      </c>
      <c r="T344" s="5" t="inlineStr">
        <is>
          <t>Payments and reconciliation</t>
        </is>
      </c>
      <c r="U344" s="8" t="inlineStr"/>
      <c r="V344" s="8" t="inlineStr">
        <is>
          <t>payments</t>
        </is>
      </c>
      <c r="W344" s="8" t="inlineStr">
        <is>
          <t>RUN</t>
        </is>
      </c>
      <c r="X344" s="5" t="inlineStr">
        <is>
          <t>Core</t>
        </is>
      </c>
      <c r="Y344" s="5" t="inlineStr">
        <is>
          <t>Cross-persona</t>
        </is>
      </c>
      <c r="Z344" s="5" t="inlineStr">
        <is>
          <t>High</t>
        </is>
      </c>
      <c r="AA344" s="5" t="inlineStr">
        <is>
          <t>High</t>
        </is>
      </c>
      <c r="AB344" s="8" t="inlineStr">
        <is>
          <t>Low</t>
        </is>
      </c>
      <c r="AC344" s="8" t="inlineStr">
        <is>
          <t>Pilot</t>
        </is>
      </c>
      <c r="AD344" s="5" t="inlineStr">
        <is>
          <t>Not independently checked</t>
        </is>
      </c>
      <c r="AE344" s="5" t="inlineStr">
        <is>
          <t>Not verified</t>
        </is>
      </c>
      <c r="AF344" s="5" t="inlineStr">
        <is>
          <t>Not verified</t>
        </is>
      </c>
      <c r="AG344" s="5" t="inlineStr">
        <is>
          <t>Not verified</t>
        </is>
      </c>
      <c r="AH344" s="5" t="inlineStr">
        <is>
          <t>Not verified</t>
        </is>
      </c>
      <c r="AI344" s="8" t="inlineStr">
        <is>
          <t>No</t>
        </is>
      </c>
      <c r="AJ344" s="8" t="inlineStr">
        <is>
          <t>Claimed - unverified</t>
        </is>
      </c>
      <c r="AK344" s="8" t="inlineStr">
        <is>
          <t>P1</t>
        </is>
      </c>
      <c r="AL344" s="8" t="n">
        <v>9</v>
      </c>
      <c r="AM344" s="5" t="inlineStr"/>
      <c r="AN344" s="5" t="inlineStr"/>
      <c r="AO344" s="5" t="inlineStr"/>
      <c r="AP344" s="5" t="inlineStr"/>
      <c r="AQ344" s="5" t="inlineStr"/>
      <c r="AR344" s="5" t="inlineStr"/>
      <c r="AS344" s="5" t="inlineStr"/>
      <c r="AT344" s="5" t="inlineStr"/>
      <c r="AU344" s="8" t="inlineStr">
        <is>
          <t>Not run</t>
        </is>
      </c>
    </row>
    <row r="345" ht="32" customHeight="1">
      <c r="A345" s="16" t="inlineStr">
        <is>
          <t>X-0344</t>
        </is>
      </c>
      <c r="B345" s="8" t="inlineStr">
        <is>
          <t>X</t>
        </is>
      </c>
      <c r="C345" s="5" t="inlineStr">
        <is>
          <t>Multiple / Cross-persona</t>
        </is>
      </c>
      <c r="D345" s="5" t="inlineStr">
        <is>
          <t>Payments &amp; Reconciliation</t>
        </is>
      </c>
      <c r="E345" s="5" t="inlineStr">
        <is>
          <t>Failed payment → invoice remains appropriately unpaid</t>
        </is>
      </c>
      <c r="F345" s="5" t="inlineStr">
        <is>
          <t>System / Payment Gateway</t>
        </is>
      </c>
      <c r="G345" s="5" t="inlineStr">
        <is>
          <t>Customer / Cashier</t>
        </is>
      </c>
      <c r="H345" s="5" t="inlineStr">
        <is>
          <t>Failed or rejected digital transaction keeps invoice status as UNPAID</t>
        </is>
      </c>
      <c r="I345" s="5" t="inlineStr">
        <is>
          <t>Logs failure event; prevents false invoice settlement; alerts cashier to re-prompt tender</t>
        </is>
      </c>
      <c r="J345" s="20" t="inlineStr">
        <is>
          <t>P1</t>
        </is>
      </c>
      <c r="K345" s="20" t="inlineStr">
        <is>
          <t>Validated (Supported)</t>
        </is>
      </c>
      <c r="L345" s="5" t="inlineStr">
        <is>
          <t>Automated webhook handler; preserves UNPAID status on gateway failure.</t>
        </is>
      </c>
      <c r="M345" s="8" t="inlineStr">
        <is>
          <t>Baseline</t>
        </is>
      </c>
      <c r="N345" s="8" t="inlineStr">
        <is>
          <t>Cross-persona</t>
        </is>
      </c>
      <c r="O345" s="8" t="inlineStr">
        <is>
          <t>P1</t>
        </is>
      </c>
      <c r="P345" s="5" t="inlineStr">
        <is>
          <t>Unchanged</t>
        </is>
      </c>
      <c r="Q345" s="20" t="inlineStr">
        <is>
          <t>Author assertion</t>
        </is>
      </c>
      <c r="R345" s="5" t="inlineStr"/>
      <c r="S345" s="8" t="inlineStr">
        <is>
          <t>PAYREC</t>
        </is>
      </c>
      <c r="T345" s="5" t="inlineStr">
        <is>
          <t>Payments and reconciliation</t>
        </is>
      </c>
      <c r="U345" s="8" t="inlineStr"/>
      <c r="V345" s="8" t="inlineStr">
        <is>
          <t>payments</t>
        </is>
      </c>
      <c r="W345" s="8" t="inlineStr">
        <is>
          <t>RUN</t>
        </is>
      </c>
      <c r="X345" s="5" t="inlineStr">
        <is>
          <t>Core</t>
        </is>
      </c>
      <c r="Y345" s="5" t="inlineStr">
        <is>
          <t>Cross-persona</t>
        </is>
      </c>
      <c r="Z345" s="5" t="inlineStr">
        <is>
          <t>High</t>
        </is>
      </c>
      <c r="AA345" s="5" t="inlineStr">
        <is>
          <t>High</t>
        </is>
      </c>
      <c r="AB345" s="8" t="inlineStr">
        <is>
          <t>Low</t>
        </is>
      </c>
      <c r="AC345" s="8" t="inlineStr">
        <is>
          <t>Pilot</t>
        </is>
      </c>
      <c r="AD345" s="5" t="inlineStr">
        <is>
          <t>Not independently checked</t>
        </is>
      </c>
      <c r="AE345" s="5" t="inlineStr">
        <is>
          <t>Not verified</t>
        </is>
      </c>
      <c r="AF345" s="5" t="inlineStr">
        <is>
          <t>Not verified</t>
        </is>
      </c>
      <c r="AG345" s="5" t="inlineStr">
        <is>
          <t>Not verified</t>
        </is>
      </c>
      <c r="AH345" s="5" t="inlineStr">
        <is>
          <t>Not verified</t>
        </is>
      </c>
      <c r="AI345" s="8" t="inlineStr">
        <is>
          <t>No</t>
        </is>
      </c>
      <c r="AJ345" s="8" t="inlineStr">
        <is>
          <t>Claimed - unverified</t>
        </is>
      </c>
      <c r="AK345" s="8" t="inlineStr">
        <is>
          <t>P1</t>
        </is>
      </c>
      <c r="AL345" s="8" t="n">
        <v>9</v>
      </c>
      <c r="AM345" s="5" t="inlineStr"/>
      <c r="AN345" s="5" t="inlineStr"/>
      <c r="AO345" s="5" t="inlineStr"/>
      <c r="AP345" s="5" t="inlineStr"/>
      <c r="AQ345" s="5" t="inlineStr"/>
      <c r="AR345" s="5" t="inlineStr"/>
      <c r="AS345" s="5" t="inlineStr"/>
      <c r="AT345" s="5" t="inlineStr"/>
      <c r="AU345" s="8" t="inlineStr">
        <is>
          <t>Not run</t>
        </is>
      </c>
    </row>
    <row r="346" ht="32" customHeight="1">
      <c r="A346" s="16" t="inlineStr">
        <is>
          <t>X-0345</t>
        </is>
      </c>
      <c r="B346" s="8" t="inlineStr">
        <is>
          <t>X</t>
        </is>
      </c>
      <c r="C346" s="5" t="inlineStr">
        <is>
          <t>Multiple / Cross-persona</t>
        </is>
      </c>
      <c r="D346" s="5" t="inlineStr">
        <is>
          <t>Payments &amp; Reconciliation</t>
        </is>
      </c>
      <c r="E346" s="5" t="inlineStr">
        <is>
          <t>Partial payment → outstanding remains</t>
        </is>
      </c>
      <c r="F346" s="5" t="inlineStr">
        <is>
          <t>Cashier / Accountant</t>
        </is>
      </c>
      <c r="G346" s="5" t="inlineStr">
        <is>
          <t>Customer</t>
        </is>
      </c>
      <c r="H346" s="5" t="inlineStr">
        <is>
          <t>Partial payments settle a portion of bill while maintaining exact remaining balance</t>
        </is>
      </c>
      <c r="I346" s="5" t="inlineStr">
        <is>
          <t>Maintains remaining unpaid balance on invoice; updates payment status to PARTIALLY_PAID</t>
        </is>
      </c>
      <c r="J346" s="20" t="inlineStr">
        <is>
          <t>P1</t>
        </is>
      </c>
      <c r="K346" s="20" t="inlineStr">
        <is>
          <t>Validated (Supported)</t>
        </is>
      </c>
      <c r="L346" s="5" t="inlineStr">
        <is>
          <t>Supported via PaymentAllocation model tracking exact unpaid balance.</t>
        </is>
      </c>
      <c r="M346" s="8" t="inlineStr">
        <is>
          <t>Baseline</t>
        </is>
      </c>
      <c r="N346" s="8" t="inlineStr">
        <is>
          <t>Cross-persona</t>
        </is>
      </c>
      <c r="O346" s="8" t="inlineStr">
        <is>
          <t>P1</t>
        </is>
      </c>
      <c r="P346" s="5" t="inlineStr">
        <is>
          <t>Unchanged</t>
        </is>
      </c>
      <c r="Q346" s="21" t="inlineStr">
        <is>
          <t>Code symbol found</t>
        </is>
      </c>
      <c r="R346" s="5" t="inlineStr">
        <is>
          <t>Matched PaymentAllocation in product code. This is not a functional test.</t>
        </is>
      </c>
      <c r="S346" s="8" t="inlineStr">
        <is>
          <t>PAYREC</t>
        </is>
      </c>
      <c r="T346" s="5" t="inlineStr">
        <is>
          <t>Payments and reconciliation</t>
        </is>
      </c>
      <c r="U346" s="8" t="inlineStr"/>
      <c r="V346" s="8" t="inlineStr">
        <is>
          <t>payments</t>
        </is>
      </c>
      <c r="W346" s="8" t="inlineStr">
        <is>
          <t>RUN</t>
        </is>
      </c>
      <c r="X346" s="5" t="inlineStr">
        <is>
          <t>Core</t>
        </is>
      </c>
      <c r="Y346" s="5" t="inlineStr">
        <is>
          <t>Cross-persona</t>
        </is>
      </c>
      <c r="Z346" s="5" t="inlineStr">
        <is>
          <t>High</t>
        </is>
      </c>
      <c r="AA346" s="5" t="inlineStr">
        <is>
          <t>High</t>
        </is>
      </c>
      <c r="AB346" s="8" t="inlineStr">
        <is>
          <t>Low</t>
        </is>
      </c>
      <c r="AC346" s="8" t="inlineStr">
        <is>
          <t>Pilot</t>
        </is>
      </c>
      <c r="AD346" s="5" t="inlineStr">
        <is>
          <t>Cited in code</t>
        </is>
      </c>
      <c r="AE346" s="5" t="inlineStr">
        <is>
          <t>Not verified</t>
        </is>
      </c>
      <c r="AF346" s="5" t="inlineStr">
        <is>
          <t>Not verified</t>
        </is>
      </c>
      <c r="AG346" s="5" t="inlineStr">
        <is>
          <t>Not verified</t>
        </is>
      </c>
      <c r="AH346" s="5" t="inlineStr">
        <is>
          <t>Not verified</t>
        </is>
      </c>
      <c r="AI346" s="8" t="inlineStr">
        <is>
          <t>No</t>
        </is>
      </c>
      <c r="AJ346" s="8" t="inlineStr">
        <is>
          <t>Built - unverified</t>
        </is>
      </c>
      <c r="AK346" s="8" t="inlineStr">
        <is>
          <t>P1</t>
        </is>
      </c>
      <c r="AL346" s="8" t="n">
        <v>9</v>
      </c>
      <c r="AM346" s="5" t="inlineStr"/>
      <c r="AN346" s="5" t="inlineStr"/>
      <c r="AO346" s="5" t="inlineStr"/>
      <c r="AP346" s="5" t="inlineStr"/>
      <c r="AQ346" s="5" t="inlineStr"/>
      <c r="AR346" s="5" t="inlineStr"/>
      <c r="AS346" s="5" t="inlineStr"/>
      <c r="AT346" s="5" t="inlineStr"/>
      <c r="AU346" s="8" t="inlineStr">
        <is>
          <t>Not run</t>
        </is>
      </c>
    </row>
    <row r="347" ht="32" customHeight="1">
      <c r="A347" s="16" t="inlineStr">
        <is>
          <t>X-0346</t>
        </is>
      </c>
      <c r="B347" s="8" t="inlineStr">
        <is>
          <t>X</t>
        </is>
      </c>
      <c r="C347" s="5" t="inlineStr">
        <is>
          <t>Multiple / Cross-persona</t>
        </is>
      </c>
      <c r="D347" s="5" t="inlineStr">
        <is>
          <t>Payments &amp; Reconciliation</t>
        </is>
      </c>
      <c r="E347" s="5" t="inlineStr">
        <is>
          <t>Multiple payments → invoice settlement is accurate</t>
        </is>
      </c>
      <c r="F347" s="5" t="inlineStr">
        <is>
          <t>Cashier / Accountant</t>
        </is>
      </c>
      <c r="G347" s="5" t="inlineStr">
        <is>
          <t>Customer</t>
        </is>
      </c>
      <c r="H347" s="5" t="inlineStr">
        <is>
          <t>Invoice paid in multiple installments tracks cumulative receipts accurately until full settlement</t>
        </is>
      </c>
      <c r="I347" s="5" t="inlineStr">
        <is>
          <t>Sums all linked payment allocations; marks invoice PAID only when sum equals invoice total</t>
        </is>
      </c>
      <c r="J347" s="20" t="inlineStr">
        <is>
          <t>P1</t>
        </is>
      </c>
      <c r="K347" s="20" t="inlineStr">
        <is>
          <t>Validated (Supported)</t>
        </is>
      </c>
      <c r="L347" s="5" t="inlineStr">
        <is>
          <t>Core system invariant: invoice marked PAID only when total allocations match grand total.</t>
        </is>
      </c>
      <c r="M347" s="8" t="inlineStr">
        <is>
          <t>Baseline</t>
        </is>
      </c>
      <c r="N347" s="8" t="inlineStr">
        <is>
          <t>Cross-persona</t>
        </is>
      </c>
      <c r="O347" s="8" t="inlineStr">
        <is>
          <t>P1</t>
        </is>
      </c>
      <c r="P347" s="5" t="inlineStr">
        <is>
          <t>Unchanged</t>
        </is>
      </c>
      <c r="Q347" s="20" t="inlineStr">
        <is>
          <t>Author assertion</t>
        </is>
      </c>
      <c r="R347" s="5" t="inlineStr"/>
      <c r="S347" s="8" t="inlineStr">
        <is>
          <t>PAYREC</t>
        </is>
      </c>
      <c r="T347" s="5" t="inlineStr">
        <is>
          <t>Payments and reconciliation</t>
        </is>
      </c>
      <c r="U347" s="8" t="inlineStr"/>
      <c r="V347" s="8" t="inlineStr">
        <is>
          <t>payments</t>
        </is>
      </c>
      <c r="W347" s="8" t="inlineStr">
        <is>
          <t>RUN</t>
        </is>
      </c>
      <c r="X347" s="5" t="inlineStr">
        <is>
          <t>Core</t>
        </is>
      </c>
      <c r="Y347" s="5" t="inlineStr">
        <is>
          <t>Cross-persona</t>
        </is>
      </c>
      <c r="Z347" s="5" t="inlineStr">
        <is>
          <t>High</t>
        </is>
      </c>
      <c r="AA347" s="5" t="inlineStr">
        <is>
          <t>High</t>
        </is>
      </c>
      <c r="AB347" s="8" t="inlineStr">
        <is>
          <t>Low</t>
        </is>
      </c>
      <c r="AC347" s="8" t="inlineStr">
        <is>
          <t>Pilot</t>
        </is>
      </c>
      <c r="AD347" s="5" t="inlineStr">
        <is>
          <t>Not independently checked</t>
        </is>
      </c>
      <c r="AE347" s="5" t="inlineStr">
        <is>
          <t>Not verified</t>
        </is>
      </c>
      <c r="AF347" s="5" t="inlineStr">
        <is>
          <t>Not verified</t>
        </is>
      </c>
      <c r="AG347" s="5" t="inlineStr">
        <is>
          <t>Not verified</t>
        </is>
      </c>
      <c r="AH347" s="5" t="inlineStr">
        <is>
          <t>Not verified</t>
        </is>
      </c>
      <c r="AI347" s="8" t="inlineStr">
        <is>
          <t>No</t>
        </is>
      </c>
      <c r="AJ347" s="8" t="inlineStr">
        <is>
          <t>Claimed - unverified</t>
        </is>
      </c>
      <c r="AK347" s="8" t="inlineStr">
        <is>
          <t>P1</t>
        </is>
      </c>
      <c r="AL347" s="8" t="n">
        <v>9</v>
      </c>
      <c r="AM347" s="5" t="inlineStr"/>
      <c r="AN347" s="5" t="inlineStr"/>
      <c r="AO347" s="5" t="inlineStr"/>
      <c r="AP347" s="5" t="inlineStr"/>
      <c r="AQ347" s="5" t="inlineStr"/>
      <c r="AR347" s="5" t="inlineStr"/>
      <c r="AS347" s="5" t="inlineStr"/>
      <c r="AT347" s="5" t="inlineStr"/>
      <c r="AU347" s="8" t="inlineStr">
        <is>
          <t>Not run</t>
        </is>
      </c>
    </row>
    <row r="348" ht="32" customHeight="1">
      <c r="A348" s="16" t="inlineStr">
        <is>
          <t>X-0347</t>
        </is>
      </c>
      <c r="B348" s="8" t="inlineStr">
        <is>
          <t>X</t>
        </is>
      </c>
      <c r="C348" s="5" t="inlineStr">
        <is>
          <t>Multiple / Cross-persona</t>
        </is>
      </c>
      <c r="D348" s="5" t="inlineStr">
        <is>
          <t>Payments &amp; Reconciliation</t>
        </is>
      </c>
      <c r="E348" s="5" t="inlineStr">
        <is>
          <t>Daily cash closing → expected versus actual cash is compared</t>
        </is>
      </c>
      <c r="F348" s="5" t="inlineStr">
        <is>
          <t>Store Cashier / Owner</t>
        </is>
      </c>
      <c r="G348" s="5" t="inlineStr">
        <is>
          <t>Store Manager</t>
        </is>
      </c>
      <c r="H348" s="5" t="inlineStr">
        <is>
          <t>Daily till reconciliation comparing system expected cash with physical cash in drawer</t>
        </is>
      </c>
      <c r="I348" s="5" t="inlineStr">
        <is>
          <t>Computes expected cash = opening_cash + cash_sales - cash_expenses; compares counted cash</t>
        </is>
      </c>
      <c r="J348" s="20" t="inlineStr">
        <is>
          <t>P1</t>
        </is>
      </c>
      <c r="K348" s="20" t="inlineStr">
        <is>
          <t>Validated (Supported)</t>
        </is>
      </c>
      <c r="L348" s="5" t="inlineStr">
        <is>
          <t>Supported via /pos/shift-close screen with cash breakdown counter.</t>
        </is>
      </c>
      <c r="M348" s="8" t="inlineStr">
        <is>
          <t>Baseline</t>
        </is>
      </c>
      <c r="N348" s="8" t="inlineStr">
        <is>
          <t>Cross-persona</t>
        </is>
      </c>
      <c r="O348" s="8" t="inlineStr">
        <is>
          <t>P1</t>
        </is>
      </c>
      <c r="P348" s="5" t="inlineStr">
        <is>
          <t>Unchanged</t>
        </is>
      </c>
      <c r="Q348" s="20" t="inlineStr">
        <is>
          <t>Author assertion</t>
        </is>
      </c>
      <c r="R348" s="5" t="inlineStr"/>
      <c r="S348" s="8" t="inlineStr">
        <is>
          <t>PAYREC</t>
        </is>
      </c>
      <c r="T348" s="5" t="inlineStr">
        <is>
          <t>Payments and reconciliation</t>
        </is>
      </c>
      <c r="U348" s="8" t="inlineStr"/>
      <c r="V348" s="8" t="inlineStr">
        <is>
          <t>payments</t>
        </is>
      </c>
      <c r="W348" s="8" t="inlineStr">
        <is>
          <t>RUN</t>
        </is>
      </c>
      <c r="X348" s="5" t="inlineStr">
        <is>
          <t>Core</t>
        </is>
      </c>
      <c r="Y348" s="5" t="inlineStr">
        <is>
          <t>Cross-persona</t>
        </is>
      </c>
      <c r="Z348" s="5" t="inlineStr">
        <is>
          <t>High</t>
        </is>
      </c>
      <c r="AA348" s="5" t="inlineStr">
        <is>
          <t>High</t>
        </is>
      </c>
      <c r="AB348" s="8" t="inlineStr">
        <is>
          <t>Low</t>
        </is>
      </c>
      <c r="AC348" s="8" t="inlineStr">
        <is>
          <t>Pilot</t>
        </is>
      </c>
      <c r="AD348" s="5" t="inlineStr">
        <is>
          <t>Not independently checked</t>
        </is>
      </c>
      <c r="AE348" s="5" t="inlineStr">
        <is>
          <t>Not verified</t>
        </is>
      </c>
      <c r="AF348" s="5" t="inlineStr">
        <is>
          <t>Not verified</t>
        </is>
      </c>
      <c r="AG348" s="5" t="inlineStr">
        <is>
          <t>Not verified</t>
        </is>
      </c>
      <c r="AH348" s="5" t="inlineStr">
        <is>
          <t>Not verified</t>
        </is>
      </c>
      <c r="AI348" s="8" t="inlineStr">
        <is>
          <t>No</t>
        </is>
      </c>
      <c r="AJ348" s="8" t="inlineStr">
        <is>
          <t>Claimed - unverified</t>
        </is>
      </c>
      <c r="AK348" s="8" t="inlineStr">
        <is>
          <t>P1</t>
        </is>
      </c>
      <c r="AL348" s="8" t="n">
        <v>9</v>
      </c>
      <c r="AM348" s="5" t="inlineStr"/>
      <c r="AN348" s="5" t="inlineStr"/>
      <c r="AO348" s="5" t="inlineStr"/>
      <c r="AP348" s="5" t="inlineStr"/>
      <c r="AQ348" s="5" t="inlineStr"/>
      <c r="AR348" s="5" t="inlineStr"/>
      <c r="AS348" s="5" t="inlineStr"/>
      <c r="AT348" s="5" t="inlineStr"/>
      <c r="AU348" s="8" t="inlineStr">
        <is>
          <t>Not run</t>
        </is>
      </c>
    </row>
    <row r="349" ht="32" customHeight="1">
      <c r="A349" s="16" t="inlineStr">
        <is>
          <t>X-0348</t>
        </is>
      </c>
      <c r="B349" s="8" t="inlineStr">
        <is>
          <t>X</t>
        </is>
      </c>
      <c r="C349" s="5" t="inlineStr">
        <is>
          <t>Multiple / Cross-persona</t>
        </is>
      </c>
      <c r="D349" s="5" t="inlineStr">
        <is>
          <t>Payments &amp; Reconciliation</t>
        </is>
      </c>
      <c r="E349" s="5" t="inlineStr">
        <is>
          <t>Cash discrepancy → variance is recorded</t>
        </is>
      </c>
      <c r="F349" s="5" t="inlineStr">
        <is>
          <t>Store Manager / Owner</t>
        </is>
      </c>
      <c r="G349" s="5" t="inlineStr">
        <is>
          <t>Cashier</t>
        </is>
      </c>
      <c r="H349" s="5" t="inlineStr">
        <is>
          <t>Cash shortage or overage recorded as variance voucher for managerial investigation</t>
        </is>
      </c>
      <c r="I349" s="5" t="inlineStr">
        <is>
          <t>Posts variance to Cash Shortage/Overage expense account; flags shift for manager sign-off</t>
        </is>
      </c>
      <c r="J349" s="20" t="inlineStr">
        <is>
          <t>P1</t>
        </is>
      </c>
      <c r="K349" s="20" t="inlineStr">
        <is>
          <t>Validated (Supported)</t>
        </is>
      </c>
      <c r="L349" s="5" t="inlineStr">
        <is>
          <t>Supported via Shift Close variance logging with mandatory explanation note.</t>
        </is>
      </c>
      <c r="M349" s="8" t="inlineStr">
        <is>
          <t>Baseline</t>
        </is>
      </c>
      <c r="N349" s="8" t="inlineStr">
        <is>
          <t>Cross-persona</t>
        </is>
      </c>
      <c r="O349" s="8" t="inlineStr">
        <is>
          <t>P1</t>
        </is>
      </c>
      <c r="P349" s="5" t="inlineStr">
        <is>
          <t>Unchanged</t>
        </is>
      </c>
      <c r="Q349" s="20" t="inlineStr">
        <is>
          <t>Author assertion</t>
        </is>
      </c>
      <c r="R349" s="5" t="inlineStr"/>
      <c r="S349" s="8" t="inlineStr">
        <is>
          <t>PAYREC</t>
        </is>
      </c>
      <c r="T349" s="5" t="inlineStr">
        <is>
          <t>Payments and reconciliation</t>
        </is>
      </c>
      <c r="U349" s="8" t="inlineStr"/>
      <c r="V349" s="8" t="inlineStr">
        <is>
          <t>payments</t>
        </is>
      </c>
      <c r="W349" s="8" t="inlineStr">
        <is>
          <t>RUN</t>
        </is>
      </c>
      <c r="X349" s="5" t="inlineStr">
        <is>
          <t>Core</t>
        </is>
      </c>
      <c r="Y349" s="5" t="inlineStr">
        <is>
          <t>Cross-persona</t>
        </is>
      </c>
      <c r="Z349" s="5" t="inlineStr">
        <is>
          <t>High</t>
        </is>
      </c>
      <c r="AA349" s="5" t="inlineStr">
        <is>
          <t>High</t>
        </is>
      </c>
      <c r="AB349" s="8" t="inlineStr">
        <is>
          <t>Low</t>
        </is>
      </c>
      <c r="AC349" s="8" t="inlineStr">
        <is>
          <t>Pilot</t>
        </is>
      </c>
      <c r="AD349" s="5" t="inlineStr">
        <is>
          <t>Not independently checked</t>
        </is>
      </c>
      <c r="AE349" s="5" t="inlineStr">
        <is>
          <t>Not verified</t>
        </is>
      </c>
      <c r="AF349" s="5" t="inlineStr">
        <is>
          <t>Not verified</t>
        </is>
      </c>
      <c r="AG349" s="5" t="inlineStr">
        <is>
          <t>Not verified</t>
        </is>
      </c>
      <c r="AH349" s="5" t="inlineStr">
        <is>
          <t>Not verified</t>
        </is>
      </c>
      <c r="AI349" s="8" t="inlineStr">
        <is>
          <t>No</t>
        </is>
      </c>
      <c r="AJ349" s="8" t="inlineStr">
        <is>
          <t>Claimed - unverified</t>
        </is>
      </c>
      <c r="AK349" s="8" t="inlineStr">
        <is>
          <t>P1</t>
        </is>
      </c>
      <c r="AL349" s="8" t="n">
        <v>9</v>
      </c>
      <c r="AM349" s="5" t="inlineStr"/>
      <c r="AN349" s="5" t="inlineStr"/>
      <c r="AO349" s="5" t="inlineStr"/>
      <c r="AP349" s="5" t="inlineStr"/>
      <c r="AQ349" s="5" t="inlineStr"/>
      <c r="AR349" s="5" t="inlineStr"/>
      <c r="AS349" s="5" t="inlineStr"/>
      <c r="AT349" s="5" t="inlineStr"/>
      <c r="AU349" s="8" t="inlineStr">
        <is>
          <t>Not run</t>
        </is>
      </c>
    </row>
    <row r="350" ht="32" customHeight="1">
      <c r="A350" s="16" t="inlineStr">
        <is>
          <t>X-0349</t>
        </is>
      </c>
      <c r="B350" s="8" t="inlineStr">
        <is>
          <t>X</t>
        </is>
      </c>
      <c r="C350" s="5" t="inlineStr">
        <is>
          <t>Multiple / Cross-persona</t>
        </is>
      </c>
      <c r="D350" s="5" t="inlineStr">
        <is>
          <t>Payments &amp; Reconciliation</t>
        </is>
      </c>
      <c r="E350" s="5" t="inlineStr">
        <is>
          <t>Bank reconciliation → unmatched transactions are identified</t>
        </is>
      </c>
      <c r="F350" s="5" t="inlineStr">
        <is>
          <t>In-house Accountant</t>
        </is>
      </c>
      <c r="G350" s="5" t="inlineStr">
        <is>
          <t>Bank / Auditor</t>
        </is>
      </c>
      <c r="H350" s="5" t="inlineStr">
        <is>
          <t>Bank reconciliation statement (BRS) matching system bank ledger against bank statement feed</t>
        </is>
      </c>
      <c r="I350" s="5" t="inlineStr">
        <is>
          <t>Matches debit and credit entries; highlights cheques issued but not presented, or direct debits</t>
        </is>
      </c>
      <c r="J350" s="20" t="inlineStr">
        <is>
          <t>P1</t>
        </is>
      </c>
      <c r="K350" s="20" t="inlineStr">
        <is>
          <t>Validated (Supported)</t>
        </is>
      </c>
      <c r="L350" s="5" t="inlineStr">
        <is>
          <t>Supported via /accounting/bank-reconciliation/ with automated date-amount matching.</t>
        </is>
      </c>
      <c r="M350" s="8" t="inlineStr">
        <is>
          <t>Baseline</t>
        </is>
      </c>
      <c r="N350" s="8" t="inlineStr">
        <is>
          <t>Cross-persona</t>
        </is>
      </c>
      <c r="O350" s="8" t="inlineStr">
        <is>
          <t>P1</t>
        </is>
      </c>
      <c r="P350" s="5" t="inlineStr">
        <is>
          <t>Unchanged</t>
        </is>
      </c>
      <c r="Q350" s="20" t="inlineStr">
        <is>
          <t>Author assertion</t>
        </is>
      </c>
      <c r="R350" s="5" t="inlineStr"/>
      <c r="S350" s="8" t="inlineStr">
        <is>
          <t>PAYREC</t>
        </is>
      </c>
      <c r="T350" s="5" t="inlineStr">
        <is>
          <t>Payments and reconciliation</t>
        </is>
      </c>
      <c r="U350" s="8" t="inlineStr"/>
      <c r="V350" s="8" t="inlineStr">
        <is>
          <t>payments</t>
        </is>
      </c>
      <c r="W350" s="8" t="inlineStr">
        <is>
          <t>RUN</t>
        </is>
      </c>
      <c r="X350" s="5" t="inlineStr">
        <is>
          <t>Core</t>
        </is>
      </c>
      <c r="Y350" s="5" t="inlineStr">
        <is>
          <t>Cross-persona</t>
        </is>
      </c>
      <c r="Z350" s="5" t="inlineStr">
        <is>
          <t>High</t>
        </is>
      </c>
      <c r="AA350" s="5" t="inlineStr">
        <is>
          <t>High</t>
        </is>
      </c>
      <c r="AB350" s="8" t="inlineStr">
        <is>
          <t>Low</t>
        </is>
      </c>
      <c r="AC350" s="8" t="inlineStr">
        <is>
          <t>Pilot</t>
        </is>
      </c>
      <c r="AD350" s="5" t="inlineStr">
        <is>
          <t>Not independently checked</t>
        </is>
      </c>
      <c r="AE350" s="5" t="inlineStr">
        <is>
          <t>Not verified</t>
        </is>
      </c>
      <c r="AF350" s="5" t="inlineStr">
        <is>
          <t>Not verified</t>
        </is>
      </c>
      <c r="AG350" s="5" t="inlineStr">
        <is>
          <t>Not verified</t>
        </is>
      </c>
      <c r="AH350" s="5" t="inlineStr">
        <is>
          <t>Not verified</t>
        </is>
      </c>
      <c r="AI350" s="8" t="inlineStr">
        <is>
          <t>No</t>
        </is>
      </c>
      <c r="AJ350" s="8" t="inlineStr">
        <is>
          <t>Claimed - unverified</t>
        </is>
      </c>
      <c r="AK350" s="8" t="inlineStr">
        <is>
          <t>P1</t>
        </is>
      </c>
      <c r="AL350" s="8" t="n">
        <v>9</v>
      </c>
      <c r="AM350" s="5" t="inlineStr"/>
      <c r="AN350" s="5" t="inlineStr"/>
      <c r="AO350" s="5" t="inlineStr"/>
      <c r="AP350" s="5" t="inlineStr"/>
      <c r="AQ350" s="5" t="inlineStr"/>
      <c r="AR350" s="5" t="inlineStr"/>
      <c r="AS350" s="5" t="inlineStr"/>
      <c r="AT350" s="5" t="inlineStr"/>
      <c r="AU350" s="8" t="inlineStr">
        <is>
          <t>Not run</t>
        </is>
      </c>
    </row>
    <row r="351" ht="32" customHeight="1">
      <c r="A351" s="16" t="inlineStr">
        <is>
          <t>X-0350</t>
        </is>
      </c>
      <c r="B351" s="8" t="inlineStr">
        <is>
          <t>X</t>
        </is>
      </c>
      <c r="C351" s="5" t="inlineStr">
        <is>
          <t>Multiple / Cross-persona</t>
        </is>
      </c>
      <c r="D351" s="5" t="inlineStr">
        <is>
          <t>Payments &amp; Reconciliation</t>
        </is>
      </c>
      <c r="E351" s="5" t="inlineStr">
        <is>
          <t>Payment reconciliation → business ledger matches payment records</t>
        </is>
      </c>
      <c r="F351" s="5" t="inlineStr">
        <is>
          <t>In-house Accountant</t>
        </is>
      </c>
      <c r="G351" s="5" t="inlineStr">
        <is>
          <t>Auditor</t>
        </is>
      </c>
      <c r="H351" s="5" t="inlineStr">
        <is>
          <t>Verify that payment gateway settlement reports match bank deposits to the rupee</t>
        </is>
      </c>
      <c r="I351" s="5" t="inlineStr">
        <is>
          <t>Reconciles gross gateway collections minus processing fees against net bank account credits</t>
        </is>
      </c>
      <c r="J351" s="20" t="inlineStr">
        <is>
          <t>P1</t>
        </is>
      </c>
      <c r="K351" s="20" t="inlineStr">
        <is>
          <t>Validated (Supported)</t>
        </is>
      </c>
      <c r="L351" s="5" t="inlineStr">
        <is>
          <t>Supported via Gateway Settlement Reconciliation tool.</t>
        </is>
      </c>
      <c r="M351" s="8" t="inlineStr">
        <is>
          <t>Baseline</t>
        </is>
      </c>
      <c r="N351" s="8" t="inlineStr">
        <is>
          <t>Cross-persona</t>
        </is>
      </c>
      <c r="O351" s="8" t="inlineStr">
        <is>
          <t>P1</t>
        </is>
      </c>
      <c r="P351" s="5" t="inlineStr">
        <is>
          <t>Unchanged</t>
        </is>
      </c>
      <c r="Q351" s="20" t="inlineStr">
        <is>
          <t>Author assertion</t>
        </is>
      </c>
      <c r="R351" s="5" t="inlineStr"/>
      <c r="S351" s="8" t="inlineStr">
        <is>
          <t>PAYREC</t>
        </is>
      </c>
      <c r="T351" s="5" t="inlineStr">
        <is>
          <t>Payments and reconciliation</t>
        </is>
      </c>
      <c r="U351" s="8" t="inlineStr"/>
      <c r="V351" s="8" t="inlineStr">
        <is>
          <t>payments</t>
        </is>
      </c>
      <c r="W351" s="8" t="inlineStr">
        <is>
          <t>RUN</t>
        </is>
      </c>
      <c r="X351" s="5" t="inlineStr">
        <is>
          <t>Core</t>
        </is>
      </c>
      <c r="Y351" s="5" t="inlineStr">
        <is>
          <t>Cross-persona</t>
        </is>
      </c>
      <c r="Z351" s="5" t="inlineStr">
        <is>
          <t>High</t>
        </is>
      </c>
      <c r="AA351" s="5" t="inlineStr">
        <is>
          <t>High</t>
        </is>
      </c>
      <c r="AB351" s="8" t="inlineStr">
        <is>
          <t>Low</t>
        </is>
      </c>
      <c r="AC351" s="8" t="inlineStr">
        <is>
          <t>Pilot</t>
        </is>
      </c>
      <c r="AD351" s="5" t="inlineStr">
        <is>
          <t>Not independently checked</t>
        </is>
      </c>
      <c r="AE351" s="5" t="inlineStr">
        <is>
          <t>Not verified</t>
        </is>
      </c>
      <c r="AF351" s="5" t="inlineStr">
        <is>
          <t>Not verified</t>
        </is>
      </c>
      <c r="AG351" s="5" t="inlineStr">
        <is>
          <t>Not verified</t>
        </is>
      </c>
      <c r="AH351" s="5" t="inlineStr">
        <is>
          <t>Not verified</t>
        </is>
      </c>
      <c r="AI351" s="8" t="inlineStr">
        <is>
          <t>No</t>
        </is>
      </c>
      <c r="AJ351" s="8" t="inlineStr">
        <is>
          <t>Claimed - unverified</t>
        </is>
      </c>
      <c r="AK351" s="8" t="inlineStr">
        <is>
          <t>P1</t>
        </is>
      </c>
      <c r="AL351" s="8" t="n">
        <v>9</v>
      </c>
      <c r="AM351" s="5" t="inlineStr"/>
      <c r="AN351" s="5" t="inlineStr"/>
      <c r="AO351" s="5" t="inlineStr"/>
      <c r="AP351" s="5" t="inlineStr"/>
      <c r="AQ351" s="5" t="inlineStr"/>
      <c r="AR351" s="5" t="inlineStr"/>
      <c r="AS351" s="5" t="inlineStr"/>
      <c r="AT351" s="5" t="inlineStr"/>
      <c r="AU351" s="8" t="inlineStr">
        <is>
          <t>Not run</t>
        </is>
      </c>
    </row>
    <row r="352" ht="32" customHeight="1">
      <c r="A352" s="16" t="inlineStr">
        <is>
          <t>X-0351</t>
        </is>
      </c>
      <c r="B352" s="8" t="inlineStr">
        <is>
          <t>X</t>
        </is>
      </c>
      <c r="C352" s="5" t="inlineStr">
        <is>
          <t>Multiple / Cross-persona</t>
        </is>
      </c>
      <c r="D352" s="5" t="inlineStr">
        <is>
          <t>Payments &amp; Reconciliation</t>
        </is>
      </c>
      <c r="E352" s="5" t="inlineStr">
        <is>
          <t>Owner reviews cash position</t>
        </is>
      </c>
      <c r="F352" s="5" t="inlineStr">
        <is>
          <t>Reporting &amp; Business Intelligence</t>
        </is>
      </c>
      <c r="G352" s="5" t="inlineStr">
        <is>
          <t>Business Owner</t>
        </is>
      </c>
      <c r="H352" s="5" t="inlineStr">
        <is>
          <t>Owner checks liquid cash and bank balances across all company accounts on demand</t>
        </is>
      </c>
      <c r="I352" s="5" t="inlineStr">
        <is>
          <t>Displays real-time balances of Cash-in-Hand, Current Accounts, and Digital Wallets</t>
        </is>
      </c>
      <c r="J352" s="20" t="inlineStr">
        <is>
          <t>P1</t>
        </is>
      </c>
      <c r="K352" s="20" t="inlineStr">
        <is>
          <t>Validated (Supported)</t>
        </is>
      </c>
      <c r="L352" s="5" t="inlineStr">
        <is>
          <t>Supported via Cash &amp; Bank Summary card on Owner Home Screen.</t>
        </is>
      </c>
      <c r="M352" s="8" t="inlineStr">
        <is>
          <t>Baseline</t>
        </is>
      </c>
      <c r="N352" s="8" t="inlineStr">
        <is>
          <t>Cross-persona</t>
        </is>
      </c>
      <c r="O352" s="8" t="inlineStr">
        <is>
          <t>P1</t>
        </is>
      </c>
      <c r="P352" s="5" t="inlineStr">
        <is>
          <t>Unchanged</t>
        </is>
      </c>
      <c r="Q352" s="20" t="inlineStr">
        <is>
          <t>Author assertion</t>
        </is>
      </c>
      <c r="R352" s="5" t="inlineStr"/>
      <c r="S352" s="8" t="inlineStr">
        <is>
          <t>PAYREC</t>
        </is>
      </c>
      <c r="T352" s="5" t="inlineStr">
        <is>
          <t>Payments and reconciliation</t>
        </is>
      </c>
      <c r="U352" s="8" t="inlineStr"/>
      <c r="V352" s="8" t="inlineStr">
        <is>
          <t>payments</t>
        </is>
      </c>
      <c r="W352" s="8" t="inlineStr">
        <is>
          <t>RUN</t>
        </is>
      </c>
      <c r="X352" s="5" t="inlineStr">
        <is>
          <t>Core</t>
        </is>
      </c>
      <c r="Y352" s="5" t="inlineStr">
        <is>
          <t>Cross-persona</t>
        </is>
      </c>
      <c r="Z352" s="5" t="inlineStr">
        <is>
          <t>High</t>
        </is>
      </c>
      <c r="AA352" s="5" t="inlineStr">
        <is>
          <t>High</t>
        </is>
      </c>
      <c r="AB352" s="8" t="inlineStr">
        <is>
          <t>Low</t>
        </is>
      </c>
      <c r="AC352" s="8" t="inlineStr">
        <is>
          <t>Pilot</t>
        </is>
      </c>
      <c r="AD352" s="5" t="inlineStr">
        <is>
          <t>Not independently checked</t>
        </is>
      </c>
      <c r="AE352" s="5" t="inlineStr">
        <is>
          <t>Not verified</t>
        </is>
      </c>
      <c r="AF352" s="5" t="inlineStr">
        <is>
          <t>Not verified</t>
        </is>
      </c>
      <c r="AG352" s="5" t="inlineStr">
        <is>
          <t>Not verified</t>
        </is>
      </c>
      <c r="AH352" s="5" t="inlineStr">
        <is>
          <t>Not verified</t>
        </is>
      </c>
      <c r="AI352" s="8" t="inlineStr">
        <is>
          <t>No</t>
        </is>
      </c>
      <c r="AJ352" s="8" t="inlineStr">
        <is>
          <t>Claimed - unverified</t>
        </is>
      </c>
      <c r="AK352" s="8" t="inlineStr">
        <is>
          <t>P1</t>
        </is>
      </c>
      <c r="AL352" s="8" t="n">
        <v>9</v>
      </c>
      <c r="AM352" s="5" t="inlineStr"/>
      <c r="AN352" s="5" t="inlineStr"/>
      <c r="AO352" s="5" t="inlineStr"/>
      <c r="AP352" s="5" t="inlineStr"/>
      <c r="AQ352" s="5" t="inlineStr"/>
      <c r="AR352" s="5" t="inlineStr"/>
      <c r="AS352" s="5" t="inlineStr"/>
      <c r="AT352" s="5" t="inlineStr"/>
      <c r="AU352" s="8" t="inlineStr">
        <is>
          <t>Not run</t>
        </is>
      </c>
    </row>
    <row r="353" ht="32" customHeight="1">
      <c r="A353" s="16" t="inlineStr">
        <is>
          <t>X-0352</t>
        </is>
      </c>
      <c r="B353" s="8" t="inlineStr">
        <is>
          <t>X</t>
        </is>
      </c>
      <c r="C353" s="5" t="inlineStr">
        <is>
          <t>Multiple / Cross-persona</t>
        </is>
      </c>
      <c r="D353" s="5" t="inlineStr">
        <is>
          <t>Payments &amp; Reconciliation</t>
        </is>
      </c>
      <c r="E353" s="5" t="inlineStr">
        <is>
          <t>Owner drills cash balance into transactions</t>
        </is>
      </c>
      <c r="F353" s="5" t="inlineStr">
        <is>
          <t>Reporting &amp; Business Intelligence</t>
        </is>
      </c>
      <c r="G353" s="5" t="inlineStr">
        <is>
          <t>Business Owner</t>
        </is>
      </c>
      <c r="H353" s="5" t="inlineStr">
        <is>
          <t>Owner clicks cash balance to view all inflows and outflows for the day or week</t>
        </is>
      </c>
      <c r="I353" s="5" t="inlineStr">
        <is>
          <t>Opens Cash Book ledger showing chronological receipts, payments, and running cash balance</t>
        </is>
      </c>
      <c r="J353" s="20" t="inlineStr">
        <is>
          <t>P1</t>
        </is>
      </c>
      <c r="K353" s="20" t="inlineStr">
        <is>
          <t>Validated (Supported)</t>
        </is>
      </c>
      <c r="L353" s="5" t="inlineStr">
        <is>
          <t>Supported via Cash Book ledger drill-down (/accounting/cash-book/).</t>
        </is>
      </c>
      <c r="M353" s="8" t="inlineStr">
        <is>
          <t>Baseline</t>
        </is>
      </c>
      <c r="N353" s="8" t="inlineStr">
        <is>
          <t>Cross-persona</t>
        </is>
      </c>
      <c r="O353" s="8" t="inlineStr">
        <is>
          <t>P1</t>
        </is>
      </c>
      <c r="P353" s="5" t="inlineStr">
        <is>
          <t>Unchanged</t>
        </is>
      </c>
      <c r="Q353" s="20" t="inlineStr">
        <is>
          <t>Author assertion</t>
        </is>
      </c>
      <c r="R353" s="5" t="inlineStr"/>
      <c r="S353" s="8" t="inlineStr">
        <is>
          <t>PAYREC</t>
        </is>
      </c>
      <c r="T353" s="5" t="inlineStr">
        <is>
          <t>Payments and reconciliation</t>
        </is>
      </c>
      <c r="U353" s="8" t="inlineStr"/>
      <c r="V353" s="8" t="inlineStr">
        <is>
          <t>payments</t>
        </is>
      </c>
      <c r="W353" s="8" t="inlineStr">
        <is>
          <t>RUN</t>
        </is>
      </c>
      <c r="X353" s="5" t="inlineStr">
        <is>
          <t>Core</t>
        </is>
      </c>
      <c r="Y353" s="5" t="inlineStr">
        <is>
          <t>Cross-persona</t>
        </is>
      </c>
      <c r="Z353" s="5" t="inlineStr">
        <is>
          <t>High</t>
        </is>
      </c>
      <c r="AA353" s="5" t="inlineStr">
        <is>
          <t>High</t>
        </is>
      </c>
      <c r="AB353" s="8" t="inlineStr">
        <is>
          <t>Low</t>
        </is>
      </c>
      <c r="AC353" s="8" t="inlineStr">
        <is>
          <t>Pilot</t>
        </is>
      </c>
      <c r="AD353" s="5" t="inlineStr">
        <is>
          <t>Not independently checked</t>
        </is>
      </c>
      <c r="AE353" s="5" t="inlineStr">
        <is>
          <t>Not verified</t>
        </is>
      </c>
      <c r="AF353" s="5" t="inlineStr">
        <is>
          <t>Not verified</t>
        </is>
      </c>
      <c r="AG353" s="5" t="inlineStr">
        <is>
          <t>Not verified</t>
        </is>
      </c>
      <c r="AH353" s="5" t="inlineStr">
        <is>
          <t>Not verified</t>
        </is>
      </c>
      <c r="AI353" s="8" t="inlineStr">
        <is>
          <t>No</t>
        </is>
      </c>
      <c r="AJ353" s="8" t="inlineStr">
        <is>
          <t>Claimed - unverified</t>
        </is>
      </c>
      <c r="AK353" s="8" t="inlineStr">
        <is>
          <t>P1</t>
        </is>
      </c>
      <c r="AL353" s="8" t="n">
        <v>9</v>
      </c>
      <c r="AM353" s="5" t="inlineStr"/>
      <c r="AN353" s="5" t="inlineStr"/>
      <c r="AO353" s="5" t="inlineStr"/>
      <c r="AP353" s="5" t="inlineStr"/>
      <c r="AQ353" s="5" t="inlineStr"/>
      <c r="AR353" s="5" t="inlineStr"/>
      <c r="AS353" s="5" t="inlineStr"/>
      <c r="AT353" s="5" t="inlineStr"/>
      <c r="AU353" s="8" t="inlineStr">
        <is>
          <t>Not run</t>
        </is>
      </c>
    </row>
    <row r="354" ht="32" customHeight="1">
      <c r="A354" s="16" t="inlineStr">
        <is>
          <t>X-0353</t>
        </is>
      </c>
      <c r="B354" s="8" t="inlineStr">
        <is>
          <t>X</t>
        </is>
      </c>
      <c r="C354" s="5" t="inlineStr">
        <is>
          <t>Multiple / Cross-persona</t>
        </is>
      </c>
      <c r="D354" s="5" t="inlineStr">
        <is>
          <t>Sales / CRM / Customer Lifecycle</t>
        </is>
      </c>
      <c r="E354" s="5" t="inlineStr">
        <is>
          <t>Create new customer</t>
        </is>
      </c>
      <c r="F354" s="5" t="inlineStr">
        <is>
          <t>Sales Staff / Billing Clerk</t>
        </is>
      </c>
      <c r="G354" s="5" t="inlineStr">
        <is>
          <t>Customer</t>
        </is>
      </c>
      <c r="H354" s="5" t="inlineStr">
        <is>
          <t>Register new retail or wholesale customer with name, mobile, GSTIN, and address</t>
        </is>
      </c>
      <c r="I354" s="5" t="inlineStr">
        <is>
          <t>Creates Customer master record; validates GSTIN checksum and assigns default price list</t>
        </is>
      </c>
      <c r="J354" s="20" t="inlineStr">
        <is>
          <t>P1</t>
        </is>
      </c>
      <c r="K354" s="20" t="inlineStr">
        <is>
          <t>Validated (Supported)</t>
        </is>
      </c>
      <c r="L354" s="5" t="inlineStr">
        <is>
          <t>Supported via /sales/customers/create and POS quick-customer modal.</t>
        </is>
      </c>
      <c r="M354" s="8" t="inlineStr">
        <is>
          <t>Baseline</t>
        </is>
      </c>
      <c r="N354" s="8" t="inlineStr">
        <is>
          <t>Cross-persona</t>
        </is>
      </c>
      <c r="O354" s="8" t="inlineStr">
        <is>
          <t>P1</t>
        </is>
      </c>
      <c r="P354" s="5" t="inlineStr">
        <is>
          <t>Unchanged</t>
        </is>
      </c>
      <c r="Q354" s="20" t="inlineStr">
        <is>
          <t>Author assertion</t>
        </is>
      </c>
      <c r="R354" s="5" t="inlineStr"/>
      <c r="S354" s="8" t="inlineStr">
        <is>
          <t>CRM</t>
        </is>
      </c>
      <c r="T354" s="5" t="inlineStr">
        <is>
          <t>Sales and CRM lifecycle</t>
        </is>
      </c>
      <c r="U354" s="8" t="inlineStr"/>
      <c r="V354" s="8" t="inlineStr">
        <is>
          <t>crm</t>
        </is>
      </c>
      <c r="W354" s="8" t="inlineStr">
        <is>
          <t>GROW</t>
        </is>
      </c>
      <c r="X354" s="5" t="inlineStr">
        <is>
          <t>Core</t>
        </is>
      </c>
      <c r="Y354" s="5" t="inlineStr">
        <is>
          <t>Cross-persona</t>
        </is>
      </c>
      <c r="Z354" s="5" t="inlineStr">
        <is>
          <t>Medium</t>
        </is>
      </c>
      <c r="AA354" s="5" t="inlineStr">
        <is>
          <t>Medium</t>
        </is>
      </c>
      <c r="AB354" s="8" t="inlineStr">
        <is>
          <t>Low</t>
        </is>
      </c>
      <c r="AC354" s="8" t="inlineStr">
        <is>
          <t>Later</t>
        </is>
      </c>
      <c r="AD354" s="5" t="inlineStr">
        <is>
          <t>Not independently checked</t>
        </is>
      </c>
      <c r="AE354" s="5" t="inlineStr">
        <is>
          <t>Not verified</t>
        </is>
      </c>
      <c r="AF354" s="5" t="inlineStr">
        <is>
          <t>Not verified</t>
        </is>
      </c>
      <c r="AG354" s="5" t="inlineStr">
        <is>
          <t>Not verified</t>
        </is>
      </c>
      <c r="AH354" s="5" t="inlineStr">
        <is>
          <t>Not verified</t>
        </is>
      </c>
      <c r="AI354" s="8" t="inlineStr">
        <is>
          <t>No</t>
        </is>
      </c>
      <c r="AJ354" s="8" t="inlineStr">
        <is>
          <t>Claimed - unverified</t>
        </is>
      </c>
      <c r="AK354" s="8" t="inlineStr">
        <is>
          <t>P1</t>
        </is>
      </c>
      <c r="AL354" s="8" t="n">
        <v>6</v>
      </c>
      <c r="AM354" s="5" t="inlineStr"/>
      <c r="AN354" s="5" t="inlineStr"/>
      <c r="AO354" s="5" t="inlineStr"/>
      <c r="AP354" s="5" t="inlineStr"/>
      <c r="AQ354" s="5" t="inlineStr"/>
      <c r="AR354" s="5" t="inlineStr"/>
      <c r="AS354" s="5" t="inlineStr"/>
      <c r="AT354" s="5" t="inlineStr"/>
      <c r="AU354" s="8" t="inlineStr">
        <is>
          <t>Not run</t>
        </is>
      </c>
    </row>
    <row r="355" ht="32" customHeight="1">
      <c r="A355" s="16" t="inlineStr">
        <is>
          <t>X-0354</t>
        </is>
      </c>
      <c r="B355" s="8" t="inlineStr">
        <is>
          <t>X</t>
        </is>
      </c>
      <c r="C355" s="5" t="inlineStr">
        <is>
          <t>Multiple / Cross-persona</t>
        </is>
      </c>
      <c r="D355" s="5" t="inlineStr">
        <is>
          <t>Sales / CRM / Customer Lifecycle</t>
        </is>
      </c>
      <c r="E355" s="5" t="inlineStr">
        <is>
          <t>Update customer profile</t>
        </is>
      </c>
      <c r="F355" s="5" t="inlineStr">
        <is>
          <t>Sales Staff / Admin</t>
        </is>
      </c>
      <c r="G355" s="5" t="inlineStr">
        <is>
          <t>Customer</t>
        </is>
      </c>
      <c r="H355" s="5" t="inlineStr">
        <is>
          <t>Update customer contact info, billing/shipping address, or credit limit</t>
        </is>
      </c>
      <c r="I355" s="5" t="inlineStr">
        <is>
          <t>Updates Customer master record; preserves historical invoice association</t>
        </is>
      </c>
      <c r="J355" s="20" t="inlineStr">
        <is>
          <t>P1</t>
        </is>
      </c>
      <c r="K355" s="20" t="inlineStr">
        <is>
          <t>Validated (Supported)</t>
        </is>
      </c>
      <c r="L355" s="5" t="inlineStr">
        <is>
          <t>Supported via /sales/customers/{id}/edit.</t>
        </is>
      </c>
      <c r="M355" s="8" t="inlineStr">
        <is>
          <t>Baseline</t>
        </is>
      </c>
      <c r="N355" s="8" t="inlineStr">
        <is>
          <t>Cross-persona</t>
        </is>
      </c>
      <c r="O355" s="8" t="inlineStr">
        <is>
          <t>P1</t>
        </is>
      </c>
      <c r="P355" s="5" t="inlineStr">
        <is>
          <t>Restored to authored P1. The previous workbook had P0 after a keyword rebalance.</t>
        </is>
      </c>
      <c r="Q355" s="20" t="inlineStr">
        <is>
          <t>Author assertion</t>
        </is>
      </c>
      <c r="R355" s="5" t="inlineStr">
        <is>
          <t>Restored to authored P1. The previous workbook had P0 after a keyword rebalance.</t>
        </is>
      </c>
      <c r="S355" s="8" t="inlineStr">
        <is>
          <t>CRM</t>
        </is>
      </c>
      <c r="T355" s="5" t="inlineStr">
        <is>
          <t>Sales and CRM lifecycle</t>
        </is>
      </c>
      <c r="U355" s="8" t="inlineStr"/>
      <c r="V355" s="8" t="inlineStr">
        <is>
          <t>crm</t>
        </is>
      </c>
      <c r="W355" s="8" t="inlineStr">
        <is>
          <t>GROW</t>
        </is>
      </c>
      <c r="X355" s="5" t="inlineStr">
        <is>
          <t>Core</t>
        </is>
      </c>
      <c r="Y355" s="5" t="inlineStr">
        <is>
          <t>Cross-persona</t>
        </is>
      </c>
      <c r="Z355" s="5" t="inlineStr">
        <is>
          <t>Medium</t>
        </is>
      </c>
      <c r="AA355" s="5" t="inlineStr">
        <is>
          <t>Medium</t>
        </is>
      </c>
      <c r="AB355" s="8" t="inlineStr">
        <is>
          <t>Low</t>
        </is>
      </c>
      <c r="AC355" s="8" t="inlineStr">
        <is>
          <t>Later</t>
        </is>
      </c>
      <c r="AD355" s="5" t="inlineStr">
        <is>
          <t>Not independently checked</t>
        </is>
      </c>
      <c r="AE355" s="5" t="inlineStr">
        <is>
          <t>Not verified</t>
        </is>
      </c>
      <c r="AF355" s="5" t="inlineStr">
        <is>
          <t>Not verified</t>
        </is>
      </c>
      <c r="AG355" s="5" t="inlineStr">
        <is>
          <t>Not verified</t>
        </is>
      </c>
      <c r="AH355" s="5" t="inlineStr">
        <is>
          <t>Not verified</t>
        </is>
      </c>
      <c r="AI355" s="8" t="inlineStr">
        <is>
          <t>No</t>
        </is>
      </c>
      <c r="AJ355" s="8" t="inlineStr">
        <is>
          <t>Claimed - unverified</t>
        </is>
      </c>
      <c r="AK355" s="8" t="inlineStr">
        <is>
          <t>P1</t>
        </is>
      </c>
      <c r="AL355" s="8" t="n">
        <v>6</v>
      </c>
      <c r="AM355" s="5" t="inlineStr"/>
      <c r="AN355" s="5" t="inlineStr"/>
      <c r="AO355" s="5" t="inlineStr"/>
      <c r="AP355" s="5" t="inlineStr"/>
      <c r="AQ355" s="5" t="inlineStr"/>
      <c r="AR355" s="5" t="inlineStr"/>
      <c r="AS355" s="5" t="inlineStr"/>
      <c r="AT355" s="5" t="inlineStr"/>
      <c r="AU355" s="8" t="inlineStr">
        <is>
          <t>Not run</t>
        </is>
      </c>
    </row>
    <row r="356" ht="32" customHeight="1">
      <c r="A356" s="16" t="inlineStr">
        <is>
          <t>X-0355</t>
        </is>
      </c>
      <c r="B356" s="8" t="inlineStr">
        <is>
          <t>X</t>
        </is>
      </c>
      <c r="C356" s="5" t="inlineStr">
        <is>
          <t>Multiple / Cross-persona</t>
        </is>
      </c>
      <c r="D356" s="5" t="inlineStr">
        <is>
          <t>Sales / CRM / Customer Lifecycle</t>
        </is>
      </c>
      <c r="E356" s="5" t="inlineStr">
        <is>
          <t>Duplicate customer detection</t>
        </is>
      </c>
      <c r="F356" s="5" t="inlineStr">
        <is>
          <t>System / Master Guard</t>
        </is>
      </c>
      <c r="G356" s="5" t="inlineStr">
        <is>
          <t>Sales Staff</t>
        </is>
      </c>
      <c r="H356" s="5" t="inlineStr">
        <is>
          <t>Prevent duplicate customer entries with identical phone number or GSTIN</t>
        </is>
      </c>
      <c r="I356" s="5" t="inlineStr">
        <is>
          <t>Scans existing records on mobile number or GSTIN; warns user before saving duplicate</t>
        </is>
      </c>
      <c r="J356" s="20" t="inlineStr">
        <is>
          <t>P1</t>
        </is>
      </c>
      <c r="K356" s="20" t="inlineStr">
        <is>
          <t>Validated (Supported)</t>
        </is>
      </c>
      <c r="L356" s="5" t="inlineStr">
        <is>
          <t>Built-in phone and GSTIN duplicate detection check during customer creation.</t>
        </is>
      </c>
      <c r="M356" s="8" t="inlineStr">
        <is>
          <t>Baseline</t>
        </is>
      </c>
      <c r="N356" s="8" t="inlineStr">
        <is>
          <t>Cross-persona</t>
        </is>
      </c>
      <c r="O356" s="8" t="inlineStr">
        <is>
          <t>P1</t>
        </is>
      </c>
      <c r="P356" s="5" t="inlineStr">
        <is>
          <t>Unchanged</t>
        </is>
      </c>
      <c r="Q356" s="20" t="inlineStr">
        <is>
          <t>Author assertion</t>
        </is>
      </c>
      <c r="R356" s="5" t="inlineStr"/>
      <c r="S356" s="8" t="inlineStr">
        <is>
          <t>CRM</t>
        </is>
      </c>
      <c r="T356" s="5" t="inlineStr">
        <is>
          <t>Sales and CRM lifecycle</t>
        </is>
      </c>
      <c r="U356" s="8" t="inlineStr"/>
      <c r="V356" s="8" t="inlineStr">
        <is>
          <t>crm</t>
        </is>
      </c>
      <c r="W356" s="8" t="inlineStr">
        <is>
          <t>GROW</t>
        </is>
      </c>
      <c r="X356" s="5" t="inlineStr">
        <is>
          <t>Core</t>
        </is>
      </c>
      <c r="Y356" s="5" t="inlineStr">
        <is>
          <t>Cross-persona</t>
        </is>
      </c>
      <c r="Z356" s="5" t="inlineStr">
        <is>
          <t>Medium</t>
        </is>
      </c>
      <c r="AA356" s="5" t="inlineStr">
        <is>
          <t>Medium</t>
        </is>
      </c>
      <c r="AB356" s="8" t="inlineStr">
        <is>
          <t>Low</t>
        </is>
      </c>
      <c r="AC356" s="8" t="inlineStr">
        <is>
          <t>Later</t>
        </is>
      </c>
      <c r="AD356" s="5" t="inlineStr">
        <is>
          <t>Not independently checked</t>
        </is>
      </c>
      <c r="AE356" s="5" t="inlineStr">
        <is>
          <t>Not verified</t>
        </is>
      </c>
      <c r="AF356" s="5" t="inlineStr">
        <is>
          <t>Not verified</t>
        </is>
      </c>
      <c r="AG356" s="5" t="inlineStr">
        <is>
          <t>Not verified</t>
        </is>
      </c>
      <c r="AH356" s="5" t="inlineStr">
        <is>
          <t>Not verified</t>
        </is>
      </c>
      <c r="AI356" s="8" t="inlineStr">
        <is>
          <t>No</t>
        </is>
      </c>
      <c r="AJ356" s="8" t="inlineStr">
        <is>
          <t>Claimed - unverified</t>
        </is>
      </c>
      <c r="AK356" s="8" t="inlineStr">
        <is>
          <t>P1</t>
        </is>
      </c>
      <c r="AL356" s="8" t="n">
        <v>6</v>
      </c>
      <c r="AM356" s="5" t="inlineStr"/>
      <c r="AN356" s="5" t="inlineStr"/>
      <c r="AO356" s="5" t="inlineStr"/>
      <c r="AP356" s="5" t="inlineStr"/>
      <c r="AQ356" s="5" t="inlineStr"/>
      <c r="AR356" s="5" t="inlineStr"/>
      <c r="AS356" s="5" t="inlineStr"/>
      <c r="AT356" s="5" t="inlineStr"/>
      <c r="AU356" s="8" t="inlineStr">
        <is>
          <t>Not run</t>
        </is>
      </c>
    </row>
    <row r="357" ht="32" customHeight="1">
      <c r="A357" s="16" t="inlineStr">
        <is>
          <t>X-0356</t>
        </is>
      </c>
      <c r="B357" s="8" t="inlineStr">
        <is>
          <t>X</t>
        </is>
      </c>
      <c r="C357" s="5" t="inlineStr">
        <is>
          <t>Multiple / Cross-persona</t>
        </is>
      </c>
      <c r="D357" s="5" t="inlineStr">
        <is>
          <t>Sales / CRM / Customer Lifecycle</t>
        </is>
      </c>
      <c r="E357" s="5" t="inlineStr">
        <is>
          <t>Customer inquiry → lead created</t>
        </is>
      </c>
      <c r="F357" s="5" t="inlineStr">
        <is>
          <t>Sales Representative</t>
        </is>
      </c>
      <c r="G357" s="5" t="inlineStr">
        <is>
          <t>Prospective Client</t>
        </is>
      </c>
      <c r="H357" s="5" t="inlineStr">
        <is>
          <t>Capture prospective customer inquiry from phone call, walk-in, or web inquiry</t>
        </is>
      </c>
      <c r="I357" s="5" t="inlineStr">
        <is>
          <t>Creates Lead record in CRM pipeline; records required items, estimated budget, and source</t>
        </is>
      </c>
      <c r="J357" s="20" t="inlineStr">
        <is>
          <t>P1</t>
        </is>
      </c>
      <c r="K357" s="20" t="inlineStr">
        <is>
          <t>Validated (Supported)</t>
        </is>
      </c>
      <c r="L357" s="5" t="inlineStr">
        <is>
          <t>Supported via /crm/leads/create with pipeline stage tracking.</t>
        </is>
      </c>
      <c r="M357" s="8" t="inlineStr">
        <is>
          <t>Baseline</t>
        </is>
      </c>
      <c r="N357" s="8" t="inlineStr">
        <is>
          <t>Cross-persona</t>
        </is>
      </c>
      <c r="O357" s="8" t="inlineStr">
        <is>
          <t>P1</t>
        </is>
      </c>
      <c r="P357" s="5" t="inlineStr">
        <is>
          <t>Unchanged</t>
        </is>
      </c>
      <c r="Q357" s="20" t="inlineStr">
        <is>
          <t>Author assertion</t>
        </is>
      </c>
      <c r="R357" s="5" t="inlineStr"/>
      <c r="S357" s="8" t="inlineStr">
        <is>
          <t>CRM</t>
        </is>
      </c>
      <c r="T357" s="5" t="inlineStr">
        <is>
          <t>Sales and CRM lifecycle</t>
        </is>
      </c>
      <c r="U357" s="8" t="inlineStr"/>
      <c r="V357" s="8" t="inlineStr">
        <is>
          <t>crm</t>
        </is>
      </c>
      <c r="W357" s="8" t="inlineStr">
        <is>
          <t>GROW</t>
        </is>
      </c>
      <c r="X357" s="5" t="inlineStr">
        <is>
          <t>Core</t>
        </is>
      </c>
      <c r="Y357" s="5" t="inlineStr">
        <is>
          <t>Cross-persona</t>
        </is>
      </c>
      <c r="Z357" s="5" t="inlineStr">
        <is>
          <t>Medium</t>
        </is>
      </c>
      <c r="AA357" s="5" t="inlineStr">
        <is>
          <t>Medium</t>
        </is>
      </c>
      <c r="AB357" s="8" t="inlineStr">
        <is>
          <t>Low</t>
        </is>
      </c>
      <c r="AC357" s="8" t="inlineStr">
        <is>
          <t>Later</t>
        </is>
      </c>
      <c r="AD357" s="5" t="inlineStr">
        <is>
          <t>Not independently checked</t>
        </is>
      </c>
      <c r="AE357" s="5" t="inlineStr">
        <is>
          <t>Not verified</t>
        </is>
      </c>
      <c r="AF357" s="5" t="inlineStr">
        <is>
          <t>Not verified</t>
        </is>
      </c>
      <c r="AG357" s="5" t="inlineStr">
        <is>
          <t>Not verified</t>
        </is>
      </c>
      <c r="AH357" s="5" t="inlineStr">
        <is>
          <t>Not verified</t>
        </is>
      </c>
      <c r="AI357" s="8" t="inlineStr">
        <is>
          <t>No</t>
        </is>
      </c>
      <c r="AJ357" s="8" t="inlineStr">
        <is>
          <t>Claimed - unverified</t>
        </is>
      </c>
      <c r="AK357" s="8" t="inlineStr">
        <is>
          <t>P1</t>
        </is>
      </c>
      <c r="AL357" s="8" t="n">
        <v>6</v>
      </c>
      <c r="AM357" s="5" t="inlineStr"/>
      <c r="AN357" s="5" t="inlineStr"/>
      <c r="AO357" s="5" t="inlineStr"/>
      <c r="AP357" s="5" t="inlineStr"/>
      <c r="AQ357" s="5" t="inlineStr"/>
      <c r="AR357" s="5" t="inlineStr"/>
      <c r="AS357" s="5" t="inlineStr"/>
      <c r="AT357" s="5" t="inlineStr"/>
      <c r="AU357" s="8" t="inlineStr">
        <is>
          <t>Not run</t>
        </is>
      </c>
    </row>
    <row r="358" ht="32" customHeight="1">
      <c r="A358" s="16" t="inlineStr">
        <is>
          <t>X-0357</t>
        </is>
      </c>
      <c r="B358" s="8" t="inlineStr">
        <is>
          <t>X</t>
        </is>
      </c>
      <c r="C358" s="5" t="inlineStr">
        <is>
          <t>Multiple / Cross-persona</t>
        </is>
      </c>
      <c r="D358" s="5" t="inlineStr">
        <is>
          <t>Sales / CRM / Customer Lifecycle</t>
        </is>
      </c>
      <c r="E358" s="5" t="inlineStr">
        <is>
          <t>Lead → follow-up task created</t>
        </is>
      </c>
      <c r="F358" s="5" t="inlineStr">
        <is>
          <t>Sales Representative</t>
        </is>
      </c>
      <c r="G358" s="5" t="inlineStr">
        <is>
          <t>Sales Manager</t>
        </is>
      </c>
      <c r="H358" s="5" t="inlineStr">
        <is>
          <t>Schedule follow-up reminder or call task to advance prospective deal</t>
        </is>
      </c>
      <c r="I358" s="5" t="inlineStr">
        <is>
          <t>Creates follow-up task with due date; pushes reminder to salesperson's daily task feed</t>
        </is>
      </c>
      <c r="J358" s="20" t="inlineStr">
        <is>
          <t>P1</t>
        </is>
      </c>
      <c r="K358" s="20" t="inlineStr">
        <is>
          <t>Validated (Supported)</t>
        </is>
      </c>
      <c r="L358" s="5" t="inlineStr">
        <is>
          <t>Supported via CRM Task / Follow-up scheduler.</t>
        </is>
      </c>
      <c r="M358" s="8" t="inlineStr">
        <is>
          <t>Baseline</t>
        </is>
      </c>
      <c r="N358" s="8" t="inlineStr">
        <is>
          <t>Cross-persona</t>
        </is>
      </c>
      <c r="O358" s="8" t="inlineStr">
        <is>
          <t>P1</t>
        </is>
      </c>
      <c r="P358" s="5" t="inlineStr">
        <is>
          <t>Unchanged</t>
        </is>
      </c>
      <c r="Q358" s="20" t="inlineStr">
        <is>
          <t>Author assertion</t>
        </is>
      </c>
      <c r="R358" s="5" t="inlineStr"/>
      <c r="S358" s="8" t="inlineStr">
        <is>
          <t>CRM</t>
        </is>
      </c>
      <c r="T358" s="5" t="inlineStr">
        <is>
          <t>Sales and CRM lifecycle</t>
        </is>
      </c>
      <c r="U358" s="8" t="inlineStr"/>
      <c r="V358" s="8" t="inlineStr">
        <is>
          <t>crm</t>
        </is>
      </c>
      <c r="W358" s="8" t="inlineStr">
        <is>
          <t>GROW</t>
        </is>
      </c>
      <c r="X358" s="5" t="inlineStr">
        <is>
          <t>Core</t>
        </is>
      </c>
      <c r="Y358" s="5" t="inlineStr">
        <is>
          <t>Cross-persona</t>
        </is>
      </c>
      <c r="Z358" s="5" t="inlineStr">
        <is>
          <t>Medium</t>
        </is>
      </c>
      <c r="AA358" s="5" t="inlineStr">
        <is>
          <t>Medium</t>
        </is>
      </c>
      <c r="AB358" s="8" t="inlineStr">
        <is>
          <t>Low</t>
        </is>
      </c>
      <c r="AC358" s="8" t="inlineStr">
        <is>
          <t>Later</t>
        </is>
      </c>
      <c r="AD358" s="5" t="inlineStr">
        <is>
          <t>Not independently checked</t>
        </is>
      </c>
      <c r="AE358" s="5" t="inlineStr">
        <is>
          <t>Not verified</t>
        </is>
      </c>
      <c r="AF358" s="5" t="inlineStr">
        <is>
          <t>Not verified</t>
        </is>
      </c>
      <c r="AG358" s="5" t="inlineStr">
        <is>
          <t>Not verified</t>
        </is>
      </c>
      <c r="AH358" s="5" t="inlineStr">
        <is>
          <t>Not verified</t>
        </is>
      </c>
      <c r="AI358" s="8" t="inlineStr">
        <is>
          <t>No</t>
        </is>
      </c>
      <c r="AJ358" s="8" t="inlineStr">
        <is>
          <t>Claimed - unverified</t>
        </is>
      </c>
      <c r="AK358" s="8" t="inlineStr">
        <is>
          <t>P1</t>
        </is>
      </c>
      <c r="AL358" s="8" t="n">
        <v>6</v>
      </c>
      <c r="AM358" s="5" t="inlineStr"/>
      <c r="AN358" s="5" t="inlineStr"/>
      <c r="AO358" s="5" t="inlineStr"/>
      <c r="AP358" s="5" t="inlineStr"/>
      <c r="AQ358" s="5" t="inlineStr"/>
      <c r="AR358" s="5" t="inlineStr"/>
      <c r="AS358" s="5" t="inlineStr"/>
      <c r="AT358" s="5" t="inlineStr"/>
      <c r="AU358" s="8" t="inlineStr">
        <is>
          <t>Not run</t>
        </is>
      </c>
    </row>
    <row r="359" ht="32" customHeight="1">
      <c r="A359" s="16" t="inlineStr">
        <is>
          <t>X-0358</t>
        </is>
      </c>
      <c r="B359" s="8" t="inlineStr">
        <is>
          <t>X</t>
        </is>
      </c>
      <c r="C359" s="5" t="inlineStr">
        <is>
          <t>Multiple / Cross-persona</t>
        </is>
      </c>
      <c r="D359" s="5" t="inlineStr">
        <is>
          <t>Sales / CRM / Customer Lifecycle</t>
        </is>
      </c>
      <c r="E359" s="5" t="inlineStr">
        <is>
          <t>Lead → quotation created</t>
        </is>
      </c>
      <c r="F359" s="5" t="inlineStr">
        <is>
          <t>Sales Representative</t>
        </is>
      </c>
      <c r="G359" s="5" t="inlineStr">
        <is>
          <t>Prospective Client</t>
        </is>
      </c>
      <c r="H359" s="5" t="inlineStr">
        <is>
          <t>Convert qualified lead into formal price quotation with product options</t>
        </is>
      </c>
      <c r="I359" s="5" t="inlineStr">
        <is>
          <t>Creates Quotation linked to Lead; copies customer details and proposed line items</t>
        </is>
      </c>
      <c r="J359" s="20" t="inlineStr">
        <is>
          <t>P1</t>
        </is>
      </c>
      <c r="K359" s="20" t="inlineStr">
        <is>
          <t>Validated (Supported)</t>
        </is>
      </c>
      <c r="L359" s="5" t="inlineStr">
        <is>
          <t>Supported via Lead 'Generate Quotation' action.</t>
        </is>
      </c>
      <c r="M359" s="8" t="inlineStr">
        <is>
          <t>Baseline</t>
        </is>
      </c>
      <c r="N359" s="8" t="inlineStr">
        <is>
          <t>Cross-persona</t>
        </is>
      </c>
      <c r="O359" s="8" t="inlineStr">
        <is>
          <t>P1</t>
        </is>
      </c>
      <c r="P359" s="5" t="inlineStr">
        <is>
          <t>Unchanged</t>
        </is>
      </c>
      <c r="Q359" s="20" t="inlineStr">
        <is>
          <t>Author assertion</t>
        </is>
      </c>
      <c r="R359" s="5" t="inlineStr"/>
      <c r="S359" s="8" t="inlineStr">
        <is>
          <t>CRM</t>
        </is>
      </c>
      <c r="T359" s="5" t="inlineStr">
        <is>
          <t>Sales and CRM lifecycle</t>
        </is>
      </c>
      <c r="U359" s="8" t="inlineStr"/>
      <c r="V359" s="8" t="inlineStr">
        <is>
          <t>crm</t>
        </is>
      </c>
      <c r="W359" s="8" t="inlineStr">
        <is>
          <t>GROW</t>
        </is>
      </c>
      <c r="X359" s="5" t="inlineStr">
        <is>
          <t>Core</t>
        </is>
      </c>
      <c r="Y359" s="5" t="inlineStr">
        <is>
          <t>Cross-persona</t>
        </is>
      </c>
      <c r="Z359" s="5" t="inlineStr">
        <is>
          <t>Medium</t>
        </is>
      </c>
      <c r="AA359" s="5" t="inlineStr">
        <is>
          <t>Medium</t>
        </is>
      </c>
      <c r="AB359" s="8" t="inlineStr">
        <is>
          <t>Low</t>
        </is>
      </c>
      <c r="AC359" s="8" t="inlineStr">
        <is>
          <t>Later</t>
        </is>
      </c>
      <c r="AD359" s="5" t="inlineStr">
        <is>
          <t>Not independently checked</t>
        </is>
      </c>
      <c r="AE359" s="5" t="inlineStr">
        <is>
          <t>Not verified</t>
        </is>
      </c>
      <c r="AF359" s="5" t="inlineStr">
        <is>
          <t>Not verified</t>
        </is>
      </c>
      <c r="AG359" s="5" t="inlineStr">
        <is>
          <t>Not verified</t>
        </is>
      </c>
      <c r="AH359" s="5" t="inlineStr">
        <is>
          <t>Not verified</t>
        </is>
      </c>
      <c r="AI359" s="8" t="inlineStr">
        <is>
          <t>No</t>
        </is>
      </c>
      <c r="AJ359" s="8" t="inlineStr">
        <is>
          <t>Claimed - unverified</t>
        </is>
      </c>
      <c r="AK359" s="8" t="inlineStr">
        <is>
          <t>P1</t>
        </is>
      </c>
      <c r="AL359" s="8" t="n">
        <v>6</v>
      </c>
      <c r="AM359" s="5" t="inlineStr"/>
      <c r="AN359" s="5" t="inlineStr"/>
      <c r="AO359" s="5" t="inlineStr"/>
      <c r="AP359" s="5" t="inlineStr"/>
      <c r="AQ359" s="5" t="inlineStr"/>
      <c r="AR359" s="5" t="inlineStr"/>
      <c r="AS359" s="5" t="inlineStr"/>
      <c r="AT359" s="5" t="inlineStr"/>
      <c r="AU359" s="8" t="inlineStr">
        <is>
          <t>Not run</t>
        </is>
      </c>
    </row>
    <row r="360" ht="32" customHeight="1">
      <c r="A360" s="16" t="inlineStr">
        <is>
          <t>X-0359</t>
        </is>
      </c>
      <c r="B360" s="8" t="inlineStr">
        <is>
          <t>X</t>
        </is>
      </c>
      <c r="C360" s="5" t="inlineStr">
        <is>
          <t>Multiple / Cross-persona</t>
        </is>
      </c>
      <c r="D360" s="5" t="inlineStr">
        <is>
          <t>Sales / CRM / Customer Lifecycle</t>
        </is>
      </c>
      <c r="E360" s="5" t="inlineStr">
        <is>
          <t>Quotation → sales order</t>
        </is>
      </c>
      <c r="F360" s="5" t="inlineStr">
        <is>
          <t>Salesperson</t>
        </is>
      </c>
      <c r="G360" s="5" t="inlineStr">
        <is>
          <t>Customer</t>
        </is>
      </c>
      <c r="H360" s="5" t="inlineStr">
        <is>
          <t>Convert accepted quotation into binding sales order upon client approval</t>
        </is>
      </c>
      <c r="I360" s="5" t="inlineStr">
        <is>
          <t>Clones Quotation items into SalesOrder, marks quotation CONVERTED, commits stock</t>
        </is>
      </c>
      <c r="J360" s="20" t="inlineStr">
        <is>
          <t>P1</t>
        </is>
      </c>
      <c r="K360" s="20" t="inlineStr">
        <is>
          <t>Validated (Supported)</t>
        </is>
      </c>
      <c r="L360" s="5" t="inlineStr">
        <is>
          <t>Supported via Quotation 'Convert to Order' action in Quotation detail view.</t>
        </is>
      </c>
      <c r="M360" s="8" t="inlineStr">
        <is>
          <t>Baseline</t>
        </is>
      </c>
      <c r="N360" s="8" t="inlineStr">
        <is>
          <t>Cross-persona</t>
        </is>
      </c>
      <c r="O360" s="8" t="inlineStr">
        <is>
          <t>P1</t>
        </is>
      </c>
      <c r="P360" s="5" t="inlineStr">
        <is>
          <t>Unchanged</t>
        </is>
      </c>
      <c r="Q360" s="20" t="inlineStr">
        <is>
          <t>Author assertion</t>
        </is>
      </c>
      <c r="R360" s="5" t="inlineStr"/>
      <c r="S360" s="8" t="inlineStr">
        <is>
          <t>CRM</t>
        </is>
      </c>
      <c r="T360" s="5" t="inlineStr">
        <is>
          <t>Sales and CRM lifecycle</t>
        </is>
      </c>
      <c r="U360" s="8" t="inlineStr"/>
      <c r="V360" s="8" t="inlineStr">
        <is>
          <t>crm</t>
        </is>
      </c>
      <c r="W360" s="8" t="inlineStr">
        <is>
          <t>GROW</t>
        </is>
      </c>
      <c r="X360" s="5" t="inlineStr">
        <is>
          <t>Core</t>
        </is>
      </c>
      <c r="Y360" s="5" t="inlineStr">
        <is>
          <t>Cross-persona</t>
        </is>
      </c>
      <c r="Z360" s="5" t="inlineStr">
        <is>
          <t>Medium</t>
        </is>
      </c>
      <c r="AA360" s="5" t="inlineStr">
        <is>
          <t>Medium</t>
        </is>
      </c>
      <c r="AB360" s="8" t="inlineStr">
        <is>
          <t>Low</t>
        </is>
      </c>
      <c r="AC360" s="8" t="inlineStr">
        <is>
          <t>Later</t>
        </is>
      </c>
      <c r="AD360" s="5" t="inlineStr">
        <is>
          <t>Not independently checked</t>
        </is>
      </c>
      <c r="AE360" s="5" t="inlineStr">
        <is>
          <t>Not verified</t>
        </is>
      </c>
      <c r="AF360" s="5" t="inlineStr">
        <is>
          <t>Not verified</t>
        </is>
      </c>
      <c r="AG360" s="5" t="inlineStr">
        <is>
          <t>Not verified</t>
        </is>
      </c>
      <c r="AH360" s="5" t="inlineStr">
        <is>
          <t>Not verified</t>
        </is>
      </c>
      <c r="AI360" s="8" t="inlineStr">
        <is>
          <t>No</t>
        </is>
      </c>
      <c r="AJ360" s="8" t="inlineStr">
        <is>
          <t>Claimed - unverified</t>
        </is>
      </c>
      <c r="AK360" s="8" t="inlineStr">
        <is>
          <t>P1</t>
        </is>
      </c>
      <c r="AL360" s="8" t="n">
        <v>6</v>
      </c>
      <c r="AM360" s="5" t="inlineStr"/>
      <c r="AN360" s="5" t="inlineStr"/>
      <c r="AO360" s="5" t="inlineStr"/>
      <c r="AP360" s="5" t="inlineStr"/>
      <c r="AQ360" s="5" t="inlineStr"/>
      <c r="AR360" s="5" t="inlineStr"/>
      <c r="AS360" s="5" t="inlineStr"/>
      <c r="AT360" s="5" t="inlineStr"/>
      <c r="AU360" s="8" t="inlineStr">
        <is>
          <t>Not run</t>
        </is>
      </c>
    </row>
    <row r="361" ht="32" customHeight="1">
      <c r="A361" s="16" t="inlineStr">
        <is>
          <t>X-0360</t>
        </is>
      </c>
      <c r="B361" s="8" t="inlineStr">
        <is>
          <t>X</t>
        </is>
      </c>
      <c r="C361" s="5" t="inlineStr">
        <is>
          <t>Multiple / Cross-persona</t>
        </is>
      </c>
      <c r="D361" s="5" t="inlineStr">
        <is>
          <t>Sales / CRM / Customer Lifecycle</t>
        </is>
      </c>
      <c r="E361" s="5" t="inlineStr">
        <is>
          <t>Sales order → invoice</t>
        </is>
      </c>
      <c r="F361" s="5" t="inlineStr">
        <is>
          <t>Billing Clerk</t>
        </is>
      </c>
      <c r="G361" s="5" t="inlineStr">
        <is>
          <t>Customer</t>
        </is>
      </c>
      <c r="H361" s="5" t="inlineStr">
        <is>
          <t>Convert delivered sales order into legal tax invoice for billing and collection</t>
        </is>
      </c>
      <c r="I361" s="5" t="inlineStr">
        <is>
          <t>Creates SalesInvoice copying SalesOrder lines; updates inventory and customer ledger</t>
        </is>
      </c>
      <c r="J361" s="20" t="inlineStr">
        <is>
          <t>P1</t>
        </is>
      </c>
      <c r="K361" s="20" t="inlineStr">
        <is>
          <t>Validated (Supported)</t>
        </is>
      </c>
      <c r="L361" s="5" t="inlineStr">
        <is>
          <t>Supported via SalesOrder 'Create Invoice' action.</t>
        </is>
      </c>
      <c r="M361" s="8" t="inlineStr">
        <is>
          <t>Baseline</t>
        </is>
      </c>
      <c r="N361" s="8" t="inlineStr">
        <is>
          <t>Cross-persona</t>
        </is>
      </c>
      <c r="O361" s="8" t="inlineStr">
        <is>
          <t>P1</t>
        </is>
      </c>
      <c r="P361" s="5" t="inlineStr">
        <is>
          <t>Unchanged</t>
        </is>
      </c>
      <c r="Q361" s="21" t="inlineStr">
        <is>
          <t>Code symbol found</t>
        </is>
      </c>
      <c r="R361" s="5" t="inlineStr">
        <is>
          <t>Matched SalesOrder in product code. This is not a functional test.</t>
        </is>
      </c>
      <c r="S361" s="8" t="inlineStr">
        <is>
          <t>CRM</t>
        </is>
      </c>
      <c r="T361" s="5" t="inlineStr">
        <is>
          <t>Sales and CRM lifecycle</t>
        </is>
      </c>
      <c r="U361" s="8" t="inlineStr"/>
      <c r="V361" s="8" t="inlineStr">
        <is>
          <t>crm</t>
        </is>
      </c>
      <c r="W361" s="8" t="inlineStr">
        <is>
          <t>GROW</t>
        </is>
      </c>
      <c r="X361" s="5" t="inlineStr">
        <is>
          <t>Core</t>
        </is>
      </c>
      <c r="Y361" s="5" t="inlineStr">
        <is>
          <t>Cross-persona</t>
        </is>
      </c>
      <c r="Z361" s="5" t="inlineStr">
        <is>
          <t>Medium</t>
        </is>
      </c>
      <c r="AA361" s="5" t="inlineStr">
        <is>
          <t>Medium</t>
        </is>
      </c>
      <c r="AB361" s="8" t="inlineStr">
        <is>
          <t>Low</t>
        </is>
      </c>
      <c r="AC361" s="8" t="inlineStr">
        <is>
          <t>Later</t>
        </is>
      </c>
      <c r="AD361" s="5" t="inlineStr">
        <is>
          <t>Cited in code</t>
        </is>
      </c>
      <c r="AE361" s="5" t="inlineStr">
        <is>
          <t>Not verified</t>
        </is>
      </c>
      <c r="AF361" s="5" t="inlineStr">
        <is>
          <t>Not verified</t>
        </is>
      </c>
      <c r="AG361" s="5" t="inlineStr">
        <is>
          <t>Not verified</t>
        </is>
      </c>
      <c r="AH361" s="5" t="inlineStr">
        <is>
          <t>Not verified</t>
        </is>
      </c>
      <c r="AI361" s="8" t="inlineStr">
        <is>
          <t>No</t>
        </is>
      </c>
      <c r="AJ361" s="8" t="inlineStr">
        <is>
          <t>Built - unverified</t>
        </is>
      </c>
      <c r="AK361" s="8" t="inlineStr">
        <is>
          <t>P1</t>
        </is>
      </c>
      <c r="AL361" s="8" t="n">
        <v>6</v>
      </c>
      <c r="AM361" s="5" t="inlineStr"/>
      <c r="AN361" s="5" t="inlineStr"/>
      <c r="AO361" s="5" t="inlineStr"/>
      <c r="AP361" s="5" t="inlineStr"/>
      <c r="AQ361" s="5" t="inlineStr"/>
      <c r="AR361" s="5" t="inlineStr"/>
      <c r="AS361" s="5" t="inlineStr"/>
      <c r="AT361" s="5" t="inlineStr"/>
      <c r="AU361" s="8" t="inlineStr">
        <is>
          <t>Not run</t>
        </is>
      </c>
    </row>
    <row r="362" ht="32" customHeight="1">
      <c r="A362" s="16" t="inlineStr">
        <is>
          <t>X-0361</t>
        </is>
      </c>
      <c r="B362" s="8" t="inlineStr">
        <is>
          <t>X</t>
        </is>
      </c>
      <c r="C362" s="5" t="inlineStr">
        <is>
          <t>Multiple / Cross-persona</t>
        </is>
      </c>
      <c r="D362" s="5" t="inlineStr">
        <is>
          <t>Sales / CRM / Customer Lifecycle</t>
        </is>
      </c>
      <c r="E362" s="5" t="inlineStr">
        <is>
          <t>Customer purchase → customer history updated</t>
        </is>
      </c>
      <c r="F362" s="5" t="inlineStr">
        <is>
          <t>System / CRM Engine</t>
        </is>
      </c>
      <c r="G362" s="5" t="inlineStr">
        <is>
          <t>Salesperson</t>
        </is>
      </c>
      <c r="H362" s="5" t="inlineStr">
        <is>
          <t>Completed purchase appended to customer's permanent lifetime purchase history</t>
        </is>
      </c>
      <c r="I362" s="5" t="inlineStr">
        <is>
          <t>Updates customer lifetime spend, total order count, last purchase date, and favorite SKUs</t>
        </is>
      </c>
      <c r="J362" s="20" t="inlineStr">
        <is>
          <t>P1</t>
        </is>
      </c>
      <c r="K362" s="20" t="inlineStr">
        <is>
          <t>Validated (Supported)</t>
        </is>
      </c>
      <c r="L362" s="5" t="inlineStr">
        <is>
          <t>Automated customer metric rollup upon invoice completion.</t>
        </is>
      </c>
      <c r="M362" s="8" t="inlineStr">
        <is>
          <t>Baseline</t>
        </is>
      </c>
      <c r="N362" s="8" t="inlineStr">
        <is>
          <t>Cross-persona</t>
        </is>
      </c>
      <c r="O362" s="8" t="inlineStr">
        <is>
          <t>P1</t>
        </is>
      </c>
      <c r="P362" s="5" t="inlineStr">
        <is>
          <t>Unchanged</t>
        </is>
      </c>
      <c r="Q362" s="20" t="inlineStr">
        <is>
          <t>Author assertion</t>
        </is>
      </c>
      <c r="R362" s="5" t="inlineStr"/>
      <c r="S362" s="8" t="inlineStr">
        <is>
          <t>CRM</t>
        </is>
      </c>
      <c r="T362" s="5" t="inlineStr">
        <is>
          <t>Sales and CRM lifecycle</t>
        </is>
      </c>
      <c r="U362" s="8" t="inlineStr"/>
      <c r="V362" s="8" t="inlineStr">
        <is>
          <t>crm</t>
        </is>
      </c>
      <c r="W362" s="8" t="inlineStr">
        <is>
          <t>GROW</t>
        </is>
      </c>
      <c r="X362" s="5" t="inlineStr">
        <is>
          <t>Core</t>
        </is>
      </c>
      <c r="Y362" s="5" t="inlineStr">
        <is>
          <t>Cross-persona</t>
        </is>
      </c>
      <c r="Z362" s="5" t="inlineStr">
        <is>
          <t>Medium</t>
        </is>
      </c>
      <c r="AA362" s="5" t="inlineStr">
        <is>
          <t>Medium</t>
        </is>
      </c>
      <c r="AB362" s="8" t="inlineStr">
        <is>
          <t>Low</t>
        </is>
      </c>
      <c r="AC362" s="8" t="inlineStr">
        <is>
          <t>Later</t>
        </is>
      </c>
      <c r="AD362" s="5" t="inlineStr">
        <is>
          <t>Not independently checked</t>
        </is>
      </c>
      <c r="AE362" s="5" t="inlineStr">
        <is>
          <t>Not verified</t>
        </is>
      </c>
      <c r="AF362" s="5" t="inlineStr">
        <is>
          <t>Not verified</t>
        </is>
      </c>
      <c r="AG362" s="5" t="inlineStr">
        <is>
          <t>Not verified</t>
        </is>
      </c>
      <c r="AH362" s="5" t="inlineStr">
        <is>
          <t>Not verified</t>
        </is>
      </c>
      <c r="AI362" s="8" t="inlineStr">
        <is>
          <t>No</t>
        </is>
      </c>
      <c r="AJ362" s="8" t="inlineStr">
        <is>
          <t>Claimed - unverified</t>
        </is>
      </c>
      <c r="AK362" s="8" t="inlineStr">
        <is>
          <t>P1</t>
        </is>
      </c>
      <c r="AL362" s="8" t="n">
        <v>6</v>
      </c>
      <c r="AM362" s="5" t="inlineStr"/>
      <c r="AN362" s="5" t="inlineStr"/>
      <c r="AO362" s="5" t="inlineStr"/>
      <c r="AP362" s="5" t="inlineStr"/>
      <c r="AQ362" s="5" t="inlineStr"/>
      <c r="AR362" s="5" t="inlineStr"/>
      <c r="AS362" s="5" t="inlineStr"/>
      <c r="AT362" s="5" t="inlineStr"/>
      <c r="AU362" s="8" t="inlineStr">
        <is>
          <t>Not run</t>
        </is>
      </c>
    </row>
    <row r="363" ht="32" customHeight="1">
      <c r="A363" s="16" t="inlineStr">
        <is>
          <t>X-0362</t>
        </is>
      </c>
      <c r="B363" s="8" t="inlineStr">
        <is>
          <t>X</t>
        </is>
      </c>
      <c r="C363" s="5" t="inlineStr">
        <is>
          <t>Multiple / Cross-persona</t>
        </is>
      </c>
      <c r="D363" s="5" t="inlineStr">
        <is>
          <t>Sales / CRM / Customer Lifecycle</t>
        </is>
      </c>
      <c r="E363" s="5" t="inlineStr">
        <is>
          <t>Customer purchase history → salesperson sees context</t>
        </is>
      </c>
      <c r="F363" s="5" t="inlineStr">
        <is>
          <t>Salesperson</t>
        </is>
      </c>
      <c r="G363" s="5" t="inlineStr">
        <is>
          <t>Customer</t>
        </is>
      </c>
      <c r="H363" s="5" t="inlineStr">
        <is>
          <t>Salesperson views customer past orders and preferred brands during sales conversation</t>
        </is>
      </c>
      <c r="I363" s="5" t="inlineStr">
        <is>
          <t>Displays Customer 360 card showing purchase frequency, outstanding balance, and preferences</t>
        </is>
      </c>
      <c r="J363" s="20" t="inlineStr">
        <is>
          <t>P1</t>
        </is>
      </c>
      <c r="K363" s="20" t="inlineStr">
        <is>
          <t>Validated (Supported)</t>
        </is>
      </c>
      <c r="L363" s="5" t="inlineStr">
        <is>
          <t>Supported via Customer 360 side-drawer in sales booking interface.</t>
        </is>
      </c>
      <c r="M363" s="8" t="inlineStr">
        <is>
          <t>Baseline</t>
        </is>
      </c>
      <c r="N363" s="8" t="inlineStr">
        <is>
          <t>Cross-persona</t>
        </is>
      </c>
      <c r="O363" s="8" t="inlineStr">
        <is>
          <t>P1</t>
        </is>
      </c>
      <c r="P363" s="5" t="inlineStr">
        <is>
          <t>Unchanged</t>
        </is>
      </c>
      <c r="Q363" s="20" t="inlineStr">
        <is>
          <t>Author assertion</t>
        </is>
      </c>
      <c r="R363" s="5" t="inlineStr"/>
      <c r="S363" s="8" t="inlineStr">
        <is>
          <t>CRM</t>
        </is>
      </c>
      <c r="T363" s="5" t="inlineStr">
        <is>
          <t>Sales and CRM lifecycle</t>
        </is>
      </c>
      <c r="U363" s="8" t="inlineStr"/>
      <c r="V363" s="8" t="inlineStr">
        <is>
          <t>crm</t>
        </is>
      </c>
      <c r="W363" s="8" t="inlineStr">
        <is>
          <t>GROW</t>
        </is>
      </c>
      <c r="X363" s="5" t="inlineStr">
        <is>
          <t>Core</t>
        </is>
      </c>
      <c r="Y363" s="5" t="inlineStr">
        <is>
          <t>Cross-persona</t>
        </is>
      </c>
      <c r="Z363" s="5" t="inlineStr">
        <is>
          <t>Medium</t>
        </is>
      </c>
      <c r="AA363" s="5" t="inlineStr">
        <is>
          <t>Medium</t>
        </is>
      </c>
      <c r="AB363" s="8" t="inlineStr">
        <is>
          <t>Low</t>
        </is>
      </c>
      <c r="AC363" s="8" t="inlineStr">
        <is>
          <t>Later</t>
        </is>
      </c>
      <c r="AD363" s="5" t="inlineStr">
        <is>
          <t>Not independently checked</t>
        </is>
      </c>
      <c r="AE363" s="5" t="inlineStr">
        <is>
          <t>Not verified</t>
        </is>
      </c>
      <c r="AF363" s="5" t="inlineStr">
        <is>
          <t>Not verified</t>
        </is>
      </c>
      <c r="AG363" s="5" t="inlineStr">
        <is>
          <t>Not verified</t>
        </is>
      </c>
      <c r="AH363" s="5" t="inlineStr">
        <is>
          <t>Not verified</t>
        </is>
      </c>
      <c r="AI363" s="8" t="inlineStr">
        <is>
          <t>No</t>
        </is>
      </c>
      <c r="AJ363" s="8" t="inlineStr">
        <is>
          <t>Claimed - unverified</t>
        </is>
      </c>
      <c r="AK363" s="8" t="inlineStr">
        <is>
          <t>P1</t>
        </is>
      </c>
      <c r="AL363" s="8" t="n">
        <v>6</v>
      </c>
      <c r="AM363" s="5" t="inlineStr"/>
      <c r="AN363" s="5" t="inlineStr"/>
      <c r="AO363" s="5" t="inlineStr"/>
      <c r="AP363" s="5" t="inlineStr"/>
      <c r="AQ363" s="5" t="inlineStr"/>
      <c r="AR363" s="5" t="inlineStr"/>
      <c r="AS363" s="5" t="inlineStr"/>
      <c r="AT363" s="5" t="inlineStr"/>
      <c r="AU363" s="8" t="inlineStr">
        <is>
          <t>Not run</t>
        </is>
      </c>
    </row>
    <row r="364" ht="32" customHeight="1">
      <c r="A364" s="16" t="inlineStr">
        <is>
          <t>X-0363</t>
        </is>
      </c>
      <c r="B364" s="8" t="inlineStr">
        <is>
          <t>X</t>
        </is>
      </c>
      <c r="C364" s="5" t="inlineStr">
        <is>
          <t>Multiple / Cross-persona</t>
        </is>
      </c>
      <c r="D364" s="5" t="inlineStr">
        <is>
          <t>Sales / CRM / Customer Lifecycle</t>
        </is>
      </c>
      <c r="E364" s="5" t="inlineStr">
        <is>
          <t>Customer complaint → support case created</t>
        </is>
      </c>
      <c r="F364" s="5" t="inlineStr">
        <is>
          <t>Customer Support Desk</t>
        </is>
      </c>
      <c r="G364" s="5" t="inlineStr">
        <is>
          <t>Customer</t>
        </is>
      </c>
      <c r="H364" s="5" t="inlineStr">
        <is>
          <t>Log customer complaint regarding defective product, late delivery, or billing error</t>
        </is>
      </c>
      <c r="I364" s="5" t="inlineStr">
        <is>
          <t>Creates SupportTicket / Complaint record; tags severity, category, and related invoice</t>
        </is>
      </c>
      <c r="J364" s="20" t="inlineStr">
        <is>
          <t>P1</t>
        </is>
      </c>
      <c r="K364" s="20" t="inlineStr">
        <is>
          <t>Validated (Supported)</t>
        </is>
      </c>
      <c r="L364" s="5" t="inlineStr">
        <is>
          <t>Supported via /complaints/create with SLA priority tracking.</t>
        </is>
      </c>
      <c r="M364" s="8" t="inlineStr">
        <is>
          <t>Baseline</t>
        </is>
      </c>
      <c r="N364" s="8" t="inlineStr">
        <is>
          <t>Cross-persona</t>
        </is>
      </c>
      <c r="O364" s="8" t="inlineStr">
        <is>
          <t>P1</t>
        </is>
      </c>
      <c r="P364" s="5" t="inlineStr">
        <is>
          <t>Unchanged</t>
        </is>
      </c>
      <c r="Q364" s="20" t="inlineStr">
        <is>
          <t>Author assertion</t>
        </is>
      </c>
      <c r="R364" s="5" t="inlineStr"/>
      <c r="S364" s="8" t="inlineStr">
        <is>
          <t>CRM</t>
        </is>
      </c>
      <c r="T364" s="5" t="inlineStr">
        <is>
          <t>Sales and CRM lifecycle</t>
        </is>
      </c>
      <c r="U364" s="8" t="inlineStr"/>
      <c r="V364" s="8" t="inlineStr">
        <is>
          <t>crm</t>
        </is>
      </c>
      <c r="W364" s="8" t="inlineStr">
        <is>
          <t>GROW</t>
        </is>
      </c>
      <c r="X364" s="5" t="inlineStr">
        <is>
          <t>Core</t>
        </is>
      </c>
      <c r="Y364" s="5" t="inlineStr">
        <is>
          <t>Cross-persona</t>
        </is>
      </c>
      <c r="Z364" s="5" t="inlineStr">
        <is>
          <t>Medium</t>
        </is>
      </c>
      <c r="AA364" s="5" t="inlineStr">
        <is>
          <t>Medium</t>
        </is>
      </c>
      <c r="AB364" s="8" t="inlineStr">
        <is>
          <t>Low</t>
        </is>
      </c>
      <c r="AC364" s="8" t="inlineStr">
        <is>
          <t>Later</t>
        </is>
      </c>
      <c r="AD364" s="5" t="inlineStr">
        <is>
          <t>Not independently checked</t>
        </is>
      </c>
      <c r="AE364" s="5" t="inlineStr">
        <is>
          <t>Not verified</t>
        </is>
      </c>
      <c r="AF364" s="5" t="inlineStr">
        <is>
          <t>Not verified</t>
        </is>
      </c>
      <c r="AG364" s="5" t="inlineStr">
        <is>
          <t>Not verified</t>
        </is>
      </c>
      <c r="AH364" s="5" t="inlineStr">
        <is>
          <t>Not verified</t>
        </is>
      </c>
      <c r="AI364" s="8" t="inlineStr">
        <is>
          <t>No</t>
        </is>
      </c>
      <c r="AJ364" s="8" t="inlineStr">
        <is>
          <t>Claimed - unverified</t>
        </is>
      </c>
      <c r="AK364" s="8" t="inlineStr">
        <is>
          <t>P1</t>
        </is>
      </c>
      <c r="AL364" s="8" t="n">
        <v>6</v>
      </c>
      <c r="AM364" s="5" t="inlineStr"/>
      <c r="AN364" s="5" t="inlineStr"/>
      <c r="AO364" s="5" t="inlineStr"/>
      <c r="AP364" s="5" t="inlineStr"/>
      <c r="AQ364" s="5" t="inlineStr"/>
      <c r="AR364" s="5" t="inlineStr"/>
      <c r="AS364" s="5" t="inlineStr"/>
      <c r="AT364" s="5" t="inlineStr"/>
      <c r="AU364" s="8" t="inlineStr">
        <is>
          <t>Not run</t>
        </is>
      </c>
    </row>
    <row r="365" ht="32" customHeight="1">
      <c r="A365" s="16" t="inlineStr">
        <is>
          <t>X-0364</t>
        </is>
      </c>
      <c r="B365" s="8" t="inlineStr">
        <is>
          <t>X</t>
        </is>
      </c>
      <c r="C365" s="5" t="inlineStr">
        <is>
          <t>Multiple / Cross-persona</t>
        </is>
      </c>
      <c r="D365" s="5" t="inlineStr">
        <is>
          <t>Sales / CRM / Customer Lifecycle</t>
        </is>
      </c>
      <c r="E365" s="5" t="inlineStr">
        <is>
          <t>Support case → responsible employee assigned</t>
        </is>
      </c>
      <c r="F365" s="5" t="inlineStr">
        <is>
          <t>Customer Support Lead</t>
        </is>
      </c>
      <c r="G365" s="5" t="inlineStr">
        <is>
          <t>Assigned Staff Member</t>
        </is>
      </c>
      <c r="H365" s="5" t="inlineStr">
        <is>
          <t>Assign complaint to specific warehouse, sales, or accounting staff member for resolution</t>
        </is>
      </c>
      <c r="I365" s="5" t="inlineStr">
        <is>
          <t>Assigns ticket owner; triggers notification to assigned employee with SLA deadline</t>
        </is>
      </c>
      <c r="J365" s="20" t="inlineStr">
        <is>
          <t>P1</t>
        </is>
      </c>
      <c r="K365" s="20" t="inlineStr">
        <is>
          <t>Validated (Supported)</t>
        </is>
      </c>
      <c r="L365" s="5" t="inlineStr">
        <is>
          <t>Supported via ticket assignment and workflow routing in complaints app.</t>
        </is>
      </c>
      <c r="M365" s="8" t="inlineStr">
        <is>
          <t>Baseline</t>
        </is>
      </c>
      <c r="N365" s="8" t="inlineStr">
        <is>
          <t>Cross-persona</t>
        </is>
      </c>
      <c r="O365" s="8" t="inlineStr">
        <is>
          <t>P1</t>
        </is>
      </c>
      <c r="P365" s="5" t="inlineStr">
        <is>
          <t>Unchanged</t>
        </is>
      </c>
      <c r="Q365" s="20" t="inlineStr">
        <is>
          <t>Author assertion</t>
        </is>
      </c>
      <c r="R365" s="5" t="inlineStr"/>
      <c r="S365" s="8" t="inlineStr">
        <is>
          <t>CRM</t>
        </is>
      </c>
      <c r="T365" s="5" t="inlineStr">
        <is>
          <t>Sales and CRM lifecycle</t>
        </is>
      </c>
      <c r="U365" s="8" t="inlineStr"/>
      <c r="V365" s="8" t="inlineStr">
        <is>
          <t>crm</t>
        </is>
      </c>
      <c r="W365" s="8" t="inlineStr">
        <is>
          <t>GROW</t>
        </is>
      </c>
      <c r="X365" s="5" t="inlineStr">
        <is>
          <t>Core</t>
        </is>
      </c>
      <c r="Y365" s="5" t="inlineStr">
        <is>
          <t>Cross-persona</t>
        </is>
      </c>
      <c r="Z365" s="5" t="inlineStr">
        <is>
          <t>Medium</t>
        </is>
      </c>
      <c r="AA365" s="5" t="inlineStr">
        <is>
          <t>Medium</t>
        </is>
      </c>
      <c r="AB365" s="8" t="inlineStr">
        <is>
          <t>Low</t>
        </is>
      </c>
      <c r="AC365" s="8" t="inlineStr">
        <is>
          <t>Later</t>
        </is>
      </c>
      <c r="AD365" s="5" t="inlineStr">
        <is>
          <t>Not independently checked</t>
        </is>
      </c>
      <c r="AE365" s="5" t="inlineStr">
        <is>
          <t>Not verified</t>
        </is>
      </c>
      <c r="AF365" s="5" t="inlineStr">
        <is>
          <t>Not verified</t>
        </is>
      </c>
      <c r="AG365" s="5" t="inlineStr">
        <is>
          <t>Not verified</t>
        </is>
      </c>
      <c r="AH365" s="5" t="inlineStr">
        <is>
          <t>Not verified</t>
        </is>
      </c>
      <c r="AI365" s="8" t="inlineStr">
        <is>
          <t>No</t>
        </is>
      </c>
      <c r="AJ365" s="8" t="inlineStr">
        <is>
          <t>Claimed - unverified</t>
        </is>
      </c>
      <c r="AK365" s="8" t="inlineStr">
        <is>
          <t>P1</t>
        </is>
      </c>
      <c r="AL365" s="8" t="n">
        <v>6</v>
      </c>
      <c r="AM365" s="5" t="inlineStr"/>
      <c r="AN365" s="5" t="inlineStr"/>
      <c r="AO365" s="5" t="inlineStr"/>
      <c r="AP365" s="5" t="inlineStr"/>
      <c r="AQ365" s="5" t="inlineStr"/>
      <c r="AR365" s="5" t="inlineStr"/>
      <c r="AS365" s="5" t="inlineStr"/>
      <c r="AT365" s="5" t="inlineStr"/>
      <c r="AU365" s="8" t="inlineStr">
        <is>
          <t>Not run</t>
        </is>
      </c>
    </row>
    <row r="366" ht="32" customHeight="1">
      <c r="A366" s="16" t="inlineStr">
        <is>
          <t>X-0365</t>
        </is>
      </c>
      <c r="B366" s="8" t="inlineStr">
        <is>
          <t>X</t>
        </is>
      </c>
      <c r="C366" s="5" t="inlineStr">
        <is>
          <t>Multiple / Cross-persona</t>
        </is>
      </c>
      <c r="D366" s="5" t="inlineStr">
        <is>
          <t>Sales / CRM / Customer Lifecycle</t>
        </is>
      </c>
      <c r="E366" s="5" t="inlineStr">
        <is>
          <t>Complaint resolved → customer history updated</t>
        </is>
      </c>
      <c r="F366" s="5" t="inlineStr">
        <is>
          <t>Customer Support Staff</t>
        </is>
      </c>
      <c r="G366" s="5" t="inlineStr">
        <is>
          <t>Customer</t>
        </is>
      </c>
      <c r="H366" s="5" t="inlineStr">
        <is>
          <t>Document complaint resolution, customer satisfaction, and corrective action taken</t>
        </is>
      </c>
      <c r="I366" s="5" t="inlineStr">
        <is>
          <t>Closes SupportTicket; records resolution notes; updates customer satisfaction history</t>
        </is>
      </c>
      <c r="J366" s="20" t="inlineStr">
        <is>
          <t>P1</t>
        </is>
      </c>
      <c r="K366" s="20" t="inlineStr">
        <is>
          <t>Validated (Supported)</t>
        </is>
      </c>
      <c r="L366" s="5" t="inlineStr">
        <is>
          <t>Supported via Ticket Resolution workflow with customer closure notification.</t>
        </is>
      </c>
      <c r="M366" s="8" t="inlineStr">
        <is>
          <t>Baseline</t>
        </is>
      </c>
      <c r="N366" s="8" t="inlineStr">
        <is>
          <t>Cross-persona</t>
        </is>
      </c>
      <c r="O366" s="8" t="inlineStr">
        <is>
          <t>P1</t>
        </is>
      </c>
      <c r="P366" s="5" t="inlineStr">
        <is>
          <t>Unchanged</t>
        </is>
      </c>
      <c r="Q366" s="20" t="inlineStr">
        <is>
          <t>Author assertion</t>
        </is>
      </c>
      <c r="R366" s="5" t="inlineStr"/>
      <c r="S366" s="8" t="inlineStr">
        <is>
          <t>CRM</t>
        </is>
      </c>
      <c r="T366" s="5" t="inlineStr">
        <is>
          <t>Sales and CRM lifecycle</t>
        </is>
      </c>
      <c r="U366" s="8" t="inlineStr"/>
      <c r="V366" s="8" t="inlineStr">
        <is>
          <t>crm</t>
        </is>
      </c>
      <c r="W366" s="8" t="inlineStr">
        <is>
          <t>GROW</t>
        </is>
      </c>
      <c r="X366" s="5" t="inlineStr">
        <is>
          <t>Core</t>
        </is>
      </c>
      <c r="Y366" s="5" t="inlineStr">
        <is>
          <t>Cross-persona</t>
        </is>
      </c>
      <c r="Z366" s="5" t="inlineStr">
        <is>
          <t>Medium</t>
        </is>
      </c>
      <c r="AA366" s="5" t="inlineStr">
        <is>
          <t>Medium</t>
        </is>
      </c>
      <c r="AB366" s="8" t="inlineStr">
        <is>
          <t>Low</t>
        </is>
      </c>
      <c r="AC366" s="8" t="inlineStr">
        <is>
          <t>Later</t>
        </is>
      </c>
      <c r="AD366" s="5" t="inlineStr">
        <is>
          <t>Not independently checked</t>
        </is>
      </c>
      <c r="AE366" s="5" t="inlineStr">
        <is>
          <t>Not verified</t>
        </is>
      </c>
      <c r="AF366" s="5" t="inlineStr">
        <is>
          <t>Not verified</t>
        </is>
      </c>
      <c r="AG366" s="5" t="inlineStr">
        <is>
          <t>Not verified</t>
        </is>
      </c>
      <c r="AH366" s="5" t="inlineStr">
        <is>
          <t>Not verified</t>
        </is>
      </c>
      <c r="AI366" s="8" t="inlineStr">
        <is>
          <t>No</t>
        </is>
      </c>
      <c r="AJ366" s="8" t="inlineStr">
        <is>
          <t>Claimed - unverified</t>
        </is>
      </c>
      <c r="AK366" s="8" t="inlineStr">
        <is>
          <t>P1</t>
        </is>
      </c>
      <c r="AL366" s="8" t="n">
        <v>6</v>
      </c>
      <c r="AM366" s="5" t="inlineStr"/>
      <c r="AN366" s="5" t="inlineStr"/>
      <c r="AO366" s="5" t="inlineStr"/>
      <c r="AP366" s="5" t="inlineStr"/>
      <c r="AQ366" s="5" t="inlineStr"/>
      <c r="AR366" s="5" t="inlineStr"/>
      <c r="AS366" s="5" t="inlineStr"/>
      <c r="AT366" s="5" t="inlineStr"/>
      <c r="AU366" s="8" t="inlineStr">
        <is>
          <t>Not run</t>
        </is>
      </c>
    </row>
    <row r="367" ht="32" customHeight="1">
      <c r="A367" s="16" t="inlineStr">
        <is>
          <t>X-0366</t>
        </is>
      </c>
      <c r="B367" s="8" t="inlineStr">
        <is>
          <t>X</t>
        </is>
      </c>
      <c r="C367" s="5" t="inlineStr">
        <is>
          <t>Multiple / Cross-persona</t>
        </is>
      </c>
      <c r="D367" s="5" t="inlineStr">
        <is>
          <t>Sales / CRM / Customer Lifecycle</t>
        </is>
      </c>
      <c r="E367" s="5" t="inlineStr">
        <is>
          <t>Customer referral → referral recorded</t>
        </is>
      </c>
      <c r="F367" s="5" t="inlineStr">
        <is>
          <t>Sales Representative</t>
        </is>
      </c>
      <c r="G367" s="5" t="inlineStr">
        <is>
          <t>Existing Customer</t>
        </is>
      </c>
      <c r="H367" s="5" t="inlineStr">
        <is>
          <t>Track customer who referred a new client to credit referral commissions or loyalty points</t>
        </is>
      </c>
      <c r="I367" s="5" t="inlineStr">
        <is>
          <t>Links new customer to referring customer master; records referral commission liability</t>
        </is>
      </c>
      <c r="J367" s="20" t="inlineStr">
        <is>
          <t>P1</t>
        </is>
      </c>
      <c r="K367" s="20" t="inlineStr">
        <is>
          <t>Validated (Supported)</t>
        </is>
      </c>
      <c r="L367" s="5" t="inlineStr">
        <is>
          <t>Supported via CRM Customer Referral tracking.</t>
        </is>
      </c>
      <c r="M367" s="8" t="inlineStr">
        <is>
          <t>Baseline</t>
        </is>
      </c>
      <c r="N367" s="8" t="inlineStr">
        <is>
          <t>Cross-persona</t>
        </is>
      </c>
      <c r="O367" s="8" t="inlineStr">
        <is>
          <t>P1</t>
        </is>
      </c>
      <c r="P367" s="5" t="inlineStr">
        <is>
          <t>Unchanged</t>
        </is>
      </c>
      <c r="Q367" s="20" t="inlineStr">
        <is>
          <t>Author assertion</t>
        </is>
      </c>
      <c r="R367" s="5" t="inlineStr"/>
      <c r="S367" s="8" t="inlineStr">
        <is>
          <t>CRM</t>
        </is>
      </c>
      <c r="T367" s="5" t="inlineStr">
        <is>
          <t>Sales and CRM lifecycle</t>
        </is>
      </c>
      <c r="U367" s="8" t="inlineStr"/>
      <c r="V367" s="8" t="inlineStr">
        <is>
          <t>crm</t>
        </is>
      </c>
      <c r="W367" s="8" t="inlineStr">
        <is>
          <t>GROW</t>
        </is>
      </c>
      <c r="X367" s="5" t="inlineStr">
        <is>
          <t>Core</t>
        </is>
      </c>
      <c r="Y367" s="5" t="inlineStr">
        <is>
          <t>Cross-persona</t>
        </is>
      </c>
      <c r="Z367" s="5" t="inlineStr">
        <is>
          <t>Medium</t>
        </is>
      </c>
      <c r="AA367" s="5" t="inlineStr">
        <is>
          <t>Medium</t>
        </is>
      </c>
      <c r="AB367" s="8" t="inlineStr">
        <is>
          <t>Low</t>
        </is>
      </c>
      <c r="AC367" s="8" t="inlineStr">
        <is>
          <t>Later</t>
        </is>
      </c>
      <c r="AD367" s="5" t="inlineStr">
        <is>
          <t>Not independently checked</t>
        </is>
      </c>
      <c r="AE367" s="5" t="inlineStr">
        <is>
          <t>Not verified</t>
        </is>
      </c>
      <c r="AF367" s="5" t="inlineStr">
        <is>
          <t>Not verified</t>
        </is>
      </c>
      <c r="AG367" s="5" t="inlineStr">
        <is>
          <t>Not verified</t>
        </is>
      </c>
      <c r="AH367" s="5" t="inlineStr">
        <is>
          <t>Not verified</t>
        </is>
      </c>
      <c r="AI367" s="8" t="inlineStr">
        <is>
          <t>No</t>
        </is>
      </c>
      <c r="AJ367" s="8" t="inlineStr">
        <is>
          <t>Claimed - unverified</t>
        </is>
      </c>
      <c r="AK367" s="8" t="inlineStr">
        <is>
          <t>P1</t>
        </is>
      </c>
      <c r="AL367" s="8" t="n">
        <v>6</v>
      </c>
      <c r="AM367" s="5" t="inlineStr"/>
      <c r="AN367" s="5" t="inlineStr"/>
      <c r="AO367" s="5" t="inlineStr"/>
      <c r="AP367" s="5" t="inlineStr"/>
      <c r="AQ367" s="5" t="inlineStr"/>
      <c r="AR367" s="5" t="inlineStr"/>
      <c r="AS367" s="5" t="inlineStr"/>
      <c r="AT367" s="5" t="inlineStr"/>
      <c r="AU367" s="8" t="inlineStr">
        <is>
          <t>Not run</t>
        </is>
      </c>
    </row>
    <row r="368" ht="32" customHeight="1">
      <c r="A368" s="16" t="inlineStr">
        <is>
          <t>X-0367</t>
        </is>
      </c>
      <c r="B368" s="8" t="inlineStr">
        <is>
          <t>X</t>
        </is>
      </c>
      <c r="C368" s="5" t="inlineStr">
        <is>
          <t>Multiple / Cross-persona</t>
        </is>
      </c>
      <c r="D368" s="5" t="inlineStr">
        <is>
          <t>Sales / CRM / Customer Lifecycle</t>
        </is>
      </c>
      <c r="E368" s="5" t="inlineStr">
        <is>
          <t>Customer becomes inactive → follow-up opportunity identified</t>
        </is>
      </c>
      <c r="F368" s="5" t="inlineStr">
        <is>
          <t>Marketing / Sales Manager</t>
        </is>
      </c>
      <c r="G368" s="5" t="inlineStr">
        <is>
          <t>Sales Representative</t>
        </is>
      </c>
      <c r="H368" s="5" t="inlineStr">
        <is>
          <t>Identify previously regular customers who have not placed an order in 30/60/90 days</t>
        </is>
      </c>
      <c r="I368" s="5" t="inlineStr">
        <is>
          <t>Flags churn risk customers; automatically generates re-engagement call task for sales rep</t>
        </is>
      </c>
      <c r="J368" s="20" t="inlineStr">
        <is>
          <t>P1</t>
        </is>
      </c>
      <c r="K368" s="20" t="inlineStr">
        <is>
          <t>Validated (Supported)</t>
        </is>
      </c>
      <c r="L368" s="5" t="inlineStr">
        <is>
          <t>Supported via Customer Inactivity &amp; Churn Alert report.</t>
        </is>
      </c>
      <c r="M368" s="8" t="inlineStr">
        <is>
          <t>Baseline</t>
        </is>
      </c>
      <c r="N368" s="8" t="inlineStr">
        <is>
          <t>Cross-persona</t>
        </is>
      </c>
      <c r="O368" s="8" t="inlineStr">
        <is>
          <t>P1</t>
        </is>
      </c>
      <c r="P368" s="5" t="inlineStr">
        <is>
          <t>Unchanged</t>
        </is>
      </c>
      <c r="Q368" s="20" t="inlineStr">
        <is>
          <t>Author assertion</t>
        </is>
      </c>
      <c r="R368" s="5" t="inlineStr"/>
      <c r="S368" s="8" t="inlineStr">
        <is>
          <t>CRM</t>
        </is>
      </c>
      <c r="T368" s="5" t="inlineStr">
        <is>
          <t>Sales and CRM lifecycle</t>
        </is>
      </c>
      <c r="U368" s="8" t="inlineStr"/>
      <c r="V368" s="8" t="inlineStr">
        <is>
          <t>crm</t>
        </is>
      </c>
      <c r="W368" s="8" t="inlineStr">
        <is>
          <t>GROW</t>
        </is>
      </c>
      <c r="X368" s="5" t="inlineStr">
        <is>
          <t>Core</t>
        </is>
      </c>
      <c r="Y368" s="5" t="inlineStr">
        <is>
          <t>Cross-persona</t>
        </is>
      </c>
      <c r="Z368" s="5" t="inlineStr">
        <is>
          <t>Medium</t>
        </is>
      </c>
      <c r="AA368" s="5" t="inlineStr">
        <is>
          <t>Medium</t>
        </is>
      </c>
      <c r="AB368" s="8" t="inlineStr">
        <is>
          <t>Low</t>
        </is>
      </c>
      <c r="AC368" s="8" t="inlineStr">
        <is>
          <t>Later</t>
        </is>
      </c>
      <c r="AD368" s="5" t="inlineStr">
        <is>
          <t>Not independently checked</t>
        </is>
      </c>
      <c r="AE368" s="5" t="inlineStr">
        <is>
          <t>Not verified</t>
        </is>
      </c>
      <c r="AF368" s="5" t="inlineStr">
        <is>
          <t>Not verified</t>
        </is>
      </c>
      <c r="AG368" s="5" t="inlineStr">
        <is>
          <t>Not verified</t>
        </is>
      </c>
      <c r="AH368" s="5" t="inlineStr">
        <is>
          <t>Not verified</t>
        </is>
      </c>
      <c r="AI368" s="8" t="inlineStr">
        <is>
          <t>No</t>
        </is>
      </c>
      <c r="AJ368" s="8" t="inlineStr">
        <is>
          <t>Claimed - unverified</t>
        </is>
      </c>
      <c r="AK368" s="8" t="inlineStr">
        <is>
          <t>P1</t>
        </is>
      </c>
      <c r="AL368" s="8" t="n">
        <v>6</v>
      </c>
      <c r="AM368" s="5" t="inlineStr"/>
      <c r="AN368" s="5" t="inlineStr"/>
      <c r="AO368" s="5" t="inlineStr"/>
      <c r="AP368" s="5" t="inlineStr"/>
      <c r="AQ368" s="5" t="inlineStr"/>
      <c r="AR368" s="5" t="inlineStr"/>
      <c r="AS368" s="5" t="inlineStr"/>
      <c r="AT368" s="5" t="inlineStr"/>
      <c r="AU368" s="8" t="inlineStr">
        <is>
          <t>Not run</t>
        </is>
      </c>
    </row>
    <row r="369" ht="32" customHeight="1">
      <c r="A369" s="16" t="inlineStr">
        <is>
          <t>X-0368</t>
        </is>
      </c>
      <c r="B369" s="8" t="inlineStr">
        <is>
          <t>X</t>
        </is>
      </c>
      <c r="C369" s="5" t="inlineStr">
        <is>
          <t>Multiple / Cross-persona</t>
        </is>
      </c>
      <c r="D369" s="5" t="inlineStr">
        <is>
          <t>Sales / CRM / Customer Lifecycle</t>
        </is>
      </c>
      <c r="E369" s="5" t="inlineStr">
        <is>
          <t>Customer warranty/AMC → service obligation recorded</t>
        </is>
      </c>
      <c r="F369" s="5" t="inlineStr">
        <is>
          <t>Service Manager</t>
        </is>
      </c>
      <c r="G369" s="5" t="inlineStr">
        <is>
          <t>Customer</t>
        </is>
      </c>
      <c r="H369" s="5" t="inlineStr">
        <is>
          <t>Track warranty period, Annual Maintenance Contract (AMC), or service obligations</t>
        </is>
      </c>
      <c r="I369" s="5" t="inlineStr">
        <is>
          <t>Creates WarrantyContract record linked to sold serial number; schedules preventive service</t>
        </is>
      </c>
      <c r="J369" s="20" t="inlineStr">
        <is>
          <t>P1</t>
        </is>
      </c>
      <c r="K369" s="20" t="inlineStr">
        <is>
          <t>Validated (Supported)</t>
        </is>
      </c>
      <c r="L369" s="5" t="inlineStr">
        <is>
          <t>Supported via Contracts / Warranty module (/contracts/).</t>
        </is>
      </c>
      <c r="M369" s="8" t="inlineStr">
        <is>
          <t>Baseline</t>
        </is>
      </c>
      <c r="N369" s="8" t="inlineStr">
        <is>
          <t>Cross-persona</t>
        </is>
      </c>
      <c r="O369" s="8" t="inlineStr">
        <is>
          <t>P1</t>
        </is>
      </c>
      <c r="P369" s="5" t="inlineStr">
        <is>
          <t>Unchanged</t>
        </is>
      </c>
      <c r="Q369" s="20" t="inlineStr">
        <is>
          <t>Author assertion</t>
        </is>
      </c>
      <c r="R369" s="5" t="inlineStr"/>
      <c r="S369" s="8" t="inlineStr">
        <is>
          <t>CRM</t>
        </is>
      </c>
      <c r="T369" s="5" t="inlineStr">
        <is>
          <t>Sales and CRM lifecycle</t>
        </is>
      </c>
      <c r="U369" s="8" t="inlineStr"/>
      <c r="V369" s="8" t="inlineStr">
        <is>
          <t>crm</t>
        </is>
      </c>
      <c r="W369" s="8" t="inlineStr">
        <is>
          <t>GROW</t>
        </is>
      </c>
      <c r="X369" s="5" t="inlineStr">
        <is>
          <t>Core</t>
        </is>
      </c>
      <c r="Y369" s="5" t="inlineStr">
        <is>
          <t>Cross-persona</t>
        </is>
      </c>
      <c r="Z369" s="5" t="inlineStr">
        <is>
          <t>Medium</t>
        </is>
      </c>
      <c r="AA369" s="5" t="inlineStr">
        <is>
          <t>Medium</t>
        </is>
      </c>
      <c r="AB369" s="8" t="inlineStr">
        <is>
          <t>Low</t>
        </is>
      </c>
      <c r="AC369" s="8" t="inlineStr">
        <is>
          <t>Later</t>
        </is>
      </c>
      <c r="AD369" s="5" t="inlineStr">
        <is>
          <t>Not independently checked</t>
        </is>
      </c>
      <c r="AE369" s="5" t="inlineStr">
        <is>
          <t>Not verified</t>
        </is>
      </c>
      <c r="AF369" s="5" t="inlineStr">
        <is>
          <t>Not verified</t>
        </is>
      </c>
      <c r="AG369" s="5" t="inlineStr">
        <is>
          <t>Not verified</t>
        </is>
      </c>
      <c r="AH369" s="5" t="inlineStr">
        <is>
          <t>Not verified</t>
        </is>
      </c>
      <c r="AI369" s="8" t="inlineStr">
        <is>
          <t>No</t>
        </is>
      </c>
      <c r="AJ369" s="8" t="inlineStr">
        <is>
          <t>Claimed - unverified</t>
        </is>
      </c>
      <c r="AK369" s="8" t="inlineStr">
        <is>
          <t>P1</t>
        </is>
      </c>
      <c r="AL369" s="8" t="n">
        <v>6</v>
      </c>
      <c r="AM369" s="5" t="inlineStr"/>
      <c r="AN369" s="5" t="inlineStr"/>
      <c r="AO369" s="5" t="inlineStr"/>
      <c r="AP369" s="5" t="inlineStr"/>
      <c r="AQ369" s="5" t="inlineStr"/>
      <c r="AR369" s="5" t="inlineStr"/>
      <c r="AS369" s="5" t="inlineStr"/>
      <c r="AT369" s="5" t="inlineStr"/>
      <c r="AU369" s="8" t="inlineStr">
        <is>
          <t>Not run</t>
        </is>
      </c>
    </row>
    <row r="370" ht="32" customHeight="1">
      <c r="A370" s="16" t="inlineStr">
        <is>
          <t>X-0369</t>
        </is>
      </c>
      <c r="B370" s="8" t="inlineStr">
        <is>
          <t>X</t>
        </is>
      </c>
      <c r="C370" s="5" t="inlineStr">
        <is>
          <t>Multiple / Cross-persona</t>
        </is>
      </c>
      <c r="D370" s="5" t="inlineStr">
        <is>
          <t>Returns / Complaints / After-Sales</t>
        </is>
      </c>
      <c r="E370" s="5" t="inlineStr">
        <is>
          <t>Customer requests return</t>
        </is>
      </c>
      <c r="F370" s="5" t="inlineStr">
        <is>
          <t>Customer Support / Sales Clerk</t>
        </is>
      </c>
      <c r="G370" s="5" t="inlineStr">
        <is>
          <t>Customer</t>
        </is>
      </c>
      <c r="H370" s="5" t="inlineStr">
        <is>
          <t>Receive customer request to return items, logging reason (defective, wrong item, excess)</t>
        </is>
      </c>
      <c r="I370" s="5" t="inlineStr">
        <is>
          <t>Creates SalesReturn in DRAFT status referencing original sales invoice</t>
        </is>
      </c>
      <c r="J370" s="20" t="inlineStr">
        <is>
          <t>P1</t>
        </is>
      </c>
      <c r="K370" s="20" t="inlineStr">
        <is>
          <t>Validated (Supported)</t>
        </is>
      </c>
      <c r="L370" s="5" t="inlineStr">
        <is>
          <t>Supported via /sales/returns/create with invoice lookup.</t>
        </is>
      </c>
      <c r="M370" s="8" t="inlineStr">
        <is>
          <t>Baseline</t>
        </is>
      </c>
      <c r="N370" s="8" t="inlineStr">
        <is>
          <t>Cross-persona</t>
        </is>
      </c>
      <c r="O370" s="8" t="inlineStr">
        <is>
          <t>P1</t>
        </is>
      </c>
      <c r="P370" s="5" t="inlineStr">
        <is>
          <t>Unchanged</t>
        </is>
      </c>
      <c r="Q370" s="20" t="inlineStr">
        <is>
          <t>Author assertion</t>
        </is>
      </c>
      <c r="R370" s="5" t="inlineStr"/>
      <c r="S370" s="8" t="inlineStr">
        <is>
          <t>RET</t>
        </is>
      </c>
      <c r="T370" s="5" t="inlineStr">
        <is>
          <t>Returns, complaints, and after-sales</t>
        </is>
      </c>
      <c r="U370" s="8" t="inlineStr"/>
      <c r="V370" s="8" t="inlineStr">
        <is>
          <t>sales</t>
        </is>
      </c>
      <c r="W370" s="8" t="inlineStr">
        <is>
          <t>RUN</t>
        </is>
      </c>
      <c r="X370" s="5" t="inlineStr">
        <is>
          <t>Core</t>
        </is>
      </c>
      <c r="Y370" s="5" t="inlineStr">
        <is>
          <t>Cross-persona</t>
        </is>
      </c>
      <c r="Z370" s="5" t="inlineStr">
        <is>
          <t>Medium</t>
        </is>
      </c>
      <c r="AA370" s="5" t="inlineStr">
        <is>
          <t>Medium</t>
        </is>
      </c>
      <c r="AB370" s="8" t="inlineStr">
        <is>
          <t>Low</t>
        </is>
      </c>
      <c r="AC370" s="8" t="inlineStr">
        <is>
          <t>Pilot</t>
        </is>
      </c>
      <c r="AD370" s="5" t="inlineStr">
        <is>
          <t>Not independently checked</t>
        </is>
      </c>
      <c r="AE370" s="5" t="inlineStr">
        <is>
          <t>Not verified</t>
        </is>
      </c>
      <c r="AF370" s="5" t="inlineStr">
        <is>
          <t>Not verified</t>
        </is>
      </c>
      <c r="AG370" s="5" t="inlineStr">
        <is>
          <t>Not verified</t>
        </is>
      </c>
      <c r="AH370" s="5" t="inlineStr">
        <is>
          <t>Not verified</t>
        </is>
      </c>
      <c r="AI370" s="8" t="inlineStr">
        <is>
          <t>No</t>
        </is>
      </c>
      <c r="AJ370" s="8" t="inlineStr">
        <is>
          <t>Claimed - unverified</t>
        </is>
      </c>
      <c r="AK370" s="8" t="inlineStr">
        <is>
          <t>P1</t>
        </is>
      </c>
      <c r="AL370" s="8" t="n">
        <v>6</v>
      </c>
      <c r="AM370" s="5" t="inlineStr"/>
      <c r="AN370" s="5" t="inlineStr"/>
      <c r="AO370" s="5" t="inlineStr"/>
      <c r="AP370" s="5" t="inlineStr"/>
      <c r="AQ370" s="5" t="inlineStr"/>
      <c r="AR370" s="5" t="inlineStr"/>
      <c r="AS370" s="5" t="inlineStr"/>
      <c r="AT370" s="5" t="inlineStr"/>
      <c r="AU370" s="8" t="inlineStr">
        <is>
          <t>Not run</t>
        </is>
      </c>
    </row>
    <row r="371" ht="32" customHeight="1">
      <c r="A371" s="16" t="inlineStr">
        <is>
          <t>X-0370</t>
        </is>
      </c>
      <c r="B371" s="8" t="inlineStr">
        <is>
          <t>X</t>
        </is>
      </c>
      <c r="C371" s="5" t="inlineStr">
        <is>
          <t>Multiple / Cross-persona</t>
        </is>
      </c>
      <c r="D371" s="5" t="inlineStr">
        <is>
          <t>Returns / Complaints / After-Sales</t>
        </is>
      </c>
      <c r="E371" s="5" t="inlineStr">
        <is>
          <t>Salesperson creates return request</t>
        </is>
      </c>
      <c r="F371" s="5" t="inlineStr">
        <is>
          <t>Field Salesperson</t>
        </is>
      </c>
      <c r="G371" s="5" t="inlineStr">
        <is>
          <t>Customer / Store Manager</t>
        </is>
      </c>
      <c r="H371" s="5" t="inlineStr">
        <is>
          <t>Salesperson initiates return request on mobile app during customer site visit</t>
        </is>
      </c>
      <c r="I371" s="5" t="inlineStr">
        <is>
          <t>Submits return request with item photo and reason code for manager approval</t>
        </is>
      </c>
      <c r="J371" s="20" t="inlineStr">
        <is>
          <t>P1</t>
        </is>
      </c>
      <c r="K371" s="20" t="inlineStr">
        <is>
          <t>Validated (Supported)</t>
        </is>
      </c>
      <c r="L371" s="5" t="inlineStr">
        <is>
          <t>Supported via Mobile Return Request form.</t>
        </is>
      </c>
      <c r="M371" s="8" t="inlineStr">
        <is>
          <t>Baseline</t>
        </is>
      </c>
      <c r="N371" s="8" t="inlineStr">
        <is>
          <t>Cross-persona</t>
        </is>
      </c>
      <c r="O371" s="8" t="inlineStr">
        <is>
          <t>P1</t>
        </is>
      </c>
      <c r="P371" s="5" t="inlineStr">
        <is>
          <t>Unchanged</t>
        </is>
      </c>
      <c r="Q371" s="20" t="inlineStr">
        <is>
          <t>Author assertion</t>
        </is>
      </c>
      <c r="R371" s="5" t="inlineStr"/>
      <c r="S371" s="8" t="inlineStr">
        <is>
          <t>RET</t>
        </is>
      </c>
      <c r="T371" s="5" t="inlineStr">
        <is>
          <t>Returns, complaints, and after-sales</t>
        </is>
      </c>
      <c r="U371" s="8" t="inlineStr"/>
      <c r="V371" s="8" t="inlineStr">
        <is>
          <t>sales</t>
        </is>
      </c>
      <c r="W371" s="8" t="inlineStr">
        <is>
          <t>RUN</t>
        </is>
      </c>
      <c r="X371" s="5" t="inlineStr">
        <is>
          <t>Core</t>
        </is>
      </c>
      <c r="Y371" s="5" t="inlineStr">
        <is>
          <t>Cross-persona</t>
        </is>
      </c>
      <c r="Z371" s="5" t="inlineStr">
        <is>
          <t>Medium</t>
        </is>
      </c>
      <c r="AA371" s="5" t="inlineStr">
        <is>
          <t>Medium</t>
        </is>
      </c>
      <c r="AB371" s="8" t="inlineStr">
        <is>
          <t>Low</t>
        </is>
      </c>
      <c r="AC371" s="8" t="inlineStr">
        <is>
          <t>Pilot</t>
        </is>
      </c>
      <c r="AD371" s="5" t="inlineStr">
        <is>
          <t>Not independently checked</t>
        </is>
      </c>
      <c r="AE371" s="5" t="inlineStr">
        <is>
          <t>Not verified</t>
        </is>
      </c>
      <c r="AF371" s="5" t="inlineStr">
        <is>
          <t>Not verified</t>
        </is>
      </c>
      <c r="AG371" s="5" t="inlineStr">
        <is>
          <t>Not verified</t>
        </is>
      </c>
      <c r="AH371" s="5" t="inlineStr">
        <is>
          <t>Not verified</t>
        </is>
      </c>
      <c r="AI371" s="8" t="inlineStr">
        <is>
          <t>No</t>
        </is>
      </c>
      <c r="AJ371" s="8" t="inlineStr">
        <is>
          <t>Claimed - unverified</t>
        </is>
      </c>
      <c r="AK371" s="8" t="inlineStr">
        <is>
          <t>P1</t>
        </is>
      </c>
      <c r="AL371" s="8" t="n">
        <v>6</v>
      </c>
      <c r="AM371" s="5" t="inlineStr"/>
      <c r="AN371" s="5" t="inlineStr"/>
      <c r="AO371" s="5" t="inlineStr"/>
      <c r="AP371" s="5" t="inlineStr"/>
      <c r="AQ371" s="5" t="inlineStr"/>
      <c r="AR371" s="5" t="inlineStr"/>
      <c r="AS371" s="5" t="inlineStr"/>
      <c r="AT371" s="5" t="inlineStr"/>
      <c r="AU371" s="8" t="inlineStr">
        <is>
          <t>Not run</t>
        </is>
      </c>
    </row>
    <row r="372" ht="32" customHeight="1">
      <c r="A372" s="16" t="inlineStr">
        <is>
          <t>X-0371</t>
        </is>
      </c>
      <c r="B372" s="8" t="inlineStr">
        <is>
          <t>X</t>
        </is>
      </c>
      <c r="C372" s="5" t="inlineStr">
        <is>
          <t>Multiple / Cross-persona</t>
        </is>
      </c>
      <c r="D372" s="5" t="inlineStr">
        <is>
          <t>Returns / Complaints / After-Sales</t>
        </is>
      </c>
      <c r="E372" s="5" t="inlineStr">
        <is>
          <t>Manager approves return</t>
        </is>
      </c>
      <c r="F372" s="5" t="inlineStr">
        <is>
          <t>Store Manager / Operations Head</t>
        </is>
      </c>
      <c r="G372" s="5" t="inlineStr">
        <is>
          <t>Billing Clerk</t>
        </is>
      </c>
      <c r="H372" s="5" t="inlineStr">
        <is>
          <t>Manager verifies return justification and authorizes warehouse intake and credit issuance</t>
        </is>
      </c>
      <c r="I372" s="5" t="inlineStr">
        <is>
          <t>Updates SalesReturn status to APPROVED; authorizes warehouse inspection and credit note</t>
        </is>
      </c>
      <c r="J372" s="20" t="inlineStr">
        <is>
          <t>P1</t>
        </is>
      </c>
      <c r="K372" s="20" t="inlineStr">
        <is>
          <t>Validated (Supported)</t>
        </is>
      </c>
      <c r="L372" s="5" t="inlineStr">
        <is>
          <t>Supported via Manager Return Approval queue.</t>
        </is>
      </c>
      <c r="M372" s="8" t="inlineStr">
        <is>
          <t>Baseline</t>
        </is>
      </c>
      <c r="N372" s="8" t="inlineStr">
        <is>
          <t>Cross-persona</t>
        </is>
      </c>
      <c r="O372" s="8" t="inlineStr">
        <is>
          <t>P1</t>
        </is>
      </c>
      <c r="P372" s="5" t="inlineStr">
        <is>
          <t>Unchanged</t>
        </is>
      </c>
      <c r="Q372" s="20" t="inlineStr">
        <is>
          <t>Author assertion</t>
        </is>
      </c>
      <c r="R372" s="5" t="inlineStr"/>
      <c r="S372" s="8" t="inlineStr">
        <is>
          <t>RET</t>
        </is>
      </c>
      <c r="T372" s="5" t="inlineStr">
        <is>
          <t>Returns, complaints, and after-sales</t>
        </is>
      </c>
      <c r="U372" s="8" t="inlineStr"/>
      <c r="V372" s="8" t="inlineStr">
        <is>
          <t>sales</t>
        </is>
      </c>
      <c r="W372" s="8" t="inlineStr">
        <is>
          <t>RUN</t>
        </is>
      </c>
      <c r="X372" s="5" t="inlineStr">
        <is>
          <t>Core</t>
        </is>
      </c>
      <c r="Y372" s="5" t="inlineStr">
        <is>
          <t>Cross-persona</t>
        </is>
      </c>
      <c r="Z372" s="5" t="inlineStr">
        <is>
          <t>Medium</t>
        </is>
      </c>
      <c r="AA372" s="5" t="inlineStr">
        <is>
          <t>Medium</t>
        </is>
      </c>
      <c r="AB372" s="8" t="inlineStr">
        <is>
          <t>Low</t>
        </is>
      </c>
      <c r="AC372" s="8" t="inlineStr">
        <is>
          <t>Pilot</t>
        </is>
      </c>
      <c r="AD372" s="5" t="inlineStr">
        <is>
          <t>Not independently checked</t>
        </is>
      </c>
      <c r="AE372" s="5" t="inlineStr">
        <is>
          <t>Not verified</t>
        </is>
      </c>
      <c r="AF372" s="5" t="inlineStr">
        <is>
          <t>Not verified</t>
        </is>
      </c>
      <c r="AG372" s="5" t="inlineStr">
        <is>
          <t>Not verified</t>
        </is>
      </c>
      <c r="AH372" s="5" t="inlineStr">
        <is>
          <t>Not verified</t>
        </is>
      </c>
      <c r="AI372" s="8" t="inlineStr">
        <is>
          <t>No</t>
        </is>
      </c>
      <c r="AJ372" s="8" t="inlineStr">
        <is>
          <t>Claimed - unverified</t>
        </is>
      </c>
      <c r="AK372" s="8" t="inlineStr">
        <is>
          <t>P1</t>
        </is>
      </c>
      <c r="AL372" s="8" t="n">
        <v>6</v>
      </c>
      <c r="AM372" s="5" t="inlineStr"/>
      <c r="AN372" s="5" t="inlineStr"/>
      <c r="AO372" s="5" t="inlineStr"/>
      <c r="AP372" s="5" t="inlineStr"/>
      <c r="AQ372" s="5" t="inlineStr"/>
      <c r="AR372" s="5" t="inlineStr"/>
      <c r="AS372" s="5" t="inlineStr"/>
      <c r="AT372" s="5" t="inlineStr"/>
      <c r="AU372" s="8" t="inlineStr">
        <is>
          <t>Not run</t>
        </is>
      </c>
    </row>
    <row r="373" ht="32" customHeight="1">
      <c r="A373" s="16" t="inlineStr">
        <is>
          <t>X-0372</t>
        </is>
      </c>
      <c r="B373" s="8" t="inlineStr">
        <is>
          <t>X</t>
        </is>
      </c>
      <c r="C373" s="5" t="inlineStr">
        <is>
          <t>Multiple / Cross-persona</t>
        </is>
      </c>
      <c r="D373" s="5" t="inlineStr">
        <is>
          <t>Returns / Complaints / After-Sales</t>
        </is>
      </c>
      <c r="E373" s="5" t="inlineStr">
        <is>
          <t>Warehouse receives returned goods</t>
        </is>
      </c>
      <c r="F373" s="5" t="inlineStr">
        <is>
          <t>Godown Custodian</t>
        </is>
      </c>
      <c r="G373" s="5" t="inlineStr">
        <is>
          <t>Customer / Delivery Driver</t>
        </is>
      </c>
      <c r="H373" s="5" t="inlineStr">
        <is>
          <t>Physical intake of returned items at warehouse receiving dock</t>
        </is>
      </c>
      <c r="I373" s="5" t="inlineStr">
        <is>
          <t>Records physical package arrival; initiates quality inspection process</t>
        </is>
      </c>
      <c r="J373" s="20" t="inlineStr">
        <is>
          <t>P1</t>
        </is>
      </c>
      <c r="K373" s="20" t="inlineStr">
        <is>
          <t>Validated (Supported)</t>
        </is>
      </c>
      <c r="L373" s="5" t="inlineStr">
        <is>
          <t>Supported via Return Intake step in warehouse receiving.</t>
        </is>
      </c>
      <c r="M373" s="8" t="inlineStr">
        <is>
          <t>Baseline</t>
        </is>
      </c>
      <c r="N373" s="8" t="inlineStr">
        <is>
          <t>Cross-persona</t>
        </is>
      </c>
      <c r="O373" s="8" t="inlineStr">
        <is>
          <t>P1</t>
        </is>
      </c>
      <c r="P373" s="5" t="inlineStr">
        <is>
          <t>Unchanged</t>
        </is>
      </c>
      <c r="Q373" s="20" t="inlineStr">
        <is>
          <t>Author assertion</t>
        </is>
      </c>
      <c r="R373" s="5" t="inlineStr"/>
      <c r="S373" s="8" t="inlineStr">
        <is>
          <t>RET</t>
        </is>
      </c>
      <c r="T373" s="5" t="inlineStr">
        <is>
          <t>Returns, complaints, and after-sales</t>
        </is>
      </c>
      <c r="U373" s="8" t="inlineStr"/>
      <c r="V373" s="8" t="inlineStr">
        <is>
          <t>sales</t>
        </is>
      </c>
      <c r="W373" s="8" t="inlineStr">
        <is>
          <t>RUN</t>
        </is>
      </c>
      <c r="X373" s="5" t="inlineStr">
        <is>
          <t>Core</t>
        </is>
      </c>
      <c r="Y373" s="5" t="inlineStr">
        <is>
          <t>Cross-persona</t>
        </is>
      </c>
      <c r="Z373" s="5" t="inlineStr">
        <is>
          <t>Medium</t>
        </is>
      </c>
      <c r="AA373" s="5" t="inlineStr">
        <is>
          <t>Medium</t>
        </is>
      </c>
      <c r="AB373" s="8" t="inlineStr">
        <is>
          <t>Low</t>
        </is>
      </c>
      <c r="AC373" s="8" t="inlineStr">
        <is>
          <t>Pilot</t>
        </is>
      </c>
      <c r="AD373" s="5" t="inlineStr">
        <is>
          <t>Not independently checked</t>
        </is>
      </c>
      <c r="AE373" s="5" t="inlineStr">
        <is>
          <t>Not verified</t>
        </is>
      </c>
      <c r="AF373" s="5" t="inlineStr">
        <is>
          <t>Not verified</t>
        </is>
      </c>
      <c r="AG373" s="5" t="inlineStr">
        <is>
          <t>Not verified</t>
        </is>
      </c>
      <c r="AH373" s="5" t="inlineStr">
        <is>
          <t>Not verified</t>
        </is>
      </c>
      <c r="AI373" s="8" t="inlineStr">
        <is>
          <t>No</t>
        </is>
      </c>
      <c r="AJ373" s="8" t="inlineStr">
        <is>
          <t>Claimed - unverified</t>
        </is>
      </c>
      <c r="AK373" s="8" t="inlineStr">
        <is>
          <t>P1</t>
        </is>
      </c>
      <c r="AL373" s="8" t="n">
        <v>6</v>
      </c>
      <c r="AM373" s="5" t="inlineStr"/>
      <c r="AN373" s="5" t="inlineStr"/>
      <c r="AO373" s="5" t="inlineStr"/>
      <c r="AP373" s="5" t="inlineStr"/>
      <c r="AQ373" s="5" t="inlineStr"/>
      <c r="AR373" s="5" t="inlineStr"/>
      <c r="AS373" s="5" t="inlineStr"/>
      <c r="AT373" s="5" t="inlineStr"/>
      <c r="AU373" s="8" t="inlineStr">
        <is>
          <t>Not run</t>
        </is>
      </c>
    </row>
    <row r="374" ht="32" customHeight="1">
      <c r="A374" s="16" t="inlineStr">
        <is>
          <t>X-0373</t>
        </is>
      </c>
      <c r="B374" s="8" t="inlineStr">
        <is>
          <t>X</t>
        </is>
      </c>
      <c r="C374" s="5" t="inlineStr">
        <is>
          <t>Multiple / Cross-persona</t>
        </is>
      </c>
      <c r="D374" s="5" t="inlineStr">
        <is>
          <t>Returns / Complaints / After-Sales</t>
        </is>
      </c>
      <c r="E374" s="5" t="inlineStr">
        <is>
          <t>Returned goods inspected</t>
        </is>
      </c>
      <c r="F374" s="5" t="inlineStr">
        <is>
          <t>Quality Inspector / Custodian</t>
        </is>
      </c>
      <c r="G374" s="5" t="inlineStr">
        <is>
          <t>Warehouse Manager</t>
        </is>
      </c>
      <c r="H374" s="5" t="inlineStr">
        <is>
          <t>Inspect returned goods to determine if items are resaleable, repairable, or total scrap</t>
        </is>
      </c>
      <c r="I374" s="5" t="inlineStr">
        <is>
          <t>Tags item condition (RESELLABLE, DAMAGED, EXPIRED); determines restocking path</t>
        </is>
      </c>
      <c r="J374" s="20" t="inlineStr">
        <is>
          <t>P1</t>
        </is>
      </c>
      <c r="K374" s="20" t="inlineStr">
        <is>
          <t>Validated (Supported)</t>
        </is>
      </c>
      <c r="L374" s="5" t="inlineStr">
        <is>
          <t>Supported via Return Inspection modal with condition grading.</t>
        </is>
      </c>
      <c r="M374" s="8" t="inlineStr">
        <is>
          <t>Baseline</t>
        </is>
      </c>
      <c r="N374" s="8" t="inlineStr">
        <is>
          <t>Cross-persona</t>
        </is>
      </c>
      <c r="O374" s="8" t="inlineStr">
        <is>
          <t>P1</t>
        </is>
      </c>
      <c r="P374" s="5" t="inlineStr">
        <is>
          <t>Unchanged</t>
        </is>
      </c>
      <c r="Q374" s="20" t="inlineStr">
        <is>
          <t>Author assertion</t>
        </is>
      </c>
      <c r="R374" s="5" t="inlineStr"/>
      <c r="S374" s="8" t="inlineStr">
        <is>
          <t>RET</t>
        </is>
      </c>
      <c r="T374" s="5" t="inlineStr">
        <is>
          <t>Returns, complaints, and after-sales</t>
        </is>
      </c>
      <c r="U374" s="8" t="inlineStr"/>
      <c r="V374" s="8" t="inlineStr">
        <is>
          <t>sales</t>
        </is>
      </c>
      <c r="W374" s="8" t="inlineStr">
        <is>
          <t>RUN</t>
        </is>
      </c>
      <c r="X374" s="5" t="inlineStr">
        <is>
          <t>Core</t>
        </is>
      </c>
      <c r="Y374" s="5" t="inlineStr">
        <is>
          <t>Cross-persona</t>
        </is>
      </c>
      <c r="Z374" s="5" t="inlineStr">
        <is>
          <t>Medium</t>
        </is>
      </c>
      <c r="AA374" s="5" t="inlineStr">
        <is>
          <t>Medium</t>
        </is>
      </c>
      <c r="AB374" s="8" t="inlineStr">
        <is>
          <t>Low</t>
        </is>
      </c>
      <c r="AC374" s="8" t="inlineStr">
        <is>
          <t>Pilot</t>
        </is>
      </c>
      <c r="AD374" s="5" t="inlineStr">
        <is>
          <t>Not independently checked</t>
        </is>
      </c>
      <c r="AE374" s="5" t="inlineStr">
        <is>
          <t>Not verified</t>
        </is>
      </c>
      <c r="AF374" s="5" t="inlineStr">
        <is>
          <t>Not verified</t>
        </is>
      </c>
      <c r="AG374" s="5" t="inlineStr">
        <is>
          <t>Not verified</t>
        </is>
      </c>
      <c r="AH374" s="5" t="inlineStr">
        <is>
          <t>Not verified</t>
        </is>
      </c>
      <c r="AI374" s="8" t="inlineStr">
        <is>
          <t>No</t>
        </is>
      </c>
      <c r="AJ374" s="8" t="inlineStr">
        <is>
          <t>Claimed - unverified</t>
        </is>
      </c>
      <c r="AK374" s="8" t="inlineStr">
        <is>
          <t>P1</t>
        </is>
      </c>
      <c r="AL374" s="8" t="n">
        <v>6</v>
      </c>
      <c r="AM374" s="5" t="inlineStr"/>
      <c r="AN374" s="5" t="inlineStr"/>
      <c r="AO374" s="5" t="inlineStr"/>
      <c r="AP374" s="5" t="inlineStr"/>
      <c r="AQ374" s="5" t="inlineStr"/>
      <c r="AR374" s="5" t="inlineStr"/>
      <c r="AS374" s="5" t="inlineStr"/>
      <c r="AT374" s="5" t="inlineStr"/>
      <c r="AU374" s="8" t="inlineStr">
        <is>
          <t>Not run</t>
        </is>
      </c>
    </row>
    <row r="375" ht="32" customHeight="1">
      <c r="A375" s="16" t="inlineStr">
        <is>
          <t>X-0374</t>
        </is>
      </c>
      <c r="B375" s="8" t="inlineStr">
        <is>
          <t>X</t>
        </is>
      </c>
      <c r="C375" s="5" t="inlineStr">
        <is>
          <t>Multiple / Cross-persona</t>
        </is>
      </c>
      <c r="D375" s="5" t="inlineStr">
        <is>
          <t>Returns / Complaints / After-Sales</t>
        </is>
      </c>
      <c r="E375" s="5" t="inlineStr">
        <is>
          <t>Good stock → inventory restored</t>
        </is>
      </c>
      <c r="F375" s="5" t="inlineStr">
        <is>
          <t>System / Inventory Ledger</t>
        </is>
      </c>
      <c r="G375" s="5" t="inlineStr">
        <is>
          <t>Godown Custodian</t>
        </is>
      </c>
      <c r="H375" s="5" t="inlineStr">
        <is>
          <t>Undamaged returned goods restored to active warehouse inventory for resale</t>
        </is>
      </c>
      <c r="I375" s="5" t="inlineStr">
        <is>
          <t>Creates StockMovement (RETURN_INWARD); increments warehouse StockBalance</t>
        </is>
      </c>
      <c r="J375" s="20" t="inlineStr">
        <is>
          <t>P1</t>
        </is>
      </c>
      <c r="K375" s="20" t="inlineStr">
        <is>
          <t>Validated (Supported)</t>
        </is>
      </c>
      <c r="L375" s="5" t="inlineStr">
        <is>
          <t>Core system invariant: approved return restores inventory balance atomically.</t>
        </is>
      </c>
      <c r="M375" s="8" t="inlineStr">
        <is>
          <t>Baseline</t>
        </is>
      </c>
      <c r="N375" s="8" t="inlineStr">
        <is>
          <t>Cross-persona</t>
        </is>
      </c>
      <c r="O375" s="8" t="inlineStr">
        <is>
          <t>P1</t>
        </is>
      </c>
      <c r="P375" s="5" t="inlineStr">
        <is>
          <t>Restored to authored P1. The previous workbook had P0 after a keyword rebalance.</t>
        </is>
      </c>
      <c r="Q375" s="20" t="inlineStr">
        <is>
          <t>Author assertion</t>
        </is>
      </c>
      <c r="R375" s="5" t="inlineStr">
        <is>
          <t>Restored to authored P1. The previous workbook had P0 after a keyword rebalance.</t>
        </is>
      </c>
      <c r="S375" s="8" t="inlineStr">
        <is>
          <t>RET</t>
        </is>
      </c>
      <c r="T375" s="5" t="inlineStr">
        <is>
          <t>Returns, complaints, and after-sales</t>
        </is>
      </c>
      <c r="U375" s="8" t="inlineStr"/>
      <c r="V375" s="8" t="inlineStr">
        <is>
          <t>sales</t>
        </is>
      </c>
      <c r="W375" s="8" t="inlineStr">
        <is>
          <t>RUN</t>
        </is>
      </c>
      <c r="X375" s="5" t="inlineStr">
        <is>
          <t>Core</t>
        </is>
      </c>
      <c r="Y375" s="5" t="inlineStr">
        <is>
          <t>Cross-persona</t>
        </is>
      </c>
      <c r="Z375" s="5" t="inlineStr">
        <is>
          <t>Medium</t>
        </is>
      </c>
      <c r="AA375" s="5" t="inlineStr">
        <is>
          <t>Medium</t>
        </is>
      </c>
      <c r="AB375" s="8" t="inlineStr">
        <is>
          <t>Low</t>
        </is>
      </c>
      <c r="AC375" s="8" t="inlineStr">
        <is>
          <t>Pilot</t>
        </is>
      </c>
      <c r="AD375" s="5" t="inlineStr">
        <is>
          <t>Not independently checked</t>
        </is>
      </c>
      <c r="AE375" s="5" t="inlineStr">
        <is>
          <t>Not verified</t>
        </is>
      </c>
      <c r="AF375" s="5" t="inlineStr">
        <is>
          <t>Not verified</t>
        </is>
      </c>
      <c r="AG375" s="5" t="inlineStr">
        <is>
          <t>Not verified</t>
        </is>
      </c>
      <c r="AH375" s="5" t="inlineStr">
        <is>
          <t>Not verified</t>
        </is>
      </c>
      <c r="AI375" s="8" t="inlineStr">
        <is>
          <t>No</t>
        </is>
      </c>
      <c r="AJ375" s="8" t="inlineStr">
        <is>
          <t>Claimed - unverified</t>
        </is>
      </c>
      <c r="AK375" s="8" t="inlineStr">
        <is>
          <t>P1</t>
        </is>
      </c>
      <c r="AL375" s="8" t="n">
        <v>6</v>
      </c>
      <c r="AM375" s="5" t="inlineStr"/>
      <c r="AN375" s="5" t="inlineStr"/>
      <c r="AO375" s="5" t="inlineStr"/>
      <c r="AP375" s="5" t="inlineStr"/>
      <c r="AQ375" s="5" t="inlineStr"/>
      <c r="AR375" s="5" t="inlineStr"/>
      <c r="AS375" s="5" t="inlineStr"/>
      <c r="AT375" s="5" t="inlineStr"/>
      <c r="AU375" s="8" t="inlineStr">
        <is>
          <t>Not run</t>
        </is>
      </c>
    </row>
    <row r="376" ht="32" customHeight="1">
      <c r="A376" s="16" t="inlineStr">
        <is>
          <t>X-0375</t>
        </is>
      </c>
      <c r="B376" s="8" t="inlineStr">
        <is>
          <t>X</t>
        </is>
      </c>
      <c r="C376" s="5" t="inlineStr">
        <is>
          <t>Multiple / Cross-persona</t>
        </is>
      </c>
      <c r="D376" s="5" t="inlineStr">
        <is>
          <t>Returns / Complaints / After-Sales</t>
        </is>
      </c>
      <c r="E376" s="5" t="inlineStr">
        <is>
          <t>Damaged return → damaged inventory recorded</t>
        </is>
      </c>
      <c r="F376" s="5" t="inlineStr">
        <is>
          <t>Godown Custodian</t>
        </is>
      </c>
      <c r="G376" s="5" t="inlineStr">
        <is>
          <t>Supplier / Scrap Dealer</t>
        </is>
      </c>
      <c r="H376" s="5" t="inlineStr">
        <is>
          <t>Damaged or broken returns routed to scrap/damaged quarantine location</t>
        </is>
      </c>
      <c r="I376" s="5" t="inlineStr">
        <is>
          <t>Transfers item to DAMAGED warehouse bin; prevents accidental customer resale</t>
        </is>
      </c>
      <c r="J376" s="20" t="inlineStr">
        <is>
          <t>P1</t>
        </is>
      </c>
      <c r="K376" s="20" t="inlineStr">
        <is>
          <t>Validated (Supported)</t>
        </is>
      </c>
      <c r="L376" s="5" t="inlineStr">
        <is>
          <t>Supported via damaged inventory segregation on return receipt.</t>
        </is>
      </c>
      <c r="M376" s="8" t="inlineStr">
        <is>
          <t>Baseline</t>
        </is>
      </c>
      <c r="N376" s="8" t="inlineStr">
        <is>
          <t>Cross-persona</t>
        </is>
      </c>
      <c r="O376" s="8" t="inlineStr">
        <is>
          <t>P1</t>
        </is>
      </c>
      <c r="P376" s="5" t="inlineStr">
        <is>
          <t>Unchanged</t>
        </is>
      </c>
      <c r="Q376" s="20" t="inlineStr">
        <is>
          <t>Author assertion</t>
        </is>
      </c>
      <c r="R376" s="5" t="inlineStr"/>
      <c r="S376" s="8" t="inlineStr">
        <is>
          <t>RET</t>
        </is>
      </c>
      <c r="T376" s="5" t="inlineStr">
        <is>
          <t>Returns, complaints, and after-sales</t>
        </is>
      </c>
      <c r="U376" s="8" t="inlineStr"/>
      <c r="V376" s="8" t="inlineStr">
        <is>
          <t>sales</t>
        </is>
      </c>
      <c r="W376" s="8" t="inlineStr">
        <is>
          <t>RUN</t>
        </is>
      </c>
      <c r="X376" s="5" t="inlineStr">
        <is>
          <t>Core</t>
        </is>
      </c>
      <c r="Y376" s="5" t="inlineStr">
        <is>
          <t>Cross-persona</t>
        </is>
      </c>
      <c r="Z376" s="5" t="inlineStr">
        <is>
          <t>Medium</t>
        </is>
      </c>
      <c r="AA376" s="5" t="inlineStr">
        <is>
          <t>Medium</t>
        </is>
      </c>
      <c r="AB376" s="8" t="inlineStr">
        <is>
          <t>Low</t>
        </is>
      </c>
      <c r="AC376" s="8" t="inlineStr">
        <is>
          <t>Pilot</t>
        </is>
      </c>
      <c r="AD376" s="5" t="inlineStr">
        <is>
          <t>Not independently checked</t>
        </is>
      </c>
      <c r="AE376" s="5" t="inlineStr">
        <is>
          <t>Not verified</t>
        </is>
      </c>
      <c r="AF376" s="5" t="inlineStr">
        <is>
          <t>Not verified</t>
        </is>
      </c>
      <c r="AG376" s="5" t="inlineStr">
        <is>
          <t>Not verified</t>
        </is>
      </c>
      <c r="AH376" s="5" t="inlineStr">
        <is>
          <t>Not verified</t>
        </is>
      </c>
      <c r="AI376" s="8" t="inlineStr">
        <is>
          <t>No</t>
        </is>
      </c>
      <c r="AJ376" s="8" t="inlineStr">
        <is>
          <t>Claimed - unverified</t>
        </is>
      </c>
      <c r="AK376" s="8" t="inlineStr">
        <is>
          <t>P1</t>
        </is>
      </c>
      <c r="AL376" s="8" t="n">
        <v>6</v>
      </c>
      <c r="AM376" s="5" t="inlineStr"/>
      <c r="AN376" s="5" t="inlineStr"/>
      <c r="AO376" s="5" t="inlineStr"/>
      <c r="AP376" s="5" t="inlineStr"/>
      <c r="AQ376" s="5" t="inlineStr"/>
      <c r="AR376" s="5" t="inlineStr"/>
      <c r="AS376" s="5" t="inlineStr"/>
      <c r="AT376" s="5" t="inlineStr"/>
      <c r="AU376" s="8" t="inlineStr">
        <is>
          <t>Not run</t>
        </is>
      </c>
    </row>
    <row r="377" ht="32" customHeight="1">
      <c r="A377" s="16" t="inlineStr">
        <is>
          <t>X-0376</t>
        </is>
      </c>
      <c r="B377" s="8" t="inlineStr">
        <is>
          <t>X</t>
        </is>
      </c>
      <c r="C377" s="5" t="inlineStr">
        <is>
          <t>Multiple / Cross-persona</t>
        </is>
      </c>
      <c r="D377" s="5" t="inlineStr">
        <is>
          <t>Returns / Complaints / After-Sales</t>
        </is>
      </c>
      <c r="E377" s="5" t="inlineStr">
        <is>
          <t>Return → customer credit created</t>
        </is>
      </c>
      <c r="F377" s="5" t="inlineStr">
        <is>
          <t>In-house Accountant</t>
        </is>
      </c>
      <c r="G377" s="5" t="inlineStr">
        <is>
          <t>Customer</t>
        </is>
      </c>
      <c r="H377" s="5" t="inlineStr">
        <is>
          <t>Issue official GST-compliant Credit Note crediting customer's account for return value</t>
        </is>
      </c>
      <c r="I377" s="5" t="inlineStr">
        <is>
          <t>Generates SalesCreditNote; reduces customer Accounts Receivable balance</t>
        </is>
      </c>
      <c r="J377" s="20" t="inlineStr">
        <is>
          <t>P1</t>
        </is>
      </c>
      <c r="K377" s="20" t="inlineStr">
        <is>
          <t>Validated (Supported)</t>
        </is>
      </c>
      <c r="L377" s="5" t="inlineStr">
        <is>
          <t>Supported via SalesReturn completion; auto-generates SalesCreditNote.</t>
        </is>
      </c>
      <c r="M377" s="8" t="inlineStr">
        <is>
          <t>Baseline</t>
        </is>
      </c>
      <c r="N377" s="8" t="inlineStr">
        <is>
          <t>Cross-persona</t>
        </is>
      </c>
      <c r="O377" s="8" t="inlineStr">
        <is>
          <t>P1</t>
        </is>
      </c>
      <c r="P377" s="5" t="inlineStr">
        <is>
          <t>Unchanged</t>
        </is>
      </c>
      <c r="Q377" s="21" t="inlineStr">
        <is>
          <t>Code symbol found</t>
        </is>
      </c>
      <c r="R377" s="5" t="inlineStr">
        <is>
          <t>Matched SalesCreditNote in product code. This is not a functional test.</t>
        </is>
      </c>
      <c r="S377" s="8" t="inlineStr">
        <is>
          <t>RET</t>
        </is>
      </c>
      <c r="T377" s="5" t="inlineStr">
        <is>
          <t>Returns, complaints, and after-sales</t>
        </is>
      </c>
      <c r="U377" s="8" t="inlineStr"/>
      <c r="V377" s="8" t="inlineStr">
        <is>
          <t>sales</t>
        </is>
      </c>
      <c r="W377" s="8" t="inlineStr">
        <is>
          <t>RUN</t>
        </is>
      </c>
      <c r="X377" s="5" t="inlineStr">
        <is>
          <t>Core</t>
        </is>
      </c>
      <c r="Y377" s="5" t="inlineStr">
        <is>
          <t>Cross-persona</t>
        </is>
      </c>
      <c r="Z377" s="5" t="inlineStr">
        <is>
          <t>Medium</t>
        </is>
      </c>
      <c r="AA377" s="5" t="inlineStr">
        <is>
          <t>Medium</t>
        </is>
      </c>
      <c r="AB377" s="8" t="inlineStr">
        <is>
          <t>Low</t>
        </is>
      </c>
      <c r="AC377" s="8" t="inlineStr">
        <is>
          <t>Pilot</t>
        </is>
      </c>
      <c r="AD377" s="5" t="inlineStr">
        <is>
          <t>Cited in code</t>
        </is>
      </c>
      <c r="AE377" s="5" t="inlineStr">
        <is>
          <t>Not verified</t>
        </is>
      </c>
      <c r="AF377" s="5" t="inlineStr">
        <is>
          <t>Not verified</t>
        </is>
      </c>
      <c r="AG377" s="5" t="inlineStr">
        <is>
          <t>Not verified</t>
        </is>
      </c>
      <c r="AH377" s="5" t="inlineStr">
        <is>
          <t>Not verified</t>
        </is>
      </c>
      <c r="AI377" s="8" t="inlineStr">
        <is>
          <t>No</t>
        </is>
      </c>
      <c r="AJ377" s="8" t="inlineStr">
        <is>
          <t>Built - unverified</t>
        </is>
      </c>
      <c r="AK377" s="8" t="inlineStr">
        <is>
          <t>P1</t>
        </is>
      </c>
      <c r="AL377" s="8" t="n">
        <v>6</v>
      </c>
      <c r="AM377" s="5" t="inlineStr"/>
      <c r="AN377" s="5" t="inlineStr"/>
      <c r="AO377" s="5" t="inlineStr"/>
      <c r="AP377" s="5" t="inlineStr"/>
      <c r="AQ377" s="5" t="inlineStr"/>
      <c r="AR377" s="5" t="inlineStr"/>
      <c r="AS377" s="5" t="inlineStr"/>
      <c r="AT377" s="5" t="inlineStr"/>
      <c r="AU377" s="8" t="inlineStr">
        <is>
          <t>Not run</t>
        </is>
      </c>
    </row>
    <row r="378" ht="32" customHeight="1">
      <c r="A378" s="16" t="inlineStr">
        <is>
          <t>X-0377</t>
        </is>
      </c>
      <c r="B378" s="8" t="inlineStr">
        <is>
          <t>X</t>
        </is>
      </c>
      <c r="C378" s="5" t="inlineStr">
        <is>
          <t>Multiple / Cross-persona</t>
        </is>
      </c>
      <c r="D378" s="5" t="inlineStr">
        <is>
          <t>Returns / Complaints / After-Sales</t>
        </is>
      </c>
      <c r="E378" s="5" t="inlineStr">
        <is>
          <t>Return → refund initiated</t>
        </is>
      </c>
      <c r="F378" s="5" t="inlineStr">
        <is>
          <t>Cashier / Accountant</t>
        </is>
      </c>
      <c r="G378" s="5" t="inlineStr">
        <is>
          <t>Customer</t>
        </is>
      </c>
      <c r="H378" s="5" t="inlineStr">
        <is>
          <t>Disburse monetary refund via Cash, UPI, or Bank Transfer for returned goods</t>
        </is>
      </c>
      <c r="I378" s="5" t="inlineStr">
        <is>
          <t>Creates refund payment entry; credits Cash/Bank account in general ledger</t>
        </is>
      </c>
      <c r="J378" s="20" t="inlineStr">
        <is>
          <t>P1</t>
        </is>
      </c>
      <c r="K378" s="20" t="inlineStr">
        <is>
          <t>Validated (Supported)</t>
        </is>
      </c>
      <c r="L378" s="5" t="inlineStr">
        <is>
          <t>Supported via Cash/Bank Refund voucher linked to SalesCreditNote.</t>
        </is>
      </c>
      <c r="M378" s="8" t="inlineStr">
        <is>
          <t>Baseline</t>
        </is>
      </c>
      <c r="N378" s="8" t="inlineStr">
        <is>
          <t>Cross-persona</t>
        </is>
      </c>
      <c r="O378" s="8" t="inlineStr">
        <is>
          <t>P1</t>
        </is>
      </c>
      <c r="P378" s="5" t="inlineStr">
        <is>
          <t>Unchanged</t>
        </is>
      </c>
      <c r="Q378" s="21" t="inlineStr">
        <is>
          <t>Code symbol found</t>
        </is>
      </c>
      <c r="R378" s="5" t="inlineStr">
        <is>
          <t>Matched SalesCreditNote in product code. This is not a functional test.</t>
        </is>
      </c>
      <c r="S378" s="8" t="inlineStr">
        <is>
          <t>RET</t>
        </is>
      </c>
      <c r="T378" s="5" t="inlineStr">
        <is>
          <t>Returns, complaints, and after-sales</t>
        </is>
      </c>
      <c r="U378" s="8" t="inlineStr"/>
      <c r="V378" s="8" t="inlineStr">
        <is>
          <t>sales</t>
        </is>
      </c>
      <c r="W378" s="8" t="inlineStr">
        <is>
          <t>RUN</t>
        </is>
      </c>
      <c r="X378" s="5" t="inlineStr">
        <is>
          <t>Core</t>
        </is>
      </c>
      <c r="Y378" s="5" t="inlineStr">
        <is>
          <t>Cross-persona</t>
        </is>
      </c>
      <c r="Z378" s="5" t="inlineStr">
        <is>
          <t>Medium</t>
        </is>
      </c>
      <c r="AA378" s="5" t="inlineStr">
        <is>
          <t>Medium</t>
        </is>
      </c>
      <c r="AB378" s="8" t="inlineStr">
        <is>
          <t>Low</t>
        </is>
      </c>
      <c r="AC378" s="8" t="inlineStr">
        <is>
          <t>Pilot</t>
        </is>
      </c>
      <c r="AD378" s="5" t="inlineStr">
        <is>
          <t>Cited in code</t>
        </is>
      </c>
      <c r="AE378" s="5" t="inlineStr">
        <is>
          <t>Not verified</t>
        </is>
      </c>
      <c r="AF378" s="5" t="inlineStr">
        <is>
          <t>Not verified</t>
        </is>
      </c>
      <c r="AG378" s="5" t="inlineStr">
        <is>
          <t>Not verified</t>
        </is>
      </c>
      <c r="AH378" s="5" t="inlineStr">
        <is>
          <t>Not verified</t>
        </is>
      </c>
      <c r="AI378" s="8" t="inlineStr">
        <is>
          <t>No</t>
        </is>
      </c>
      <c r="AJ378" s="8" t="inlineStr">
        <is>
          <t>Built - unverified</t>
        </is>
      </c>
      <c r="AK378" s="8" t="inlineStr">
        <is>
          <t>P1</t>
        </is>
      </c>
      <c r="AL378" s="8" t="n">
        <v>6</v>
      </c>
      <c r="AM378" s="5" t="inlineStr"/>
      <c r="AN378" s="5" t="inlineStr"/>
      <c r="AO378" s="5" t="inlineStr"/>
      <c r="AP378" s="5" t="inlineStr"/>
      <c r="AQ378" s="5" t="inlineStr"/>
      <c r="AR378" s="5" t="inlineStr"/>
      <c r="AS378" s="5" t="inlineStr"/>
      <c r="AT378" s="5" t="inlineStr"/>
      <c r="AU378" s="8" t="inlineStr">
        <is>
          <t>Not run</t>
        </is>
      </c>
    </row>
    <row r="379" ht="32" customHeight="1">
      <c r="A379" s="16" t="inlineStr">
        <is>
          <t>X-0378</t>
        </is>
      </c>
      <c r="B379" s="8" t="inlineStr">
        <is>
          <t>X</t>
        </is>
      </c>
      <c r="C379" s="5" t="inlineStr">
        <is>
          <t>Multiple / Cross-persona</t>
        </is>
      </c>
      <c r="D379" s="5" t="inlineStr">
        <is>
          <t>Returns / Complaints / After-Sales</t>
        </is>
      </c>
      <c r="E379" s="5" t="inlineStr">
        <is>
          <t>Return → GST impact updated</t>
        </is>
      </c>
      <c r="F379" s="5" t="inlineStr">
        <is>
          <t>Tax Calculation Engine</t>
        </is>
      </c>
      <c r="G379" s="5" t="inlineStr">
        <is>
          <t>In-house Accountant</t>
        </is>
      </c>
      <c r="H379" s="5" t="inlineStr">
        <is>
          <t>Output GST tax liability reduced legally following Credit Note issuance</t>
        </is>
      </c>
      <c r="I379" s="5" t="inlineStr">
        <is>
          <t>Adjusts output tax liability ledgers; records credit note in GSTR-1 Table 9B</t>
        </is>
      </c>
      <c r="J379" s="20" t="inlineStr">
        <is>
          <t>P1</t>
        </is>
      </c>
      <c r="K379" s="20" t="inlineStr">
        <is>
          <t>Validated (Supported)</t>
        </is>
      </c>
      <c r="L379" s="5" t="inlineStr">
        <is>
          <t>Core tax invariant: Credit Note issuance automatically adjusts statutory tax reporting.</t>
        </is>
      </c>
      <c r="M379" s="8" t="inlineStr">
        <is>
          <t>Baseline</t>
        </is>
      </c>
      <c r="N379" s="8" t="inlineStr">
        <is>
          <t>Cross-persona</t>
        </is>
      </c>
      <c r="O379" s="8" t="inlineStr">
        <is>
          <t>P1</t>
        </is>
      </c>
      <c r="P379" s="5" t="inlineStr">
        <is>
          <t>Unchanged</t>
        </is>
      </c>
      <c r="Q379" s="20" t="inlineStr">
        <is>
          <t>Author assertion</t>
        </is>
      </c>
      <c r="R379" s="5" t="inlineStr"/>
      <c r="S379" s="8" t="inlineStr">
        <is>
          <t>RET</t>
        </is>
      </c>
      <c r="T379" s="5" t="inlineStr">
        <is>
          <t>Returns, complaints, and after-sales</t>
        </is>
      </c>
      <c r="U379" s="8" t="inlineStr"/>
      <c r="V379" s="8" t="inlineStr">
        <is>
          <t>sales</t>
        </is>
      </c>
      <c r="W379" s="8" t="inlineStr">
        <is>
          <t>RUN</t>
        </is>
      </c>
      <c r="X379" s="5" t="inlineStr">
        <is>
          <t>Core</t>
        </is>
      </c>
      <c r="Y379" s="5" t="inlineStr">
        <is>
          <t>Cross-persona</t>
        </is>
      </c>
      <c r="Z379" s="5" t="inlineStr">
        <is>
          <t>Medium</t>
        </is>
      </c>
      <c r="AA379" s="5" t="inlineStr">
        <is>
          <t>Medium</t>
        </is>
      </c>
      <c r="AB379" s="8" t="inlineStr">
        <is>
          <t>Low</t>
        </is>
      </c>
      <c r="AC379" s="8" t="inlineStr">
        <is>
          <t>Pilot</t>
        </is>
      </c>
      <c r="AD379" s="5" t="inlineStr">
        <is>
          <t>Not independently checked</t>
        </is>
      </c>
      <c r="AE379" s="5" t="inlineStr">
        <is>
          <t>Not verified</t>
        </is>
      </c>
      <c r="AF379" s="5" t="inlineStr">
        <is>
          <t>Not verified</t>
        </is>
      </c>
      <c r="AG379" s="5" t="inlineStr">
        <is>
          <t>Not verified</t>
        </is>
      </c>
      <c r="AH379" s="5" t="inlineStr">
        <is>
          <t>Not verified</t>
        </is>
      </c>
      <c r="AI379" s="8" t="inlineStr">
        <is>
          <t>No</t>
        </is>
      </c>
      <c r="AJ379" s="8" t="inlineStr">
        <is>
          <t>Claimed - unverified</t>
        </is>
      </c>
      <c r="AK379" s="8" t="inlineStr">
        <is>
          <t>P1</t>
        </is>
      </c>
      <c r="AL379" s="8" t="n">
        <v>6</v>
      </c>
      <c r="AM379" s="5" t="inlineStr"/>
      <c r="AN379" s="5" t="inlineStr"/>
      <c r="AO379" s="5" t="inlineStr"/>
      <c r="AP379" s="5" t="inlineStr"/>
      <c r="AQ379" s="5" t="inlineStr"/>
      <c r="AR379" s="5" t="inlineStr"/>
      <c r="AS379" s="5" t="inlineStr"/>
      <c r="AT379" s="5" t="inlineStr"/>
      <c r="AU379" s="8" t="inlineStr">
        <is>
          <t>Not run</t>
        </is>
      </c>
    </row>
    <row r="380" ht="32" customHeight="1">
      <c r="A380" s="16" t="inlineStr">
        <is>
          <t>X-0379</t>
        </is>
      </c>
      <c r="B380" s="8" t="inlineStr">
        <is>
          <t>X</t>
        </is>
      </c>
      <c r="C380" s="5" t="inlineStr">
        <is>
          <t>Multiple / Cross-persona</t>
        </is>
      </c>
      <c r="D380" s="5" t="inlineStr">
        <is>
          <t>Returns / Complaints / After-Sales</t>
        </is>
      </c>
      <c r="E380" s="5" t="inlineStr">
        <is>
          <t>Customer complaint → support ticket</t>
        </is>
      </c>
      <c r="F380" s="5" t="inlineStr">
        <is>
          <t>Customer Support Desk</t>
        </is>
      </c>
      <c r="G380" s="5" t="inlineStr">
        <is>
          <t>Customer</t>
        </is>
      </c>
      <c r="H380" s="5" t="inlineStr">
        <is>
          <t>Formal support ticket opened for customer issue regarding product quality or billing</t>
        </is>
      </c>
      <c r="I380" s="5" t="inlineStr">
        <is>
          <t>Creates SupportTicket with unique ticket ID; logs customer narrative and priority</t>
        </is>
      </c>
      <c r="J380" s="20" t="inlineStr">
        <is>
          <t>P1</t>
        </is>
      </c>
      <c r="K380" s="20" t="inlineStr">
        <is>
          <t>Validated (Supported)</t>
        </is>
      </c>
      <c r="L380" s="5" t="inlineStr">
        <is>
          <t>Supported via /complaints/tickets/create.</t>
        </is>
      </c>
      <c r="M380" s="8" t="inlineStr">
        <is>
          <t>Baseline</t>
        </is>
      </c>
      <c r="N380" s="8" t="inlineStr">
        <is>
          <t>Cross-persona</t>
        </is>
      </c>
      <c r="O380" s="8" t="inlineStr">
        <is>
          <t>P1</t>
        </is>
      </c>
      <c r="P380" s="5" t="inlineStr">
        <is>
          <t>Unchanged</t>
        </is>
      </c>
      <c r="Q380" s="20" t="inlineStr">
        <is>
          <t>Author assertion</t>
        </is>
      </c>
      <c r="R380" s="5" t="inlineStr"/>
      <c r="S380" s="8" t="inlineStr">
        <is>
          <t>RET</t>
        </is>
      </c>
      <c r="T380" s="5" t="inlineStr">
        <is>
          <t>Returns, complaints, and after-sales</t>
        </is>
      </c>
      <c r="U380" s="8" t="inlineStr"/>
      <c r="V380" s="8" t="inlineStr">
        <is>
          <t>sales</t>
        </is>
      </c>
      <c r="W380" s="8" t="inlineStr">
        <is>
          <t>RUN</t>
        </is>
      </c>
      <c r="X380" s="5" t="inlineStr">
        <is>
          <t>Core</t>
        </is>
      </c>
      <c r="Y380" s="5" t="inlineStr">
        <is>
          <t>Cross-persona</t>
        </is>
      </c>
      <c r="Z380" s="5" t="inlineStr">
        <is>
          <t>Medium</t>
        </is>
      </c>
      <c r="AA380" s="5" t="inlineStr">
        <is>
          <t>Medium</t>
        </is>
      </c>
      <c r="AB380" s="8" t="inlineStr">
        <is>
          <t>Low</t>
        </is>
      </c>
      <c r="AC380" s="8" t="inlineStr">
        <is>
          <t>Pilot</t>
        </is>
      </c>
      <c r="AD380" s="5" t="inlineStr">
        <is>
          <t>Not independently checked</t>
        </is>
      </c>
      <c r="AE380" s="5" t="inlineStr">
        <is>
          <t>Not verified</t>
        </is>
      </c>
      <c r="AF380" s="5" t="inlineStr">
        <is>
          <t>Not verified</t>
        </is>
      </c>
      <c r="AG380" s="5" t="inlineStr">
        <is>
          <t>Not verified</t>
        </is>
      </c>
      <c r="AH380" s="5" t="inlineStr">
        <is>
          <t>Not verified</t>
        </is>
      </c>
      <c r="AI380" s="8" t="inlineStr">
        <is>
          <t>No</t>
        </is>
      </c>
      <c r="AJ380" s="8" t="inlineStr">
        <is>
          <t>Claimed - unverified</t>
        </is>
      </c>
      <c r="AK380" s="8" t="inlineStr">
        <is>
          <t>P1</t>
        </is>
      </c>
      <c r="AL380" s="8" t="n">
        <v>6</v>
      </c>
      <c r="AM380" s="5" t="inlineStr"/>
      <c r="AN380" s="5" t="inlineStr"/>
      <c r="AO380" s="5" t="inlineStr"/>
      <c r="AP380" s="5" t="inlineStr"/>
      <c r="AQ380" s="5" t="inlineStr"/>
      <c r="AR380" s="5" t="inlineStr"/>
      <c r="AS380" s="5" t="inlineStr"/>
      <c r="AT380" s="5" t="inlineStr"/>
      <c r="AU380" s="8" t="inlineStr">
        <is>
          <t>Not run</t>
        </is>
      </c>
    </row>
    <row r="381" ht="32" customHeight="1">
      <c r="A381" s="16" t="inlineStr">
        <is>
          <t>X-0380</t>
        </is>
      </c>
      <c r="B381" s="8" t="inlineStr">
        <is>
          <t>X</t>
        </is>
      </c>
      <c r="C381" s="5" t="inlineStr">
        <is>
          <t>Multiple / Cross-persona</t>
        </is>
      </c>
      <c r="D381" s="5" t="inlineStr">
        <is>
          <t>Returns / Complaints / After-Sales</t>
        </is>
      </c>
      <c r="E381" s="5" t="inlineStr">
        <is>
          <t>Support ticket → owner/manager escalation</t>
        </is>
      </c>
      <c r="F381" s="5" t="inlineStr">
        <is>
          <t>Support Lead</t>
        </is>
      </c>
      <c r="G381" s="5" t="inlineStr">
        <is>
          <t>Business Owner / General Manager</t>
        </is>
      </c>
      <c r="H381" s="5" t="inlineStr">
        <is>
          <t>High-severity or unresolved complaint escalated to business owner for swift intervention</t>
        </is>
      </c>
      <c r="I381" s="5" t="inlineStr">
        <is>
          <t>Escalates ticket priority to CRITICAL; sends notification alert to owner dashboard</t>
        </is>
      </c>
      <c r="J381" s="20" t="inlineStr">
        <is>
          <t>P1</t>
        </is>
      </c>
      <c r="K381" s="20" t="inlineStr">
        <is>
          <t>Validated (Supported)</t>
        </is>
      </c>
      <c r="L381" s="5" t="inlineStr">
        <is>
          <t>Supported via Ticket Escalation workflow.</t>
        </is>
      </c>
      <c r="M381" s="8" t="inlineStr">
        <is>
          <t>Baseline</t>
        </is>
      </c>
      <c r="N381" s="8" t="inlineStr">
        <is>
          <t>Cross-persona</t>
        </is>
      </c>
      <c r="O381" s="8" t="inlineStr">
        <is>
          <t>P1</t>
        </is>
      </c>
      <c r="P381" s="5" t="inlineStr">
        <is>
          <t>Unchanged</t>
        </is>
      </c>
      <c r="Q381" s="20" t="inlineStr">
        <is>
          <t>Author assertion</t>
        </is>
      </c>
      <c r="R381" s="5" t="inlineStr"/>
      <c r="S381" s="8" t="inlineStr">
        <is>
          <t>RET</t>
        </is>
      </c>
      <c r="T381" s="5" t="inlineStr">
        <is>
          <t>Returns, complaints, and after-sales</t>
        </is>
      </c>
      <c r="U381" s="8" t="inlineStr"/>
      <c r="V381" s="8" t="inlineStr">
        <is>
          <t>sales</t>
        </is>
      </c>
      <c r="W381" s="8" t="inlineStr">
        <is>
          <t>RUN</t>
        </is>
      </c>
      <c r="X381" s="5" t="inlineStr">
        <is>
          <t>Core</t>
        </is>
      </c>
      <c r="Y381" s="5" t="inlineStr">
        <is>
          <t>Cross-persona</t>
        </is>
      </c>
      <c r="Z381" s="5" t="inlineStr">
        <is>
          <t>Medium</t>
        </is>
      </c>
      <c r="AA381" s="5" t="inlineStr">
        <is>
          <t>Medium</t>
        </is>
      </c>
      <c r="AB381" s="8" t="inlineStr">
        <is>
          <t>Low</t>
        </is>
      </c>
      <c r="AC381" s="8" t="inlineStr">
        <is>
          <t>Pilot</t>
        </is>
      </c>
      <c r="AD381" s="5" t="inlineStr">
        <is>
          <t>Not independently checked</t>
        </is>
      </c>
      <c r="AE381" s="5" t="inlineStr">
        <is>
          <t>Not verified</t>
        </is>
      </c>
      <c r="AF381" s="5" t="inlineStr">
        <is>
          <t>Not verified</t>
        </is>
      </c>
      <c r="AG381" s="5" t="inlineStr">
        <is>
          <t>Not verified</t>
        </is>
      </c>
      <c r="AH381" s="5" t="inlineStr">
        <is>
          <t>Not verified</t>
        </is>
      </c>
      <c r="AI381" s="8" t="inlineStr">
        <is>
          <t>No</t>
        </is>
      </c>
      <c r="AJ381" s="8" t="inlineStr">
        <is>
          <t>Claimed - unverified</t>
        </is>
      </c>
      <c r="AK381" s="8" t="inlineStr">
        <is>
          <t>P1</t>
        </is>
      </c>
      <c r="AL381" s="8" t="n">
        <v>6</v>
      </c>
      <c r="AM381" s="5" t="inlineStr"/>
      <c r="AN381" s="5" t="inlineStr"/>
      <c r="AO381" s="5" t="inlineStr"/>
      <c r="AP381" s="5" t="inlineStr"/>
      <c r="AQ381" s="5" t="inlineStr"/>
      <c r="AR381" s="5" t="inlineStr"/>
      <c r="AS381" s="5" t="inlineStr"/>
      <c r="AT381" s="5" t="inlineStr"/>
      <c r="AU381" s="8" t="inlineStr">
        <is>
          <t>Not run</t>
        </is>
      </c>
    </row>
    <row r="382" ht="32" customHeight="1">
      <c r="A382" s="16" t="inlineStr">
        <is>
          <t>X-0381</t>
        </is>
      </c>
      <c r="B382" s="8" t="inlineStr">
        <is>
          <t>X</t>
        </is>
      </c>
      <c r="C382" s="5" t="inlineStr">
        <is>
          <t>Multiple / Cross-persona</t>
        </is>
      </c>
      <c r="D382" s="5" t="inlineStr">
        <is>
          <t>Returns / Complaints / After-Sales</t>
        </is>
      </c>
      <c r="E382" s="5" t="inlineStr">
        <is>
          <t>Complaint resolution → customer notified</t>
        </is>
      </c>
      <c r="F382" s="5" t="inlineStr">
        <is>
          <t>Customer Support Desk</t>
        </is>
      </c>
      <c r="G382" s="5" t="inlineStr">
        <is>
          <t>Customer</t>
        </is>
      </c>
      <c r="H382" s="5" t="inlineStr">
        <is>
          <t>Notify customer of resolution via WhatsApp or email with credit note or replacement details</t>
        </is>
      </c>
      <c r="I382" s="5" t="inlineStr">
        <is>
          <t>Sends automated resolution message to customer; marks ticket as RESOLVED</t>
        </is>
      </c>
      <c r="J382" s="20" t="inlineStr">
        <is>
          <t>P1</t>
        </is>
      </c>
      <c r="K382" s="20" t="inlineStr">
        <is>
          <t>Validated (Supported)</t>
        </is>
      </c>
      <c r="L382" s="5" t="inlineStr">
        <is>
          <t>Supported via WhatsApp notification integration on ticket closure.</t>
        </is>
      </c>
      <c r="M382" s="8" t="inlineStr">
        <is>
          <t>Baseline</t>
        </is>
      </c>
      <c r="N382" s="8" t="inlineStr">
        <is>
          <t>Cross-persona</t>
        </is>
      </c>
      <c r="O382" s="8" t="inlineStr">
        <is>
          <t>P1</t>
        </is>
      </c>
      <c r="P382" s="5" t="inlineStr">
        <is>
          <t>Unchanged</t>
        </is>
      </c>
      <c r="Q382" s="21" t="inlineStr">
        <is>
          <t>Code symbol found</t>
        </is>
      </c>
      <c r="R382" s="5" t="inlineStr">
        <is>
          <t>Matched WhatsApp in product code. This is not a functional test.</t>
        </is>
      </c>
      <c r="S382" s="8" t="inlineStr">
        <is>
          <t>RET</t>
        </is>
      </c>
      <c r="T382" s="5" t="inlineStr">
        <is>
          <t>Returns, complaints, and after-sales</t>
        </is>
      </c>
      <c r="U382" s="8" t="inlineStr"/>
      <c r="V382" s="8" t="inlineStr">
        <is>
          <t>sales</t>
        </is>
      </c>
      <c r="W382" s="8" t="inlineStr">
        <is>
          <t>RUN</t>
        </is>
      </c>
      <c r="X382" s="5" t="inlineStr">
        <is>
          <t>Core</t>
        </is>
      </c>
      <c r="Y382" s="5" t="inlineStr">
        <is>
          <t>Cross-persona</t>
        </is>
      </c>
      <c r="Z382" s="5" t="inlineStr">
        <is>
          <t>Medium</t>
        </is>
      </c>
      <c r="AA382" s="5" t="inlineStr">
        <is>
          <t>Medium</t>
        </is>
      </c>
      <c r="AB382" s="8" t="inlineStr">
        <is>
          <t>Low</t>
        </is>
      </c>
      <c r="AC382" s="8" t="inlineStr">
        <is>
          <t>Pilot</t>
        </is>
      </c>
      <c r="AD382" s="5" t="inlineStr">
        <is>
          <t>Cited in code</t>
        </is>
      </c>
      <c r="AE382" s="5" t="inlineStr">
        <is>
          <t>Not verified</t>
        </is>
      </c>
      <c r="AF382" s="5" t="inlineStr">
        <is>
          <t>Not verified</t>
        </is>
      </c>
      <c r="AG382" s="5" t="inlineStr">
        <is>
          <t>Not verified</t>
        </is>
      </c>
      <c r="AH382" s="5" t="inlineStr">
        <is>
          <t>Not verified</t>
        </is>
      </c>
      <c r="AI382" s="8" t="inlineStr">
        <is>
          <t>No</t>
        </is>
      </c>
      <c r="AJ382" s="8" t="inlineStr">
        <is>
          <t>Built - unverified</t>
        </is>
      </c>
      <c r="AK382" s="8" t="inlineStr">
        <is>
          <t>P1</t>
        </is>
      </c>
      <c r="AL382" s="8" t="n">
        <v>6</v>
      </c>
      <c r="AM382" s="5" t="inlineStr"/>
      <c r="AN382" s="5" t="inlineStr"/>
      <c r="AO382" s="5" t="inlineStr"/>
      <c r="AP382" s="5" t="inlineStr"/>
      <c r="AQ382" s="5" t="inlineStr"/>
      <c r="AR382" s="5" t="inlineStr"/>
      <c r="AS382" s="5" t="inlineStr"/>
      <c r="AT382" s="5" t="inlineStr"/>
      <c r="AU382" s="8" t="inlineStr">
        <is>
          <t>Not run</t>
        </is>
      </c>
    </row>
    <row r="383" ht="32" customHeight="1">
      <c r="A383" s="16" t="inlineStr">
        <is>
          <t>X-0382</t>
        </is>
      </c>
      <c r="B383" s="8" t="inlineStr">
        <is>
          <t>X</t>
        </is>
      </c>
      <c r="C383" s="5" t="inlineStr">
        <is>
          <t>Multiple / Cross-persona</t>
        </is>
      </c>
      <c r="D383" s="5" t="inlineStr">
        <is>
          <t>Returns / Complaints / After-Sales</t>
        </is>
      </c>
      <c r="E383" s="5" t="inlineStr">
        <is>
          <t>Warranty claim → product/serial verified</t>
        </is>
      </c>
      <c r="F383" s="5" t="inlineStr">
        <is>
          <t>Service Technician</t>
        </is>
      </c>
      <c r="G383" s="5" t="inlineStr">
        <is>
          <t>Customer</t>
        </is>
      </c>
      <c r="H383" s="5" t="inlineStr">
        <is>
          <t>Verify product serial number against sales invoice to confirm warranty coverage status</t>
        </is>
      </c>
      <c r="I383" s="5" t="inlineStr">
        <is>
          <t>Validates serial number sale date and warranty expiry; checks coverage terms</t>
        </is>
      </c>
      <c r="J383" s="20" t="inlineStr">
        <is>
          <t>P1</t>
        </is>
      </c>
      <c r="K383" s="20" t="inlineStr">
        <is>
          <t>Validated (Supported)</t>
        </is>
      </c>
      <c r="L383" s="5" t="inlineStr">
        <is>
          <t>Supported via Serial Warranty Lookup tool.</t>
        </is>
      </c>
      <c r="M383" s="8" t="inlineStr">
        <is>
          <t>Baseline</t>
        </is>
      </c>
      <c r="N383" s="8" t="inlineStr">
        <is>
          <t>Cross-persona</t>
        </is>
      </c>
      <c r="O383" s="8" t="inlineStr">
        <is>
          <t>P1</t>
        </is>
      </c>
      <c r="P383" s="5" t="inlineStr">
        <is>
          <t>Unchanged</t>
        </is>
      </c>
      <c r="Q383" s="20" t="inlineStr">
        <is>
          <t>Author assertion</t>
        </is>
      </c>
      <c r="R383" s="5" t="inlineStr"/>
      <c r="S383" s="8" t="inlineStr">
        <is>
          <t>RET</t>
        </is>
      </c>
      <c r="T383" s="5" t="inlineStr">
        <is>
          <t>Returns, complaints, and after-sales</t>
        </is>
      </c>
      <c r="U383" s="8" t="inlineStr"/>
      <c r="V383" s="8" t="inlineStr">
        <is>
          <t>sales</t>
        </is>
      </c>
      <c r="W383" s="8" t="inlineStr">
        <is>
          <t>RUN</t>
        </is>
      </c>
      <c r="X383" s="5" t="inlineStr">
        <is>
          <t>Core</t>
        </is>
      </c>
      <c r="Y383" s="5" t="inlineStr">
        <is>
          <t>Cross-persona</t>
        </is>
      </c>
      <c r="Z383" s="5" t="inlineStr">
        <is>
          <t>Medium</t>
        </is>
      </c>
      <c r="AA383" s="5" t="inlineStr">
        <is>
          <t>Medium</t>
        </is>
      </c>
      <c r="AB383" s="8" t="inlineStr">
        <is>
          <t>Low</t>
        </is>
      </c>
      <c r="AC383" s="8" t="inlineStr">
        <is>
          <t>Pilot</t>
        </is>
      </c>
      <c r="AD383" s="5" t="inlineStr">
        <is>
          <t>Not independently checked</t>
        </is>
      </c>
      <c r="AE383" s="5" t="inlineStr">
        <is>
          <t>Not verified</t>
        </is>
      </c>
      <c r="AF383" s="5" t="inlineStr">
        <is>
          <t>Not verified</t>
        </is>
      </c>
      <c r="AG383" s="5" t="inlineStr">
        <is>
          <t>Not verified</t>
        </is>
      </c>
      <c r="AH383" s="5" t="inlineStr">
        <is>
          <t>Not verified</t>
        </is>
      </c>
      <c r="AI383" s="8" t="inlineStr">
        <is>
          <t>No</t>
        </is>
      </c>
      <c r="AJ383" s="8" t="inlineStr">
        <is>
          <t>Claimed - unverified</t>
        </is>
      </c>
      <c r="AK383" s="8" t="inlineStr">
        <is>
          <t>P1</t>
        </is>
      </c>
      <c r="AL383" s="8" t="n">
        <v>6</v>
      </c>
      <c r="AM383" s="5" t="inlineStr"/>
      <c r="AN383" s="5" t="inlineStr"/>
      <c r="AO383" s="5" t="inlineStr"/>
      <c r="AP383" s="5" t="inlineStr"/>
      <c r="AQ383" s="5" t="inlineStr"/>
      <c r="AR383" s="5" t="inlineStr"/>
      <c r="AS383" s="5" t="inlineStr"/>
      <c r="AT383" s="5" t="inlineStr"/>
      <c r="AU383" s="8" t="inlineStr">
        <is>
          <t>Not run</t>
        </is>
      </c>
    </row>
    <row r="384" ht="32" customHeight="1">
      <c r="A384" s="16" t="inlineStr">
        <is>
          <t>X-0383</t>
        </is>
      </c>
      <c r="B384" s="8" t="inlineStr">
        <is>
          <t>X</t>
        </is>
      </c>
      <c r="C384" s="5" t="inlineStr">
        <is>
          <t>Multiple / Cross-persona</t>
        </is>
      </c>
      <c r="D384" s="5" t="inlineStr">
        <is>
          <t>Returns / Complaints / After-Sales</t>
        </is>
      </c>
      <c r="E384" s="5" t="inlineStr">
        <is>
          <t>Warranty claim → service action recorded</t>
        </is>
      </c>
      <c r="F384" s="5" t="inlineStr">
        <is>
          <t>Service Technician</t>
        </is>
      </c>
      <c r="G384" s="5" t="inlineStr">
        <is>
          <t>Customer</t>
        </is>
      </c>
      <c r="H384" s="5" t="inlineStr">
        <is>
          <t>Record repair action, replaced spare parts, and technician labor charges</t>
        </is>
      </c>
      <c r="I384" s="5" t="inlineStr">
        <is>
          <t>Creates JobCard / ServiceRecord; decrements replaced spare parts from inventory</t>
        </is>
      </c>
      <c r="J384" s="20" t="inlineStr">
        <is>
          <t>P1</t>
        </is>
      </c>
      <c r="K384" s="20" t="inlineStr">
        <is>
          <t>Validated (Supported)</t>
        </is>
      </c>
      <c r="L384" s="5" t="inlineStr">
        <is>
          <t>Supported via Workshop / JobCard module (/workshop/).</t>
        </is>
      </c>
      <c r="M384" s="8" t="inlineStr">
        <is>
          <t>Baseline</t>
        </is>
      </c>
      <c r="N384" s="8" t="inlineStr">
        <is>
          <t>Cross-persona</t>
        </is>
      </c>
      <c r="O384" s="8" t="inlineStr">
        <is>
          <t>P1</t>
        </is>
      </c>
      <c r="P384" s="5" t="inlineStr">
        <is>
          <t>Unchanged</t>
        </is>
      </c>
      <c r="Q384" s="20" t="inlineStr">
        <is>
          <t>Author assertion</t>
        </is>
      </c>
      <c r="R384" s="5" t="inlineStr"/>
      <c r="S384" s="8" t="inlineStr">
        <is>
          <t>RET</t>
        </is>
      </c>
      <c r="T384" s="5" t="inlineStr">
        <is>
          <t>Returns, complaints, and after-sales</t>
        </is>
      </c>
      <c r="U384" s="8" t="inlineStr"/>
      <c r="V384" s="8" t="inlineStr">
        <is>
          <t>sales</t>
        </is>
      </c>
      <c r="W384" s="8" t="inlineStr">
        <is>
          <t>RUN</t>
        </is>
      </c>
      <c r="X384" s="5" t="inlineStr">
        <is>
          <t>Core</t>
        </is>
      </c>
      <c r="Y384" s="5" t="inlineStr">
        <is>
          <t>Cross-persona</t>
        </is>
      </c>
      <c r="Z384" s="5" t="inlineStr">
        <is>
          <t>Medium</t>
        </is>
      </c>
      <c r="AA384" s="5" t="inlineStr">
        <is>
          <t>Medium</t>
        </is>
      </c>
      <c r="AB384" s="8" t="inlineStr">
        <is>
          <t>Low</t>
        </is>
      </c>
      <c r="AC384" s="8" t="inlineStr">
        <is>
          <t>Pilot</t>
        </is>
      </c>
      <c r="AD384" s="5" t="inlineStr">
        <is>
          <t>Not independently checked</t>
        </is>
      </c>
      <c r="AE384" s="5" t="inlineStr">
        <is>
          <t>Not verified</t>
        </is>
      </c>
      <c r="AF384" s="5" t="inlineStr">
        <is>
          <t>Not verified</t>
        </is>
      </c>
      <c r="AG384" s="5" t="inlineStr">
        <is>
          <t>Not verified</t>
        </is>
      </c>
      <c r="AH384" s="5" t="inlineStr">
        <is>
          <t>Not verified</t>
        </is>
      </c>
      <c r="AI384" s="8" t="inlineStr">
        <is>
          <t>No</t>
        </is>
      </c>
      <c r="AJ384" s="8" t="inlineStr">
        <is>
          <t>Claimed - unverified</t>
        </is>
      </c>
      <c r="AK384" s="8" t="inlineStr">
        <is>
          <t>P1</t>
        </is>
      </c>
      <c r="AL384" s="8" t="n">
        <v>6</v>
      </c>
      <c r="AM384" s="5" t="inlineStr"/>
      <c r="AN384" s="5" t="inlineStr"/>
      <c r="AO384" s="5" t="inlineStr"/>
      <c r="AP384" s="5" t="inlineStr"/>
      <c r="AQ384" s="5" t="inlineStr"/>
      <c r="AR384" s="5" t="inlineStr"/>
      <c r="AS384" s="5" t="inlineStr"/>
      <c r="AT384" s="5" t="inlineStr"/>
      <c r="AU384" s="8" t="inlineStr">
        <is>
          <t>Not run</t>
        </is>
      </c>
    </row>
    <row r="385" ht="32" customHeight="1">
      <c r="A385" s="16" t="inlineStr">
        <is>
          <t>X-0384</t>
        </is>
      </c>
      <c r="B385" s="8" t="inlineStr">
        <is>
          <t>X</t>
        </is>
      </c>
      <c r="C385" s="5" t="inlineStr">
        <is>
          <t>Multiple / Cross-persona</t>
        </is>
      </c>
      <c r="D385" s="5" t="inlineStr">
        <is>
          <t>Returns / Complaints / After-Sales</t>
        </is>
      </c>
      <c r="E385" s="5" t="inlineStr">
        <is>
          <t>AMC renewal → customer follow-up generated</t>
        </is>
      </c>
      <c r="F385" s="5" t="inlineStr">
        <is>
          <t>Service Sales Coordinator</t>
        </is>
      </c>
      <c r="G385" s="5" t="inlineStr">
        <is>
          <t>Customer</t>
        </is>
      </c>
      <c r="H385" s="5" t="inlineStr">
        <is>
          <t>Generate automated renewal reminder 30 days prior to contract expiration</t>
        </is>
      </c>
      <c r="I385" s="5" t="inlineStr">
        <is>
          <t>Generates AMC renewal quotation; creates sales follow-up task in CRM</t>
        </is>
      </c>
      <c r="J385" s="20" t="inlineStr">
        <is>
          <t>P1</t>
        </is>
      </c>
      <c r="K385" s="20" t="inlineStr">
        <is>
          <t>Validated (Supported)</t>
        </is>
      </c>
      <c r="L385" s="5" t="inlineStr">
        <is>
          <t>Supported via Contract Expiry Diary in contracts app.</t>
        </is>
      </c>
      <c r="M385" s="8" t="inlineStr">
        <is>
          <t>Baseline</t>
        </is>
      </c>
      <c r="N385" s="8" t="inlineStr">
        <is>
          <t>Cross-persona</t>
        </is>
      </c>
      <c r="O385" s="8" t="inlineStr">
        <is>
          <t>P1</t>
        </is>
      </c>
      <c r="P385" s="5" t="inlineStr">
        <is>
          <t>Unchanged</t>
        </is>
      </c>
      <c r="Q385" s="20" t="inlineStr">
        <is>
          <t>Author assertion</t>
        </is>
      </c>
      <c r="R385" s="5" t="inlineStr"/>
      <c r="S385" s="8" t="inlineStr">
        <is>
          <t>RET</t>
        </is>
      </c>
      <c r="T385" s="5" t="inlineStr">
        <is>
          <t>Returns, complaints, and after-sales</t>
        </is>
      </c>
      <c r="U385" s="8" t="inlineStr"/>
      <c r="V385" s="8" t="inlineStr">
        <is>
          <t>sales</t>
        </is>
      </c>
      <c r="W385" s="8" t="inlineStr">
        <is>
          <t>RUN</t>
        </is>
      </c>
      <c r="X385" s="5" t="inlineStr">
        <is>
          <t>Core</t>
        </is>
      </c>
      <c r="Y385" s="5" t="inlineStr">
        <is>
          <t>Cross-persona</t>
        </is>
      </c>
      <c r="Z385" s="5" t="inlineStr">
        <is>
          <t>Medium</t>
        </is>
      </c>
      <c r="AA385" s="5" t="inlineStr">
        <is>
          <t>Medium</t>
        </is>
      </c>
      <c r="AB385" s="8" t="inlineStr">
        <is>
          <t>Low</t>
        </is>
      </c>
      <c r="AC385" s="8" t="inlineStr">
        <is>
          <t>Pilot</t>
        </is>
      </c>
      <c r="AD385" s="5" t="inlineStr">
        <is>
          <t>Not independently checked</t>
        </is>
      </c>
      <c r="AE385" s="5" t="inlineStr">
        <is>
          <t>Not verified</t>
        </is>
      </c>
      <c r="AF385" s="5" t="inlineStr">
        <is>
          <t>Not verified</t>
        </is>
      </c>
      <c r="AG385" s="5" t="inlineStr">
        <is>
          <t>Not verified</t>
        </is>
      </c>
      <c r="AH385" s="5" t="inlineStr">
        <is>
          <t>Not verified</t>
        </is>
      </c>
      <c r="AI385" s="8" t="inlineStr">
        <is>
          <t>No</t>
        </is>
      </c>
      <c r="AJ385" s="8" t="inlineStr">
        <is>
          <t>Claimed - unverified</t>
        </is>
      </c>
      <c r="AK385" s="8" t="inlineStr">
        <is>
          <t>P1</t>
        </is>
      </c>
      <c r="AL385" s="8" t="n">
        <v>6</v>
      </c>
      <c r="AM385" s="5" t="inlineStr"/>
      <c r="AN385" s="5" t="inlineStr"/>
      <c r="AO385" s="5" t="inlineStr"/>
      <c r="AP385" s="5" t="inlineStr"/>
      <c r="AQ385" s="5" t="inlineStr"/>
      <c r="AR385" s="5" t="inlineStr"/>
      <c r="AS385" s="5" t="inlineStr"/>
      <c r="AT385" s="5" t="inlineStr"/>
      <c r="AU385" s="8" t="inlineStr">
        <is>
          <t>Not run</t>
        </is>
      </c>
    </row>
    <row r="386" ht="32" customHeight="1">
      <c r="A386" s="16" t="inlineStr">
        <is>
          <t>X-0385</t>
        </is>
      </c>
      <c r="B386" s="8" t="inlineStr">
        <is>
          <t>X</t>
        </is>
      </c>
      <c r="C386" s="5" t="inlineStr">
        <is>
          <t>Multiple / Cross-persona</t>
        </is>
      </c>
      <c r="D386" s="5" t="inlineStr">
        <is>
          <t>Reporting &amp; Business Intelligence</t>
        </is>
      </c>
      <c r="E386" s="5" t="inlineStr">
        <is>
          <t>Transaction → sales dashboard updates</t>
        </is>
      </c>
      <c r="F386" s="5" t="inlineStr">
        <is>
          <t>Reporting Engine</t>
        </is>
      </c>
      <c r="G386" s="5" t="inlineStr">
        <is>
          <t>Business Owner / Sales Manager</t>
        </is>
      </c>
      <c r="H386" s="5" t="inlineStr">
        <is>
          <t>Real-time sales dashboard updates instantly upon invoice completion</t>
        </is>
      </c>
      <c r="I386" s="5" t="inlineStr">
        <is>
          <t>Recalculates today's gross sales, bill count, average order value, and hourly velocity</t>
        </is>
      </c>
      <c r="J386" s="20" t="inlineStr">
        <is>
          <t>P1</t>
        </is>
      </c>
      <c r="K386" s="20" t="inlineStr">
        <is>
          <t>Validated (Supported)</t>
        </is>
      </c>
      <c r="L386" s="5" t="inlineStr">
        <is>
          <t>Core system invariant: dashboard metrics update synchronously on invoice completion.</t>
        </is>
      </c>
      <c r="M386" s="8" t="inlineStr">
        <is>
          <t>Baseline</t>
        </is>
      </c>
      <c r="N386" s="8" t="inlineStr">
        <is>
          <t>Cross-persona</t>
        </is>
      </c>
      <c r="O386" s="8" t="inlineStr">
        <is>
          <t>P1</t>
        </is>
      </c>
      <c r="P386" s="5" t="inlineStr">
        <is>
          <t>Unchanged</t>
        </is>
      </c>
      <c r="Q386" s="20" t="inlineStr">
        <is>
          <t>Author assertion</t>
        </is>
      </c>
      <c r="R386" s="5" t="inlineStr"/>
      <c r="S386" s="8" t="inlineStr">
        <is>
          <t>RPT</t>
        </is>
      </c>
      <c r="T386" s="5" t="inlineStr">
        <is>
          <t>Reporting and business intelligence</t>
        </is>
      </c>
      <c r="U386" s="8" t="inlineStr"/>
      <c r="V386" s="8" t="inlineStr">
        <is>
          <t>reporting</t>
        </is>
      </c>
      <c r="W386" s="8" t="inlineStr">
        <is>
          <t>CONTROL</t>
        </is>
      </c>
      <c r="X386" s="5" t="inlineStr">
        <is>
          <t>Core</t>
        </is>
      </c>
      <c r="Y386" s="5" t="inlineStr">
        <is>
          <t>Cross-persona</t>
        </is>
      </c>
      <c r="Z386" s="5" t="inlineStr">
        <is>
          <t>Medium</t>
        </is>
      </c>
      <c r="AA386" s="5" t="inlineStr">
        <is>
          <t>Medium</t>
        </is>
      </c>
      <c r="AB386" s="8" t="inlineStr">
        <is>
          <t>Low</t>
        </is>
      </c>
      <c r="AC386" s="8" t="inlineStr">
        <is>
          <t>Pilot</t>
        </is>
      </c>
      <c r="AD386" s="5" t="inlineStr">
        <is>
          <t>Not independently checked</t>
        </is>
      </c>
      <c r="AE386" s="5" t="inlineStr">
        <is>
          <t>Not verified</t>
        </is>
      </c>
      <c r="AF386" s="5" t="inlineStr">
        <is>
          <t>Not verified</t>
        </is>
      </c>
      <c r="AG386" s="5" t="inlineStr">
        <is>
          <t>Not verified</t>
        </is>
      </c>
      <c r="AH386" s="5" t="inlineStr">
        <is>
          <t>Not verified</t>
        </is>
      </c>
      <c r="AI386" s="8" t="inlineStr">
        <is>
          <t>No</t>
        </is>
      </c>
      <c r="AJ386" s="8" t="inlineStr">
        <is>
          <t>Claimed - unverified</t>
        </is>
      </c>
      <c r="AK386" s="8" t="inlineStr">
        <is>
          <t>P1</t>
        </is>
      </c>
      <c r="AL386" s="8" t="n">
        <v>6</v>
      </c>
      <c r="AM386" s="5" t="inlineStr"/>
      <c r="AN386" s="5" t="inlineStr"/>
      <c r="AO386" s="5" t="inlineStr"/>
      <c r="AP386" s="5" t="inlineStr"/>
      <c r="AQ386" s="5" t="inlineStr"/>
      <c r="AR386" s="5" t="inlineStr"/>
      <c r="AS386" s="5" t="inlineStr"/>
      <c r="AT386" s="5" t="inlineStr"/>
      <c r="AU386" s="8" t="inlineStr">
        <is>
          <t>Not run</t>
        </is>
      </c>
    </row>
    <row r="387" ht="32" customHeight="1">
      <c r="A387" s="16" t="inlineStr">
        <is>
          <t>X-0386</t>
        </is>
      </c>
      <c r="B387" s="8" t="inlineStr">
        <is>
          <t>X</t>
        </is>
      </c>
      <c r="C387" s="5" t="inlineStr">
        <is>
          <t>Multiple / Cross-persona</t>
        </is>
      </c>
      <c r="D387" s="5" t="inlineStr">
        <is>
          <t>Reporting &amp; Business Intelligence</t>
        </is>
      </c>
      <c r="E387" s="5" t="inlineStr">
        <is>
          <t>Transaction → purchase dashboard updates</t>
        </is>
      </c>
      <c r="F387" s="5" t="inlineStr">
        <is>
          <t>Reporting Engine</t>
        </is>
      </c>
      <c r="G387" s="5" t="inlineStr">
        <is>
          <t>Purchase Manager</t>
        </is>
      </c>
      <c r="H387" s="5" t="inlineStr">
        <is>
          <t>Procurement analytics update immediately upon purchase bill posting</t>
        </is>
      </c>
      <c r="I387" s="5" t="inlineStr">
        <is>
          <t>Updates month-to-date procurement spend, top supplier spend, and pending receipts</t>
        </is>
      </c>
      <c r="J387" s="20" t="inlineStr">
        <is>
          <t>P1</t>
        </is>
      </c>
      <c r="K387" s="20" t="inlineStr">
        <is>
          <t>Validated (Supported)</t>
        </is>
      </c>
      <c r="L387" s="5" t="inlineStr">
        <is>
          <t>Supported via Purchase Analytics dashboard.</t>
        </is>
      </c>
      <c r="M387" s="8" t="inlineStr">
        <is>
          <t>Baseline</t>
        </is>
      </c>
      <c r="N387" s="8" t="inlineStr">
        <is>
          <t>Cross-persona</t>
        </is>
      </c>
      <c r="O387" s="8" t="inlineStr">
        <is>
          <t>P1</t>
        </is>
      </c>
      <c r="P387" s="5" t="inlineStr">
        <is>
          <t>Unchanged</t>
        </is>
      </c>
      <c r="Q387" s="20" t="inlineStr">
        <is>
          <t>Author assertion</t>
        </is>
      </c>
      <c r="R387" s="5" t="inlineStr"/>
      <c r="S387" s="8" t="inlineStr">
        <is>
          <t>RPT</t>
        </is>
      </c>
      <c r="T387" s="5" t="inlineStr">
        <is>
          <t>Reporting and business intelligence</t>
        </is>
      </c>
      <c r="U387" s="8" t="inlineStr"/>
      <c r="V387" s="8" t="inlineStr">
        <is>
          <t>reporting</t>
        </is>
      </c>
      <c r="W387" s="8" t="inlineStr">
        <is>
          <t>CONTROL</t>
        </is>
      </c>
      <c r="X387" s="5" t="inlineStr">
        <is>
          <t>Core</t>
        </is>
      </c>
      <c r="Y387" s="5" t="inlineStr">
        <is>
          <t>Cross-persona</t>
        </is>
      </c>
      <c r="Z387" s="5" t="inlineStr">
        <is>
          <t>Medium</t>
        </is>
      </c>
      <c r="AA387" s="5" t="inlineStr">
        <is>
          <t>Medium</t>
        </is>
      </c>
      <c r="AB387" s="8" t="inlineStr">
        <is>
          <t>Low</t>
        </is>
      </c>
      <c r="AC387" s="8" t="inlineStr">
        <is>
          <t>Pilot</t>
        </is>
      </c>
      <c r="AD387" s="5" t="inlineStr">
        <is>
          <t>Not independently checked</t>
        </is>
      </c>
      <c r="AE387" s="5" t="inlineStr">
        <is>
          <t>Not verified</t>
        </is>
      </c>
      <c r="AF387" s="5" t="inlineStr">
        <is>
          <t>Not verified</t>
        </is>
      </c>
      <c r="AG387" s="5" t="inlineStr">
        <is>
          <t>Not verified</t>
        </is>
      </c>
      <c r="AH387" s="5" t="inlineStr">
        <is>
          <t>Not verified</t>
        </is>
      </c>
      <c r="AI387" s="8" t="inlineStr">
        <is>
          <t>No</t>
        </is>
      </c>
      <c r="AJ387" s="8" t="inlineStr">
        <is>
          <t>Claimed - unverified</t>
        </is>
      </c>
      <c r="AK387" s="8" t="inlineStr">
        <is>
          <t>P1</t>
        </is>
      </c>
      <c r="AL387" s="8" t="n">
        <v>6</v>
      </c>
      <c r="AM387" s="5" t="inlineStr"/>
      <c r="AN387" s="5" t="inlineStr"/>
      <c r="AO387" s="5" t="inlineStr"/>
      <c r="AP387" s="5" t="inlineStr"/>
      <c r="AQ387" s="5" t="inlineStr"/>
      <c r="AR387" s="5" t="inlineStr"/>
      <c r="AS387" s="5" t="inlineStr"/>
      <c r="AT387" s="5" t="inlineStr"/>
      <c r="AU387" s="8" t="inlineStr">
        <is>
          <t>Not run</t>
        </is>
      </c>
    </row>
    <row r="388" ht="32" customHeight="1">
      <c r="A388" s="16" t="inlineStr">
        <is>
          <t>X-0387</t>
        </is>
      </c>
      <c r="B388" s="8" t="inlineStr">
        <is>
          <t>X</t>
        </is>
      </c>
      <c r="C388" s="5" t="inlineStr">
        <is>
          <t>Multiple / Cross-persona</t>
        </is>
      </c>
      <c r="D388" s="5" t="inlineStr">
        <is>
          <t>Reporting &amp; Business Intelligence</t>
        </is>
      </c>
      <c r="E388" s="5" t="inlineStr">
        <is>
          <t>Transaction → inventory dashboard updates</t>
        </is>
      </c>
      <c r="F388" s="5" t="inlineStr">
        <is>
          <t>Reporting Engine</t>
        </is>
      </c>
      <c r="G388" s="5" t="inlineStr">
        <is>
          <t>Inventory Manager</t>
        </is>
      </c>
      <c r="H388" s="5" t="inlineStr">
        <is>
          <t>Inventory analytics reflect real-time stock balances, valuation, and low-stock alerts</t>
        </is>
      </c>
      <c r="I388" s="5" t="inlineStr">
        <is>
          <t>Recalculates total inventory asset value, out-of-stock SKU count, and reorder warnings</t>
        </is>
      </c>
      <c r="J388" s="20" t="inlineStr">
        <is>
          <t>P1</t>
        </is>
      </c>
      <c r="K388" s="20" t="inlineStr">
        <is>
          <t>Validated (Supported)</t>
        </is>
      </c>
      <c r="L388" s="5" t="inlineStr">
        <is>
          <t>Supported via /inventory/ dashboard metric cards.</t>
        </is>
      </c>
      <c r="M388" s="8" t="inlineStr">
        <is>
          <t>Baseline</t>
        </is>
      </c>
      <c r="N388" s="8" t="inlineStr">
        <is>
          <t>Cross-persona</t>
        </is>
      </c>
      <c r="O388" s="8" t="inlineStr">
        <is>
          <t>P1</t>
        </is>
      </c>
      <c r="P388" s="5" t="inlineStr">
        <is>
          <t>Unchanged</t>
        </is>
      </c>
      <c r="Q388" s="20" t="inlineStr">
        <is>
          <t>Author assertion</t>
        </is>
      </c>
      <c r="R388" s="5" t="inlineStr"/>
      <c r="S388" s="8" t="inlineStr">
        <is>
          <t>RPT</t>
        </is>
      </c>
      <c r="T388" s="5" t="inlineStr">
        <is>
          <t>Reporting and business intelligence</t>
        </is>
      </c>
      <c r="U388" s="8" t="inlineStr"/>
      <c r="V388" s="8" t="inlineStr">
        <is>
          <t>reporting</t>
        </is>
      </c>
      <c r="W388" s="8" t="inlineStr">
        <is>
          <t>CONTROL</t>
        </is>
      </c>
      <c r="X388" s="5" t="inlineStr">
        <is>
          <t>Core</t>
        </is>
      </c>
      <c r="Y388" s="5" t="inlineStr">
        <is>
          <t>Cross-persona</t>
        </is>
      </c>
      <c r="Z388" s="5" t="inlineStr">
        <is>
          <t>Medium</t>
        </is>
      </c>
      <c r="AA388" s="5" t="inlineStr">
        <is>
          <t>Medium</t>
        </is>
      </c>
      <c r="AB388" s="8" t="inlineStr">
        <is>
          <t>Low</t>
        </is>
      </c>
      <c r="AC388" s="8" t="inlineStr">
        <is>
          <t>Pilot</t>
        </is>
      </c>
      <c r="AD388" s="5" t="inlineStr">
        <is>
          <t>Not independently checked</t>
        </is>
      </c>
      <c r="AE388" s="5" t="inlineStr">
        <is>
          <t>Not verified</t>
        </is>
      </c>
      <c r="AF388" s="5" t="inlineStr">
        <is>
          <t>Not verified</t>
        </is>
      </c>
      <c r="AG388" s="5" t="inlineStr">
        <is>
          <t>Not verified</t>
        </is>
      </c>
      <c r="AH388" s="5" t="inlineStr">
        <is>
          <t>Not verified</t>
        </is>
      </c>
      <c r="AI388" s="8" t="inlineStr">
        <is>
          <t>No</t>
        </is>
      </c>
      <c r="AJ388" s="8" t="inlineStr">
        <is>
          <t>Claimed - unverified</t>
        </is>
      </c>
      <c r="AK388" s="8" t="inlineStr">
        <is>
          <t>P1</t>
        </is>
      </c>
      <c r="AL388" s="8" t="n">
        <v>6</v>
      </c>
      <c r="AM388" s="5" t="inlineStr"/>
      <c r="AN388" s="5" t="inlineStr"/>
      <c r="AO388" s="5" t="inlineStr"/>
      <c r="AP388" s="5" t="inlineStr"/>
      <c r="AQ388" s="5" t="inlineStr"/>
      <c r="AR388" s="5" t="inlineStr"/>
      <c r="AS388" s="5" t="inlineStr"/>
      <c r="AT388" s="5" t="inlineStr"/>
      <c r="AU388" s="8" t="inlineStr">
        <is>
          <t>Not run</t>
        </is>
      </c>
    </row>
    <row r="389" ht="32" customHeight="1">
      <c r="A389" s="16" t="inlineStr">
        <is>
          <t>X-0388</t>
        </is>
      </c>
      <c r="B389" s="8" t="inlineStr">
        <is>
          <t>X</t>
        </is>
      </c>
      <c r="C389" s="5" t="inlineStr">
        <is>
          <t>Multiple / Cross-persona</t>
        </is>
      </c>
      <c r="D389" s="5" t="inlineStr">
        <is>
          <t>Reporting &amp; Business Intelligence</t>
        </is>
      </c>
      <c r="E389" s="5" t="inlineStr">
        <is>
          <t>Transaction → GST dashboard updates</t>
        </is>
      </c>
      <c r="F389" s="5" t="inlineStr">
        <is>
          <t>Reporting Engine</t>
        </is>
      </c>
      <c r="G389" s="5" t="inlineStr">
        <is>
          <t>In-house Accountant</t>
        </is>
      </c>
      <c r="H389" s="5" t="inlineStr">
        <is>
          <t>Tax dashboard reflects cumulative output liability, input credits, and estimated net payout</t>
        </is>
      </c>
      <c r="I389" s="5" t="inlineStr">
        <is>
          <t>Updates real-time tax summary cards for CGST, SGST, IGST, and cess</t>
        </is>
      </c>
      <c r="J389" s="20" t="inlineStr">
        <is>
          <t>P1</t>
        </is>
      </c>
      <c r="K389" s="20" t="inlineStr">
        <is>
          <t>Validated (Supported)</t>
        </is>
      </c>
      <c r="L389" s="5" t="inlineStr">
        <is>
          <t>Supported via GST Health Dashboard in reporting module.</t>
        </is>
      </c>
      <c r="M389" s="8" t="inlineStr">
        <is>
          <t>Baseline</t>
        </is>
      </c>
      <c r="N389" s="8" t="inlineStr">
        <is>
          <t>Cross-persona</t>
        </is>
      </c>
      <c r="O389" s="8" t="inlineStr">
        <is>
          <t>P1</t>
        </is>
      </c>
      <c r="P389" s="5" t="inlineStr">
        <is>
          <t>Unchanged</t>
        </is>
      </c>
      <c r="Q389" s="20" t="inlineStr">
        <is>
          <t>Author assertion</t>
        </is>
      </c>
      <c r="R389" s="5" t="inlineStr"/>
      <c r="S389" s="8" t="inlineStr">
        <is>
          <t>RPT</t>
        </is>
      </c>
      <c r="T389" s="5" t="inlineStr">
        <is>
          <t>Reporting and business intelligence</t>
        </is>
      </c>
      <c r="U389" s="8" t="inlineStr"/>
      <c r="V389" s="8" t="inlineStr">
        <is>
          <t>reporting</t>
        </is>
      </c>
      <c r="W389" s="8" t="inlineStr">
        <is>
          <t>CONTROL</t>
        </is>
      </c>
      <c r="X389" s="5" t="inlineStr">
        <is>
          <t>Core</t>
        </is>
      </c>
      <c r="Y389" s="5" t="inlineStr">
        <is>
          <t>Cross-persona</t>
        </is>
      </c>
      <c r="Z389" s="5" t="inlineStr">
        <is>
          <t>Medium</t>
        </is>
      </c>
      <c r="AA389" s="5" t="inlineStr">
        <is>
          <t>Medium</t>
        </is>
      </c>
      <c r="AB389" s="8" t="inlineStr">
        <is>
          <t>Low</t>
        </is>
      </c>
      <c r="AC389" s="8" t="inlineStr">
        <is>
          <t>Pilot</t>
        </is>
      </c>
      <c r="AD389" s="5" t="inlineStr">
        <is>
          <t>Not independently checked</t>
        </is>
      </c>
      <c r="AE389" s="5" t="inlineStr">
        <is>
          <t>Not verified</t>
        </is>
      </c>
      <c r="AF389" s="5" t="inlineStr">
        <is>
          <t>Not verified</t>
        </is>
      </c>
      <c r="AG389" s="5" t="inlineStr">
        <is>
          <t>Not verified</t>
        </is>
      </c>
      <c r="AH389" s="5" t="inlineStr">
        <is>
          <t>Not verified</t>
        </is>
      </c>
      <c r="AI389" s="8" t="inlineStr">
        <is>
          <t>No</t>
        </is>
      </c>
      <c r="AJ389" s="8" t="inlineStr">
        <is>
          <t>Claimed - unverified</t>
        </is>
      </c>
      <c r="AK389" s="8" t="inlineStr">
        <is>
          <t>P1</t>
        </is>
      </c>
      <c r="AL389" s="8" t="n">
        <v>6</v>
      </c>
      <c r="AM389" s="5" t="inlineStr"/>
      <c r="AN389" s="5" t="inlineStr"/>
      <c r="AO389" s="5" t="inlineStr"/>
      <c r="AP389" s="5" t="inlineStr"/>
      <c r="AQ389" s="5" t="inlineStr"/>
      <c r="AR389" s="5" t="inlineStr"/>
      <c r="AS389" s="5" t="inlineStr"/>
      <c r="AT389" s="5" t="inlineStr"/>
      <c r="AU389" s="8" t="inlineStr">
        <is>
          <t>Not run</t>
        </is>
      </c>
    </row>
    <row r="390" ht="32" customHeight="1">
      <c r="A390" s="16" t="inlineStr">
        <is>
          <t>X-0389</t>
        </is>
      </c>
      <c r="B390" s="8" t="inlineStr">
        <is>
          <t>X</t>
        </is>
      </c>
      <c r="C390" s="5" t="inlineStr">
        <is>
          <t>Multiple / Cross-persona</t>
        </is>
      </c>
      <c r="D390" s="5" t="inlineStr">
        <is>
          <t>Reporting &amp; Business Intelligence</t>
        </is>
      </c>
      <c r="E390" s="5" t="inlineStr">
        <is>
          <t>Transaction → receivables dashboard updates</t>
        </is>
      </c>
      <c r="F390" s="5" t="inlineStr">
        <is>
          <t>Reporting Engine</t>
        </is>
      </c>
      <c r="G390" s="5" t="inlineStr">
        <is>
          <t>Credit Controller / Owner</t>
        </is>
      </c>
      <c r="H390" s="5" t="inlineStr">
        <is>
          <t>Accounts receivable dashboard updates total outstanding, overdue aging, and collections</t>
        </is>
      </c>
      <c r="I390" s="5" t="inlineStr">
        <is>
          <t>Updates AR total, 30+ days overdue percentage, and top debtor ranking</t>
        </is>
      </c>
      <c r="J390" s="20" t="inlineStr">
        <is>
          <t>P1</t>
        </is>
      </c>
      <c r="K390" s="20" t="inlineStr">
        <is>
          <t>Validated (Supported)</t>
        </is>
      </c>
      <c r="L390" s="5" t="inlineStr">
        <is>
          <t>Supported via Receivables Overview dashboard.</t>
        </is>
      </c>
      <c r="M390" s="8" t="inlineStr">
        <is>
          <t>Baseline</t>
        </is>
      </c>
      <c r="N390" s="8" t="inlineStr">
        <is>
          <t>Cross-persona</t>
        </is>
      </c>
      <c r="O390" s="8" t="inlineStr">
        <is>
          <t>P1</t>
        </is>
      </c>
      <c r="P390" s="5" t="inlineStr">
        <is>
          <t>Unchanged</t>
        </is>
      </c>
      <c r="Q390" s="20" t="inlineStr">
        <is>
          <t>Author assertion</t>
        </is>
      </c>
      <c r="R390" s="5" t="inlineStr"/>
      <c r="S390" s="8" t="inlineStr">
        <is>
          <t>RPT</t>
        </is>
      </c>
      <c r="T390" s="5" t="inlineStr">
        <is>
          <t>Reporting and business intelligence</t>
        </is>
      </c>
      <c r="U390" s="8" t="inlineStr"/>
      <c r="V390" s="8" t="inlineStr">
        <is>
          <t>reporting</t>
        </is>
      </c>
      <c r="W390" s="8" t="inlineStr">
        <is>
          <t>CONTROL</t>
        </is>
      </c>
      <c r="X390" s="5" t="inlineStr">
        <is>
          <t>Core</t>
        </is>
      </c>
      <c r="Y390" s="5" t="inlineStr">
        <is>
          <t>Cross-persona</t>
        </is>
      </c>
      <c r="Z390" s="5" t="inlineStr">
        <is>
          <t>Medium</t>
        </is>
      </c>
      <c r="AA390" s="5" t="inlineStr">
        <is>
          <t>Medium</t>
        </is>
      </c>
      <c r="AB390" s="8" t="inlineStr">
        <is>
          <t>Low</t>
        </is>
      </c>
      <c r="AC390" s="8" t="inlineStr">
        <is>
          <t>Pilot</t>
        </is>
      </c>
      <c r="AD390" s="5" t="inlineStr">
        <is>
          <t>Not independently checked</t>
        </is>
      </c>
      <c r="AE390" s="5" t="inlineStr">
        <is>
          <t>Not verified</t>
        </is>
      </c>
      <c r="AF390" s="5" t="inlineStr">
        <is>
          <t>Not verified</t>
        </is>
      </c>
      <c r="AG390" s="5" t="inlineStr">
        <is>
          <t>Not verified</t>
        </is>
      </c>
      <c r="AH390" s="5" t="inlineStr">
        <is>
          <t>Not verified</t>
        </is>
      </c>
      <c r="AI390" s="8" t="inlineStr">
        <is>
          <t>No</t>
        </is>
      </c>
      <c r="AJ390" s="8" t="inlineStr">
        <is>
          <t>Claimed - unverified</t>
        </is>
      </c>
      <c r="AK390" s="8" t="inlineStr">
        <is>
          <t>P1</t>
        </is>
      </c>
      <c r="AL390" s="8" t="n">
        <v>6</v>
      </c>
      <c r="AM390" s="5" t="inlineStr"/>
      <c r="AN390" s="5" t="inlineStr"/>
      <c r="AO390" s="5" t="inlineStr"/>
      <c r="AP390" s="5" t="inlineStr"/>
      <c r="AQ390" s="5" t="inlineStr"/>
      <c r="AR390" s="5" t="inlineStr"/>
      <c r="AS390" s="5" t="inlineStr"/>
      <c r="AT390" s="5" t="inlineStr"/>
      <c r="AU390" s="8" t="inlineStr">
        <is>
          <t>Not run</t>
        </is>
      </c>
    </row>
    <row r="391" ht="32" customHeight="1">
      <c r="A391" s="16" t="inlineStr">
        <is>
          <t>X-0390</t>
        </is>
      </c>
      <c r="B391" s="8" t="inlineStr">
        <is>
          <t>X</t>
        </is>
      </c>
      <c r="C391" s="5" t="inlineStr">
        <is>
          <t>Multiple / Cross-persona</t>
        </is>
      </c>
      <c r="D391" s="5" t="inlineStr">
        <is>
          <t>Reporting &amp; Business Intelligence</t>
        </is>
      </c>
      <c r="E391" s="5" t="inlineStr">
        <is>
          <t>Transaction → payables dashboard updates</t>
        </is>
      </c>
      <c r="F391" s="5" t="inlineStr">
        <is>
          <t>Reporting Engine</t>
        </is>
      </c>
      <c r="G391" s="5" t="inlineStr">
        <is>
          <t>Purchase Manager / Accountant</t>
        </is>
      </c>
      <c r="H391" s="5" t="inlineStr">
        <is>
          <t>Accounts payable dashboard reflects updated supplier obligations and scheduled payments</t>
        </is>
      </c>
      <c r="I391" s="5" t="inlineStr">
        <is>
          <t>Updates AP total, upcoming 7-day payment commitments, and supplier balances</t>
        </is>
      </c>
      <c r="J391" s="20" t="inlineStr">
        <is>
          <t>P1</t>
        </is>
      </c>
      <c r="K391" s="20" t="inlineStr">
        <is>
          <t>Validated (Supported)</t>
        </is>
      </c>
      <c r="L391" s="5" t="inlineStr">
        <is>
          <t>Supported via Payables Overview dashboard.</t>
        </is>
      </c>
      <c r="M391" s="8" t="inlineStr">
        <is>
          <t>Baseline</t>
        </is>
      </c>
      <c r="N391" s="8" t="inlineStr">
        <is>
          <t>Cross-persona</t>
        </is>
      </c>
      <c r="O391" s="8" t="inlineStr">
        <is>
          <t>P1</t>
        </is>
      </c>
      <c r="P391" s="5" t="inlineStr">
        <is>
          <t>Unchanged</t>
        </is>
      </c>
      <c r="Q391" s="20" t="inlineStr">
        <is>
          <t>Author assertion</t>
        </is>
      </c>
      <c r="R391" s="5" t="inlineStr"/>
      <c r="S391" s="8" t="inlineStr">
        <is>
          <t>RPT</t>
        </is>
      </c>
      <c r="T391" s="5" t="inlineStr">
        <is>
          <t>Reporting and business intelligence</t>
        </is>
      </c>
      <c r="U391" s="8" t="inlineStr"/>
      <c r="V391" s="8" t="inlineStr">
        <is>
          <t>reporting</t>
        </is>
      </c>
      <c r="W391" s="8" t="inlineStr">
        <is>
          <t>CONTROL</t>
        </is>
      </c>
      <c r="X391" s="5" t="inlineStr">
        <is>
          <t>Core</t>
        </is>
      </c>
      <c r="Y391" s="5" t="inlineStr">
        <is>
          <t>Cross-persona</t>
        </is>
      </c>
      <c r="Z391" s="5" t="inlineStr">
        <is>
          <t>Medium</t>
        </is>
      </c>
      <c r="AA391" s="5" t="inlineStr">
        <is>
          <t>Medium</t>
        </is>
      </c>
      <c r="AB391" s="8" t="inlineStr">
        <is>
          <t>Low</t>
        </is>
      </c>
      <c r="AC391" s="8" t="inlineStr">
        <is>
          <t>Pilot</t>
        </is>
      </c>
      <c r="AD391" s="5" t="inlineStr">
        <is>
          <t>Not independently checked</t>
        </is>
      </c>
      <c r="AE391" s="5" t="inlineStr">
        <is>
          <t>Not verified</t>
        </is>
      </c>
      <c r="AF391" s="5" t="inlineStr">
        <is>
          <t>Not verified</t>
        </is>
      </c>
      <c r="AG391" s="5" t="inlineStr">
        <is>
          <t>Not verified</t>
        </is>
      </c>
      <c r="AH391" s="5" t="inlineStr">
        <is>
          <t>Not verified</t>
        </is>
      </c>
      <c r="AI391" s="8" t="inlineStr">
        <is>
          <t>No</t>
        </is>
      </c>
      <c r="AJ391" s="8" t="inlineStr">
        <is>
          <t>Claimed - unverified</t>
        </is>
      </c>
      <c r="AK391" s="8" t="inlineStr">
        <is>
          <t>P1</t>
        </is>
      </c>
      <c r="AL391" s="8" t="n">
        <v>6</v>
      </c>
      <c r="AM391" s="5" t="inlineStr"/>
      <c r="AN391" s="5" t="inlineStr"/>
      <c r="AO391" s="5" t="inlineStr"/>
      <c r="AP391" s="5" t="inlineStr"/>
      <c r="AQ391" s="5" t="inlineStr"/>
      <c r="AR391" s="5" t="inlineStr"/>
      <c r="AS391" s="5" t="inlineStr"/>
      <c r="AT391" s="5" t="inlineStr"/>
      <c r="AU391" s="8" t="inlineStr">
        <is>
          <t>Not run</t>
        </is>
      </c>
    </row>
    <row r="392" ht="32" customHeight="1">
      <c r="A392" s="16" t="inlineStr">
        <is>
          <t>X-0391</t>
        </is>
      </c>
      <c r="B392" s="8" t="inlineStr">
        <is>
          <t>X</t>
        </is>
      </c>
      <c r="C392" s="5" t="inlineStr">
        <is>
          <t>Multiple / Cross-persona</t>
        </is>
      </c>
      <c r="D392" s="5" t="inlineStr">
        <is>
          <t>Reporting &amp; Business Intelligence</t>
        </is>
      </c>
      <c r="E392" s="5" t="inlineStr">
        <is>
          <t>Transaction → profitability dashboard updates</t>
        </is>
      </c>
      <c r="F392" s="5" t="inlineStr">
        <is>
          <t>Reporting Engine</t>
        </is>
      </c>
      <c r="G392" s="5" t="inlineStr">
        <is>
          <t>Business Owner</t>
        </is>
      </c>
      <c r="H392" s="5" t="inlineStr">
        <is>
          <t>Real-time realized gross profit margin metrics update as transactions complete</t>
        </is>
      </c>
      <c r="I392" s="5" t="inlineStr">
        <is>
          <t>Computes cumulative gross profit = SUM(Line Revenue - Line FIFO Cost) for the period</t>
        </is>
      </c>
      <c r="J392" s="20" t="inlineStr">
        <is>
          <t>P1</t>
        </is>
      </c>
      <c r="K392" s="20" t="inlineStr">
        <is>
          <t>Validated (Supported)</t>
        </is>
      </c>
      <c r="L392" s="5" t="inlineStr">
        <is>
          <t>Supported via Executive Profitability Dashboard.</t>
        </is>
      </c>
      <c r="M392" s="8" t="inlineStr">
        <is>
          <t>Baseline</t>
        </is>
      </c>
      <c r="N392" s="8" t="inlineStr">
        <is>
          <t>Cross-persona</t>
        </is>
      </c>
      <c r="O392" s="8" t="inlineStr">
        <is>
          <t>P1</t>
        </is>
      </c>
      <c r="P392" s="5" t="inlineStr">
        <is>
          <t>Unchanged</t>
        </is>
      </c>
      <c r="Q392" s="20" t="inlineStr">
        <is>
          <t>Author assertion</t>
        </is>
      </c>
      <c r="R392" s="5" t="inlineStr"/>
      <c r="S392" s="8" t="inlineStr">
        <is>
          <t>RPT</t>
        </is>
      </c>
      <c r="T392" s="5" t="inlineStr">
        <is>
          <t>Reporting and business intelligence</t>
        </is>
      </c>
      <c r="U392" s="8" t="inlineStr"/>
      <c r="V392" s="8" t="inlineStr">
        <is>
          <t>reporting</t>
        </is>
      </c>
      <c r="W392" s="8" t="inlineStr">
        <is>
          <t>CONTROL</t>
        </is>
      </c>
      <c r="X392" s="5" t="inlineStr">
        <is>
          <t>Core</t>
        </is>
      </c>
      <c r="Y392" s="5" t="inlineStr">
        <is>
          <t>Cross-persona</t>
        </is>
      </c>
      <c r="Z392" s="5" t="inlineStr">
        <is>
          <t>Medium</t>
        </is>
      </c>
      <c r="AA392" s="5" t="inlineStr">
        <is>
          <t>Medium</t>
        </is>
      </c>
      <c r="AB392" s="8" t="inlineStr">
        <is>
          <t>Low</t>
        </is>
      </c>
      <c r="AC392" s="8" t="inlineStr">
        <is>
          <t>Pilot</t>
        </is>
      </c>
      <c r="AD392" s="5" t="inlineStr">
        <is>
          <t>Not independently checked</t>
        </is>
      </c>
      <c r="AE392" s="5" t="inlineStr">
        <is>
          <t>Not verified</t>
        </is>
      </c>
      <c r="AF392" s="5" t="inlineStr">
        <is>
          <t>Not verified</t>
        </is>
      </c>
      <c r="AG392" s="5" t="inlineStr">
        <is>
          <t>Not verified</t>
        </is>
      </c>
      <c r="AH392" s="5" t="inlineStr">
        <is>
          <t>Not verified</t>
        </is>
      </c>
      <c r="AI392" s="8" t="inlineStr">
        <is>
          <t>No</t>
        </is>
      </c>
      <c r="AJ392" s="8" t="inlineStr">
        <is>
          <t>Claimed - unverified</t>
        </is>
      </c>
      <c r="AK392" s="8" t="inlineStr">
        <is>
          <t>P1</t>
        </is>
      </c>
      <c r="AL392" s="8" t="n">
        <v>6</v>
      </c>
      <c r="AM392" s="5" t="inlineStr"/>
      <c r="AN392" s="5" t="inlineStr"/>
      <c r="AO392" s="5" t="inlineStr"/>
      <c r="AP392" s="5" t="inlineStr"/>
      <c r="AQ392" s="5" t="inlineStr"/>
      <c r="AR392" s="5" t="inlineStr"/>
      <c r="AS392" s="5" t="inlineStr"/>
      <c r="AT392" s="5" t="inlineStr"/>
      <c r="AU392" s="8" t="inlineStr">
        <is>
          <t>Not run</t>
        </is>
      </c>
    </row>
    <row r="393" ht="32" customHeight="1">
      <c r="A393" s="16" t="inlineStr">
        <is>
          <t>X-0392</t>
        </is>
      </c>
      <c r="B393" s="8" t="inlineStr">
        <is>
          <t>X</t>
        </is>
      </c>
      <c r="C393" s="5" t="inlineStr">
        <is>
          <t>Multiple / Cross-persona</t>
        </is>
      </c>
      <c r="D393" s="5" t="inlineStr">
        <is>
          <t>Reporting &amp; Business Intelligence</t>
        </is>
      </c>
      <c r="E393" s="5" t="inlineStr">
        <is>
          <t>Owner drills KPI → underlying transaction</t>
        </is>
      </c>
      <c r="F393" s="5" t="inlineStr">
        <is>
          <t>Business Owner / Accountant</t>
        </is>
      </c>
      <c r="G393" s="5" t="inlineStr">
        <is>
          <t>None</t>
        </is>
      </c>
      <c r="H393" s="5" t="inlineStr">
        <is>
          <t>Click on any dashboard metric card to view filtered list of transactions composing the total</t>
        </is>
      </c>
      <c r="I393" s="5" t="inlineStr">
        <is>
          <t>Opens filtered transaction ledger displaying the specific invoices or journal lines</t>
        </is>
      </c>
      <c r="J393" s="20" t="inlineStr">
        <is>
          <t>P1</t>
        </is>
      </c>
      <c r="K393" s="20" t="inlineStr">
        <is>
          <t>Validated (Supported)</t>
        </is>
      </c>
      <c r="L393" s="5" t="inlineStr">
        <is>
          <t>Full bidirectional drill-down supported across all dashboard metric cards.</t>
        </is>
      </c>
      <c r="M393" s="8" t="inlineStr">
        <is>
          <t>Baseline</t>
        </is>
      </c>
      <c r="N393" s="8" t="inlineStr">
        <is>
          <t>Cross-persona</t>
        </is>
      </c>
      <c r="O393" s="8" t="inlineStr">
        <is>
          <t>P1</t>
        </is>
      </c>
      <c r="P393" s="5" t="inlineStr">
        <is>
          <t>Unchanged</t>
        </is>
      </c>
      <c r="Q393" s="20" t="inlineStr">
        <is>
          <t>Author assertion</t>
        </is>
      </c>
      <c r="R393" s="5" t="inlineStr"/>
      <c r="S393" s="8" t="inlineStr">
        <is>
          <t>RPT</t>
        </is>
      </c>
      <c r="T393" s="5" t="inlineStr">
        <is>
          <t>Reporting and business intelligence</t>
        </is>
      </c>
      <c r="U393" s="8" t="inlineStr"/>
      <c r="V393" s="8" t="inlineStr">
        <is>
          <t>reporting</t>
        </is>
      </c>
      <c r="W393" s="8" t="inlineStr">
        <is>
          <t>CONTROL</t>
        </is>
      </c>
      <c r="X393" s="5" t="inlineStr">
        <is>
          <t>Core</t>
        </is>
      </c>
      <c r="Y393" s="5" t="inlineStr">
        <is>
          <t>Cross-persona</t>
        </is>
      </c>
      <c r="Z393" s="5" t="inlineStr">
        <is>
          <t>Medium</t>
        </is>
      </c>
      <c r="AA393" s="5" t="inlineStr">
        <is>
          <t>Medium</t>
        </is>
      </c>
      <c r="AB393" s="8" t="inlineStr">
        <is>
          <t>Low</t>
        </is>
      </c>
      <c r="AC393" s="8" t="inlineStr">
        <is>
          <t>Pilot</t>
        </is>
      </c>
      <c r="AD393" s="5" t="inlineStr">
        <is>
          <t>Not independently checked</t>
        </is>
      </c>
      <c r="AE393" s="5" t="inlineStr">
        <is>
          <t>Not verified</t>
        </is>
      </c>
      <c r="AF393" s="5" t="inlineStr">
        <is>
          <t>Not verified</t>
        </is>
      </c>
      <c r="AG393" s="5" t="inlineStr">
        <is>
          <t>Not verified</t>
        </is>
      </c>
      <c r="AH393" s="5" t="inlineStr">
        <is>
          <t>Not verified</t>
        </is>
      </c>
      <c r="AI393" s="8" t="inlineStr">
        <is>
          <t>No</t>
        </is>
      </c>
      <c r="AJ393" s="8" t="inlineStr">
        <is>
          <t>Claimed - unverified</t>
        </is>
      </c>
      <c r="AK393" s="8" t="inlineStr">
        <is>
          <t>P1</t>
        </is>
      </c>
      <c r="AL393" s="8" t="n">
        <v>6</v>
      </c>
      <c r="AM393" s="5" t="inlineStr"/>
      <c r="AN393" s="5" t="inlineStr"/>
      <c r="AO393" s="5" t="inlineStr"/>
      <c r="AP393" s="5" t="inlineStr"/>
      <c r="AQ393" s="5" t="inlineStr"/>
      <c r="AR393" s="5" t="inlineStr"/>
      <c r="AS393" s="5" t="inlineStr"/>
      <c r="AT393" s="5" t="inlineStr"/>
      <c r="AU393" s="8" t="inlineStr">
        <is>
          <t>Not run</t>
        </is>
      </c>
    </row>
    <row r="394" ht="32" customHeight="1">
      <c r="A394" s="16" t="inlineStr">
        <is>
          <t>X-0393</t>
        </is>
      </c>
      <c r="B394" s="8" t="inlineStr">
        <is>
          <t>X</t>
        </is>
      </c>
      <c r="C394" s="5" t="inlineStr">
        <is>
          <t>Multiple / Cross-persona</t>
        </is>
      </c>
      <c r="D394" s="5" t="inlineStr">
        <is>
          <t>Reporting &amp; Business Intelligence</t>
        </is>
      </c>
      <c r="E394" s="5" t="inlineStr">
        <is>
          <t>Owner drills transaction → source document</t>
        </is>
      </c>
      <c r="F394" s="5" t="inlineStr">
        <is>
          <t>In-house Accountant / Owner</t>
        </is>
      </c>
      <c r="G394" s="5" t="inlineStr">
        <is>
          <t>None</t>
        </is>
      </c>
      <c r="H394" s="5" t="inlineStr">
        <is>
          <t>Click on any transaction row in ledger to inspect original full tax invoice or bill document</t>
        </is>
      </c>
      <c r="I394" s="5" t="inlineStr">
        <is>
          <t>Opens full document view showing customer details, line items, taxes, and payment history</t>
        </is>
      </c>
      <c r="J394" s="20" t="inlineStr">
        <is>
          <t>P1</t>
        </is>
      </c>
      <c r="K394" s="20" t="inlineStr">
        <is>
          <t>Validated (Supported)</t>
        </is>
      </c>
      <c r="L394" s="5" t="inlineStr">
        <is>
          <t>Supported via direct document link from all ledger tables.</t>
        </is>
      </c>
      <c r="M394" s="8" t="inlineStr">
        <is>
          <t>Baseline</t>
        </is>
      </c>
      <c r="N394" s="8" t="inlineStr">
        <is>
          <t>Cross-persona</t>
        </is>
      </c>
      <c r="O394" s="8" t="inlineStr">
        <is>
          <t>P1</t>
        </is>
      </c>
      <c r="P394" s="5" t="inlineStr">
        <is>
          <t>Unchanged</t>
        </is>
      </c>
      <c r="Q394" s="20" t="inlineStr">
        <is>
          <t>Author assertion</t>
        </is>
      </c>
      <c r="R394" s="5" t="inlineStr"/>
      <c r="S394" s="8" t="inlineStr">
        <is>
          <t>RPT</t>
        </is>
      </c>
      <c r="T394" s="5" t="inlineStr">
        <is>
          <t>Reporting and business intelligence</t>
        </is>
      </c>
      <c r="U394" s="8" t="inlineStr"/>
      <c r="V394" s="8" t="inlineStr">
        <is>
          <t>reporting</t>
        </is>
      </c>
      <c r="W394" s="8" t="inlineStr">
        <is>
          <t>CONTROL</t>
        </is>
      </c>
      <c r="X394" s="5" t="inlineStr">
        <is>
          <t>Core</t>
        </is>
      </c>
      <c r="Y394" s="5" t="inlineStr">
        <is>
          <t>Cross-persona</t>
        </is>
      </c>
      <c r="Z394" s="5" t="inlineStr">
        <is>
          <t>Medium</t>
        </is>
      </c>
      <c r="AA394" s="5" t="inlineStr">
        <is>
          <t>Medium</t>
        </is>
      </c>
      <c r="AB394" s="8" t="inlineStr">
        <is>
          <t>Low</t>
        </is>
      </c>
      <c r="AC394" s="8" t="inlineStr">
        <is>
          <t>Pilot</t>
        </is>
      </c>
      <c r="AD394" s="5" t="inlineStr">
        <is>
          <t>Not independently checked</t>
        </is>
      </c>
      <c r="AE394" s="5" t="inlineStr">
        <is>
          <t>Not verified</t>
        </is>
      </c>
      <c r="AF394" s="5" t="inlineStr">
        <is>
          <t>Not verified</t>
        </is>
      </c>
      <c r="AG394" s="5" t="inlineStr">
        <is>
          <t>Not verified</t>
        </is>
      </c>
      <c r="AH394" s="5" t="inlineStr">
        <is>
          <t>Not verified</t>
        </is>
      </c>
      <c r="AI394" s="8" t="inlineStr">
        <is>
          <t>No</t>
        </is>
      </c>
      <c r="AJ394" s="8" t="inlineStr">
        <is>
          <t>Claimed - unverified</t>
        </is>
      </c>
      <c r="AK394" s="8" t="inlineStr">
        <is>
          <t>P1</t>
        </is>
      </c>
      <c r="AL394" s="8" t="n">
        <v>6</v>
      </c>
      <c r="AM394" s="5" t="inlineStr"/>
      <c r="AN394" s="5" t="inlineStr"/>
      <c r="AO394" s="5" t="inlineStr"/>
      <c r="AP394" s="5" t="inlineStr"/>
      <c r="AQ394" s="5" t="inlineStr"/>
      <c r="AR394" s="5" t="inlineStr"/>
      <c r="AS394" s="5" t="inlineStr"/>
      <c r="AT394" s="5" t="inlineStr"/>
      <c r="AU394" s="8" t="inlineStr">
        <is>
          <t>Not run</t>
        </is>
      </c>
    </row>
    <row r="395" ht="32" customHeight="1">
      <c r="A395" s="16" t="inlineStr">
        <is>
          <t>X-0394</t>
        </is>
      </c>
      <c r="B395" s="8" t="inlineStr">
        <is>
          <t>X</t>
        </is>
      </c>
      <c r="C395" s="5" t="inlineStr">
        <is>
          <t>Multiple / Cross-persona</t>
        </is>
      </c>
      <c r="D395" s="5" t="inlineStr">
        <is>
          <t>Reporting &amp; Business Intelligence</t>
        </is>
      </c>
      <c r="E395" s="5" t="inlineStr">
        <is>
          <t>Salesperson sees personal sales performance</t>
        </is>
      </c>
      <c r="F395" s="5" t="inlineStr">
        <is>
          <t>Field Salesperson</t>
        </is>
      </c>
      <c r="G395" s="5" t="inlineStr">
        <is>
          <t>Sales Manager</t>
        </is>
      </c>
      <c r="H395" s="5" t="inlineStr">
        <is>
          <t>Salesperson views personal sales achievement, commission earned, and customer order count</t>
        </is>
      </c>
      <c r="I395" s="5" t="inlineStr">
        <is>
          <t>Filters sales performance metrics specifically for logged-in salesperson's user ID</t>
        </is>
      </c>
      <c r="J395" s="20" t="inlineStr">
        <is>
          <t>P1</t>
        </is>
      </c>
      <c r="K395" s="20" t="inlineStr">
        <is>
          <t>Validated (Supported)</t>
        </is>
      </c>
      <c r="L395" s="5" t="inlineStr">
        <is>
          <t>Supported via Rep Self-Service Performance Card in mobile PWA.</t>
        </is>
      </c>
      <c r="M395" s="8" t="inlineStr">
        <is>
          <t>Baseline</t>
        </is>
      </c>
      <c r="N395" s="8" t="inlineStr">
        <is>
          <t>Cross-persona</t>
        </is>
      </c>
      <c r="O395" s="8" t="inlineStr">
        <is>
          <t>P1</t>
        </is>
      </c>
      <c r="P395" s="5" t="inlineStr">
        <is>
          <t>Unchanged</t>
        </is>
      </c>
      <c r="Q395" s="20" t="inlineStr">
        <is>
          <t>Author assertion</t>
        </is>
      </c>
      <c r="R395" s="5" t="inlineStr"/>
      <c r="S395" s="8" t="inlineStr">
        <is>
          <t>RPT</t>
        </is>
      </c>
      <c r="T395" s="5" t="inlineStr">
        <is>
          <t>Reporting and business intelligence</t>
        </is>
      </c>
      <c r="U395" s="8" t="inlineStr"/>
      <c r="V395" s="8" t="inlineStr">
        <is>
          <t>reporting</t>
        </is>
      </c>
      <c r="W395" s="8" t="inlineStr">
        <is>
          <t>CONTROL</t>
        </is>
      </c>
      <c r="X395" s="5" t="inlineStr">
        <is>
          <t>Core</t>
        </is>
      </c>
      <c r="Y395" s="5" t="inlineStr">
        <is>
          <t>Cross-persona</t>
        </is>
      </c>
      <c r="Z395" s="5" t="inlineStr">
        <is>
          <t>Medium</t>
        </is>
      </c>
      <c r="AA395" s="5" t="inlineStr">
        <is>
          <t>Medium</t>
        </is>
      </c>
      <c r="AB395" s="8" t="inlineStr">
        <is>
          <t>Low</t>
        </is>
      </c>
      <c r="AC395" s="8" t="inlineStr">
        <is>
          <t>Pilot</t>
        </is>
      </c>
      <c r="AD395" s="5" t="inlineStr">
        <is>
          <t>Not independently checked</t>
        </is>
      </c>
      <c r="AE395" s="5" t="inlineStr">
        <is>
          <t>Not verified</t>
        </is>
      </c>
      <c r="AF395" s="5" t="inlineStr">
        <is>
          <t>Not verified</t>
        </is>
      </c>
      <c r="AG395" s="5" t="inlineStr">
        <is>
          <t>Not verified</t>
        </is>
      </c>
      <c r="AH395" s="5" t="inlineStr">
        <is>
          <t>Not verified</t>
        </is>
      </c>
      <c r="AI395" s="8" t="inlineStr">
        <is>
          <t>No</t>
        </is>
      </c>
      <c r="AJ395" s="8" t="inlineStr">
        <is>
          <t>Claimed - unverified</t>
        </is>
      </c>
      <c r="AK395" s="8" t="inlineStr">
        <is>
          <t>P1</t>
        </is>
      </c>
      <c r="AL395" s="8" t="n">
        <v>6</v>
      </c>
      <c r="AM395" s="5" t="inlineStr"/>
      <c r="AN395" s="5" t="inlineStr"/>
      <c r="AO395" s="5" t="inlineStr"/>
      <c r="AP395" s="5" t="inlineStr"/>
      <c r="AQ395" s="5" t="inlineStr"/>
      <c r="AR395" s="5" t="inlineStr"/>
      <c r="AS395" s="5" t="inlineStr"/>
      <c r="AT395" s="5" t="inlineStr"/>
      <c r="AU395" s="8" t="inlineStr">
        <is>
          <t>Not run</t>
        </is>
      </c>
    </row>
    <row r="396" ht="32" customHeight="1">
      <c r="A396" s="16" t="inlineStr">
        <is>
          <t>X-0395</t>
        </is>
      </c>
      <c r="B396" s="8" t="inlineStr">
        <is>
          <t>X</t>
        </is>
      </c>
      <c r="C396" s="5" t="inlineStr">
        <is>
          <t>Multiple / Cross-persona</t>
        </is>
      </c>
      <c r="D396" s="5" t="inlineStr">
        <is>
          <t>Reporting &amp; Business Intelligence</t>
        </is>
      </c>
      <c r="E396" s="5" t="inlineStr">
        <is>
          <t>Manager sees team performance</t>
        </is>
      </c>
      <c r="F396" s="5" t="inlineStr">
        <is>
          <t>Sales Manager</t>
        </is>
      </c>
      <c r="G396" s="5" t="inlineStr">
        <is>
          <t>Sales Team</t>
        </is>
      </c>
      <c r="H396" s="5" t="inlineStr">
        <is>
          <t>Manager monitors sales figures, target completion, and customer visits across all sales reps</t>
        </is>
      </c>
      <c r="I396" s="5" t="inlineStr">
        <is>
          <t>Aggregates sales figures grouped by sales representative with comparative rankings</t>
        </is>
      </c>
      <c r="J396" s="20" t="inlineStr">
        <is>
          <t>P1</t>
        </is>
      </c>
      <c r="K396" s="20" t="inlineStr">
        <is>
          <t>Validated (Supported)</t>
        </is>
      </c>
      <c r="L396" s="5" t="inlineStr">
        <is>
          <t>Supported via Sales Team Leaderboard report.</t>
        </is>
      </c>
      <c r="M396" s="8" t="inlineStr">
        <is>
          <t>Baseline</t>
        </is>
      </c>
      <c r="N396" s="8" t="inlineStr">
        <is>
          <t>Cross-persona</t>
        </is>
      </c>
      <c r="O396" s="8" t="inlineStr">
        <is>
          <t>P1</t>
        </is>
      </c>
      <c r="P396" s="5" t="inlineStr">
        <is>
          <t>Unchanged</t>
        </is>
      </c>
      <c r="Q396" s="20" t="inlineStr">
        <is>
          <t>Author assertion</t>
        </is>
      </c>
      <c r="R396" s="5" t="inlineStr"/>
      <c r="S396" s="8" t="inlineStr">
        <is>
          <t>RPT</t>
        </is>
      </c>
      <c r="T396" s="5" t="inlineStr">
        <is>
          <t>Reporting and business intelligence</t>
        </is>
      </c>
      <c r="U396" s="8" t="inlineStr"/>
      <c r="V396" s="8" t="inlineStr">
        <is>
          <t>reporting</t>
        </is>
      </c>
      <c r="W396" s="8" t="inlineStr">
        <is>
          <t>CONTROL</t>
        </is>
      </c>
      <c r="X396" s="5" t="inlineStr">
        <is>
          <t>Core</t>
        </is>
      </c>
      <c r="Y396" s="5" t="inlineStr">
        <is>
          <t>Cross-persona</t>
        </is>
      </c>
      <c r="Z396" s="5" t="inlineStr">
        <is>
          <t>Medium</t>
        </is>
      </c>
      <c r="AA396" s="5" t="inlineStr">
        <is>
          <t>Medium</t>
        </is>
      </c>
      <c r="AB396" s="8" t="inlineStr">
        <is>
          <t>Low</t>
        </is>
      </c>
      <c r="AC396" s="8" t="inlineStr">
        <is>
          <t>Pilot</t>
        </is>
      </c>
      <c r="AD396" s="5" t="inlineStr">
        <is>
          <t>Not independently checked</t>
        </is>
      </c>
      <c r="AE396" s="5" t="inlineStr">
        <is>
          <t>Not verified</t>
        </is>
      </c>
      <c r="AF396" s="5" t="inlineStr">
        <is>
          <t>Not verified</t>
        </is>
      </c>
      <c r="AG396" s="5" t="inlineStr">
        <is>
          <t>Not verified</t>
        </is>
      </c>
      <c r="AH396" s="5" t="inlineStr">
        <is>
          <t>Not verified</t>
        </is>
      </c>
      <c r="AI396" s="8" t="inlineStr">
        <is>
          <t>No</t>
        </is>
      </c>
      <c r="AJ396" s="8" t="inlineStr">
        <is>
          <t>Claimed - unverified</t>
        </is>
      </c>
      <c r="AK396" s="8" t="inlineStr">
        <is>
          <t>P1</t>
        </is>
      </c>
      <c r="AL396" s="8" t="n">
        <v>6</v>
      </c>
      <c r="AM396" s="5" t="inlineStr"/>
      <c r="AN396" s="5" t="inlineStr"/>
      <c r="AO396" s="5" t="inlineStr"/>
      <c r="AP396" s="5" t="inlineStr"/>
      <c r="AQ396" s="5" t="inlineStr"/>
      <c r="AR396" s="5" t="inlineStr"/>
      <c r="AS396" s="5" t="inlineStr"/>
      <c r="AT396" s="5" t="inlineStr"/>
      <c r="AU396" s="8" t="inlineStr">
        <is>
          <t>Not run</t>
        </is>
      </c>
    </row>
    <row r="397" ht="32" customHeight="1">
      <c r="A397" s="16" t="inlineStr">
        <is>
          <t>X-0396</t>
        </is>
      </c>
      <c r="B397" s="8" t="inlineStr">
        <is>
          <t>X</t>
        </is>
      </c>
      <c r="C397" s="5" t="inlineStr">
        <is>
          <t>Multiple / Cross-persona</t>
        </is>
      </c>
      <c r="D397" s="5" t="inlineStr">
        <is>
          <t>Reporting &amp; Business Intelligence</t>
        </is>
      </c>
      <c r="E397" s="5" t="inlineStr">
        <is>
          <t>Owner sees consolidated business performance</t>
        </is>
      </c>
      <c r="F397" s="5" t="inlineStr">
        <is>
          <t>Business Owner</t>
        </is>
      </c>
      <c r="G397" s="5" t="inlineStr">
        <is>
          <t>Senior Management</t>
        </is>
      </c>
      <c r="H397" s="5" t="inlineStr">
        <is>
          <t>Consolidated overview of all company divisions, outlets, and financial operations</t>
        </is>
      </c>
      <c r="I397" s="5" t="inlineStr">
        <is>
          <t>Renders high-level executive briefing with multi-outlet and multi-department rollups</t>
        </is>
      </c>
      <c r="J397" s="20" t="inlineStr">
        <is>
          <t>P1</t>
        </is>
      </c>
      <c r="K397" s="20" t="inlineStr">
        <is>
          <t>Validated (Supported)</t>
        </is>
      </c>
      <c r="L397" s="5" t="inlineStr">
        <is>
          <t>Supported via Executive Dashboard in Insights module.</t>
        </is>
      </c>
      <c r="M397" s="8" t="inlineStr">
        <is>
          <t>Baseline</t>
        </is>
      </c>
      <c r="N397" s="8" t="inlineStr">
        <is>
          <t>Cross-persona</t>
        </is>
      </c>
      <c r="O397" s="8" t="inlineStr">
        <is>
          <t>P1</t>
        </is>
      </c>
      <c r="P397" s="5" t="inlineStr">
        <is>
          <t>Unchanged</t>
        </is>
      </c>
      <c r="Q397" s="20" t="inlineStr">
        <is>
          <t>Author assertion</t>
        </is>
      </c>
      <c r="R397" s="5" t="inlineStr"/>
      <c r="S397" s="8" t="inlineStr">
        <is>
          <t>RPT</t>
        </is>
      </c>
      <c r="T397" s="5" t="inlineStr">
        <is>
          <t>Reporting and business intelligence</t>
        </is>
      </c>
      <c r="U397" s="8" t="inlineStr"/>
      <c r="V397" s="8" t="inlineStr">
        <is>
          <t>reporting</t>
        </is>
      </c>
      <c r="W397" s="8" t="inlineStr">
        <is>
          <t>CONTROL</t>
        </is>
      </c>
      <c r="X397" s="5" t="inlineStr">
        <is>
          <t>Core</t>
        </is>
      </c>
      <c r="Y397" s="5" t="inlineStr">
        <is>
          <t>Cross-persona</t>
        </is>
      </c>
      <c r="Z397" s="5" t="inlineStr">
        <is>
          <t>Medium</t>
        </is>
      </c>
      <c r="AA397" s="5" t="inlineStr">
        <is>
          <t>Medium</t>
        </is>
      </c>
      <c r="AB397" s="8" t="inlineStr">
        <is>
          <t>Low</t>
        </is>
      </c>
      <c r="AC397" s="8" t="inlineStr">
        <is>
          <t>Pilot</t>
        </is>
      </c>
      <c r="AD397" s="5" t="inlineStr">
        <is>
          <t>Not independently checked</t>
        </is>
      </c>
      <c r="AE397" s="5" t="inlineStr">
        <is>
          <t>Not verified</t>
        </is>
      </c>
      <c r="AF397" s="5" t="inlineStr">
        <is>
          <t>Not verified</t>
        </is>
      </c>
      <c r="AG397" s="5" t="inlineStr">
        <is>
          <t>Not verified</t>
        </is>
      </c>
      <c r="AH397" s="5" t="inlineStr">
        <is>
          <t>Not verified</t>
        </is>
      </c>
      <c r="AI397" s="8" t="inlineStr">
        <is>
          <t>No</t>
        </is>
      </c>
      <c r="AJ397" s="8" t="inlineStr">
        <is>
          <t>Claimed - unverified</t>
        </is>
      </c>
      <c r="AK397" s="8" t="inlineStr">
        <is>
          <t>P1</t>
        </is>
      </c>
      <c r="AL397" s="8" t="n">
        <v>6</v>
      </c>
      <c r="AM397" s="5" t="inlineStr"/>
      <c r="AN397" s="5" t="inlineStr"/>
      <c r="AO397" s="5" t="inlineStr"/>
      <c r="AP397" s="5" t="inlineStr"/>
      <c r="AQ397" s="5" t="inlineStr"/>
      <c r="AR397" s="5" t="inlineStr"/>
      <c r="AS397" s="5" t="inlineStr"/>
      <c r="AT397" s="5" t="inlineStr"/>
      <c r="AU397" s="8" t="inlineStr">
        <is>
          <t>Not run</t>
        </is>
      </c>
    </row>
    <row r="398" ht="32" customHeight="1">
      <c r="A398" s="16" t="inlineStr">
        <is>
          <t>X-0397</t>
        </is>
      </c>
      <c r="B398" s="8" t="inlineStr">
        <is>
          <t>X</t>
        </is>
      </c>
      <c r="C398" s="5" t="inlineStr">
        <is>
          <t>Multiple / Cross-persona</t>
        </is>
      </c>
      <c r="D398" s="5" t="inlineStr">
        <is>
          <t>Reporting &amp; Business Intelligence</t>
        </is>
      </c>
      <c r="E398" s="5" t="inlineStr">
        <is>
          <t>Multi-shop owner compares locations</t>
        </is>
      </c>
      <c r="F398" s="5" t="inlineStr">
        <is>
          <t>Multi-Shop Owner</t>
        </is>
      </c>
      <c r="G398" s="5" t="inlineStr">
        <is>
          <t>Branch Managers</t>
        </is>
      </c>
      <c r="H398" s="5" t="inlineStr">
        <is>
          <t>Side-by-side comparison of revenue, profitability, footfall, and stock across retail stores</t>
        </is>
      </c>
      <c r="I398" s="5" t="inlineStr">
        <is>
          <t>Generates comparative store performance table with revenue and profit metrics</t>
        </is>
      </c>
      <c r="J398" s="20" t="inlineStr">
        <is>
          <t>P1</t>
        </is>
      </c>
      <c r="K398" s="20" t="inlineStr">
        <is>
          <t>Validated (Supported)</t>
        </is>
      </c>
      <c r="L398" s="5" t="inlineStr">
        <is>
          <t>Supported via /reports/multi-store-comparison/.</t>
        </is>
      </c>
      <c r="M398" s="8" t="inlineStr">
        <is>
          <t>Baseline</t>
        </is>
      </c>
      <c r="N398" s="8" t="inlineStr">
        <is>
          <t>Cross-persona</t>
        </is>
      </c>
      <c r="O398" s="8" t="inlineStr">
        <is>
          <t>P1</t>
        </is>
      </c>
      <c r="P398" s="5" t="inlineStr">
        <is>
          <t>Unchanged</t>
        </is>
      </c>
      <c r="Q398" s="20" t="inlineStr">
        <is>
          <t>Author assertion</t>
        </is>
      </c>
      <c r="R398" s="5" t="inlineStr"/>
      <c r="S398" s="8" t="inlineStr">
        <is>
          <t>RPT</t>
        </is>
      </c>
      <c r="T398" s="5" t="inlineStr">
        <is>
          <t>Reporting and business intelligence</t>
        </is>
      </c>
      <c r="U398" s="8" t="inlineStr"/>
      <c r="V398" s="8" t="inlineStr">
        <is>
          <t>reporting</t>
        </is>
      </c>
      <c r="W398" s="8" t="inlineStr">
        <is>
          <t>CONTROL</t>
        </is>
      </c>
      <c r="X398" s="5" t="inlineStr">
        <is>
          <t>Core</t>
        </is>
      </c>
      <c r="Y398" s="5" t="inlineStr">
        <is>
          <t>Cross-persona</t>
        </is>
      </c>
      <c r="Z398" s="5" t="inlineStr">
        <is>
          <t>Medium</t>
        </is>
      </c>
      <c r="AA398" s="5" t="inlineStr">
        <is>
          <t>Medium</t>
        </is>
      </c>
      <c r="AB398" s="8" t="inlineStr">
        <is>
          <t>Low</t>
        </is>
      </c>
      <c r="AC398" s="8" t="inlineStr">
        <is>
          <t>Pilot</t>
        </is>
      </c>
      <c r="AD398" s="5" t="inlineStr">
        <is>
          <t>Not independently checked</t>
        </is>
      </c>
      <c r="AE398" s="5" t="inlineStr">
        <is>
          <t>Not verified</t>
        </is>
      </c>
      <c r="AF398" s="5" t="inlineStr">
        <is>
          <t>Not verified</t>
        </is>
      </c>
      <c r="AG398" s="5" t="inlineStr">
        <is>
          <t>Not verified</t>
        </is>
      </c>
      <c r="AH398" s="5" t="inlineStr">
        <is>
          <t>Not verified</t>
        </is>
      </c>
      <c r="AI398" s="8" t="inlineStr">
        <is>
          <t>No</t>
        </is>
      </c>
      <c r="AJ398" s="8" t="inlineStr">
        <is>
          <t>Claimed - unverified</t>
        </is>
      </c>
      <c r="AK398" s="8" t="inlineStr">
        <is>
          <t>P1</t>
        </is>
      </c>
      <c r="AL398" s="8" t="n">
        <v>6</v>
      </c>
      <c r="AM398" s="5" t="inlineStr"/>
      <c r="AN398" s="5" t="inlineStr"/>
      <c r="AO398" s="5" t="inlineStr"/>
      <c r="AP398" s="5" t="inlineStr"/>
      <c r="AQ398" s="5" t="inlineStr"/>
      <c r="AR398" s="5" t="inlineStr"/>
      <c r="AS398" s="5" t="inlineStr"/>
      <c r="AT398" s="5" t="inlineStr"/>
      <c r="AU398" s="8" t="inlineStr">
        <is>
          <t>Not run</t>
        </is>
      </c>
    </row>
    <row r="399" ht="32" customHeight="1">
      <c r="A399" s="16" t="inlineStr">
        <is>
          <t>X-0398</t>
        </is>
      </c>
      <c r="B399" s="8" t="inlineStr">
        <is>
          <t>X</t>
        </is>
      </c>
      <c r="C399" s="5" t="inlineStr">
        <is>
          <t>Multiple / Cross-persona</t>
        </is>
      </c>
      <c r="D399" s="5" t="inlineStr">
        <is>
          <t>Reporting &amp; Business Intelligence</t>
        </is>
      </c>
      <c r="E399" s="5" t="inlineStr">
        <is>
          <t>Distributor compares customers</t>
        </is>
      </c>
      <c r="F399" s="5" t="inlineStr">
        <is>
          <t>Commercial Director</t>
        </is>
      </c>
      <c r="G399" s="5" t="inlineStr">
        <is>
          <t>Retailer / Dealer</t>
        </is>
      </c>
      <c r="H399" s="5" t="inlineStr">
        <is>
          <t>Rank wholesale dealers by order frequency, revenue volume, payment promptness, and margin</t>
        </is>
      </c>
      <c r="I399" s="5" t="inlineStr">
        <is>
          <t>Computes customer scoring matrix; identifies top tier partners and credit risks</t>
        </is>
      </c>
      <c r="J399" s="20" t="inlineStr">
        <is>
          <t>P1</t>
        </is>
      </c>
      <c r="K399" s="20" t="inlineStr">
        <is>
          <t>Validated (Supported)</t>
        </is>
      </c>
      <c r="L399" s="5" t="inlineStr">
        <is>
          <t>Supported via Customer Ranking Matrix in reporting module.</t>
        </is>
      </c>
      <c r="M399" s="8" t="inlineStr">
        <is>
          <t>Baseline</t>
        </is>
      </c>
      <c r="N399" s="8" t="inlineStr">
        <is>
          <t>Cross-persona</t>
        </is>
      </c>
      <c r="O399" s="8" t="inlineStr">
        <is>
          <t>P1</t>
        </is>
      </c>
      <c r="P399" s="5" t="inlineStr">
        <is>
          <t>Unchanged</t>
        </is>
      </c>
      <c r="Q399" s="20" t="inlineStr">
        <is>
          <t>Author assertion</t>
        </is>
      </c>
      <c r="R399" s="5" t="inlineStr"/>
      <c r="S399" s="8" t="inlineStr">
        <is>
          <t>RPT</t>
        </is>
      </c>
      <c r="T399" s="5" t="inlineStr">
        <is>
          <t>Reporting and business intelligence</t>
        </is>
      </c>
      <c r="U399" s="8" t="inlineStr"/>
      <c r="V399" s="8" t="inlineStr">
        <is>
          <t>reporting</t>
        </is>
      </c>
      <c r="W399" s="8" t="inlineStr">
        <is>
          <t>CONTROL</t>
        </is>
      </c>
      <c r="X399" s="5" t="inlineStr">
        <is>
          <t>Core</t>
        </is>
      </c>
      <c r="Y399" s="5" t="inlineStr">
        <is>
          <t>Cross-persona</t>
        </is>
      </c>
      <c r="Z399" s="5" t="inlineStr">
        <is>
          <t>Medium</t>
        </is>
      </c>
      <c r="AA399" s="5" t="inlineStr">
        <is>
          <t>Medium</t>
        </is>
      </c>
      <c r="AB399" s="8" t="inlineStr">
        <is>
          <t>Low</t>
        </is>
      </c>
      <c r="AC399" s="8" t="inlineStr">
        <is>
          <t>Pilot</t>
        </is>
      </c>
      <c r="AD399" s="5" t="inlineStr">
        <is>
          <t>Not independently checked</t>
        </is>
      </c>
      <c r="AE399" s="5" t="inlineStr">
        <is>
          <t>Not verified</t>
        </is>
      </c>
      <c r="AF399" s="5" t="inlineStr">
        <is>
          <t>Not verified</t>
        </is>
      </c>
      <c r="AG399" s="5" t="inlineStr">
        <is>
          <t>Not verified</t>
        </is>
      </c>
      <c r="AH399" s="5" t="inlineStr">
        <is>
          <t>Not verified</t>
        </is>
      </c>
      <c r="AI399" s="8" t="inlineStr">
        <is>
          <t>No</t>
        </is>
      </c>
      <c r="AJ399" s="8" t="inlineStr">
        <is>
          <t>Claimed - unverified</t>
        </is>
      </c>
      <c r="AK399" s="8" t="inlineStr">
        <is>
          <t>P1</t>
        </is>
      </c>
      <c r="AL399" s="8" t="n">
        <v>6</v>
      </c>
      <c r="AM399" s="5" t="inlineStr"/>
      <c r="AN399" s="5" t="inlineStr"/>
      <c r="AO399" s="5" t="inlineStr"/>
      <c r="AP399" s="5" t="inlineStr"/>
      <c r="AQ399" s="5" t="inlineStr"/>
      <c r="AR399" s="5" t="inlineStr"/>
      <c r="AS399" s="5" t="inlineStr"/>
      <c r="AT399" s="5" t="inlineStr"/>
      <c r="AU399" s="8" t="inlineStr">
        <is>
          <t>Not run</t>
        </is>
      </c>
    </row>
    <row r="400" ht="32" customHeight="1">
      <c r="A400" s="16" t="inlineStr">
        <is>
          <t>X-0399</t>
        </is>
      </c>
      <c r="B400" s="8" t="inlineStr">
        <is>
          <t>X</t>
        </is>
      </c>
      <c r="C400" s="5" t="inlineStr">
        <is>
          <t>Multiple / Cross-persona</t>
        </is>
      </c>
      <c r="D400" s="5" t="inlineStr">
        <is>
          <t>Reporting &amp; Business Intelligence</t>
        </is>
      </c>
      <c r="E400" s="5" t="inlineStr">
        <is>
          <t>Distributor compares products</t>
        </is>
      </c>
      <c r="F400" s="5" t="inlineStr">
        <is>
          <t>Product Manager</t>
        </is>
      </c>
      <c r="G400" s="5" t="inlineStr">
        <is>
          <t>None</t>
        </is>
      </c>
      <c r="H400" s="5" t="inlineStr">
        <is>
          <t>Analyze product catalog velocity, profit margin, and return frequency across brands</t>
        </is>
      </c>
      <c r="I400" s="5" t="inlineStr">
        <is>
          <t>Generates product matrix evaluating sales velocity vs margin contribution</t>
        </is>
      </c>
      <c r="J400" s="20" t="inlineStr">
        <is>
          <t>P1</t>
        </is>
      </c>
      <c r="K400" s="20" t="inlineStr">
        <is>
          <t>Validated (Supported)</t>
        </is>
      </c>
      <c r="L400" s="5" t="inlineStr">
        <is>
          <t>Supported via Product Velocity Matrix (/reports/product-velocity/).</t>
        </is>
      </c>
      <c r="M400" s="8" t="inlineStr">
        <is>
          <t>Baseline</t>
        </is>
      </c>
      <c r="N400" s="8" t="inlineStr">
        <is>
          <t>Cross-persona</t>
        </is>
      </c>
      <c r="O400" s="8" t="inlineStr">
        <is>
          <t>P1</t>
        </is>
      </c>
      <c r="P400" s="5" t="inlineStr">
        <is>
          <t>Unchanged</t>
        </is>
      </c>
      <c r="Q400" s="20" t="inlineStr">
        <is>
          <t>Author assertion</t>
        </is>
      </c>
      <c r="R400" s="5" t="inlineStr"/>
      <c r="S400" s="8" t="inlineStr">
        <is>
          <t>RPT</t>
        </is>
      </c>
      <c r="T400" s="5" t="inlineStr">
        <is>
          <t>Reporting and business intelligence</t>
        </is>
      </c>
      <c r="U400" s="8" t="inlineStr"/>
      <c r="V400" s="8" t="inlineStr">
        <is>
          <t>reporting</t>
        </is>
      </c>
      <c r="W400" s="8" t="inlineStr">
        <is>
          <t>CONTROL</t>
        </is>
      </c>
      <c r="X400" s="5" t="inlineStr">
        <is>
          <t>Core</t>
        </is>
      </c>
      <c r="Y400" s="5" t="inlineStr">
        <is>
          <t>Cross-persona</t>
        </is>
      </c>
      <c r="Z400" s="5" t="inlineStr">
        <is>
          <t>Medium</t>
        </is>
      </c>
      <c r="AA400" s="5" t="inlineStr">
        <is>
          <t>Medium</t>
        </is>
      </c>
      <c r="AB400" s="8" t="inlineStr">
        <is>
          <t>Low</t>
        </is>
      </c>
      <c r="AC400" s="8" t="inlineStr">
        <is>
          <t>Pilot</t>
        </is>
      </c>
      <c r="AD400" s="5" t="inlineStr">
        <is>
          <t>Not independently checked</t>
        </is>
      </c>
      <c r="AE400" s="5" t="inlineStr">
        <is>
          <t>Not verified</t>
        </is>
      </c>
      <c r="AF400" s="5" t="inlineStr">
        <is>
          <t>Not verified</t>
        </is>
      </c>
      <c r="AG400" s="5" t="inlineStr">
        <is>
          <t>Not verified</t>
        </is>
      </c>
      <c r="AH400" s="5" t="inlineStr">
        <is>
          <t>Not verified</t>
        </is>
      </c>
      <c r="AI400" s="8" t="inlineStr">
        <is>
          <t>No</t>
        </is>
      </c>
      <c r="AJ400" s="8" t="inlineStr">
        <is>
          <t>Claimed - unverified</t>
        </is>
      </c>
      <c r="AK400" s="8" t="inlineStr">
        <is>
          <t>P1</t>
        </is>
      </c>
      <c r="AL400" s="8" t="n">
        <v>6</v>
      </c>
      <c r="AM400" s="5" t="inlineStr"/>
      <c r="AN400" s="5" t="inlineStr"/>
      <c r="AO400" s="5" t="inlineStr"/>
      <c r="AP400" s="5" t="inlineStr"/>
      <c r="AQ400" s="5" t="inlineStr"/>
      <c r="AR400" s="5" t="inlineStr"/>
      <c r="AS400" s="5" t="inlineStr"/>
      <c r="AT400" s="5" t="inlineStr"/>
      <c r="AU400" s="8" t="inlineStr">
        <is>
          <t>Not run</t>
        </is>
      </c>
    </row>
    <row r="401" ht="32" customHeight="1">
      <c r="A401" s="16" t="inlineStr">
        <is>
          <t>X-0400</t>
        </is>
      </c>
      <c r="B401" s="8" t="inlineStr">
        <is>
          <t>X</t>
        </is>
      </c>
      <c r="C401" s="5" t="inlineStr">
        <is>
          <t>Multiple / Cross-persona</t>
        </is>
      </c>
      <c r="D401" s="5" t="inlineStr">
        <is>
          <t>Reporting &amp; Business Intelligence</t>
        </is>
      </c>
      <c r="E401" s="5" t="inlineStr">
        <is>
          <t>Owner identifies high-value customers</t>
        </is>
      </c>
      <c r="F401" s="5" t="inlineStr">
        <is>
          <t>Business Owner / Sales Lead</t>
        </is>
      </c>
      <c r="G401" s="5" t="inlineStr">
        <is>
          <t>VIP Customers</t>
        </is>
      </c>
      <c r="H401" s="5" t="inlineStr">
        <is>
          <t>Identify top 20% of customer accounts generating 80% of company revenue (Pareto analysis)</t>
        </is>
      </c>
      <c r="I401" s="5" t="inlineStr">
        <is>
          <t>Ranks customer base by cumulative revenue contribution; flags VIP loyalty status</t>
        </is>
      </c>
      <c r="J401" s="20" t="inlineStr">
        <is>
          <t>P1</t>
        </is>
      </c>
      <c r="K401" s="20" t="inlineStr">
        <is>
          <t>Validated (Supported)</t>
        </is>
      </c>
      <c r="L401" s="5" t="inlineStr">
        <is>
          <t>Supported via Pareto Customer Analysis report.</t>
        </is>
      </c>
      <c r="M401" s="8" t="inlineStr">
        <is>
          <t>Baseline</t>
        </is>
      </c>
      <c r="N401" s="8" t="inlineStr">
        <is>
          <t>Cross-persona</t>
        </is>
      </c>
      <c r="O401" s="8" t="inlineStr">
        <is>
          <t>P1</t>
        </is>
      </c>
      <c r="P401" s="5" t="inlineStr">
        <is>
          <t>Unchanged</t>
        </is>
      </c>
      <c r="Q401" s="20" t="inlineStr">
        <is>
          <t>Author assertion</t>
        </is>
      </c>
      <c r="R401" s="5" t="inlineStr"/>
      <c r="S401" s="8" t="inlineStr">
        <is>
          <t>RPT</t>
        </is>
      </c>
      <c r="T401" s="5" t="inlineStr">
        <is>
          <t>Reporting and business intelligence</t>
        </is>
      </c>
      <c r="U401" s="8" t="inlineStr"/>
      <c r="V401" s="8" t="inlineStr">
        <is>
          <t>reporting</t>
        </is>
      </c>
      <c r="W401" s="8" t="inlineStr">
        <is>
          <t>CONTROL</t>
        </is>
      </c>
      <c r="X401" s="5" t="inlineStr">
        <is>
          <t>Core</t>
        </is>
      </c>
      <c r="Y401" s="5" t="inlineStr">
        <is>
          <t>Cross-persona</t>
        </is>
      </c>
      <c r="Z401" s="5" t="inlineStr">
        <is>
          <t>Medium</t>
        </is>
      </c>
      <c r="AA401" s="5" t="inlineStr">
        <is>
          <t>Medium</t>
        </is>
      </c>
      <c r="AB401" s="8" t="inlineStr">
        <is>
          <t>Low</t>
        </is>
      </c>
      <c r="AC401" s="8" t="inlineStr">
        <is>
          <t>Pilot</t>
        </is>
      </c>
      <c r="AD401" s="5" t="inlineStr">
        <is>
          <t>Not independently checked</t>
        </is>
      </c>
      <c r="AE401" s="5" t="inlineStr">
        <is>
          <t>Not verified</t>
        </is>
      </c>
      <c r="AF401" s="5" t="inlineStr">
        <is>
          <t>Not verified</t>
        </is>
      </c>
      <c r="AG401" s="5" t="inlineStr">
        <is>
          <t>Not verified</t>
        </is>
      </c>
      <c r="AH401" s="5" t="inlineStr">
        <is>
          <t>Not verified</t>
        </is>
      </c>
      <c r="AI401" s="8" t="inlineStr">
        <is>
          <t>No</t>
        </is>
      </c>
      <c r="AJ401" s="8" t="inlineStr">
        <is>
          <t>Claimed - unverified</t>
        </is>
      </c>
      <c r="AK401" s="8" t="inlineStr">
        <is>
          <t>P1</t>
        </is>
      </c>
      <c r="AL401" s="8" t="n">
        <v>6</v>
      </c>
      <c r="AM401" s="5" t="inlineStr"/>
      <c r="AN401" s="5" t="inlineStr"/>
      <c r="AO401" s="5" t="inlineStr"/>
      <c r="AP401" s="5" t="inlineStr"/>
      <c r="AQ401" s="5" t="inlineStr"/>
      <c r="AR401" s="5" t="inlineStr"/>
      <c r="AS401" s="5" t="inlineStr"/>
      <c r="AT401" s="5" t="inlineStr"/>
      <c r="AU401" s="8" t="inlineStr">
        <is>
          <t>Not run</t>
        </is>
      </c>
    </row>
    <row r="402" ht="32" customHeight="1">
      <c r="A402" s="16" t="inlineStr">
        <is>
          <t>X-0401</t>
        </is>
      </c>
      <c r="B402" s="8" t="inlineStr">
        <is>
          <t>X</t>
        </is>
      </c>
      <c r="C402" s="5" t="inlineStr">
        <is>
          <t>Multiple / Cross-persona</t>
        </is>
      </c>
      <c r="D402" s="5" t="inlineStr">
        <is>
          <t>Reporting &amp; Business Intelligence</t>
        </is>
      </c>
      <c r="E402" s="5" t="inlineStr">
        <is>
          <t>Owner identifies low-margin products</t>
        </is>
      </c>
      <c r="F402" s="5" t="inlineStr">
        <is>
          <t>Business Owner / Commercial Lead</t>
        </is>
      </c>
      <c r="G402" s="5" t="inlineStr">
        <is>
          <t>Sales Staff</t>
        </is>
      </c>
      <c r="H402" s="5" t="inlineStr">
        <is>
          <t>Spot products yielding inadequate gross margins after discounting to revise price list</t>
        </is>
      </c>
      <c r="I402" s="5" t="inlineStr">
        <is>
          <t>Filters catalog for SKUs with gross margin percentage below target threshold (e.g. &lt; 8%)</t>
        </is>
      </c>
      <c r="J402" s="20" t="inlineStr">
        <is>
          <t>P1</t>
        </is>
      </c>
      <c r="K402" s="20" t="inlineStr">
        <is>
          <t>Validated (Supported)</t>
        </is>
      </c>
      <c r="L402" s="5" t="inlineStr">
        <is>
          <t>Supported via Low Margin Exception report.</t>
        </is>
      </c>
      <c r="M402" s="8" t="inlineStr">
        <is>
          <t>Baseline</t>
        </is>
      </c>
      <c r="N402" s="8" t="inlineStr">
        <is>
          <t>Cross-persona</t>
        </is>
      </c>
      <c r="O402" s="8" t="inlineStr">
        <is>
          <t>P1</t>
        </is>
      </c>
      <c r="P402" s="5" t="inlineStr">
        <is>
          <t>Unchanged</t>
        </is>
      </c>
      <c r="Q402" s="20" t="inlineStr">
        <is>
          <t>Author assertion</t>
        </is>
      </c>
      <c r="R402" s="5" t="inlineStr"/>
      <c r="S402" s="8" t="inlineStr">
        <is>
          <t>RPT</t>
        </is>
      </c>
      <c r="T402" s="5" t="inlineStr">
        <is>
          <t>Reporting and business intelligence</t>
        </is>
      </c>
      <c r="U402" s="8" t="inlineStr"/>
      <c r="V402" s="8" t="inlineStr">
        <is>
          <t>reporting</t>
        </is>
      </c>
      <c r="W402" s="8" t="inlineStr">
        <is>
          <t>CONTROL</t>
        </is>
      </c>
      <c r="X402" s="5" t="inlineStr">
        <is>
          <t>Core</t>
        </is>
      </c>
      <c r="Y402" s="5" t="inlineStr">
        <is>
          <t>Cross-persona</t>
        </is>
      </c>
      <c r="Z402" s="5" t="inlineStr">
        <is>
          <t>Medium</t>
        </is>
      </c>
      <c r="AA402" s="5" t="inlineStr">
        <is>
          <t>Medium</t>
        </is>
      </c>
      <c r="AB402" s="8" t="inlineStr">
        <is>
          <t>Low</t>
        </is>
      </c>
      <c r="AC402" s="8" t="inlineStr">
        <is>
          <t>Pilot</t>
        </is>
      </c>
      <c r="AD402" s="5" t="inlineStr">
        <is>
          <t>Not independently checked</t>
        </is>
      </c>
      <c r="AE402" s="5" t="inlineStr">
        <is>
          <t>Not verified</t>
        </is>
      </c>
      <c r="AF402" s="5" t="inlineStr">
        <is>
          <t>Not verified</t>
        </is>
      </c>
      <c r="AG402" s="5" t="inlineStr">
        <is>
          <t>Not verified</t>
        </is>
      </c>
      <c r="AH402" s="5" t="inlineStr">
        <is>
          <t>Not verified</t>
        </is>
      </c>
      <c r="AI402" s="8" t="inlineStr">
        <is>
          <t>No</t>
        </is>
      </c>
      <c r="AJ402" s="8" t="inlineStr">
        <is>
          <t>Claimed - unverified</t>
        </is>
      </c>
      <c r="AK402" s="8" t="inlineStr">
        <is>
          <t>P1</t>
        </is>
      </c>
      <c r="AL402" s="8" t="n">
        <v>6</v>
      </c>
      <c r="AM402" s="5" t="inlineStr"/>
      <c r="AN402" s="5" t="inlineStr"/>
      <c r="AO402" s="5" t="inlineStr"/>
      <c r="AP402" s="5" t="inlineStr"/>
      <c r="AQ402" s="5" t="inlineStr"/>
      <c r="AR402" s="5" t="inlineStr"/>
      <c r="AS402" s="5" t="inlineStr"/>
      <c r="AT402" s="5" t="inlineStr"/>
      <c r="AU402" s="8" t="inlineStr">
        <is>
          <t>Not run</t>
        </is>
      </c>
    </row>
    <row r="403" ht="32" customHeight="1">
      <c r="A403" s="16" t="inlineStr">
        <is>
          <t>X-0402</t>
        </is>
      </c>
      <c r="B403" s="8" t="inlineStr">
        <is>
          <t>X</t>
        </is>
      </c>
      <c r="C403" s="5" t="inlineStr">
        <is>
          <t>Multiple / Cross-persona</t>
        </is>
      </c>
      <c r="D403" s="5" t="inlineStr">
        <is>
          <t>Reporting &amp; Business Intelligence</t>
        </is>
      </c>
      <c r="E403" s="5" t="inlineStr">
        <is>
          <t>Owner identifies dead stock</t>
        </is>
      </c>
      <c r="F403" s="5" t="inlineStr">
        <is>
          <t>Business Owner / Warehouse Manager</t>
        </is>
      </c>
      <c r="G403" s="5" t="inlineStr">
        <is>
          <t>Suppliers</t>
        </is>
      </c>
      <c r="H403" s="5" t="inlineStr">
        <is>
          <t>Identify inventory holding zero sales movements over 60/90/180 days to liquidate capital</t>
        </is>
      </c>
      <c r="I403" s="5" t="inlineStr">
        <is>
          <t>Identifies stagnant SKUs; computes total tied-up working capital valuation</t>
        </is>
      </c>
      <c r="J403" s="20" t="inlineStr">
        <is>
          <t>P1</t>
        </is>
      </c>
      <c r="K403" s="20" t="inlineStr">
        <is>
          <t>Validated (Supported)</t>
        </is>
      </c>
      <c r="L403" s="5" t="inlineStr">
        <is>
          <t>Supported via Aging &amp; Dead Stock Report (/reports/inventory-aging/).</t>
        </is>
      </c>
      <c r="M403" s="8" t="inlineStr">
        <is>
          <t>Baseline</t>
        </is>
      </c>
      <c r="N403" s="8" t="inlineStr">
        <is>
          <t>Cross-persona</t>
        </is>
      </c>
      <c r="O403" s="8" t="inlineStr">
        <is>
          <t>P1</t>
        </is>
      </c>
      <c r="P403" s="5" t="inlineStr">
        <is>
          <t>Unchanged</t>
        </is>
      </c>
      <c r="Q403" s="20" t="inlineStr">
        <is>
          <t>Author assertion</t>
        </is>
      </c>
      <c r="R403" s="5" t="inlineStr"/>
      <c r="S403" s="8" t="inlineStr">
        <is>
          <t>RPT</t>
        </is>
      </c>
      <c r="T403" s="5" t="inlineStr">
        <is>
          <t>Reporting and business intelligence</t>
        </is>
      </c>
      <c r="U403" s="8" t="inlineStr"/>
      <c r="V403" s="8" t="inlineStr">
        <is>
          <t>reporting</t>
        </is>
      </c>
      <c r="W403" s="8" t="inlineStr">
        <is>
          <t>CONTROL</t>
        </is>
      </c>
      <c r="X403" s="5" t="inlineStr">
        <is>
          <t>Core</t>
        </is>
      </c>
      <c r="Y403" s="5" t="inlineStr">
        <is>
          <t>Cross-persona</t>
        </is>
      </c>
      <c r="Z403" s="5" t="inlineStr">
        <is>
          <t>Medium</t>
        </is>
      </c>
      <c r="AA403" s="5" t="inlineStr">
        <is>
          <t>Medium</t>
        </is>
      </c>
      <c r="AB403" s="8" t="inlineStr">
        <is>
          <t>Low</t>
        </is>
      </c>
      <c r="AC403" s="8" t="inlineStr">
        <is>
          <t>Pilot</t>
        </is>
      </c>
      <c r="AD403" s="5" t="inlineStr">
        <is>
          <t>Not independently checked</t>
        </is>
      </c>
      <c r="AE403" s="5" t="inlineStr">
        <is>
          <t>Not verified</t>
        </is>
      </c>
      <c r="AF403" s="5" t="inlineStr">
        <is>
          <t>Not verified</t>
        </is>
      </c>
      <c r="AG403" s="5" t="inlineStr">
        <is>
          <t>Not verified</t>
        </is>
      </c>
      <c r="AH403" s="5" t="inlineStr">
        <is>
          <t>Not verified</t>
        </is>
      </c>
      <c r="AI403" s="8" t="inlineStr">
        <is>
          <t>No</t>
        </is>
      </c>
      <c r="AJ403" s="8" t="inlineStr">
        <is>
          <t>Claimed - unverified</t>
        </is>
      </c>
      <c r="AK403" s="8" t="inlineStr">
        <is>
          <t>P1</t>
        </is>
      </c>
      <c r="AL403" s="8" t="n">
        <v>6</v>
      </c>
      <c r="AM403" s="5" t="inlineStr"/>
      <c r="AN403" s="5" t="inlineStr"/>
      <c r="AO403" s="5" t="inlineStr"/>
      <c r="AP403" s="5" t="inlineStr"/>
      <c r="AQ403" s="5" t="inlineStr"/>
      <c r="AR403" s="5" t="inlineStr"/>
      <c r="AS403" s="5" t="inlineStr"/>
      <c r="AT403" s="5" t="inlineStr"/>
      <c r="AU403" s="8" t="inlineStr">
        <is>
          <t>Not run</t>
        </is>
      </c>
    </row>
    <row r="404" ht="32" customHeight="1">
      <c r="A404" s="16" t="inlineStr">
        <is>
          <t>X-0403</t>
        </is>
      </c>
      <c r="B404" s="8" t="inlineStr">
        <is>
          <t>X</t>
        </is>
      </c>
      <c r="C404" s="5" t="inlineStr">
        <is>
          <t>Multiple / Cross-persona</t>
        </is>
      </c>
      <c r="D404" s="5" t="inlineStr">
        <is>
          <t>Reporting &amp; Business Intelligence</t>
        </is>
      </c>
      <c r="E404" s="5" t="inlineStr">
        <is>
          <t>Owner identifies fast-moving products</t>
        </is>
      </c>
      <c r="F404" s="5" t="inlineStr">
        <is>
          <t>Business Owner / Purchase Manager</t>
        </is>
      </c>
      <c r="G404" s="5" t="inlineStr">
        <is>
          <t>Suppliers</t>
        </is>
      </c>
      <c r="H404" s="5" t="inlineStr">
        <is>
          <t>Identify top-velocity SKUs to ensure priority supplier replenishment and bulk discounts</t>
        </is>
      </c>
      <c r="I404" s="5" t="inlineStr">
        <is>
          <t>Ranks items by daily inventory turnover rate and sales frequency</t>
        </is>
      </c>
      <c r="J404" s="20" t="inlineStr">
        <is>
          <t>P1</t>
        </is>
      </c>
      <c r="K404" s="20" t="inlineStr">
        <is>
          <t>Validated (Supported)</t>
        </is>
      </c>
      <c r="L404" s="5" t="inlineStr">
        <is>
          <t>Supported via Fast-Moving SKU Leaderboard.</t>
        </is>
      </c>
      <c r="M404" s="8" t="inlineStr">
        <is>
          <t>Baseline</t>
        </is>
      </c>
      <c r="N404" s="8" t="inlineStr">
        <is>
          <t>Cross-persona</t>
        </is>
      </c>
      <c r="O404" s="8" t="inlineStr">
        <is>
          <t>P1</t>
        </is>
      </c>
      <c r="P404" s="5" t="inlineStr">
        <is>
          <t>Unchanged</t>
        </is>
      </c>
      <c r="Q404" s="20" t="inlineStr">
        <is>
          <t>Author assertion</t>
        </is>
      </c>
      <c r="R404" s="5" t="inlineStr"/>
      <c r="S404" s="8" t="inlineStr">
        <is>
          <t>RPT</t>
        </is>
      </c>
      <c r="T404" s="5" t="inlineStr">
        <is>
          <t>Reporting and business intelligence</t>
        </is>
      </c>
      <c r="U404" s="8" t="inlineStr"/>
      <c r="V404" s="8" t="inlineStr">
        <is>
          <t>reporting</t>
        </is>
      </c>
      <c r="W404" s="8" t="inlineStr">
        <is>
          <t>CONTROL</t>
        </is>
      </c>
      <c r="X404" s="5" t="inlineStr">
        <is>
          <t>Core</t>
        </is>
      </c>
      <c r="Y404" s="5" t="inlineStr">
        <is>
          <t>Cross-persona</t>
        </is>
      </c>
      <c r="Z404" s="5" t="inlineStr">
        <is>
          <t>Medium</t>
        </is>
      </c>
      <c r="AA404" s="5" t="inlineStr">
        <is>
          <t>Medium</t>
        </is>
      </c>
      <c r="AB404" s="8" t="inlineStr">
        <is>
          <t>Low</t>
        </is>
      </c>
      <c r="AC404" s="8" t="inlineStr">
        <is>
          <t>Pilot</t>
        </is>
      </c>
      <c r="AD404" s="5" t="inlineStr">
        <is>
          <t>Not independently checked</t>
        </is>
      </c>
      <c r="AE404" s="5" t="inlineStr">
        <is>
          <t>Not verified</t>
        </is>
      </c>
      <c r="AF404" s="5" t="inlineStr">
        <is>
          <t>Not verified</t>
        </is>
      </c>
      <c r="AG404" s="5" t="inlineStr">
        <is>
          <t>Not verified</t>
        </is>
      </c>
      <c r="AH404" s="5" t="inlineStr">
        <is>
          <t>Not verified</t>
        </is>
      </c>
      <c r="AI404" s="8" t="inlineStr">
        <is>
          <t>No</t>
        </is>
      </c>
      <c r="AJ404" s="8" t="inlineStr">
        <is>
          <t>Claimed - unverified</t>
        </is>
      </c>
      <c r="AK404" s="8" t="inlineStr">
        <is>
          <t>P1</t>
        </is>
      </c>
      <c r="AL404" s="8" t="n">
        <v>6</v>
      </c>
      <c r="AM404" s="5" t="inlineStr"/>
      <c r="AN404" s="5" t="inlineStr"/>
      <c r="AO404" s="5" t="inlineStr"/>
      <c r="AP404" s="5" t="inlineStr"/>
      <c r="AQ404" s="5" t="inlineStr"/>
      <c r="AR404" s="5" t="inlineStr"/>
      <c r="AS404" s="5" t="inlineStr"/>
      <c r="AT404" s="5" t="inlineStr"/>
      <c r="AU404" s="8" t="inlineStr">
        <is>
          <t>Not run</t>
        </is>
      </c>
    </row>
    <row r="405" ht="32" customHeight="1">
      <c r="A405" s="16" t="inlineStr">
        <is>
          <t>X-0404</t>
        </is>
      </c>
      <c r="B405" s="8" t="inlineStr">
        <is>
          <t>X</t>
        </is>
      </c>
      <c r="C405" s="5" t="inlineStr">
        <is>
          <t>Multiple / Cross-persona</t>
        </is>
      </c>
      <c r="D405" s="5" t="inlineStr">
        <is>
          <t>Reporting &amp; Business Intelligence</t>
        </is>
      </c>
      <c r="E405" s="5" t="inlineStr">
        <is>
          <t>Owner identifies overdue receivables</t>
        </is>
      </c>
      <c r="F405" s="5" t="inlineStr">
        <is>
          <t>Business Owner / Credit Controller</t>
        </is>
      </c>
      <c r="G405" s="5" t="inlineStr">
        <is>
          <t>Debtors</t>
        </is>
      </c>
      <c r="H405" s="5" t="inlineStr">
        <is>
          <t>Pinpoint critically overdue accounts requiring legal notice or management debt chasing</t>
        </is>
      </c>
      <c r="I405" s="5" t="inlineStr">
        <is>
          <t>Filters customer accounts with invoices unpaid &gt; 45 days past agreed terms</t>
        </is>
      </c>
      <c r="J405" s="20" t="inlineStr">
        <is>
          <t>P1</t>
        </is>
      </c>
      <c r="K405" s="20" t="inlineStr">
        <is>
          <t>Validated (Supported)</t>
        </is>
      </c>
      <c r="L405" s="5" t="inlineStr">
        <is>
          <t>Supported via Critical Overdue Receivables report.</t>
        </is>
      </c>
      <c r="M405" s="8" t="inlineStr">
        <is>
          <t>Baseline</t>
        </is>
      </c>
      <c r="N405" s="8" t="inlineStr">
        <is>
          <t>Cross-persona</t>
        </is>
      </c>
      <c r="O405" s="8" t="inlineStr">
        <is>
          <t>P1</t>
        </is>
      </c>
      <c r="P405" s="5" t="inlineStr">
        <is>
          <t>Unchanged</t>
        </is>
      </c>
      <c r="Q405" s="20" t="inlineStr">
        <is>
          <t>Author assertion</t>
        </is>
      </c>
      <c r="R405" s="5" t="inlineStr"/>
      <c r="S405" s="8" t="inlineStr">
        <is>
          <t>RPT</t>
        </is>
      </c>
      <c r="T405" s="5" t="inlineStr">
        <is>
          <t>Reporting and business intelligence</t>
        </is>
      </c>
      <c r="U405" s="8" t="inlineStr"/>
      <c r="V405" s="8" t="inlineStr">
        <is>
          <t>reporting</t>
        </is>
      </c>
      <c r="W405" s="8" t="inlineStr">
        <is>
          <t>CONTROL</t>
        </is>
      </c>
      <c r="X405" s="5" t="inlineStr">
        <is>
          <t>Core</t>
        </is>
      </c>
      <c r="Y405" s="5" t="inlineStr">
        <is>
          <t>Cross-persona</t>
        </is>
      </c>
      <c r="Z405" s="5" t="inlineStr">
        <is>
          <t>Medium</t>
        </is>
      </c>
      <c r="AA405" s="5" t="inlineStr">
        <is>
          <t>Medium</t>
        </is>
      </c>
      <c r="AB405" s="8" t="inlineStr">
        <is>
          <t>Low</t>
        </is>
      </c>
      <c r="AC405" s="8" t="inlineStr">
        <is>
          <t>Pilot</t>
        </is>
      </c>
      <c r="AD405" s="5" t="inlineStr">
        <is>
          <t>Not independently checked</t>
        </is>
      </c>
      <c r="AE405" s="5" t="inlineStr">
        <is>
          <t>Not verified</t>
        </is>
      </c>
      <c r="AF405" s="5" t="inlineStr">
        <is>
          <t>Not verified</t>
        </is>
      </c>
      <c r="AG405" s="5" t="inlineStr">
        <is>
          <t>Not verified</t>
        </is>
      </c>
      <c r="AH405" s="5" t="inlineStr">
        <is>
          <t>Not verified</t>
        </is>
      </c>
      <c r="AI405" s="8" t="inlineStr">
        <is>
          <t>No</t>
        </is>
      </c>
      <c r="AJ405" s="8" t="inlineStr">
        <is>
          <t>Claimed - unverified</t>
        </is>
      </c>
      <c r="AK405" s="8" t="inlineStr">
        <is>
          <t>P1</t>
        </is>
      </c>
      <c r="AL405" s="8" t="n">
        <v>6</v>
      </c>
      <c r="AM405" s="5" t="inlineStr"/>
      <c r="AN405" s="5" t="inlineStr"/>
      <c r="AO405" s="5" t="inlineStr"/>
      <c r="AP405" s="5" t="inlineStr"/>
      <c r="AQ405" s="5" t="inlineStr"/>
      <c r="AR405" s="5" t="inlineStr"/>
      <c r="AS405" s="5" t="inlineStr"/>
      <c r="AT405" s="5" t="inlineStr"/>
      <c r="AU405" s="8" t="inlineStr">
        <is>
          <t>Not run</t>
        </is>
      </c>
    </row>
    <row r="406" ht="32" customHeight="1">
      <c r="A406" s="16" t="inlineStr">
        <is>
          <t>X-0405</t>
        </is>
      </c>
      <c r="B406" s="8" t="inlineStr">
        <is>
          <t>X</t>
        </is>
      </c>
      <c r="C406" s="5" t="inlineStr">
        <is>
          <t>Multiple / Cross-persona</t>
        </is>
      </c>
      <c r="D406" s="5" t="inlineStr">
        <is>
          <t>Reporting &amp; Business Intelligence</t>
        </is>
      </c>
      <c r="E406" s="5" t="inlineStr">
        <is>
          <t>Owner identifies supplier concentration</t>
        </is>
      </c>
      <c r="F406" s="5" t="inlineStr">
        <is>
          <t>Business Owner / Purchase Manager</t>
        </is>
      </c>
      <c r="G406" s="5" t="inlineStr">
        <is>
          <t>Suppliers</t>
        </is>
      </c>
      <c r="H406" s="5" t="inlineStr">
        <is>
          <t>Evaluate procurement risk by measuring dependency on top suppliers</t>
        </is>
      </c>
      <c r="I406" s="5" t="inlineStr">
        <is>
          <t>Calculates Herfindahl index and percentage of total procurement spend per vendor</t>
        </is>
      </c>
      <c r="J406" s="20" t="inlineStr">
        <is>
          <t>P1</t>
        </is>
      </c>
      <c r="K406" s="20" t="inlineStr">
        <is>
          <t>Validated (Supported)</t>
        </is>
      </c>
      <c r="L406" s="5" t="inlineStr">
        <is>
          <t>Supported via Supplier Concentration &amp; Risk report.</t>
        </is>
      </c>
      <c r="M406" s="8" t="inlineStr">
        <is>
          <t>Baseline</t>
        </is>
      </c>
      <c r="N406" s="8" t="inlineStr">
        <is>
          <t>Cross-persona</t>
        </is>
      </c>
      <c r="O406" s="8" t="inlineStr">
        <is>
          <t>P1</t>
        </is>
      </c>
      <c r="P406" s="5" t="inlineStr">
        <is>
          <t>Unchanged</t>
        </is>
      </c>
      <c r="Q406" s="20" t="inlineStr">
        <is>
          <t>Author assertion</t>
        </is>
      </c>
      <c r="R406" s="5" t="inlineStr"/>
      <c r="S406" s="8" t="inlineStr">
        <is>
          <t>RPT</t>
        </is>
      </c>
      <c r="T406" s="5" t="inlineStr">
        <is>
          <t>Reporting and business intelligence</t>
        </is>
      </c>
      <c r="U406" s="8" t="inlineStr"/>
      <c r="V406" s="8" t="inlineStr">
        <is>
          <t>reporting</t>
        </is>
      </c>
      <c r="W406" s="8" t="inlineStr">
        <is>
          <t>CONTROL</t>
        </is>
      </c>
      <c r="X406" s="5" t="inlineStr">
        <is>
          <t>Core</t>
        </is>
      </c>
      <c r="Y406" s="5" t="inlineStr">
        <is>
          <t>Cross-persona</t>
        </is>
      </c>
      <c r="Z406" s="5" t="inlineStr">
        <is>
          <t>Medium</t>
        </is>
      </c>
      <c r="AA406" s="5" t="inlineStr">
        <is>
          <t>Medium</t>
        </is>
      </c>
      <c r="AB406" s="8" t="inlineStr">
        <is>
          <t>Low</t>
        </is>
      </c>
      <c r="AC406" s="8" t="inlineStr">
        <is>
          <t>Pilot</t>
        </is>
      </c>
      <c r="AD406" s="5" t="inlineStr">
        <is>
          <t>Not independently checked</t>
        </is>
      </c>
      <c r="AE406" s="5" t="inlineStr">
        <is>
          <t>Not verified</t>
        </is>
      </c>
      <c r="AF406" s="5" t="inlineStr">
        <is>
          <t>Not verified</t>
        </is>
      </c>
      <c r="AG406" s="5" t="inlineStr">
        <is>
          <t>Not verified</t>
        </is>
      </c>
      <c r="AH406" s="5" t="inlineStr">
        <is>
          <t>Not verified</t>
        </is>
      </c>
      <c r="AI406" s="8" t="inlineStr">
        <is>
          <t>No</t>
        </is>
      </c>
      <c r="AJ406" s="8" t="inlineStr">
        <is>
          <t>Claimed - unverified</t>
        </is>
      </c>
      <c r="AK406" s="8" t="inlineStr">
        <is>
          <t>P1</t>
        </is>
      </c>
      <c r="AL406" s="8" t="n">
        <v>6</v>
      </c>
      <c r="AM406" s="5" t="inlineStr"/>
      <c r="AN406" s="5" t="inlineStr"/>
      <c r="AO406" s="5" t="inlineStr"/>
      <c r="AP406" s="5" t="inlineStr"/>
      <c r="AQ406" s="5" t="inlineStr"/>
      <c r="AR406" s="5" t="inlineStr"/>
      <c r="AS406" s="5" t="inlineStr"/>
      <c r="AT406" s="5" t="inlineStr"/>
      <c r="AU406" s="8" t="inlineStr">
        <is>
          <t>Not run</t>
        </is>
      </c>
    </row>
    <row r="407" ht="32" customHeight="1">
      <c r="A407" s="16" t="inlineStr">
        <is>
          <t>X-0406</t>
        </is>
      </c>
      <c r="B407" s="8" t="inlineStr">
        <is>
          <t>X</t>
        </is>
      </c>
      <c r="C407" s="5" t="inlineStr">
        <is>
          <t>Multiple / Cross-persona</t>
        </is>
      </c>
      <c r="D407" s="5" t="inlineStr">
        <is>
          <t>Reporting &amp; Business Intelligence</t>
        </is>
      </c>
      <c r="E407" s="5" t="inlineStr">
        <is>
          <t>Owner reviews business trends</t>
        </is>
      </c>
      <c r="F407" s="5" t="inlineStr">
        <is>
          <t>Business Owner</t>
        </is>
      </c>
      <c r="G407" s="5" t="inlineStr">
        <is>
          <t>Accountant</t>
        </is>
      </c>
      <c r="H407" s="5" t="inlineStr">
        <is>
          <t>Review multi-month sales, procurement, margin, and expense trends to plan growth</t>
        </is>
      </c>
      <c r="I407" s="5" t="inlineStr">
        <is>
          <t>Renders longitudinal trend charts showing monthly revenue trajectory and seasonal patterns</t>
        </is>
      </c>
      <c r="J407" s="20" t="inlineStr">
        <is>
          <t>P1</t>
        </is>
      </c>
      <c r="K407" s="20" t="inlineStr">
        <is>
          <t>Validated (Supported)</t>
        </is>
      </c>
      <c r="L407" s="5" t="inlineStr">
        <is>
          <t>Supported via Longitudinal Business Trends dashboard (/insights/trends/).</t>
        </is>
      </c>
      <c r="M407" s="8" t="inlineStr">
        <is>
          <t>Baseline</t>
        </is>
      </c>
      <c r="N407" s="8" t="inlineStr">
        <is>
          <t>Cross-persona</t>
        </is>
      </c>
      <c r="O407" s="8" t="inlineStr">
        <is>
          <t>P1</t>
        </is>
      </c>
      <c r="P407" s="5" t="inlineStr">
        <is>
          <t>Unchanged</t>
        </is>
      </c>
      <c r="Q407" s="20" t="inlineStr">
        <is>
          <t>Author assertion</t>
        </is>
      </c>
      <c r="R407" s="5" t="inlineStr"/>
      <c r="S407" s="8" t="inlineStr">
        <is>
          <t>RPT</t>
        </is>
      </c>
      <c r="T407" s="5" t="inlineStr">
        <is>
          <t>Reporting and business intelligence</t>
        </is>
      </c>
      <c r="U407" s="8" t="inlineStr"/>
      <c r="V407" s="8" t="inlineStr">
        <is>
          <t>reporting</t>
        </is>
      </c>
      <c r="W407" s="8" t="inlineStr">
        <is>
          <t>CONTROL</t>
        </is>
      </c>
      <c r="X407" s="5" t="inlineStr">
        <is>
          <t>Core</t>
        </is>
      </c>
      <c r="Y407" s="5" t="inlineStr">
        <is>
          <t>Cross-persona</t>
        </is>
      </c>
      <c r="Z407" s="5" t="inlineStr">
        <is>
          <t>Medium</t>
        </is>
      </c>
      <c r="AA407" s="5" t="inlineStr">
        <is>
          <t>Medium</t>
        </is>
      </c>
      <c r="AB407" s="8" t="inlineStr">
        <is>
          <t>Low</t>
        </is>
      </c>
      <c r="AC407" s="8" t="inlineStr">
        <is>
          <t>Pilot</t>
        </is>
      </c>
      <c r="AD407" s="5" t="inlineStr">
        <is>
          <t>Not independently checked</t>
        </is>
      </c>
      <c r="AE407" s="5" t="inlineStr">
        <is>
          <t>Not verified</t>
        </is>
      </c>
      <c r="AF407" s="5" t="inlineStr">
        <is>
          <t>Not verified</t>
        </is>
      </c>
      <c r="AG407" s="5" t="inlineStr">
        <is>
          <t>Not verified</t>
        </is>
      </c>
      <c r="AH407" s="5" t="inlineStr">
        <is>
          <t>Not verified</t>
        </is>
      </c>
      <c r="AI407" s="8" t="inlineStr">
        <is>
          <t>No</t>
        </is>
      </c>
      <c r="AJ407" s="8" t="inlineStr">
        <is>
          <t>Claimed - unverified</t>
        </is>
      </c>
      <c r="AK407" s="8" t="inlineStr">
        <is>
          <t>P1</t>
        </is>
      </c>
      <c r="AL407" s="8" t="n">
        <v>6</v>
      </c>
      <c r="AM407" s="5" t="inlineStr"/>
      <c r="AN407" s="5" t="inlineStr"/>
      <c r="AO407" s="5" t="inlineStr"/>
      <c r="AP407" s="5" t="inlineStr"/>
      <c r="AQ407" s="5" t="inlineStr"/>
      <c r="AR407" s="5" t="inlineStr"/>
      <c r="AS407" s="5" t="inlineStr"/>
      <c r="AT407" s="5" t="inlineStr"/>
      <c r="AU407" s="8" t="inlineStr">
        <is>
          <t>Not run</t>
        </is>
      </c>
    </row>
    <row r="408" ht="32" customHeight="1">
      <c r="A408" s="16" t="inlineStr">
        <is>
          <t>X-0407</t>
        </is>
      </c>
      <c r="B408" s="8" t="inlineStr">
        <is>
          <t>X</t>
        </is>
      </c>
      <c r="C408" s="5" t="inlineStr">
        <is>
          <t>Multiple / Cross-persona</t>
        </is>
      </c>
      <c r="D408" s="5" t="inlineStr">
        <is>
          <t>Master Data &amp; Authorization</t>
        </is>
      </c>
      <c r="E408" s="5" t="inlineStr">
        <is>
          <t>Admin creates product → salesperson can sell it</t>
        </is>
      </c>
      <c r="F408" s="5" t="inlineStr">
        <is>
          <t>System Administrator / Catalog Lead</t>
        </is>
      </c>
      <c r="G408" s="5" t="inlineStr">
        <is>
          <t>Salesperson / Cashier</t>
        </is>
      </c>
      <c r="H408" s="5" t="inlineStr">
        <is>
          <t>New product created in catalog immediately becomes available for billing on all POS terminals</t>
        </is>
      </c>
      <c r="I408" s="5" t="inlineStr">
        <is>
          <t>Creates Product master; updates search index; displays in active billing catalog</t>
        </is>
      </c>
      <c r="J408" s="20" t="inlineStr">
        <is>
          <t>P1</t>
        </is>
      </c>
      <c r="K408" s="20" t="inlineStr">
        <is>
          <t>Validated (Supported)</t>
        </is>
      </c>
      <c r="L408" s="5" t="inlineStr">
        <is>
          <t>Core system invariant: newly created active products are immediately available to sell.</t>
        </is>
      </c>
      <c r="M408" s="8" t="inlineStr">
        <is>
          <t>Baseline</t>
        </is>
      </c>
      <c r="N408" s="8" t="inlineStr">
        <is>
          <t>Cross-persona</t>
        </is>
      </c>
      <c r="O408" s="8" t="inlineStr">
        <is>
          <t>P1</t>
        </is>
      </c>
      <c r="P408" s="5" t="inlineStr">
        <is>
          <t>Unchanged</t>
        </is>
      </c>
      <c r="Q408" s="20" t="inlineStr">
        <is>
          <t>Author assertion</t>
        </is>
      </c>
      <c r="R408" s="5" t="inlineStr"/>
      <c r="S408" s="8" t="inlineStr">
        <is>
          <t>MASTER</t>
        </is>
      </c>
      <c r="T408" s="5" t="inlineStr">
        <is>
          <t>Master data and authorization</t>
        </is>
      </c>
      <c r="U408" s="8" t="inlineStr"/>
      <c r="V408" s="8" t="inlineStr">
        <is>
          <t>masters</t>
        </is>
      </c>
      <c r="W408" s="8" t="inlineStr">
        <is>
          <t>KERNEL</t>
        </is>
      </c>
      <c r="X408" s="5" t="inlineStr">
        <is>
          <t>Core</t>
        </is>
      </c>
      <c r="Y408" s="5" t="inlineStr">
        <is>
          <t>Cross-persona</t>
        </is>
      </c>
      <c r="Z408" s="5" t="inlineStr">
        <is>
          <t>Medium</t>
        </is>
      </c>
      <c r="AA408" s="5" t="inlineStr">
        <is>
          <t>Medium</t>
        </is>
      </c>
      <c r="AB408" s="8" t="inlineStr">
        <is>
          <t>Low</t>
        </is>
      </c>
      <c r="AC408" s="8" t="inlineStr">
        <is>
          <t>Later</t>
        </is>
      </c>
      <c r="AD408" s="5" t="inlineStr">
        <is>
          <t>Not independently checked</t>
        </is>
      </c>
      <c r="AE408" s="5" t="inlineStr">
        <is>
          <t>Not verified</t>
        </is>
      </c>
      <c r="AF408" s="5" t="inlineStr">
        <is>
          <t>Not verified</t>
        </is>
      </c>
      <c r="AG408" s="5" t="inlineStr">
        <is>
          <t>Not verified</t>
        </is>
      </c>
      <c r="AH408" s="5" t="inlineStr">
        <is>
          <t>Not verified</t>
        </is>
      </c>
      <c r="AI408" s="8" t="inlineStr">
        <is>
          <t>No</t>
        </is>
      </c>
      <c r="AJ408" s="8" t="inlineStr">
        <is>
          <t>Claimed - unverified</t>
        </is>
      </c>
      <c r="AK408" s="8" t="inlineStr">
        <is>
          <t>P1</t>
        </is>
      </c>
      <c r="AL408" s="8" t="n">
        <v>6</v>
      </c>
      <c r="AM408" s="5" t="inlineStr"/>
      <c r="AN408" s="5" t="inlineStr"/>
      <c r="AO408" s="5" t="inlineStr"/>
      <c r="AP408" s="5" t="inlineStr"/>
      <c r="AQ408" s="5" t="inlineStr"/>
      <c r="AR408" s="5" t="inlineStr"/>
      <c r="AS408" s="5" t="inlineStr"/>
      <c r="AT408" s="5" t="inlineStr"/>
      <c r="AU408" s="8" t="inlineStr">
        <is>
          <t>Not run</t>
        </is>
      </c>
    </row>
    <row r="409" ht="32" customHeight="1">
      <c r="A409" s="16" t="inlineStr">
        <is>
          <t>X-0408</t>
        </is>
      </c>
      <c r="B409" s="8" t="inlineStr">
        <is>
          <t>X</t>
        </is>
      </c>
      <c r="C409" s="5" t="inlineStr">
        <is>
          <t>Multiple / Cross-persona</t>
        </is>
      </c>
      <c r="D409" s="5" t="inlineStr">
        <is>
          <t>Master Data &amp; Authorization</t>
        </is>
      </c>
      <c r="E409" s="5" t="inlineStr">
        <is>
          <t>Admin creates product → purchase manager can purchase it</t>
        </is>
      </c>
      <c r="F409" s="5" t="inlineStr">
        <is>
          <t>System Administrator</t>
        </is>
      </c>
      <c r="G409" s="5" t="inlineStr">
        <is>
          <t>Purchase Manager</t>
        </is>
      </c>
      <c r="H409" s="5" t="inlineStr">
        <is>
          <t>New product immediately available for selection on Purchase Orders and supplier bills</t>
        </is>
      </c>
      <c r="I409" s="5" t="inlineStr">
        <is>
          <t>Enables SKU selection across procurement workflows with default purchase pricing</t>
        </is>
      </c>
      <c r="J409" s="20" t="inlineStr">
        <is>
          <t>P1</t>
        </is>
      </c>
      <c r="K409" s="20" t="inlineStr">
        <is>
          <t>Validated (Supported)</t>
        </is>
      </c>
      <c r="L409" s="5" t="inlineStr">
        <is>
          <t>Supported via product catalog integration across sales and purchases.</t>
        </is>
      </c>
      <c r="M409" s="8" t="inlineStr">
        <is>
          <t>Baseline</t>
        </is>
      </c>
      <c r="N409" s="8" t="inlineStr">
        <is>
          <t>Cross-persona</t>
        </is>
      </c>
      <c r="O409" s="8" t="inlineStr">
        <is>
          <t>P1</t>
        </is>
      </c>
      <c r="P409" s="5" t="inlineStr">
        <is>
          <t>Unchanged</t>
        </is>
      </c>
      <c r="Q409" s="20" t="inlineStr">
        <is>
          <t>Author assertion</t>
        </is>
      </c>
      <c r="R409" s="5" t="inlineStr"/>
      <c r="S409" s="8" t="inlineStr">
        <is>
          <t>MASTER</t>
        </is>
      </c>
      <c r="T409" s="5" t="inlineStr">
        <is>
          <t>Master data and authorization</t>
        </is>
      </c>
      <c r="U409" s="8" t="inlineStr"/>
      <c r="V409" s="8" t="inlineStr">
        <is>
          <t>masters</t>
        </is>
      </c>
      <c r="W409" s="8" t="inlineStr">
        <is>
          <t>KERNEL</t>
        </is>
      </c>
      <c r="X409" s="5" t="inlineStr">
        <is>
          <t>Core</t>
        </is>
      </c>
      <c r="Y409" s="5" t="inlineStr">
        <is>
          <t>Cross-persona</t>
        </is>
      </c>
      <c r="Z409" s="5" t="inlineStr">
        <is>
          <t>Medium</t>
        </is>
      </c>
      <c r="AA409" s="5" t="inlineStr">
        <is>
          <t>Medium</t>
        </is>
      </c>
      <c r="AB409" s="8" t="inlineStr">
        <is>
          <t>Low</t>
        </is>
      </c>
      <c r="AC409" s="8" t="inlineStr">
        <is>
          <t>Later</t>
        </is>
      </c>
      <c r="AD409" s="5" t="inlineStr">
        <is>
          <t>Not independently checked</t>
        </is>
      </c>
      <c r="AE409" s="5" t="inlineStr">
        <is>
          <t>Not verified</t>
        </is>
      </c>
      <c r="AF409" s="5" t="inlineStr">
        <is>
          <t>Not verified</t>
        </is>
      </c>
      <c r="AG409" s="5" t="inlineStr">
        <is>
          <t>Not verified</t>
        </is>
      </c>
      <c r="AH409" s="5" t="inlineStr">
        <is>
          <t>Not verified</t>
        </is>
      </c>
      <c r="AI409" s="8" t="inlineStr">
        <is>
          <t>No</t>
        </is>
      </c>
      <c r="AJ409" s="8" t="inlineStr">
        <is>
          <t>Claimed - unverified</t>
        </is>
      </c>
      <c r="AK409" s="8" t="inlineStr">
        <is>
          <t>P1</t>
        </is>
      </c>
      <c r="AL409" s="8" t="n">
        <v>6</v>
      </c>
      <c r="AM409" s="5" t="inlineStr"/>
      <c r="AN409" s="5" t="inlineStr"/>
      <c r="AO409" s="5" t="inlineStr"/>
      <c r="AP409" s="5" t="inlineStr"/>
      <c r="AQ409" s="5" t="inlineStr"/>
      <c r="AR409" s="5" t="inlineStr"/>
      <c r="AS409" s="5" t="inlineStr"/>
      <c r="AT409" s="5" t="inlineStr"/>
      <c r="AU409" s="8" t="inlineStr">
        <is>
          <t>Not run</t>
        </is>
      </c>
    </row>
    <row r="410" ht="32" customHeight="1">
      <c r="A410" s="16" t="inlineStr">
        <is>
          <t>X-0409</t>
        </is>
      </c>
      <c r="B410" s="8" t="inlineStr">
        <is>
          <t>X</t>
        </is>
      </c>
      <c r="C410" s="5" t="inlineStr">
        <is>
          <t>Multiple / Cross-persona</t>
        </is>
      </c>
      <c r="D410" s="5" t="inlineStr">
        <is>
          <t>Master Data &amp; Authorization</t>
        </is>
      </c>
      <c r="E410" s="5" t="inlineStr">
        <is>
          <t>Product HSN → invoice uses correct HSN</t>
        </is>
      </c>
      <c r="F410" s="5" t="inlineStr">
        <is>
          <t>Tax Engine</t>
        </is>
      </c>
      <c r="G410" s="5" t="inlineStr">
        <is>
          <t>Billing Clerk</t>
        </is>
      </c>
      <c r="H410" s="5" t="inlineStr">
        <is>
          <t>Product HSN code automatically populates onto invoice line items for GST compliance</t>
        </is>
      </c>
      <c r="I410" s="5" t="inlineStr">
        <is>
          <t>Copies HSN/SAC code from Product master to SalesItem; prints on statutory invoice</t>
        </is>
      </c>
      <c r="J410" s="20" t="inlineStr">
        <is>
          <t>P1</t>
        </is>
      </c>
      <c r="K410" s="20" t="inlineStr">
        <is>
          <t>Validated (Supported)</t>
        </is>
      </c>
      <c r="L410" s="5" t="inlineStr">
        <is>
          <t>Core tax invariant: invoice line HSN strictly derived from Product master.</t>
        </is>
      </c>
      <c r="M410" s="8" t="inlineStr">
        <is>
          <t>Baseline</t>
        </is>
      </c>
      <c r="N410" s="8" t="inlineStr">
        <is>
          <t>Cross-persona</t>
        </is>
      </c>
      <c r="O410" s="8" t="inlineStr">
        <is>
          <t>P1</t>
        </is>
      </c>
      <c r="P410" s="5" t="inlineStr">
        <is>
          <t>Unchanged</t>
        </is>
      </c>
      <c r="Q410" s="20" t="inlineStr">
        <is>
          <t>Author assertion</t>
        </is>
      </c>
      <c r="R410" s="5" t="inlineStr"/>
      <c r="S410" s="8" t="inlineStr">
        <is>
          <t>MASTER</t>
        </is>
      </c>
      <c r="T410" s="5" t="inlineStr">
        <is>
          <t>Master data and authorization</t>
        </is>
      </c>
      <c r="U410" s="8" t="inlineStr"/>
      <c r="V410" s="8" t="inlineStr">
        <is>
          <t>masters</t>
        </is>
      </c>
      <c r="W410" s="8" t="inlineStr">
        <is>
          <t>KERNEL</t>
        </is>
      </c>
      <c r="X410" s="5" t="inlineStr">
        <is>
          <t>Core</t>
        </is>
      </c>
      <c r="Y410" s="5" t="inlineStr">
        <is>
          <t>Cross-persona</t>
        </is>
      </c>
      <c r="Z410" s="5" t="inlineStr">
        <is>
          <t>Medium</t>
        </is>
      </c>
      <c r="AA410" s="5" t="inlineStr">
        <is>
          <t>Medium</t>
        </is>
      </c>
      <c r="AB410" s="8" t="inlineStr">
        <is>
          <t>Low</t>
        </is>
      </c>
      <c r="AC410" s="8" t="inlineStr">
        <is>
          <t>Later</t>
        </is>
      </c>
      <c r="AD410" s="5" t="inlineStr">
        <is>
          <t>Not independently checked</t>
        </is>
      </c>
      <c r="AE410" s="5" t="inlineStr">
        <is>
          <t>Not verified</t>
        </is>
      </c>
      <c r="AF410" s="5" t="inlineStr">
        <is>
          <t>Not verified</t>
        </is>
      </c>
      <c r="AG410" s="5" t="inlineStr">
        <is>
          <t>Not verified</t>
        </is>
      </c>
      <c r="AH410" s="5" t="inlineStr">
        <is>
          <t>Not verified</t>
        </is>
      </c>
      <c r="AI410" s="8" t="inlineStr">
        <is>
          <t>No</t>
        </is>
      </c>
      <c r="AJ410" s="8" t="inlineStr">
        <is>
          <t>Claimed - unverified</t>
        </is>
      </c>
      <c r="AK410" s="8" t="inlineStr">
        <is>
          <t>P1</t>
        </is>
      </c>
      <c r="AL410" s="8" t="n">
        <v>6</v>
      </c>
      <c r="AM410" s="5" t="inlineStr"/>
      <c r="AN410" s="5" t="inlineStr"/>
      <c r="AO410" s="5" t="inlineStr"/>
      <c r="AP410" s="5" t="inlineStr"/>
      <c r="AQ410" s="5" t="inlineStr"/>
      <c r="AR410" s="5" t="inlineStr"/>
      <c r="AS410" s="5" t="inlineStr"/>
      <c r="AT410" s="5" t="inlineStr"/>
      <c r="AU410" s="8" t="inlineStr">
        <is>
          <t>Not run</t>
        </is>
      </c>
    </row>
    <row r="411" ht="32" customHeight="1">
      <c r="A411" s="16" t="inlineStr">
        <is>
          <t>X-0410</t>
        </is>
      </c>
      <c r="B411" s="8" t="inlineStr">
        <is>
          <t>X</t>
        </is>
      </c>
      <c r="C411" s="5" t="inlineStr">
        <is>
          <t>Multiple / Cross-persona</t>
        </is>
      </c>
      <c r="D411" s="5" t="inlineStr">
        <is>
          <t>Master Data &amp; Authorization</t>
        </is>
      </c>
      <c r="E411" s="5" t="inlineStr">
        <is>
          <t>Product tax rate → invoice uses configured tax</t>
        </is>
      </c>
      <c r="F411" s="5" t="inlineStr">
        <is>
          <t>Tax Engine</t>
        </is>
      </c>
      <c r="G411" s="5" t="inlineStr">
        <is>
          <t>Billing Clerk</t>
        </is>
      </c>
      <c r="H411" s="5" t="inlineStr">
        <is>
          <t>Configured product GST rate automatically applied during billing calculation</t>
        </is>
      </c>
      <c r="I411" s="5" t="inlineStr">
        <is>
          <t>Applies master tax rate percentage; calculates line CGST/SGST/IGST breakdown</t>
        </is>
      </c>
      <c r="J411" s="20" t="inlineStr">
        <is>
          <t>P1</t>
        </is>
      </c>
      <c r="K411" s="20" t="inlineStr">
        <is>
          <t>Validated (Supported)</t>
        </is>
      </c>
      <c r="L411" s="5" t="inlineStr">
        <is>
          <t>Core tax invariant: invoice line tax percentage strictly derived from Product tax rate.</t>
        </is>
      </c>
      <c r="M411" s="8" t="inlineStr">
        <is>
          <t>Baseline</t>
        </is>
      </c>
      <c r="N411" s="8" t="inlineStr">
        <is>
          <t>Cross-persona</t>
        </is>
      </c>
      <c r="O411" s="8" t="inlineStr">
        <is>
          <t>P1</t>
        </is>
      </c>
      <c r="P411" s="5" t="inlineStr">
        <is>
          <t>Unchanged</t>
        </is>
      </c>
      <c r="Q411" s="20" t="inlineStr">
        <is>
          <t>Author assertion</t>
        </is>
      </c>
      <c r="R411" s="5" t="inlineStr"/>
      <c r="S411" s="8" t="inlineStr">
        <is>
          <t>MASTER</t>
        </is>
      </c>
      <c r="T411" s="5" t="inlineStr">
        <is>
          <t>Master data and authorization</t>
        </is>
      </c>
      <c r="U411" s="8" t="inlineStr"/>
      <c r="V411" s="8" t="inlineStr">
        <is>
          <t>masters</t>
        </is>
      </c>
      <c r="W411" s="8" t="inlineStr">
        <is>
          <t>KERNEL</t>
        </is>
      </c>
      <c r="X411" s="5" t="inlineStr">
        <is>
          <t>Core</t>
        </is>
      </c>
      <c r="Y411" s="5" t="inlineStr">
        <is>
          <t>Cross-persona</t>
        </is>
      </c>
      <c r="Z411" s="5" t="inlineStr">
        <is>
          <t>Medium</t>
        </is>
      </c>
      <c r="AA411" s="5" t="inlineStr">
        <is>
          <t>Medium</t>
        </is>
      </c>
      <c r="AB411" s="8" t="inlineStr">
        <is>
          <t>Low</t>
        </is>
      </c>
      <c r="AC411" s="8" t="inlineStr">
        <is>
          <t>Later</t>
        </is>
      </c>
      <c r="AD411" s="5" t="inlineStr">
        <is>
          <t>Not independently checked</t>
        </is>
      </c>
      <c r="AE411" s="5" t="inlineStr">
        <is>
          <t>Not verified</t>
        </is>
      </c>
      <c r="AF411" s="5" t="inlineStr">
        <is>
          <t>Not verified</t>
        </is>
      </c>
      <c r="AG411" s="5" t="inlineStr">
        <is>
          <t>Not verified</t>
        </is>
      </c>
      <c r="AH411" s="5" t="inlineStr">
        <is>
          <t>Not verified</t>
        </is>
      </c>
      <c r="AI411" s="8" t="inlineStr">
        <is>
          <t>No</t>
        </is>
      </c>
      <c r="AJ411" s="8" t="inlineStr">
        <is>
          <t>Claimed - unverified</t>
        </is>
      </c>
      <c r="AK411" s="8" t="inlineStr">
        <is>
          <t>P1</t>
        </is>
      </c>
      <c r="AL411" s="8" t="n">
        <v>6</v>
      </c>
      <c r="AM411" s="5" t="inlineStr"/>
      <c r="AN411" s="5" t="inlineStr"/>
      <c r="AO411" s="5" t="inlineStr"/>
      <c r="AP411" s="5" t="inlineStr"/>
      <c r="AQ411" s="5" t="inlineStr"/>
      <c r="AR411" s="5" t="inlineStr"/>
      <c r="AS411" s="5" t="inlineStr"/>
      <c r="AT411" s="5" t="inlineStr"/>
      <c r="AU411" s="8" t="inlineStr">
        <is>
          <t>Not run</t>
        </is>
      </c>
    </row>
    <row r="412" ht="32" customHeight="1">
      <c r="A412" s="16" t="inlineStr">
        <is>
          <t>X-0411</t>
        </is>
      </c>
      <c r="B412" s="8" t="inlineStr">
        <is>
          <t>X</t>
        </is>
      </c>
      <c r="C412" s="5" t="inlineStr">
        <is>
          <t>Multiple / Cross-persona</t>
        </is>
      </c>
      <c r="D412" s="5" t="inlineStr">
        <is>
          <t>Master Data &amp; Authorization</t>
        </is>
      </c>
      <c r="E412" s="5" t="inlineStr">
        <is>
          <t>Product unit → inventory quantities use correct unit</t>
        </is>
      </c>
      <c r="F412" s="5" t="inlineStr">
        <is>
          <t>Inventory Ledger Engine</t>
        </is>
      </c>
      <c r="G412" s="5" t="inlineStr">
        <is>
          <t>Godown Custodian</t>
        </is>
      </c>
      <c r="H412" s="5" t="inlineStr">
        <is>
          <t>Stock transactions enforce standard unit of measure (PCS, KGS, BOX, LTR, MTR)</t>
        </is>
      </c>
      <c r="I412" s="5" t="inlineStr">
        <is>
          <t>Stores unit_of_measure on Product; validates all inward and outward movements conform to unit</t>
        </is>
      </c>
      <c r="J412" s="20" t="inlineStr">
        <is>
          <t>P1</t>
        </is>
      </c>
      <c r="K412" s="20" t="inlineStr">
        <is>
          <t>Validated (Supported)</t>
        </is>
      </c>
      <c r="L412" s="5" t="inlineStr">
        <is>
          <t>Core inventory invariant: all stock movements strictly validate master unit of measure.</t>
        </is>
      </c>
      <c r="M412" s="8" t="inlineStr">
        <is>
          <t>Baseline</t>
        </is>
      </c>
      <c r="N412" s="8" t="inlineStr">
        <is>
          <t>Cross-persona</t>
        </is>
      </c>
      <c r="O412" s="8" t="inlineStr">
        <is>
          <t>P1</t>
        </is>
      </c>
      <c r="P412" s="5" t="inlineStr">
        <is>
          <t>Unchanged</t>
        </is>
      </c>
      <c r="Q412" s="20" t="inlineStr">
        <is>
          <t>Author assertion</t>
        </is>
      </c>
      <c r="R412" s="5" t="inlineStr"/>
      <c r="S412" s="8" t="inlineStr">
        <is>
          <t>MASTER</t>
        </is>
      </c>
      <c r="T412" s="5" t="inlineStr">
        <is>
          <t>Master data and authorization</t>
        </is>
      </c>
      <c r="U412" s="8" t="inlineStr"/>
      <c r="V412" s="8" t="inlineStr">
        <is>
          <t>masters</t>
        </is>
      </c>
      <c r="W412" s="8" t="inlineStr">
        <is>
          <t>KERNEL</t>
        </is>
      </c>
      <c r="X412" s="5" t="inlineStr">
        <is>
          <t>Core</t>
        </is>
      </c>
      <c r="Y412" s="5" t="inlineStr">
        <is>
          <t>Cross-persona</t>
        </is>
      </c>
      <c r="Z412" s="5" t="inlineStr">
        <is>
          <t>Medium</t>
        </is>
      </c>
      <c r="AA412" s="5" t="inlineStr">
        <is>
          <t>Medium</t>
        </is>
      </c>
      <c r="AB412" s="8" t="inlineStr">
        <is>
          <t>Low</t>
        </is>
      </c>
      <c r="AC412" s="8" t="inlineStr">
        <is>
          <t>Later</t>
        </is>
      </c>
      <c r="AD412" s="5" t="inlineStr">
        <is>
          <t>Not independently checked</t>
        </is>
      </c>
      <c r="AE412" s="5" t="inlineStr">
        <is>
          <t>Not verified</t>
        </is>
      </c>
      <c r="AF412" s="5" t="inlineStr">
        <is>
          <t>Not verified</t>
        </is>
      </c>
      <c r="AG412" s="5" t="inlineStr">
        <is>
          <t>Not verified</t>
        </is>
      </c>
      <c r="AH412" s="5" t="inlineStr">
        <is>
          <t>Not verified</t>
        </is>
      </c>
      <c r="AI412" s="8" t="inlineStr">
        <is>
          <t>No</t>
        </is>
      </c>
      <c r="AJ412" s="8" t="inlineStr">
        <is>
          <t>Claimed - unverified</t>
        </is>
      </c>
      <c r="AK412" s="8" t="inlineStr">
        <is>
          <t>P1</t>
        </is>
      </c>
      <c r="AL412" s="8" t="n">
        <v>6</v>
      </c>
      <c r="AM412" s="5" t="inlineStr"/>
      <c r="AN412" s="5" t="inlineStr"/>
      <c r="AO412" s="5" t="inlineStr"/>
      <c r="AP412" s="5" t="inlineStr"/>
      <c r="AQ412" s="5" t="inlineStr"/>
      <c r="AR412" s="5" t="inlineStr"/>
      <c r="AS412" s="5" t="inlineStr"/>
      <c r="AT412" s="5" t="inlineStr"/>
      <c r="AU412" s="8" t="inlineStr">
        <is>
          <t>Not run</t>
        </is>
      </c>
    </row>
    <row r="413" ht="32" customHeight="1">
      <c r="A413" s="16" t="inlineStr">
        <is>
          <t>X-0412</t>
        </is>
      </c>
      <c r="B413" s="8" t="inlineStr">
        <is>
          <t>X</t>
        </is>
      </c>
      <c r="C413" s="5" t="inlineStr">
        <is>
          <t>Multiple / Cross-persona</t>
        </is>
      </c>
      <c r="D413" s="5" t="inlineStr">
        <is>
          <t>Master Data &amp; Authorization</t>
        </is>
      </c>
      <c r="E413" s="5" t="inlineStr">
        <is>
          <t>Product batch configuration → GRN captures batch</t>
        </is>
      </c>
      <c r="F413" s="5" t="inlineStr">
        <is>
          <t>Goods Receipt Engine</t>
        </is>
      </c>
      <c r="G413" s="5" t="inlineStr">
        <is>
          <t>Godown Custodian</t>
        </is>
      </c>
      <c r="H413" s="5" t="inlineStr">
        <is>
          <t>Items flagged with is_batch_tracked require mandatory batch number and expiry entry on receipt</t>
        </is>
      </c>
      <c r="I413" s="5" t="inlineStr">
        <is>
          <t>Enforces batch lot entry on GRN/Purchase bill; rejects receipt if batch info is missing</t>
        </is>
      </c>
      <c r="J413" s="20" t="inlineStr">
        <is>
          <t>P1</t>
        </is>
      </c>
      <c r="K413" s="20" t="inlineStr">
        <is>
          <t>Validated (Supported)</t>
        </is>
      </c>
      <c r="L413" s="5" t="inlineStr">
        <is>
          <t>Core inventory invariant: batch-tracked SKUs strictly enforce batch metadata on inwarding.</t>
        </is>
      </c>
      <c r="M413" s="8" t="inlineStr">
        <is>
          <t>Baseline</t>
        </is>
      </c>
      <c r="N413" s="8" t="inlineStr">
        <is>
          <t>Cross-persona</t>
        </is>
      </c>
      <c r="O413" s="8" t="inlineStr">
        <is>
          <t>P1</t>
        </is>
      </c>
      <c r="P413" s="5" t="inlineStr">
        <is>
          <t>Unchanged</t>
        </is>
      </c>
      <c r="Q413" s="20" t="inlineStr">
        <is>
          <t>Author assertion</t>
        </is>
      </c>
      <c r="R413" s="5" t="inlineStr"/>
      <c r="S413" s="8" t="inlineStr">
        <is>
          <t>MASTER</t>
        </is>
      </c>
      <c r="T413" s="5" t="inlineStr">
        <is>
          <t>Master data and authorization</t>
        </is>
      </c>
      <c r="U413" s="8" t="inlineStr"/>
      <c r="V413" s="8" t="inlineStr">
        <is>
          <t>masters</t>
        </is>
      </c>
      <c r="W413" s="8" t="inlineStr">
        <is>
          <t>KERNEL</t>
        </is>
      </c>
      <c r="X413" s="5" t="inlineStr">
        <is>
          <t>Core</t>
        </is>
      </c>
      <c r="Y413" s="5" t="inlineStr">
        <is>
          <t>Cross-persona</t>
        </is>
      </c>
      <c r="Z413" s="5" t="inlineStr">
        <is>
          <t>Medium</t>
        </is>
      </c>
      <c r="AA413" s="5" t="inlineStr">
        <is>
          <t>Medium</t>
        </is>
      </c>
      <c r="AB413" s="8" t="inlineStr">
        <is>
          <t>Low</t>
        </is>
      </c>
      <c r="AC413" s="8" t="inlineStr">
        <is>
          <t>Later</t>
        </is>
      </c>
      <c r="AD413" s="5" t="inlineStr">
        <is>
          <t>Not independently checked</t>
        </is>
      </c>
      <c r="AE413" s="5" t="inlineStr">
        <is>
          <t>Not verified</t>
        </is>
      </c>
      <c r="AF413" s="5" t="inlineStr">
        <is>
          <t>Not verified</t>
        </is>
      </c>
      <c r="AG413" s="5" t="inlineStr">
        <is>
          <t>Not verified</t>
        </is>
      </c>
      <c r="AH413" s="5" t="inlineStr">
        <is>
          <t>Not verified</t>
        </is>
      </c>
      <c r="AI413" s="8" t="inlineStr">
        <is>
          <t>No</t>
        </is>
      </c>
      <c r="AJ413" s="8" t="inlineStr">
        <is>
          <t>Claimed - unverified</t>
        </is>
      </c>
      <c r="AK413" s="8" t="inlineStr">
        <is>
          <t>P1</t>
        </is>
      </c>
      <c r="AL413" s="8" t="n">
        <v>6</v>
      </c>
      <c r="AM413" s="5" t="inlineStr"/>
      <c r="AN413" s="5" t="inlineStr"/>
      <c r="AO413" s="5" t="inlineStr"/>
      <c r="AP413" s="5" t="inlineStr"/>
      <c r="AQ413" s="5" t="inlineStr"/>
      <c r="AR413" s="5" t="inlineStr"/>
      <c r="AS413" s="5" t="inlineStr"/>
      <c r="AT413" s="5" t="inlineStr"/>
      <c r="AU413" s="8" t="inlineStr">
        <is>
          <t>Not run</t>
        </is>
      </c>
    </row>
    <row r="414" ht="32" customHeight="1">
      <c r="A414" s="16" t="inlineStr">
        <is>
          <t>X-0413</t>
        </is>
      </c>
      <c r="B414" s="8" t="inlineStr">
        <is>
          <t>X</t>
        </is>
      </c>
      <c r="C414" s="5" t="inlineStr">
        <is>
          <t>Multiple / Cross-persona</t>
        </is>
      </c>
      <c r="D414" s="5" t="inlineStr">
        <is>
          <t>Master Data &amp; Authorization</t>
        </is>
      </c>
      <c r="E414" s="5" t="inlineStr">
        <is>
          <t>Product serial configuration → sale captures serial</t>
        </is>
      </c>
      <c r="F414" s="5" t="inlineStr">
        <is>
          <t>Billing Engine</t>
        </is>
      </c>
      <c r="G414" s="5" t="inlineStr">
        <is>
          <t>Counter Clerk</t>
        </is>
      </c>
      <c r="H414" s="5" t="inlineStr">
        <is>
          <t>Items flagged with is_serialized require unique serial/IMEI scanning before checkout</t>
        </is>
      </c>
      <c r="I414" s="5" t="inlineStr">
        <is>
          <t>Validates scanned serial number against available serial inventory; records on sales line</t>
        </is>
      </c>
      <c r="J414" s="20" t="inlineStr">
        <is>
          <t>P1</t>
        </is>
      </c>
      <c r="K414" s="20" t="inlineStr">
        <is>
          <t>Validated (Supported)</t>
        </is>
      </c>
      <c r="L414" s="5" t="inlineStr">
        <is>
          <t>Core inventory invariant: serialized SKUs strictly enforce valid serial selection on sale.</t>
        </is>
      </c>
      <c r="M414" s="8" t="inlineStr">
        <is>
          <t>Baseline</t>
        </is>
      </c>
      <c r="N414" s="8" t="inlineStr">
        <is>
          <t>Cross-persona</t>
        </is>
      </c>
      <c r="O414" s="8" t="inlineStr">
        <is>
          <t>P1</t>
        </is>
      </c>
      <c r="P414" s="5" t="inlineStr">
        <is>
          <t>Unchanged</t>
        </is>
      </c>
      <c r="Q414" s="20" t="inlineStr">
        <is>
          <t>Author assertion</t>
        </is>
      </c>
      <c r="R414" s="5" t="inlineStr"/>
      <c r="S414" s="8" t="inlineStr">
        <is>
          <t>MASTER</t>
        </is>
      </c>
      <c r="T414" s="5" t="inlineStr">
        <is>
          <t>Master data and authorization</t>
        </is>
      </c>
      <c r="U414" s="8" t="inlineStr"/>
      <c r="V414" s="8" t="inlineStr">
        <is>
          <t>masters</t>
        </is>
      </c>
      <c r="W414" s="8" t="inlineStr">
        <is>
          <t>KERNEL</t>
        </is>
      </c>
      <c r="X414" s="5" t="inlineStr">
        <is>
          <t>Core</t>
        </is>
      </c>
      <c r="Y414" s="5" t="inlineStr">
        <is>
          <t>Cross-persona</t>
        </is>
      </c>
      <c r="Z414" s="5" t="inlineStr">
        <is>
          <t>Medium</t>
        </is>
      </c>
      <c r="AA414" s="5" t="inlineStr">
        <is>
          <t>Medium</t>
        </is>
      </c>
      <c r="AB414" s="8" t="inlineStr">
        <is>
          <t>Low</t>
        </is>
      </c>
      <c r="AC414" s="8" t="inlineStr">
        <is>
          <t>Later</t>
        </is>
      </c>
      <c r="AD414" s="5" t="inlineStr">
        <is>
          <t>Not independently checked</t>
        </is>
      </c>
      <c r="AE414" s="5" t="inlineStr">
        <is>
          <t>Not verified</t>
        </is>
      </c>
      <c r="AF414" s="5" t="inlineStr">
        <is>
          <t>Not verified</t>
        </is>
      </c>
      <c r="AG414" s="5" t="inlineStr">
        <is>
          <t>Not verified</t>
        </is>
      </c>
      <c r="AH414" s="5" t="inlineStr">
        <is>
          <t>Not verified</t>
        </is>
      </c>
      <c r="AI414" s="8" t="inlineStr">
        <is>
          <t>No</t>
        </is>
      </c>
      <c r="AJ414" s="8" t="inlineStr">
        <is>
          <t>Claimed - unverified</t>
        </is>
      </c>
      <c r="AK414" s="8" t="inlineStr">
        <is>
          <t>P1</t>
        </is>
      </c>
      <c r="AL414" s="8" t="n">
        <v>6</v>
      </c>
      <c r="AM414" s="5" t="inlineStr"/>
      <c r="AN414" s="5" t="inlineStr"/>
      <c r="AO414" s="5" t="inlineStr"/>
      <c r="AP414" s="5" t="inlineStr"/>
      <c r="AQ414" s="5" t="inlineStr"/>
      <c r="AR414" s="5" t="inlineStr"/>
      <c r="AS414" s="5" t="inlineStr"/>
      <c r="AT414" s="5" t="inlineStr"/>
      <c r="AU414" s="8" t="inlineStr">
        <is>
          <t>Not run</t>
        </is>
      </c>
    </row>
    <row r="415" ht="32" customHeight="1">
      <c r="A415" s="16" t="inlineStr">
        <is>
          <t>X-0414</t>
        </is>
      </c>
      <c r="B415" s="8" t="inlineStr">
        <is>
          <t>X</t>
        </is>
      </c>
      <c r="C415" s="5" t="inlineStr">
        <is>
          <t>Multiple / Cross-persona</t>
        </is>
      </c>
      <c r="D415" s="5" t="inlineStr">
        <is>
          <t>Master Data &amp; Authorization</t>
        </is>
      </c>
      <c r="E415" s="5" t="inlineStr">
        <is>
          <t>Customer master → sales invoice uses customer details</t>
        </is>
      </c>
      <c r="F415" s="5" t="inlineStr">
        <is>
          <t>Billing Engine</t>
        </is>
      </c>
      <c r="G415" s="5" t="inlineStr">
        <is>
          <t>Customer</t>
        </is>
      </c>
      <c r="H415" s="5" t="inlineStr">
        <is>
          <t>Customer name, billing address, shipping address, and GSTIN automatically populate on invoice</t>
        </is>
      </c>
      <c r="I415" s="5" t="inlineStr">
        <is>
          <t>Copies customer master details to invoice header snapshot for immutable record-keeping</t>
        </is>
      </c>
      <c r="J415" s="20" t="inlineStr">
        <is>
          <t>P1</t>
        </is>
      </c>
      <c r="K415" s="20" t="inlineStr">
        <is>
          <t>Validated (Supported)</t>
        </is>
      </c>
      <c r="L415" s="5" t="inlineStr">
        <is>
          <t>Supported via customer auto-complete in invoice creation form.</t>
        </is>
      </c>
      <c r="M415" s="8" t="inlineStr">
        <is>
          <t>Baseline</t>
        </is>
      </c>
      <c r="N415" s="8" t="inlineStr">
        <is>
          <t>Cross-persona</t>
        </is>
      </c>
      <c r="O415" s="8" t="inlineStr">
        <is>
          <t>P1</t>
        </is>
      </c>
      <c r="P415" s="5" t="inlineStr">
        <is>
          <t>Unchanged</t>
        </is>
      </c>
      <c r="Q415" s="20" t="inlineStr">
        <is>
          <t>Author assertion</t>
        </is>
      </c>
      <c r="R415" s="5" t="inlineStr"/>
      <c r="S415" s="8" t="inlineStr">
        <is>
          <t>MASTER</t>
        </is>
      </c>
      <c r="T415" s="5" t="inlineStr">
        <is>
          <t>Master data and authorization</t>
        </is>
      </c>
      <c r="U415" s="8" t="inlineStr"/>
      <c r="V415" s="8" t="inlineStr">
        <is>
          <t>masters</t>
        </is>
      </c>
      <c r="W415" s="8" t="inlineStr">
        <is>
          <t>KERNEL</t>
        </is>
      </c>
      <c r="X415" s="5" t="inlineStr">
        <is>
          <t>Core</t>
        </is>
      </c>
      <c r="Y415" s="5" t="inlineStr">
        <is>
          <t>Cross-persona</t>
        </is>
      </c>
      <c r="Z415" s="5" t="inlineStr">
        <is>
          <t>Medium</t>
        </is>
      </c>
      <c r="AA415" s="5" t="inlineStr">
        <is>
          <t>Medium</t>
        </is>
      </c>
      <c r="AB415" s="8" t="inlineStr">
        <is>
          <t>Low</t>
        </is>
      </c>
      <c r="AC415" s="8" t="inlineStr">
        <is>
          <t>Later</t>
        </is>
      </c>
      <c r="AD415" s="5" t="inlineStr">
        <is>
          <t>Not independently checked</t>
        </is>
      </c>
      <c r="AE415" s="5" t="inlineStr">
        <is>
          <t>Not verified</t>
        </is>
      </c>
      <c r="AF415" s="5" t="inlineStr">
        <is>
          <t>Not verified</t>
        </is>
      </c>
      <c r="AG415" s="5" t="inlineStr">
        <is>
          <t>Not verified</t>
        </is>
      </c>
      <c r="AH415" s="5" t="inlineStr">
        <is>
          <t>Not verified</t>
        </is>
      </c>
      <c r="AI415" s="8" t="inlineStr">
        <is>
          <t>No</t>
        </is>
      </c>
      <c r="AJ415" s="8" t="inlineStr">
        <is>
          <t>Claimed - unverified</t>
        </is>
      </c>
      <c r="AK415" s="8" t="inlineStr">
        <is>
          <t>P1</t>
        </is>
      </c>
      <c r="AL415" s="8" t="n">
        <v>6</v>
      </c>
      <c r="AM415" s="5" t="inlineStr"/>
      <c r="AN415" s="5" t="inlineStr"/>
      <c r="AO415" s="5" t="inlineStr"/>
      <c r="AP415" s="5" t="inlineStr"/>
      <c r="AQ415" s="5" t="inlineStr"/>
      <c r="AR415" s="5" t="inlineStr"/>
      <c r="AS415" s="5" t="inlineStr"/>
      <c r="AT415" s="5" t="inlineStr"/>
      <c r="AU415" s="8" t="inlineStr">
        <is>
          <t>Not run</t>
        </is>
      </c>
    </row>
    <row r="416" ht="32" customHeight="1">
      <c r="A416" s="16" t="inlineStr">
        <is>
          <t>X-0415</t>
        </is>
      </c>
      <c r="B416" s="8" t="inlineStr">
        <is>
          <t>X</t>
        </is>
      </c>
      <c r="C416" s="5" t="inlineStr">
        <is>
          <t>Multiple / Cross-persona</t>
        </is>
      </c>
      <c r="D416" s="5" t="inlineStr">
        <is>
          <t>Master Data &amp; Authorization</t>
        </is>
      </c>
      <c r="E416" s="5" t="inlineStr">
        <is>
          <t>Supplier master → purchase invoice uses supplier details</t>
        </is>
      </c>
      <c r="F416" s="5" t="inlineStr">
        <is>
          <t>Procurement Engine</t>
        </is>
      </c>
      <c r="G416" s="5" t="inlineStr">
        <is>
          <t>In-house Accountant</t>
        </is>
      </c>
      <c r="H416" s="5" t="inlineStr">
        <is>
          <t>Supplier legal name, address, GSTIN, and default payment terms populate on purchase bill</t>
        </is>
      </c>
      <c r="I416" s="5" t="inlineStr">
        <is>
          <t>Copies supplier master details to purchase invoice header snapshot</t>
        </is>
      </c>
      <c r="J416" s="20" t="inlineStr">
        <is>
          <t>P1</t>
        </is>
      </c>
      <c r="K416" s="20" t="inlineStr">
        <is>
          <t>Validated (Supported)</t>
        </is>
      </c>
      <c r="L416" s="5" t="inlineStr">
        <is>
          <t>Supported via supplier auto-complete in purchase form.</t>
        </is>
      </c>
      <c r="M416" s="8" t="inlineStr">
        <is>
          <t>Baseline</t>
        </is>
      </c>
      <c r="N416" s="8" t="inlineStr">
        <is>
          <t>Cross-persona</t>
        </is>
      </c>
      <c r="O416" s="8" t="inlineStr">
        <is>
          <t>P1</t>
        </is>
      </c>
      <c r="P416" s="5" t="inlineStr">
        <is>
          <t>Unchanged</t>
        </is>
      </c>
      <c r="Q416" s="20" t="inlineStr">
        <is>
          <t>Author assertion</t>
        </is>
      </c>
      <c r="R416" s="5" t="inlineStr"/>
      <c r="S416" s="8" t="inlineStr">
        <is>
          <t>MASTER</t>
        </is>
      </c>
      <c r="T416" s="5" t="inlineStr">
        <is>
          <t>Master data and authorization</t>
        </is>
      </c>
      <c r="U416" s="8" t="inlineStr"/>
      <c r="V416" s="8" t="inlineStr">
        <is>
          <t>masters</t>
        </is>
      </c>
      <c r="W416" s="8" t="inlineStr">
        <is>
          <t>KERNEL</t>
        </is>
      </c>
      <c r="X416" s="5" t="inlineStr">
        <is>
          <t>Core</t>
        </is>
      </c>
      <c r="Y416" s="5" t="inlineStr">
        <is>
          <t>Cross-persona</t>
        </is>
      </c>
      <c r="Z416" s="5" t="inlineStr">
        <is>
          <t>Medium</t>
        </is>
      </c>
      <c r="AA416" s="5" t="inlineStr">
        <is>
          <t>Medium</t>
        </is>
      </c>
      <c r="AB416" s="8" t="inlineStr">
        <is>
          <t>Low</t>
        </is>
      </c>
      <c r="AC416" s="8" t="inlineStr">
        <is>
          <t>Later</t>
        </is>
      </c>
      <c r="AD416" s="5" t="inlineStr">
        <is>
          <t>Not independently checked</t>
        </is>
      </c>
      <c r="AE416" s="5" t="inlineStr">
        <is>
          <t>Not verified</t>
        </is>
      </c>
      <c r="AF416" s="5" t="inlineStr">
        <is>
          <t>Not verified</t>
        </is>
      </c>
      <c r="AG416" s="5" t="inlineStr">
        <is>
          <t>Not verified</t>
        </is>
      </c>
      <c r="AH416" s="5" t="inlineStr">
        <is>
          <t>Not verified</t>
        </is>
      </c>
      <c r="AI416" s="8" t="inlineStr">
        <is>
          <t>No</t>
        </is>
      </c>
      <c r="AJ416" s="8" t="inlineStr">
        <is>
          <t>Claimed - unverified</t>
        </is>
      </c>
      <c r="AK416" s="8" t="inlineStr">
        <is>
          <t>P1</t>
        </is>
      </c>
      <c r="AL416" s="8" t="n">
        <v>6</v>
      </c>
      <c r="AM416" s="5" t="inlineStr"/>
      <c r="AN416" s="5" t="inlineStr"/>
      <c r="AO416" s="5" t="inlineStr"/>
      <c r="AP416" s="5" t="inlineStr"/>
      <c r="AQ416" s="5" t="inlineStr"/>
      <c r="AR416" s="5" t="inlineStr"/>
      <c r="AS416" s="5" t="inlineStr"/>
      <c r="AT416" s="5" t="inlineStr"/>
      <c r="AU416" s="8" t="inlineStr">
        <is>
          <t>Not run</t>
        </is>
      </c>
    </row>
    <row r="417" ht="32" customHeight="1">
      <c r="A417" s="16" t="inlineStr">
        <is>
          <t>X-0416</t>
        </is>
      </c>
      <c r="B417" s="8" t="inlineStr">
        <is>
          <t>X</t>
        </is>
      </c>
      <c r="C417" s="5" t="inlineStr">
        <is>
          <t>Multiple / Cross-persona</t>
        </is>
      </c>
      <c r="D417" s="5" t="inlineStr">
        <is>
          <t>Master Data &amp; Authorization</t>
        </is>
      </c>
      <c r="E417" s="5" t="inlineStr">
        <is>
          <t>Customer GSTIN → tax treatment uses GST status</t>
        </is>
      </c>
      <c r="F417" s="5" t="inlineStr">
        <is>
          <t>Tax Calculation Engine</t>
        </is>
      </c>
      <c r="G417" s="5" t="inlineStr">
        <is>
          <t>Billing Clerk</t>
        </is>
      </c>
      <c r="H417" s="5" t="inlineStr">
        <is>
          <t>Customer GST status (Registered B2B, Unregistered B2C, Composition) dictates invoice format</t>
        </is>
      </c>
      <c r="I417" s="5" t="inlineStr">
        <is>
          <t>Formats document as B2B Tax Invoice with reverse charge check or B2C Retail Bill</t>
        </is>
      </c>
      <c r="J417" s="20" t="inlineStr">
        <is>
          <t>P1</t>
        </is>
      </c>
      <c r="K417" s="20" t="inlineStr">
        <is>
          <t>Validated (Supported)</t>
        </is>
      </c>
      <c r="L417" s="5" t="inlineStr">
        <is>
          <t>Supported via automated tax regime selection based on customer GSTIN presence.</t>
        </is>
      </c>
      <c r="M417" s="8" t="inlineStr">
        <is>
          <t>Baseline</t>
        </is>
      </c>
      <c r="N417" s="8" t="inlineStr">
        <is>
          <t>Cross-persona</t>
        </is>
      </c>
      <c r="O417" s="8" t="inlineStr">
        <is>
          <t>P1</t>
        </is>
      </c>
      <c r="P417" s="5" t="inlineStr">
        <is>
          <t>Unchanged</t>
        </is>
      </c>
      <c r="Q417" s="20" t="inlineStr">
        <is>
          <t>Author assertion</t>
        </is>
      </c>
      <c r="R417" s="5" t="inlineStr"/>
      <c r="S417" s="8" t="inlineStr">
        <is>
          <t>MASTER</t>
        </is>
      </c>
      <c r="T417" s="5" t="inlineStr">
        <is>
          <t>Master data and authorization</t>
        </is>
      </c>
      <c r="U417" s="8" t="inlineStr"/>
      <c r="V417" s="8" t="inlineStr">
        <is>
          <t>masters</t>
        </is>
      </c>
      <c r="W417" s="8" t="inlineStr">
        <is>
          <t>KERNEL</t>
        </is>
      </c>
      <c r="X417" s="5" t="inlineStr">
        <is>
          <t>Core</t>
        </is>
      </c>
      <c r="Y417" s="5" t="inlineStr">
        <is>
          <t>Cross-persona</t>
        </is>
      </c>
      <c r="Z417" s="5" t="inlineStr">
        <is>
          <t>Medium</t>
        </is>
      </c>
      <c r="AA417" s="5" t="inlineStr">
        <is>
          <t>Medium</t>
        </is>
      </c>
      <c r="AB417" s="8" t="inlineStr">
        <is>
          <t>Low</t>
        </is>
      </c>
      <c r="AC417" s="8" t="inlineStr">
        <is>
          <t>Later</t>
        </is>
      </c>
      <c r="AD417" s="5" t="inlineStr">
        <is>
          <t>Not independently checked</t>
        </is>
      </c>
      <c r="AE417" s="5" t="inlineStr">
        <is>
          <t>Not verified</t>
        </is>
      </c>
      <c r="AF417" s="5" t="inlineStr">
        <is>
          <t>Not verified</t>
        </is>
      </c>
      <c r="AG417" s="5" t="inlineStr">
        <is>
          <t>Not verified</t>
        </is>
      </c>
      <c r="AH417" s="5" t="inlineStr">
        <is>
          <t>Not verified</t>
        </is>
      </c>
      <c r="AI417" s="8" t="inlineStr">
        <is>
          <t>No</t>
        </is>
      </c>
      <c r="AJ417" s="8" t="inlineStr">
        <is>
          <t>Claimed - unverified</t>
        </is>
      </c>
      <c r="AK417" s="8" t="inlineStr">
        <is>
          <t>P1</t>
        </is>
      </c>
      <c r="AL417" s="8" t="n">
        <v>6</v>
      </c>
      <c r="AM417" s="5" t="inlineStr"/>
      <c r="AN417" s="5" t="inlineStr"/>
      <c r="AO417" s="5" t="inlineStr"/>
      <c r="AP417" s="5" t="inlineStr"/>
      <c r="AQ417" s="5" t="inlineStr"/>
      <c r="AR417" s="5" t="inlineStr"/>
      <c r="AS417" s="5" t="inlineStr"/>
      <c r="AT417" s="5" t="inlineStr"/>
      <c r="AU417" s="8" t="inlineStr">
        <is>
          <t>Not run</t>
        </is>
      </c>
    </row>
    <row r="418" ht="32" customHeight="1">
      <c r="A418" s="16" t="inlineStr">
        <is>
          <t>X-0417</t>
        </is>
      </c>
      <c r="B418" s="8" t="inlineStr">
        <is>
          <t>X</t>
        </is>
      </c>
      <c r="C418" s="5" t="inlineStr">
        <is>
          <t>Multiple / Cross-persona</t>
        </is>
      </c>
      <c r="D418" s="5" t="inlineStr">
        <is>
          <t>Master Data &amp; Authorization</t>
        </is>
      </c>
      <c r="E418" s="5" t="inlineStr">
        <is>
          <t>Supplier GSTIN → purchase tax treatment uses supplier status</t>
        </is>
      </c>
      <c r="F418" s="5" t="inlineStr">
        <is>
          <t>Tax Calculation Engine</t>
        </is>
      </c>
      <c r="G418" s="5" t="inlineStr">
        <is>
          <t>In-house Accountant</t>
        </is>
      </c>
      <c r="H418" s="5" t="inlineStr">
        <is>
          <t>Supplier registration status determines whether purchase is eligible for Input Tax Credit</t>
        </is>
      </c>
      <c r="I418" s="5" t="inlineStr">
        <is>
          <t>Determines ITC eligibility; flags unregistered supplier purchases for Reverse Charge (RCM)</t>
        </is>
      </c>
      <c r="J418" s="20" t="inlineStr">
        <is>
          <t>P1</t>
        </is>
      </c>
      <c r="K418" s="20" t="inlineStr">
        <is>
          <t>Validated (Supported)</t>
        </is>
      </c>
      <c r="L418" s="5" t="inlineStr">
        <is>
          <t>Supported via supplier GSTIN validation during purchase bill intake.</t>
        </is>
      </c>
      <c r="M418" s="8" t="inlineStr">
        <is>
          <t>Baseline</t>
        </is>
      </c>
      <c r="N418" s="8" t="inlineStr">
        <is>
          <t>Cross-persona</t>
        </is>
      </c>
      <c r="O418" s="8" t="inlineStr">
        <is>
          <t>P1</t>
        </is>
      </c>
      <c r="P418" s="5" t="inlineStr">
        <is>
          <t>Unchanged</t>
        </is>
      </c>
      <c r="Q418" s="20" t="inlineStr">
        <is>
          <t>Author assertion</t>
        </is>
      </c>
      <c r="R418" s="5" t="inlineStr"/>
      <c r="S418" s="8" t="inlineStr">
        <is>
          <t>MASTER</t>
        </is>
      </c>
      <c r="T418" s="5" t="inlineStr">
        <is>
          <t>Master data and authorization</t>
        </is>
      </c>
      <c r="U418" s="8" t="inlineStr"/>
      <c r="V418" s="8" t="inlineStr">
        <is>
          <t>masters</t>
        </is>
      </c>
      <c r="W418" s="8" t="inlineStr">
        <is>
          <t>KERNEL</t>
        </is>
      </c>
      <c r="X418" s="5" t="inlineStr">
        <is>
          <t>Core</t>
        </is>
      </c>
      <c r="Y418" s="5" t="inlineStr">
        <is>
          <t>Cross-persona</t>
        </is>
      </c>
      <c r="Z418" s="5" t="inlineStr">
        <is>
          <t>Medium</t>
        </is>
      </c>
      <c r="AA418" s="5" t="inlineStr">
        <is>
          <t>Medium</t>
        </is>
      </c>
      <c r="AB418" s="8" t="inlineStr">
        <is>
          <t>Low</t>
        </is>
      </c>
      <c r="AC418" s="8" t="inlineStr">
        <is>
          <t>Later</t>
        </is>
      </c>
      <c r="AD418" s="5" t="inlineStr">
        <is>
          <t>Not independently checked</t>
        </is>
      </c>
      <c r="AE418" s="5" t="inlineStr">
        <is>
          <t>Not verified</t>
        </is>
      </c>
      <c r="AF418" s="5" t="inlineStr">
        <is>
          <t>Not verified</t>
        </is>
      </c>
      <c r="AG418" s="5" t="inlineStr">
        <is>
          <t>Not verified</t>
        </is>
      </c>
      <c r="AH418" s="5" t="inlineStr">
        <is>
          <t>Not verified</t>
        </is>
      </c>
      <c r="AI418" s="8" t="inlineStr">
        <is>
          <t>No</t>
        </is>
      </c>
      <c r="AJ418" s="8" t="inlineStr">
        <is>
          <t>Claimed - unverified</t>
        </is>
      </c>
      <c r="AK418" s="8" t="inlineStr">
        <is>
          <t>P1</t>
        </is>
      </c>
      <c r="AL418" s="8" t="n">
        <v>6</v>
      </c>
      <c r="AM418" s="5" t="inlineStr"/>
      <c r="AN418" s="5" t="inlineStr"/>
      <c r="AO418" s="5" t="inlineStr"/>
      <c r="AP418" s="5" t="inlineStr"/>
      <c r="AQ418" s="5" t="inlineStr"/>
      <c r="AR418" s="5" t="inlineStr"/>
      <c r="AS418" s="5" t="inlineStr"/>
      <c r="AT418" s="5" t="inlineStr"/>
      <c r="AU418" s="8" t="inlineStr">
        <is>
          <t>Not run</t>
        </is>
      </c>
    </row>
    <row r="419" ht="32" customHeight="1">
      <c r="A419" s="16" t="inlineStr">
        <is>
          <t>X-0418</t>
        </is>
      </c>
      <c r="B419" s="8" t="inlineStr">
        <is>
          <t>X</t>
        </is>
      </c>
      <c r="C419" s="5" t="inlineStr">
        <is>
          <t>Multiple / Cross-persona</t>
        </is>
      </c>
      <c r="D419" s="5" t="inlineStr">
        <is>
          <t>Master Data &amp; Authorization</t>
        </is>
      </c>
      <c r="E419" s="5" t="inlineStr">
        <is>
          <t>Price list → salesperson sees appropriate price</t>
        </is>
      </c>
      <c r="F419" s="5" t="inlineStr">
        <is>
          <t>Pricing Engine</t>
        </is>
      </c>
      <c r="G419" s="5" t="inlineStr">
        <is>
          <t>Salesperson / Counter Clerk</t>
        </is>
      </c>
      <c r="H419" s="5" t="inlineStr">
        <is>
          <t>Assigned price list (Retail, Wholesale, Distributor) dictates unit price on order line</t>
        </is>
      </c>
      <c r="I419" s="5" t="inlineStr">
        <is>
          <t>Applies customer's assigned PriceList; automatically sets approved tiered unit rate</t>
        </is>
      </c>
      <c r="J419" s="20" t="inlineStr">
        <is>
          <t>P1</t>
        </is>
      </c>
      <c r="K419" s="20" t="inlineStr">
        <is>
          <t>Validated (Supported)</t>
        </is>
      </c>
      <c r="L419" s="5" t="inlineStr">
        <is>
          <t>Supported via PriceList engine (/settings/price-lists/).</t>
        </is>
      </c>
      <c r="M419" s="8" t="inlineStr">
        <is>
          <t>Baseline</t>
        </is>
      </c>
      <c r="N419" s="8" t="inlineStr">
        <is>
          <t>Cross-persona</t>
        </is>
      </c>
      <c r="O419" s="8" t="inlineStr">
        <is>
          <t>P1</t>
        </is>
      </c>
      <c r="P419" s="5" t="inlineStr">
        <is>
          <t>Unchanged</t>
        </is>
      </c>
      <c r="Q419" s="21" t="inlineStr">
        <is>
          <t>Code symbol found</t>
        </is>
      </c>
      <c r="R419" s="5" t="inlineStr">
        <is>
          <t>Matched PriceList in product code. This is not a functional test.</t>
        </is>
      </c>
      <c r="S419" s="8" t="inlineStr">
        <is>
          <t>MASTER</t>
        </is>
      </c>
      <c r="T419" s="5" t="inlineStr">
        <is>
          <t>Master data and authorization</t>
        </is>
      </c>
      <c r="U419" s="8" t="inlineStr"/>
      <c r="V419" s="8" t="inlineStr">
        <is>
          <t>masters</t>
        </is>
      </c>
      <c r="W419" s="8" t="inlineStr">
        <is>
          <t>KERNEL</t>
        </is>
      </c>
      <c r="X419" s="5" t="inlineStr">
        <is>
          <t>Core</t>
        </is>
      </c>
      <c r="Y419" s="5" t="inlineStr">
        <is>
          <t>Cross-persona</t>
        </is>
      </c>
      <c r="Z419" s="5" t="inlineStr">
        <is>
          <t>Medium</t>
        </is>
      </c>
      <c r="AA419" s="5" t="inlineStr">
        <is>
          <t>Medium</t>
        </is>
      </c>
      <c r="AB419" s="8" t="inlineStr">
        <is>
          <t>Low</t>
        </is>
      </c>
      <c r="AC419" s="8" t="inlineStr">
        <is>
          <t>Later</t>
        </is>
      </c>
      <c r="AD419" s="5" t="inlineStr">
        <is>
          <t>Cited in code</t>
        </is>
      </c>
      <c r="AE419" s="5" t="inlineStr">
        <is>
          <t>Not verified</t>
        </is>
      </c>
      <c r="AF419" s="5" t="inlineStr">
        <is>
          <t>Not verified</t>
        </is>
      </c>
      <c r="AG419" s="5" t="inlineStr">
        <is>
          <t>Not verified</t>
        </is>
      </c>
      <c r="AH419" s="5" t="inlineStr">
        <is>
          <t>Not verified</t>
        </is>
      </c>
      <c r="AI419" s="8" t="inlineStr">
        <is>
          <t>No</t>
        </is>
      </c>
      <c r="AJ419" s="8" t="inlineStr">
        <is>
          <t>Built - unverified</t>
        </is>
      </c>
      <c r="AK419" s="8" t="inlineStr">
        <is>
          <t>P1</t>
        </is>
      </c>
      <c r="AL419" s="8" t="n">
        <v>6</v>
      </c>
      <c r="AM419" s="5" t="inlineStr"/>
      <c r="AN419" s="5" t="inlineStr"/>
      <c r="AO419" s="5" t="inlineStr"/>
      <c r="AP419" s="5" t="inlineStr"/>
      <c r="AQ419" s="5" t="inlineStr"/>
      <c r="AR419" s="5" t="inlineStr"/>
      <c r="AS419" s="5" t="inlineStr"/>
      <c r="AT419" s="5" t="inlineStr"/>
      <c r="AU419" s="8" t="inlineStr">
        <is>
          <t>Not run</t>
        </is>
      </c>
    </row>
    <row r="420" ht="32" customHeight="1">
      <c r="A420" s="16" t="inlineStr">
        <is>
          <t>X-0419</t>
        </is>
      </c>
      <c r="B420" s="8" t="inlineStr">
        <is>
          <t>X</t>
        </is>
      </c>
      <c r="C420" s="5" t="inlineStr">
        <is>
          <t>Multiple / Cross-persona</t>
        </is>
      </c>
      <c r="D420" s="5" t="inlineStr">
        <is>
          <t>Master Data &amp; Authorization</t>
        </is>
      </c>
      <c r="E420" s="5" t="inlineStr">
        <is>
          <t>Customer-specific pricing → correct price appears</t>
        </is>
      </c>
      <c r="F420" s="5" t="inlineStr">
        <is>
          <t>Pricing Engine</t>
        </is>
      </c>
      <c r="G420" s="5" t="inlineStr">
        <is>
          <t>Salesperson</t>
        </is>
      </c>
      <c r="H420" s="5" t="inlineStr">
        <is>
          <t>Special contracted rates for specific key customer automatically override standard list price</t>
        </is>
      </c>
      <c r="I420" s="5" t="inlineStr">
        <is>
          <t>Checks CustomerProductPrice contract table; applies negotiated rate if present</t>
        </is>
      </c>
      <c r="J420" s="20" t="inlineStr">
        <is>
          <t>P1</t>
        </is>
      </c>
      <c r="K420" s="20" t="inlineStr">
        <is>
          <t>Validated (Supported)</t>
        </is>
      </c>
      <c r="L420" s="5" t="inlineStr">
        <is>
          <t>Supported via customer-specific contracted price overrides.</t>
        </is>
      </c>
      <c r="M420" s="8" t="inlineStr">
        <is>
          <t>Baseline</t>
        </is>
      </c>
      <c r="N420" s="8" t="inlineStr">
        <is>
          <t>Cross-persona</t>
        </is>
      </c>
      <c r="O420" s="8" t="inlineStr">
        <is>
          <t>P1</t>
        </is>
      </c>
      <c r="P420" s="5" t="inlineStr">
        <is>
          <t>Unchanged</t>
        </is>
      </c>
      <c r="Q420" s="20" t="inlineStr">
        <is>
          <t>Author assertion</t>
        </is>
      </c>
      <c r="R420" s="5" t="inlineStr"/>
      <c r="S420" s="8" t="inlineStr">
        <is>
          <t>MASTER</t>
        </is>
      </c>
      <c r="T420" s="5" t="inlineStr">
        <is>
          <t>Master data and authorization</t>
        </is>
      </c>
      <c r="U420" s="8" t="inlineStr"/>
      <c r="V420" s="8" t="inlineStr">
        <is>
          <t>masters</t>
        </is>
      </c>
      <c r="W420" s="8" t="inlineStr">
        <is>
          <t>KERNEL</t>
        </is>
      </c>
      <c r="X420" s="5" t="inlineStr">
        <is>
          <t>Core</t>
        </is>
      </c>
      <c r="Y420" s="5" t="inlineStr">
        <is>
          <t>Cross-persona</t>
        </is>
      </c>
      <c r="Z420" s="5" t="inlineStr">
        <is>
          <t>Medium</t>
        </is>
      </c>
      <c r="AA420" s="5" t="inlineStr">
        <is>
          <t>Medium</t>
        </is>
      </c>
      <c r="AB420" s="8" t="inlineStr">
        <is>
          <t>Low</t>
        </is>
      </c>
      <c r="AC420" s="8" t="inlineStr">
        <is>
          <t>Later</t>
        </is>
      </c>
      <c r="AD420" s="5" t="inlineStr">
        <is>
          <t>Not independently checked</t>
        </is>
      </c>
      <c r="AE420" s="5" t="inlineStr">
        <is>
          <t>Not verified</t>
        </is>
      </c>
      <c r="AF420" s="5" t="inlineStr">
        <is>
          <t>Not verified</t>
        </is>
      </c>
      <c r="AG420" s="5" t="inlineStr">
        <is>
          <t>Not verified</t>
        </is>
      </c>
      <c r="AH420" s="5" t="inlineStr">
        <is>
          <t>Not verified</t>
        </is>
      </c>
      <c r="AI420" s="8" t="inlineStr">
        <is>
          <t>No</t>
        </is>
      </c>
      <c r="AJ420" s="8" t="inlineStr">
        <is>
          <t>Claimed - unverified</t>
        </is>
      </c>
      <c r="AK420" s="8" t="inlineStr">
        <is>
          <t>P1</t>
        </is>
      </c>
      <c r="AL420" s="8" t="n">
        <v>6</v>
      </c>
      <c r="AM420" s="5" t="inlineStr"/>
      <c r="AN420" s="5" t="inlineStr"/>
      <c r="AO420" s="5" t="inlineStr"/>
      <c r="AP420" s="5" t="inlineStr"/>
      <c r="AQ420" s="5" t="inlineStr"/>
      <c r="AR420" s="5" t="inlineStr"/>
      <c r="AS420" s="5" t="inlineStr"/>
      <c r="AT420" s="5" t="inlineStr"/>
      <c r="AU420" s="8" t="inlineStr">
        <is>
          <t>Not run</t>
        </is>
      </c>
    </row>
    <row r="421" ht="32" customHeight="1">
      <c r="A421" s="16" t="inlineStr">
        <is>
          <t>X-0420</t>
        </is>
      </c>
      <c r="B421" s="8" t="inlineStr">
        <is>
          <t>X</t>
        </is>
      </c>
      <c r="C421" s="5" t="inlineStr">
        <is>
          <t>Multiple / Cross-persona</t>
        </is>
      </c>
      <c r="D421" s="5" t="inlineStr">
        <is>
          <t>Master Data &amp; Authorization</t>
        </is>
      </c>
      <c r="E421" s="5" t="inlineStr">
        <is>
          <t>User role → permitted actions are enforced</t>
        </is>
      </c>
      <c r="F421" s="5" t="inlineStr">
        <is>
          <t>Security / Access Control</t>
        </is>
      </c>
      <c r="G421" s="5" t="inlineStr">
        <is>
          <t>All Users</t>
        </is>
      </c>
      <c r="H421" s="5" t="inlineStr">
        <is>
          <t>User role (Owner, Manager, Billing Clerk, Godown Staff, Accountant) strictly governs system access</t>
        </is>
      </c>
      <c r="I421" s="5" t="inlineStr">
        <is>
          <t>Enforces permission checks across UI buttons, navigation links, and REST API endpoints</t>
        </is>
      </c>
      <c r="J421" s="20" t="inlineStr">
        <is>
          <t>P1</t>
        </is>
      </c>
      <c r="K421" s="20" t="inlineStr">
        <is>
          <t>Validated (Supported)</t>
        </is>
      </c>
      <c r="L421" s="5" t="inlineStr">
        <is>
          <t>Core security invariant: RBAC enforced at Django view and DRF permission class levels.</t>
        </is>
      </c>
      <c r="M421" s="8" t="inlineStr">
        <is>
          <t>Baseline</t>
        </is>
      </c>
      <c r="N421" s="8" t="inlineStr">
        <is>
          <t>Cross-persona</t>
        </is>
      </c>
      <c r="O421" s="8" t="inlineStr">
        <is>
          <t>P1</t>
        </is>
      </c>
      <c r="P421" s="5" t="inlineStr">
        <is>
          <t>Unchanged</t>
        </is>
      </c>
      <c r="Q421" s="20" t="inlineStr">
        <is>
          <t>Author assertion</t>
        </is>
      </c>
      <c r="R421" s="5" t="inlineStr"/>
      <c r="S421" s="8" t="inlineStr">
        <is>
          <t>MASTER</t>
        </is>
      </c>
      <c r="T421" s="5" t="inlineStr">
        <is>
          <t>Master data and authorization</t>
        </is>
      </c>
      <c r="U421" s="8" t="inlineStr"/>
      <c r="V421" s="8" t="inlineStr">
        <is>
          <t>masters</t>
        </is>
      </c>
      <c r="W421" s="8" t="inlineStr">
        <is>
          <t>KERNEL</t>
        </is>
      </c>
      <c r="X421" s="5" t="inlineStr">
        <is>
          <t>Core</t>
        </is>
      </c>
      <c r="Y421" s="5" t="inlineStr">
        <is>
          <t>Cross-persona</t>
        </is>
      </c>
      <c r="Z421" s="5" t="inlineStr">
        <is>
          <t>Medium</t>
        </is>
      </c>
      <c r="AA421" s="5" t="inlineStr">
        <is>
          <t>Medium</t>
        </is>
      </c>
      <c r="AB421" s="8" t="inlineStr">
        <is>
          <t>Low</t>
        </is>
      </c>
      <c r="AC421" s="8" t="inlineStr">
        <is>
          <t>Later</t>
        </is>
      </c>
      <c r="AD421" s="5" t="inlineStr">
        <is>
          <t>Not independently checked</t>
        </is>
      </c>
      <c r="AE421" s="5" t="inlineStr">
        <is>
          <t>Not verified</t>
        </is>
      </c>
      <c r="AF421" s="5" t="inlineStr">
        <is>
          <t>Not verified</t>
        </is>
      </c>
      <c r="AG421" s="5" t="inlineStr">
        <is>
          <t>Not verified</t>
        </is>
      </c>
      <c r="AH421" s="5" t="inlineStr">
        <is>
          <t>Not verified</t>
        </is>
      </c>
      <c r="AI421" s="8" t="inlineStr">
        <is>
          <t>No</t>
        </is>
      </c>
      <c r="AJ421" s="8" t="inlineStr">
        <is>
          <t>Claimed - unverified</t>
        </is>
      </c>
      <c r="AK421" s="8" t="inlineStr">
        <is>
          <t>P1</t>
        </is>
      </c>
      <c r="AL421" s="8" t="n">
        <v>6</v>
      </c>
      <c r="AM421" s="5" t="inlineStr"/>
      <c r="AN421" s="5" t="inlineStr"/>
      <c r="AO421" s="5" t="inlineStr"/>
      <c r="AP421" s="5" t="inlineStr"/>
      <c r="AQ421" s="5" t="inlineStr"/>
      <c r="AR421" s="5" t="inlineStr"/>
      <c r="AS421" s="5" t="inlineStr"/>
      <c r="AT421" s="5" t="inlineStr"/>
      <c r="AU421" s="8" t="inlineStr">
        <is>
          <t>Not run</t>
        </is>
      </c>
    </row>
    <row r="422" ht="32" customHeight="1">
      <c r="A422" s="16" t="inlineStr">
        <is>
          <t>X-0421</t>
        </is>
      </c>
      <c r="B422" s="8" t="inlineStr">
        <is>
          <t>X</t>
        </is>
      </c>
      <c r="C422" s="5" t="inlineStr">
        <is>
          <t>Multiple / Cross-persona</t>
        </is>
      </c>
      <c r="D422" s="5" t="inlineStr">
        <is>
          <t>Master Data &amp; Authorization</t>
        </is>
      </c>
      <c r="E422" s="5" t="inlineStr">
        <is>
          <t>Location assignment → user sees authorized location data</t>
        </is>
      </c>
      <c r="F422" s="5" t="inlineStr">
        <is>
          <t>Security / Access Control</t>
        </is>
      </c>
      <c r="G422" s="5" t="inlineStr">
        <is>
          <t>Branch Staff</t>
        </is>
      </c>
      <c r="H422" s="5" t="inlineStr">
        <is>
          <t>Store employees restricted to viewing inventory, sales, and registers of assigned store</t>
        </is>
      </c>
      <c r="I422" s="5" t="inlineStr">
        <is>
          <t>Applies warehouse filter in database queries based on user's authorized warehouse list</t>
        </is>
      </c>
      <c r="J422" s="20" t="inlineStr">
        <is>
          <t>P1</t>
        </is>
      </c>
      <c r="K422" s="20" t="inlineStr">
        <is>
          <t>Validated (Supported)</t>
        </is>
      </c>
      <c r="L422" s="5" t="inlineStr">
        <is>
          <t>Core security invariant: multi-location data isolation enforced via company user scope.</t>
        </is>
      </c>
      <c r="M422" s="8" t="inlineStr">
        <is>
          <t>Baseline</t>
        </is>
      </c>
      <c r="N422" s="8" t="inlineStr">
        <is>
          <t>Cross-persona</t>
        </is>
      </c>
      <c r="O422" s="8" t="inlineStr">
        <is>
          <t>P1</t>
        </is>
      </c>
      <c r="P422" s="5" t="inlineStr">
        <is>
          <t>Unchanged</t>
        </is>
      </c>
      <c r="Q422" s="20" t="inlineStr">
        <is>
          <t>Author assertion</t>
        </is>
      </c>
      <c r="R422" s="5" t="inlineStr"/>
      <c r="S422" s="8" t="inlineStr">
        <is>
          <t>MASTER</t>
        </is>
      </c>
      <c r="T422" s="5" t="inlineStr">
        <is>
          <t>Master data and authorization</t>
        </is>
      </c>
      <c r="U422" s="8" t="inlineStr"/>
      <c r="V422" s="8" t="inlineStr">
        <is>
          <t>masters</t>
        </is>
      </c>
      <c r="W422" s="8" t="inlineStr">
        <is>
          <t>KERNEL</t>
        </is>
      </c>
      <c r="X422" s="5" t="inlineStr">
        <is>
          <t>Core</t>
        </is>
      </c>
      <c r="Y422" s="5" t="inlineStr">
        <is>
          <t>Cross-persona</t>
        </is>
      </c>
      <c r="Z422" s="5" t="inlineStr">
        <is>
          <t>Medium</t>
        </is>
      </c>
      <c r="AA422" s="5" t="inlineStr">
        <is>
          <t>Medium</t>
        </is>
      </c>
      <c r="AB422" s="8" t="inlineStr">
        <is>
          <t>Low</t>
        </is>
      </c>
      <c r="AC422" s="8" t="inlineStr">
        <is>
          <t>Later</t>
        </is>
      </c>
      <c r="AD422" s="5" t="inlineStr">
        <is>
          <t>Not independently checked</t>
        </is>
      </c>
      <c r="AE422" s="5" t="inlineStr">
        <is>
          <t>Not verified</t>
        </is>
      </c>
      <c r="AF422" s="5" t="inlineStr">
        <is>
          <t>Not verified</t>
        </is>
      </c>
      <c r="AG422" s="5" t="inlineStr">
        <is>
          <t>Not verified</t>
        </is>
      </c>
      <c r="AH422" s="5" t="inlineStr">
        <is>
          <t>Not verified</t>
        </is>
      </c>
      <c r="AI422" s="8" t="inlineStr">
        <is>
          <t>No</t>
        </is>
      </c>
      <c r="AJ422" s="8" t="inlineStr">
        <is>
          <t>Claimed - unverified</t>
        </is>
      </c>
      <c r="AK422" s="8" t="inlineStr">
        <is>
          <t>P1</t>
        </is>
      </c>
      <c r="AL422" s="8" t="n">
        <v>6</v>
      </c>
      <c r="AM422" s="5" t="inlineStr"/>
      <c r="AN422" s="5" t="inlineStr"/>
      <c r="AO422" s="5" t="inlineStr"/>
      <c r="AP422" s="5" t="inlineStr"/>
      <c r="AQ422" s="5" t="inlineStr"/>
      <c r="AR422" s="5" t="inlineStr"/>
      <c r="AS422" s="5" t="inlineStr"/>
      <c r="AT422" s="5" t="inlineStr"/>
      <c r="AU422" s="8" t="inlineStr">
        <is>
          <t>Not run</t>
        </is>
      </c>
    </row>
    <row r="423" ht="32" customHeight="1">
      <c r="A423" s="16" t="inlineStr">
        <is>
          <t>X-0422</t>
        </is>
      </c>
      <c r="B423" s="8" t="inlineStr">
        <is>
          <t>X</t>
        </is>
      </c>
      <c r="C423" s="5" t="inlineStr">
        <is>
          <t>Multiple / Cross-persona</t>
        </is>
      </c>
      <c r="D423" s="5" t="inlineStr">
        <is>
          <t>Security / Exception / Recovery</t>
        </is>
      </c>
      <c r="E423" s="5" t="inlineStr">
        <is>
          <t>Salesperson creates invoice → cannot modify restricted accounting fields</t>
        </is>
      </c>
      <c r="F423" s="5" t="inlineStr">
        <is>
          <t>Security / Access Control</t>
        </is>
      </c>
      <c r="G423" s="5" t="inlineStr">
        <is>
          <t>Billing Clerk</t>
        </is>
      </c>
      <c r="H423" s="5" t="inlineStr">
        <is>
          <t>Billing clerks prevented from altering ledger accounts, cost centers, or tax overrides</t>
        </is>
      </c>
      <c r="I423" s="5" t="inlineStr">
        <is>
          <t>Disables restricted accounting fields on billing UI; rejects tampered API requests</t>
        </is>
      </c>
      <c r="J423" s="20" t="inlineStr">
        <is>
          <t>P1</t>
        </is>
      </c>
      <c r="K423" s="20" t="inlineStr">
        <is>
          <t>Validated (Supported)</t>
        </is>
      </c>
      <c r="L423" s="5" t="inlineStr">
        <is>
          <t>Core security invariant: field-level permission checks block unauthorized field mutation.</t>
        </is>
      </c>
      <c r="M423" s="8" t="inlineStr">
        <is>
          <t>Baseline</t>
        </is>
      </c>
      <c r="N423" s="8" t="inlineStr">
        <is>
          <t>Cross-persona</t>
        </is>
      </c>
      <c r="O423" s="8" t="inlineStr">
        <is>
          <t>P1</t>
        </is>
      </c>
      <c r="P423" s="5" t="inlineStr">
        <is>
          <t>Unchanged</t>
        </is>
      </c>
      <c r="Q423" s="20" t="inlineStr">
        <is>
          <t>Author assertion</t>
        </is>
      </c>
      <c r="R423" s="5" t="inlineStr"/>
      <c r="S423" s="8" t="inlineStr">
        <is>
          <t>OTHER</t>
        </is>
      </c>
      <c r="T423" s="5" t="inlineStr">
        <is>
          <t>Security / Exception / Recovery</t>
        </is>
      </c>
      <c r="U423" s="8" t="inlineStr"/>
      <c r="V423" s="8" t="inlineStr"/>
      <c r="W423" s="8" t="inlineStr">
        <is>
          <t>CONTROL</t>
        </is>
      </c>
      <c r="X423" s="5" t="inlineStr">
        <is>
          <t>Core</t>
        </is>
      </c>
      <c r="Y423" s="5" t="inlineStr">
        <is>
          <t>Cross-persona</t>
        </is>
      </c>
      <c r="Z423" s="5" t="inlineStr">
        <is>
          <t>High</t>
        </is>
      </c>
      <c r="AA423" s="5" t="inlineStr">
        <is>
          <t>Medium</t>
        </is>
      </c>
      <c r="AB423" s="8" t="inlineStr">
        <is>
          <t>Medium</t>
        </is>
      </c>
      <c r="AC423" s="8" t="inlineStr">
        <is>
          <t>Pilot</t>
        </is>
      </c>
      <c r="AD423" s="5" t="inlineStr">
        <is>
          <t>Not independently checked</t>
        </is>
      </c>
      <c r="AE423" s="5" t="inlineStr">
        <is>
          <t>Not verified</t>
        </is>
      </c>
      <c r="AF423" s="5" t="inlineStr">
        <is>
          <t>Not verified</t>
        </is>
      </c>
      <c r="AG423" s="5" t="inlineStr">
        <is>
          <t>Not verified</t>
        </is>
      </c>
      <c r="AH423" s="5" t="inlineStr">
        <is>
          <t>Not verified</t>
        </is>
      </c>
      <c r="AI423" s="8" t="inlineStr">
        <is>
          <t>No</t>
        </is>
      </c>
      <c r="AJ423" s="8" t="inlineStr">
        <is>
          <t>Claimed - unverified</t>
        </is>
      </c>
      <c r="AK423" s="8" t="inlineStr">
        <is>
          <t>P1</t>
        </is>
      </c>
      <c r="AL423" s="8" t="n">
        <v>12</v>
      </c>
      <c r="AM423" s="5" t="inlineStr"/>
      <c r="AN423" s="5" t="inlineStr"/>
      <c r="AO423" s="5" t="inlineStr"/>
      <c r="AP423" s="5" t="inlineStr"/>
      <c r="AQ423" s="5" t="inlineStr"/>
      <c r="AR423" s="5" t="inlineStr"/>
      <c r="AS423" s="5" t="inlineStr"/>
      <c r="AT423" s="5" t="inlineStr"/>
      <c r="AU423" s="8" t="inlineStr">
        <is>
          <t>Not run</t>
        </is>
      </c>
    </row>
    <row r="424" ht="32" customHeight="1">
      <c r="A424" s="16" t="inlineStr">
        <is>
          <t>X-0423</t>
        </is>
      </c>
      <c r="B424" s="8" t="inlineStr">
        <is>
          <t>X</t>
        </is>
      </c>
      <c r="C424" s="5" t="inlineStr">
        <is>
          <t>Multiple / Cross-persona</t>
        </is>
      </c>
      <c r="D424" s="5" t="inlineStr">
        <is>
          <t>Security / Exception / Recovery</t>
        </is>
      </c>
      <c r="E424" s="5" t="inlineStr">
        <is>
          <t>Inventory user adjusts stock → authorization is enforced</t>
        </is>
      </c>
      <c r="F424" s="5" t="inlineStr">
        <is>
          <t>Security / Access Control</t>
        </is>
      </c>
      <c r="G424" s="5" t="inlineStr">
        <is>
          <t>Inventory Staff</t>
        </is>
      </c>
      <c r="H424" s="5" t="inlineStr">
        <is>
          <t>Warehouse staff cannot execute inventory write-offs without manager approval</t>
        </is>
      </c>
      <c r="I424" s="5" t="inlineStr">
        <is>
          <t>Requires manager sign-off token before executing manual stock adjustment</t>
        </is>
      </c>
      <c r="J424" s="20" t="inlineStr">
        <is>
          <t>P1</t>
        </is>
      </c>
      <c r="K424" s="20" t="inlineStr">
        <is>
          <t>Validated (Supported)</t>
        </is>
      </c>
      <c r="L424" s="5" t="inlineStr">
        <is>
          <t>Supported via dual-authorization requirement for StockAdjustment.</t>
        </is>
      </c>
      <c r="M424" s="8" t="inlineStr">
        <is>
          <t>Baseline</t>
        </is>
      </c>
      <c r="N424" s="8" t="inlineStr">
        <is>
          <t>Cross-persona</t>
        </is>
      </c>
      <c r="O424" s="8" t="inlineStr">
        <is>
          <t>P1</t>
        </is>
      </c>
      <c r="P424" s="5" t="inlineStr">
        <is>
          <t>Unchanged</t>
        </is>
      </c>
      <c r="Q424" s="21" t="inlineStr">
        <is>
          <t>Code symbol found</t>
        </is>
      </c>
      <c r="R424" s="5" t="inlineStr">
        <is>
          <t>Matched StockAdjustment in product code. This is not a functional test.</t>
        </is>
      </c>
      <c r="S424" s="8" t="inlineStr">
        <is>
          <t>OTHER</t>
        </is>
      </c>
      <c r="T424" s="5" t="inlineStr">
        <is>
          <t>Security / Exception / Recovery</t>
        </is>
      </c>
      <c r="U424" s="8" t="inlineStr"/>
      <c r="V424" s="8" t="inlineStr"/>
      <c r="W424" s="8" t="inlineStr">
        <is>
          <t>CONTROL</t>
        </is>
      </c>
      <c r="X424" s="5" t="inlineStr">
        <is>
          <t>Core</t>
        </is>
      </c>
      <c r="Y424" s="5" t="inlineStr">
        <is>
          <t>Cross-persona</t>
        </is>
      </c>
      <c r="Z424" s="5" t="inlineStr">
        <is>
          <t>High</t>
        </is>
      </c>
      <c r="AA424" s="5" t="inlineStr">
        <is>
          <t>Medium</t>
        </is>
      </c>
      <c r="AB424" s="8" t="inlineStr">
        <is>
          <t>Medium</t>
        </is>
      </c>
      <c r="AC424" s="8" t="inlineStr">
        <is>
          <t>Pilot</t>
        </is>
      </c>
      <c r="AD424" s="5" t="inlineStr">
        <is>
          <t>Cited in code</t>
        </is>
      </c>
      <c r="AE424" s="5" t="inlineStr">
        <is>
          <t>Not verified</t>
        </is>
      </c>
      <c r="AF424" s="5" t="inlineStr">
        <is>
          <t>Not verified</t>
        </is>
      </c>
      <c r="AG424" s="5" t="inlineStr">
        <is>
          <t>Not verified</t>
        </is>
      </c>
      <c r="AH424" s="5" t="inlineStr">
        <is>
          <t>Not verified</t>
        </is>
      </c>
      <c r="AI424" s="8" t="inlineStr">
        <is>
          <t>No</t>
        </is>
      </c>
      <c r="AJ424" s="8" t="inlineStr">
        <is>
          <t>Built - unverified</t>
        </is>
      </c>
      <c r="AK424" s="8" t="inlineStr">
        <is>
          <t>P1</t>
        </is>
      </c>
      <c r="AL424" s="8" t="n">
        <v>12</v>
      </c>
      <c r="AM424" s="5" t="inlineStr"/>
      <c r="AN424" s="5" t="inlineStr"/>
      <c r="AO424" s="5" t="inlineStr"/>
      <c r="AP424" s="5" t="inlineStr"/>
      <c r="AQ424" s="5" t="inlineStr"/>
      <c r="AR424" s="5" t="inlineStr"/>
      <c r="AS424" s="5" t="inlineStr"/>
      <c r="AT424" s="5" t="inlineStr"/>
      <c r="AU424" s="8" t="inlineStr">
        <is>
          <t>Not run</t>
        </is>
      </c>
    </row>
    <row r="425" ht="32" customHeight="1">
      <c r="A425" s="16" t="inlineStr">
        <is>
          <t>X-0424</t>
        </is>
      </c>
      <c r="B425" s="8" t="inlineStr">
        <is>
          <t>X</t>
        </is>
      </c>
      <c r="C425" s="5" t="inlineStr">
        <is>
          <t>Multiple / Cross-persona</t>
        </is>
      </c>
      <c r="D425" s="5" t="inlineStr">
        <is>
          <t>Security / Exception / Recovery</t>
        </is>
      </c>
      <c r="E425" s="5" t="inlineStr">
        <is>
          <t>Accountant modifies GST data → audit trail is created</t>
        </is>
      </c>
      <c r="F425" s="5" t="inlineStr">
        <is>
          <t>Security / Access Control</t>
        </is>
      </c>
      <c r="G425" s="5" t="inlineStr">
        <is>
          <t>In-house Accountant / Auditor</t>
        </is>
      </c>
      <c r="H425" s="5" t="inlineStr">
        <is>
          <t>Any manual override of tax data automatically logs user ID, old value, new value, and reason</t>
        </is>
      </c>
      <c r="I425" s="5" t="inlineStr">
        <is>
          <t>Creates immutable audit log row; satisfies statutory MCA audit trail requirements</t>
        </is>
      </c>
      <c r="J425" s="20" t="inlineStr">
        <is>
          <t>P1</t>
        </is>
      </c>
      <c r="K425" s="20" t="inlineStr">
        <is>
          <t>Validated (Supported)</t>
        </is>
      </c>
      <c r="L425" s="5" t="inlineStr">
        <is>
          <t>Core compliance invariant: all tax data adjustments logged permanently in ActivityLog.</t>
        </is>
      </c>
      <c r="M425" s="8" t="inlineStr">
        <is>
          <t>Baseline</t>
        </is>
      </c>
      <c r="N425" s="8" t="inlineStr">
        <is>
          <t>Cross-persona</t>
        </is>
      </c>
      <c r="O425" s="8" t="inlineStr">
        <is>
          <t>P1</t>
        </is>
      </c>
      <c r="P425" s="5" t="inlineStr">
        <is>
          <t>Unchanged</t>
        </is>
      </c>
      <c r="Q425" s="20" t="inlineStr">
        <is>
          <t>Author assertion</t>
        </is>
      </c>
      <c r="R425" s="5" t="inlineStr"/>
      <c r="S425" s="8" t="inlineStr">
        <is>
          <t>OTHER</t>
        </is>
      </c>
      <c r="T425" s="5" t="inlineStr">
        <is>
          <t>Security / Exception / Recovery</t>
        </is>
      </c>
      <c r="U425" s="8" t="inlineStr"/>
      <c r="V425" s="8" t="inlineStr"/>
      <c r="W425" s="8" t="inlineStr">
        <is>
          <t>CONTROL</t>
        </is>
      </c>
      <c r="X425" s="5" t="inlineStr">
        <is>
          <t>Core</t>
        </is>
      </c>
      <c r="Y425" s="5" t="inlineStr">
        <is>
          <t>Cross-persona</t>
        </is>
      </c>
      <c r="Z425" s="5" t="inlineStr">
        <is>
          <t>High</t>
        </is>
      </c>
      <c r="AA425" s="5" t="inlineStr">
        <is>
          <t>Medium</t>
        </is>
      </c>
      <c r="AB425" s="8" t="inlineStr">
        <is>
          <t>Medium</t>
        </is>
      </c>
      <c r="AC425" s="8" t="inlineStr">
        <is>
          <t>Pilot</t>
        </is>
      </c>
      <c r="AD425" s="5" t="inlineStr">
        <is>
          <t>Not independently checked</t>
        </is>
      </c>
      <c r="AE425" s="5" t="inlineStr">
        <is>
          <t>Not verified</t>
        </is>
      </c>
      <c r="AF425" s="5" t="inlineStr">
        <is>
          <t>Not verified</t>
        </is>
      </c>
      <c r="AG425" s="5" t="inlineStr">
        <is>
          <t>Not verified</t>
        </is>
      </c>
      <c r="AH425" s="5" t="inlineStr">
        <is>
          <t>Not verified</t>
        </is>
      </c>
      <c r="AI425" s="8" t="inlineStr">
        <is>
          <t>No</t>
        </is>
      </c>
      <c r="AJ425" s="8" t="inlineStr">
        <is>
          <t>Claimed - unverified</t>
        </is>
      </c>
      <c r="AK425" s="8" t="inlineStr">
        <is>
          <t>P1</t>
        </is>
      </c>
      <c r="AL425" s="8" t="n">
        <v>12</v>
      </c>
      <c r="AM425" s="5" t="inlineStr"/>
      <c r="AN425" s="5" t="inlineStr"/>
      <c r="AO425" s="5" t="inlineStr"/>
      <c r="AP425" s="5" t="inlineStr"/>
      <c r="AQ425" s="5" t="inlineStr"/>
      <c r="AR425" s="5" t="inlineStr"/>
      <c r="AS425" s="5" t="inlineStr"/>
      <c r="AT425" s="5" t="inlineStr"/>
      <c r="AU425" s="8" t="inlineStr">
        <is>
          <t>Not run</t>
        </is>
      </c>
    </row>
    <row r="426" ht="32" customHeight="1">
      <c r="A426" s="16" t="inlineStr">
        <is>
          <t>X-0425</t>
        </is>
      </c>
      <c r="B426" s="8" t="inlineStr">
        <is>
          <t>X</t>
        </is>
      </c>
      <c r="C426" s="5" t="inlineStr">
        <is>
          <t>Multiple / Cross-persona</t>
        </is>
      </c>
      <c r="D426" s="5" t="inlineStr">
        <is>
          <t>Security / Exception / Recovery</t>
        </is>
      </c>
      <c r="E426" s="5" t="inlineStr">
        <is>
          <t>Manager approves adjustment → approval identity is recorded</t>
        </is>
      </c>
      <c r="F426" s="5" t="inlineStr">
        <is>
          <t>Security / Access Control</t>
        </is>
      </c>
      <c r="G426" s="5" t="inlineStr">
        <is>
          <t>Manager / Auditor</t>
        </is>
      </c>
      <c r="H426" s="5" t="inlineStr">
        <is>
          <t>Digital identity of approving manager permanently stamped onto approved adjustment voucher</t>
        </is>
      </c>
      <c r="I426" s="5" t="inlineStr">
        <is>
          <t>Records approved_by_user_id and approval_timestamp on the adjustment document</t>
        </is>
      </c>
      <c r="J426" s="20" t="inlineStr">
        <is>
          <t>P1</t>
        </is>
      </c>
      <c r="K426" s="20" t="inlineStr">
        <is>
          <t>Validated (Supported)</t>
        </is>
      </c>
      <c r="L426" s="5" t="inlineStr">
        <is>
          <t>Supported via approval signature stamping on all approved exception documents.</t>
        </is>
      </c>
      <c r="M426" s="8" t="inlineStr">
        <is>
          <t>Baseline</t>
        </is>
      </c>
      <c r="N426" s="8" t="inlineStr">
        <is>
          <t>Cross-persona</t>
        </is>
      </c>
      <c r="O426" s="8" t="inlineStr">
        <is>
          <t>P1</t>
        </is>
      </c>
      <c r="P426" s="5" t="inlineStr">
        <is>
          <t>Unchanged</t>
        </is>
      </c>
      <c r="Q426" s="20" t="inlineStr">
        <is>
          <t>Author assertion</t>
        </is>
      </c>
      <c r="R426" s="5" t="inlineStr"/>
      <c r="S426" s="8" t="inlineStr">
        <is>
          <t>OTHER</t>
        </is>
      </c>
      <c r="T426" s="5" t="inlineStr">
        <is>
          <t>Security / Exception / Recovery</t>
        </is>
      </c>
      <c r="U426" s="8" t="inlineStr"/>
      <c r="V426" s="8" t="inlineStr"/>
      <c r="W426" s="8" t="inlineStr">
        <is>
          <t>CONTROL</t>
        </is>
      </c>
      <c r="X426" s="5" t="inlineStr">
        <is>
          <t>Core</t>
        </is>
      </c>
      <c r="Y426" s="5" t="inlineStr">
        <is>
          <t>Cross-persona</t>
        </is>
      </c>
      <c r="Z426" s="5" t="inlineStr">
        <is>
          <t>High</t>
        </is>
      </c>
      <c r="AA426" s="5" t="inlineStr">
        <is>
          <t>Medium</t>
        </is>
      </c>
      <c r="AB426" s="8" t="inlineStr">
        <is>
          <t>Medium</t>
        </is>
      </c>
      <c r="AC426" s="8" t="inlineStr">
        <is>
          <t>Pilot</t>
        </is>
      </c>
      <c r="AD426" s="5" t="inlineStr">
        <is>
          <t>Not independently checked</t>
        </is>
      </c>
      <c r="AE426" s="5" t="inlineStr">
        <is>
          <t>Not verified</t>
        </is>
      </c>
      <c r="AF426" s="5" t="inlineStr">
        <is>
          <t>Not verified</t>
        </is>
      </c>
      <c r="AG426" s="5" t="inlineStr">
        <is>
          <t>Not verified</t>
        </is>
      </c>
      <c r="AH426" s="5" t="inlineStr">
        <is>
          <t>Not verified</t>
        </is>
      </c>
      <c r="AI426" s="8" t="inlineStr">
        <is>
          <t>No</t>
        </is>
      </c>
      <c r="AJ426" s="8" t="inlineStr">
        <is>
          <t>Claimed - unverified</t>
        </is>
      </c>
      <c r="AK426" s="8" t="inlineStr">
        <is>
          <t>P1</t>
        </is>
      </c>
      <c r="AL426" s="8" t="n">
        <v>12</v>
      </c>
      <c r="AM426" s="5" t="inlineStr"/>
      <c r="AN426" s="5" t="inlineStr"/>
      <c r="AO426" s="5" t="inlineStr"/>
      <c r="AP426" s="5" t="inlineStr"/>
      <c r="AQ426" s="5" t="inlineStr"/>
      <c r="AR426" s="5" t="inlineStr"/>
      <c r="AS426" s="5" t="inlineStr"/>
      <c r="AT426" s="5" t="inlineStr"/>
      <c r="AU426" s="8" t="inlineStr">
        <is>
          <t>Not run</t>
        </is>
      </c>
    </row>
    <row r="427" ht="32" customHeight="1">
      <c r="A427" s="16" t="inlineStr">
        <is>
          <t>X-0426</t>
        </is>
      </c>
      <c r="B427" s="8" t="inlineStr">
        <is>
          <t>X</t>
        </is>
      </c>
      <c r="C427" s="5" t="inlineStr">
        <is>
          <t>Multiple / Cross-persona</t>
        </is>
      </c>
      <c r="D427" s="5" t="inlineStr">
        <is>
          <t>Security / Exception / Recovery</t>
        </is>
      </c>
      <c r="E427" s="5" t="inlineStr">
        <is>
          <t>User attempts unauthorized transaction → action is blocked</t>
        </is>
      </c>
      <c r="F427" s="5" t="inlineStr">
        <is>
          <t>Security / Access Control</t>
        </is>
      </c>
      <c r="G427" s="5" t="inlineStr">
        <is>
          <t>Unauthorized User</t>
        </is>
      </c>
      <c r="H427" s="5" t="inlineStr">
        <is>
          <t>System immediately rejects unauthorized action with HTTP 403 Forbidden error message</t>
        </is>
      </c>
      <c r="I427" s="5" t="inlineStr">
        <is>
          <t>Blocks request; logs security violation attempt in system security audit log</t>
        </is>
      </c>
      <c r="J427" s="20" t="inlineStr">
        <is>
          <t>P1</t>
        </is>
      </c>
      <c r="K427" s="20" t="inlineStr">
        <is>
          <t>Validated (Supported)</t>
        </is>
      </c>
      <c r="L427" s="5" t="inlineStr">
        <is>
          <t>Core security invariant: strict RBAC enforcement across all API endpoints.</t>
        </is>
      </c>
      <c r="M427" s="8" t="inlineStr">
        <is>
          <t>Baseline</t>
        </is>
      </c>
      <c r="N427" s="8" t="inlineStr">
        <is>
          <t>Cross-persona</t>
        </is>
      </c>
      <c r="O427" s="8" t="inlineStr">
        <is>
          <t>P1</t>
        </is>
      </c>
      <c r="P427" s="5" t="inlineStr">
        <is>
          <t>Unchanged</t>
        </is>
      </c>
      <c r="Q427" s="20" t="inlineStr">
        <is>
          <t>Author assertion</t>
        </is>
      </c>
      <c r="R427" s="5" t="inlineStr"/>
      <c r="S427" s="8" t="inlineStr">
        <is>
          <t>OTHER</t>
        </is>
      </c>
      <c r="T427" s="5" t="inlineStr">
        <is>
          <t>Security / Exception / Recovery</t>
        </is>
      </c>
      <c r="U427" s="8" t="inlineStr"/>
      <c r="V427" s="8" t="inlineStr"/>
      <c r="W427" s="8" t="inlineStr">
        <is>
          <t>CONTROL</t>
        </is>
      </c>
      <c r="X427" s="5" t="inlineStr">
        <is>
          <t>Core</t>
        </is>
      </c>
      <c r="Y427" s="5" t="inlineStr">
        <is>
          <t>Cross-persona</t>
        </is>
      </c>
      <c r="Z427" s="5" t="inlineStr">
        <is>
          <t>High</t>
        </is>
      </c>
      <c r="AA427" s="5" t="inlineStr">
        <is>
          <t>Medium</t>
        </is>
      </c>
      <c r="AB427" s="8" t="inlineStr">
        <is>
          <t>Medium</t>
        </is>
      </c>
      <c r="AC427" s="8" t="inlineStr">
        <is>
          <t>Pilot</t>
        </is>
      </c>
      <c r="AD427" s="5" t="inlineStr">
        <is>
          <t>Not independently checked</t>
        </is>
      </c>
      <c r="AE427" s="5" t="inlineStr">
        <is>
          <t>Not verified</t>
        </is>
      </c>
      <c r="AF427" s="5" t="inlineStr">
        <is>
          <t>Not verified</t>
        </is>
      </c>
      <c r="AG427" s="5" t="inlineStr">
        <is>
          <t>Not verified</t>
        </is>
      </c>
      <c r="AH427" s="5" t="inlineStr">
        <is>
          <t>Not verified</t>
        </is>
      </c>
      <c r="AI427" s="8" t="inlineStr">
        <is>
          <t>No</t>
        </is>
      </c>
      <c r="AJ427" s="8" t="inlineStr">
        <is>
          <t>Claimed - unverified</t>
        </is>
      </c>
      <c r="AK427" s="8" t="inlineStr">
        <is>
          <t>P1</t>
        </is>
      </c>
      <c r="AL427" s="8" t="n">
        <v>12</v>
      </c>
      <c r="AM427" s="5" t="inlineStr"/>
      <c r="AN427" s="5" t="inlineStr"/>
      <c r="AO427" s="5" t="inlineStr"/>
      <c r="AP427" s="5" t="inlineStr"/>
      <c r="AQ427" s="5" t="inlineStr"/>
      <c r="AR427" s="5" t="inlineStr"/>
      <c r="AS427" s="5" t="inlineStr"/>
      <c r="AT427" s="5" t="inlineStr"/>
      <c r="AU427" s="8" t="inlineStr">
        <is>
          <t>Not run</t>
        </is>
      </c>
    </row>
    <row r="428" ht="32" customHeight="1">
      <c r="A428" s="16" t="inlineStr">
        <is>
          <t>X-0427</t>
        </is>
      </c>
      <c r="B428" s="8" t="inlineStr">
        <is>
          <t>X</t>
        </is>
      </c>
      <c r="C428" s="5" t="inlineStr">
        <is>
          <t>Multiple / Cross-persona</t>
        </is>
      </c>
      <c r="D428" s="5" t="inlineStr">
        <is>
          <t>Security / Exception / Recovery</t>
        </is>
      </c>
      <c r="E428" s="5" t="inlineStr">
        <is>
          <t>User changes role → permissions immediately reflect policy</t>
        </is>
      </c>
      <c r="F428" s="5" t="inlineStr">
        <is>
          <t>Security / Access Control</t>
        </is>
      </c>
      <c r="G428" s="5" t="inlineStr">
        <is>
          <t>System Administrator</t>
        </is>
      </c>
      <c r="H428" s="5" t="inlineStr">
        <is>
          <t>Role updates take effect immediately on next request without requiring system restart</t>
        </is>
      </c>
      <c r="I428" s="5" t="inlineStr">
        <is>
          <t>Updates CompanyUser.role; invalidates cached session permissions immediately</t>
        </is>
      </c>
      <c r="J428" s="20" t="inlineStr">
        <is>
          <t>P1</t>
        </is>
      </c>
      <c r="K428" s="20" t="inlineStr">
        <is>
          <t>Validated (Supported)</t>
        </is>
      </c>
      <c r="L428" s="5" t="inlineStr">
        <is>
          <t>Core security invariant: dynamic role evaluation on every authenticated request.</t>
        </is>
      </c>
      <c r="M428" s="8" t="inlineStr">
        <is>
          <t>Baseline</t>
        </is>
      </c>
      <c r="N428" s="8" t="inlineStr">
        <is>
          <t>Cross-persona</t>
        </is>
      </c>
      <c r="O428" s="8" t="inlineStr">
        <is>
          <t>P1</t>
        </is>
      </c>
      <c r="P428" s="5" t="inlineStr">
        <is>
          <t>Unchanged</t>
        </is>
      </c>
      <c r="Q428" s="20" t="inlineStr">
        <is>
          <t>Author assertion</t>
        </is>
      </c>
      <c r="R428" s="5" t="inlineStr"/>
      <c r="S428" s="8" t="inlineStr">
        <is>
          <t>OTHER</t>
        </is>
      </c>
      <c r="T428" s="5" t="inlineStr">
        <is>
          <t>Security / Exception / Recovery</t>
        </is>
      </c>
      <c r="U428" s="8" t="inlineStr"/>
      <c r="V428" s="8" t="inlineStr"/>
      <c r="W428" s="8" t="inlineStr">
        <is>
          <t>CONTROL</t>
        </is>
      </c>
      <c r="X428" s="5" t="inlineStr">
        <is>
          <t>Core</t>
        </is>
      </c>
      <c r="Y428" s="5" t="inlineStr">
        <is>
          <t>Cross-persona</t>
        </is>
      </c>
      <c r="Z428" s="5" t="inlineStr">
        <is>
          <t>High</t>
        </is>
      </c>
      <c r="AA428" s="5" t="inlineStr">
        <is>
          <t>Medium</t>
        </is>
      </c>
      <c r="AB428" s="8" t="inlineStr">
        <is>
          <t>Medium</t>
        </is>
      </c>
      <c r="AC428" s="8" t="inlineStr">
        <is>
          <t>Pilot</t>
        </is>
      </c>
      <c r="AD428" s="5" t="inlineStr">
        <is>
          <t>Not independently checked</t>
        </is>
      </c>
      <c r="AE428" s="5" t="inlineStr">
        <is>
          <t>Not verified</t>
        </is>
      </c>
      <c r="AF428" s="5" t="inlineStr">
        <is>
          <t>Not verified</t>
        </is>
      </c>
      <c r="AG428" s="5" t="inlineStr">
        <is>
          <t>Not verified</t>
        </is>
      </c>
      <c r="AH428" s="5" t="inlineStr">
        <is>
          <t>Not verified</t>
        </is>
      </c>
      <c r="AI428" s="8" t="inlineStr">
        <is>
          <t>No</t>
        </is>
      </c>
      <c r="AJ428" s="8" t="inlineStr">
        <is>
          <t>Claimed - unverified</t>
        </is>
      </c>
      <c r="AK428" s="8" t="inlineStr">
        <is>
          <t>P1</t>
        </is>
      </c>
      <c r="AL428" s="8" t="n">
        <v>12</v>
      </c>
      <c r="AM428" s="5" t="inlineStr"/>
      <c r="AN428" s="5" t="inlineStr"/>
      <c r="AO428" s="5" t="inlineStr"/>
      <c r="AP428" s="5" t="inlineStr"/>
      <c r="AQ428" s="5" t="inlineStr"/>
      <c r="AR428" s="5" t="inlineStr"/>
      <c r="AS428" s="5" t="inlineStr"/>
      <c r="AT428" s="5" t="inlineStr"/>
      <c r="AU428" s="8" t="inlineStr">
        <is>
          <t>Not run</t>
        </is>
      </c>
    </row>
    <row r="429" ht="32" customHeight="1">
      <c r="A429" s="16" t="inlineStr">
        <is>
          <t>X-0428</t>
        </is>
      </c>
      <c r="B429" s="8" t="inlineStr">
        <is>
          <t>X</t>
        </is>
      </c>
      <c r="C429" s="5" t="inlineStr">
        <is>
          <t>Multiple / Cross-persona</t>
        </is>
      </c>
      <c r="D429" s="5" t="inlineStr">
        <is>
          <t>Security / Exception / Recovery</t>
        </is>
      </c>
      <c r="E429" s="5" t="inlineStr">
        <is>
          <t>User changes location → access follows assigned location</t>
        </is>
      </c>
      <c r="F429" s="5" t="inlineStr">
        <is>
          <t>Security / Access Control</t>
        </is>
      </c>
      <c r="G429" s="5" t="inlineStr">
        <is>
          <t>Store Staff</t>
        </is>
      </c>
      <c r="H429" s="5" t="inlineStr">
        <is>
          <t>Transferring an employee to another store updates their inventory and sales visibility</t>
        </is>
      </c>
      <c r="I429" s="5" t="inlineStr">
        <is>
          <t>Updates assigned_warehouses mapping; shifts user scope to new location immediately</t>
        </is>
      </c>
      <c r="J429" s="20" t="inlineStr">
        <is>
          <t>P1</t>
        </is>
      </c>
      <c r="K429" s="20" t="inlineStr">
        <is>
          <t>Validated (Supported)</t>
        </is>
      </c>
      <c r="L429" s="5" t="inlineStr">
        <is>
          <t>Supported via User Location Assignment management.</t>
        </is>
      </c>
      <c r="M429" s="8" t="inlineStr">
        <is>
          <t>Baseline</t>
        </is>
      </c>
      <c r="N429" s="8" t="inlineStr">
        <is>
          <t>Cross-persona</t>
        </is>
      </c>
      <c r="O429" s="8" t="inlineStr">
        <is>
          <t>P1</t>
        </is>
      </c>
      <c r="P429" s="5" t="inlineStr">
        <is>
          <t>Unchanged</t>
        </is>
      </c>
      <c r="Q429" s="20" t="inlineStr">
        <is>
          <t>Author assertion</t>
        </is>
      </c>
      <c r="R429" s="5" t="inlineStr"/>
      <c r="S429" s="8" t="inlineStr">
        <is>
          <t>OTHER</t>
        </is>
      </c>
      <c r="T429" s="5" t="inlineStr">
        <is>
          <t>Security / Exception / Recovery</t>
        </is>
      </c>
      <c r="U429" s="8" t="inlineStr"/>
      <c r="V429" s="8" t="inlineStr"/>
      <c r="W429" s="8" t="inlineStr">
        <is>
          <t>CONTROL</t>
        </is>
      </c>
      <c r="X429" s="5" t="inlineStr">
        <is>
          <t>Core</t>
        </is>
      </c>
      <c r="Y429" s="5" t="inlineStr">
        <is>
          <t>Cross-persona</t>
        </is>
      </c>
      <c r="Z429" s="5" t="inlineStr">
        <is>
          <t>High</t>
        </is>
      </c>
      <c r="AA429" s="5" t="inlineStr">
        <is>
          <t>Medium</t>
        </is>
      </c>
      <c r="AB429" s="8" t="inlineStr">
        <is>
          <t>Medium</t>
        </is>
      </c>
      <c r="AC429" s="8" t="inlineStr">
        <is>
          <t>Pilot</t>
        </is>
      </c>
      <c r="AD429" s="5" t="inlineStr">
        <is>
          <t>Not independently checked</t>
        </is>
      </c>
      <c r="AE429" s="5" t="inlineStr">
        <is>
          <t>Not verified</t>
        </is>
      </c>
      <c r="AF429" s="5" t="inlineStr">
        <is>
          <t>Not verified</t>
        </is>
      </c>
      <c r="AG429" s="5" t="inlineStr">
        <is>
          <t>Not verified</t>
        </is>
      </c>
      <c r="AH429" s="5" t="inlineStr">
        <is>
          <t>Not verified</t>
        </is>
      </c>
      <c r="AI429" s="8" t="inlineStr">
        <is>
          <t>No</t>
        </is>
      </c>
      <c r="AJ429" s="8" t="inlineStr">
        <is>
          <t>Claimed - unverified</t>
        </is>
      </c>
      <c r="AK429" s="8" t="inlineStr">
        <is>
          <t>P1</t>
        </is>
      </c>
      <c r="AL429" s="8" t="n">
        <v>12</v>
      </c>
      <c r="AM429" s="5" t="inlineStr"/>
      <c r="AN429" s="5" t="inlineStr"/>
      <c r="AO429" s="5" t="inlineStr"/>
      <c r="AP429" s="5" t="inlineStr"/>
      <c r="AQ429" s="5" t="inlineStr"/>
      <c r="AR429" s="5" t="inlineStr"/>
      <c r="AS429" s="5" t="inlineStr"/>
      <c r="AT429" s="5" t="inlineStr"/>
      <c r="AU429" s="8" t="inlineStr">
        <is>
          <t>Not run</t>
        </is>
      </c>
    </row>
    <row r="430" ht="32" customHeight="1">
      <c r="A430" s="16" t="inlineStr">
        <is>
          <t>X-0429</t>
        </is>
      </c>
      <c r="B430" s="8" t="inlineStr">
        <is>
          <t>X</t>
        </is>
      </c>
      <c r="C430" s="5" t="inlineStr">
        <is>
          <t>Multiple / Cross-persona</t>
        </is>
      </c>
      <c r="D430" s="5" t="inlineStr">
        <is>
          <t>Security / Exception / Recovery</t>
        </is>
      </c>
      <c r="E430" s="5" t="inlineStr">
        <is>
          <t>Deactivated user → historical transactions remain intact</t>
        </is>
      </c>
      <c r="F430" s="5" t="inlineStr">
        <is>
          <t>Security / Access Control</t>
        </is>
      </c>
      <c r="G430" s="5" t="inlineStr">
        <is>
          <t>System Administrator</t>
        </is>
      </c>
      <c r="H430" s="5" t="inlineStr">
        <is>
          <t>Deactivating an ex-employee blocks login but preserves all historical vouchers signed by them</t>
        </is>
      </c>
      <c r="I430" s="5" t="inlineStr">
        <is>
          <t>Sets is_active=False; preserves foreign key references on all historical transactions</t>
        </is>
      </c>
      <c r="J430" s="20" t="inlineStr">
        <is>
          <t>P1</t>
        </is>
      </c>
      <c r="K430" s="20" t="inlineStr">
        <is>
          <t>Validated (Supported)</t>
        </is>
      </c>
      <c r="L430" s="5" t="inlineStr">
        <is>
          <t>Core data invariant: user deactivation preserves referential integrity; hard deletes blocked.</t>
        </is>
      </c>
      <c r="M430" s="8" t="inlineStr">
        <is>
          <t>Baseline</t>
        </is>
      </c>
      <c r="N430" s="8" t="inlineStr">
        <is>
          <t>Cross-persona</t>
        </is>
      </c>
      <c r="O430" s="8" t="inlineStr">
        <is>
          <t>P1</t>
        </is>
      </c>
      <c r="P430" s="5" t="inlineStr">
        <is>
          <t>Unchanged</t>
        </is>
      </c>
      <c r="Q430" s="20" t="inlineStr">
        <is>
          <t>Author assertion</t>
        </is>
      </c>
      <c r="R430" s="5" t="inlineStr"/>
      <c r="S430" s="8" t="inlineStr">
        <is>
          <t>OTHER</t>
        </is>
      </c>
      <c r="T430" s="5" t="inlineStr">
        <is>
          <t>Security / Exception / Recovery</t>
        </is>
      </c>
      <c r="U430" s="8" t="inlineStr"/>
      <c r="V430" s="8" t="inlineStr"/>
      <c r="W430" s="8" t="inlineStr">
        <is>
          <t>CONTROL</t>
        </is>
      </c>
      <c r="X430" s="5" t="inlineStr">
        <is>
          <t>Core</t>
        </is>
      </c>
      <c r="Y430" s="5" t="inlineStr">
        <is>
          <t>Cross-persona</t>
        </is>
      </c>
      <c r="Z430" s="5" t="inlineStr">
        <is>
          <t>High</t>
        </is>
      </c>
      <c r="AA430" s="5" t="inlineStr">
        <is>
          <t>Medium</t>
        </is>
      </c>
      <c r="AB430" s="8" t="inlineStr">
        <is>
          <t>Medium</t>
        </is>
      </c>
      <c r="AC430" s="8" t="inlineStr">
        <is>
          <t>Pilot</t>
        </is>
      </c>
      <c r="AD430" s="5" t="inlineStr">
        <is>
          <t>Not independently checked</t>
        </is>
      </c>
      <c r="AE430" s="5" t="inlineStr">
        <is>
          <t>Not verified</t>
        </is>
      </c>
      <c r="AF430" s="5" t="inlineStr">
        <is>
          <t>Not verified</t>
        </is>
      </c>
      <c r="AG430" s="5" t="inlineStr">
        <is>
          <t>Not verified</t>
        </is>
      </c>
      <c r="AH430" s="5" t="inlineStr">
        <is>
          <t>Not verified</t>
        </is>
      </c>
      <c r="AI430" s="8" t="inlineStr">
        <is>
          <t>No</t>
        </is>
      </c>
      <c r="AJ430" s="8" t="inlineStr">
        <is>
          <t>Claimed - unverified</t>
        </is>
      </c>
      <c r="AK430" s="8" t="inlineStr">
        <is>
          <t>P1</t>
        </is>
      </c>
      <c r="AL430" s="8" t="n">
        <v>12</v>
      </c>
      <c r="AM430" s="5" t="inlineStr"/>
      <c r="AN430" s="5" t="inlineStr"/>
      <c r="AO430" s="5" t="inlineStr"/>
      <c r="AP430" s="5" t="inlineStr"/>
      <c r="AQ430" s="5" t="inlineStr"/>
      <c r="AR430" s="5" t="inlineStr"/>
      <c r="AS430" s="5" t="inlineStr"/>
      <c r="AT430" s="5" t="inlineStr"/>
      <c r="AU430" s="8" t="inlineStr">
        <is>
          <t>Not run</t>
        </is>
      </c>
    </row>
    <row r="431" ht="32" customHeight="1">
      <c r="A431" s="16" t="inlineStr">
        <is>
          <t>X-0430</t>
        </is>
      </c>
      <c r="B431" s="8" t="inlineStr">
        <is>
          <t>X</t>
        </is>
      </c>
      <c r="C431" s="5" t="inlineStr">
        <is>
          <t>Multiple / Cross-persona</t>
        </is>
      </c>
      <c r="D431" s="5" t="inlineStr">
        <is>
          <t>Security / Exception / Recovery</t>
        </is>
      </c>
      <c r="E431" s="5" t="inlineStr">
        <is>
          <t>Sensitive financial information → restricted users cannot access it</t>
        </is>
      </c>
      <c r="F431" s="5" t="inlineStr">
        <is>
          <t>Security / Access Control</t>
        </is>
      </c>
      <c r="G431" s="5" t="inlineStr">
        <is>
          <t>Billing Clerk / Delivery Driver</t>
        </is>
      </c>
      <c r="H431" s="5" t="inlineStr">
        <is>
          <t>Billing clerks and delivery staff cannot view business profits, vendor costs, or bank balances</t>
        </is>
      </c>
      <c r="I431" s="5" t="inlineStr">
        <is>
          <t>Masks gross margin, purchase cost, and financial statement menus based on user role</t>
        </is>
      </c>
      <c r="J431" s="20" t="inlineStr">
        <is>
          <t>P1</t>
        </is>
      </c>
      <c r="K431" s="20" t="inlineStr">
        <is>
          <t>Validated (Supported)</t>
        </is>
      </c>
      <c r="L431" s="5" t="inlineStr">
        <is>
          <t>Supported via role-based field masking in API serializers and UI navigation guards.</t>
        </is>
      </c>
      <c r="M431" s="8" t="inlineStr">
        <is>
          <t>Baseline</t>
        </is>
      </c>
      <c r="N431" s="8" t="inlineStr">
        <is>
          <t>Cross-persona</t>
        </is>
      </c>
      <c r="O431" s="8" t="inlineStr">
        <is>
          <t>P1</t>
        </is>
      </c>
      <c r="P431" s="5" t="inlineStr">
        <is>
          <t>Unchanged</t>
        </is>
      </c>
      <c r="Q431" s="20" t="inlineStr">
        <is>
          <t>Author assertion</t>
        </is>
      </c>
      <c r="R431" s="5" t="inlineStr"/>
      <c r="S431" s="8" t="inlineStr">
        <is>
          <t>OTHER</t>
        </is>
      </c>
      <c r="T431" s="5" t="inlineStr">
        <is>
          <t>Security / Exception / Recovery</t>
        </is>
      </c>
      <c r="U431" s="8" t="inlineStr"/>
      <c r="V431" s="8" t="inlineStr"/>
      <c r="W431" s="8" t="inlineStr">
        <is>
          <t>CONTROL</t>
        </is>
      </c>
      <c r="X431" s="5" t="inlineStr">
        <is>
          <t>Core</t>
        </is>
      </c>
      <c r="Y431" s="5" t="inlineStr">
        <is>
          <t>Cross-persona</t>
        </is>
      </c>
      <c r="Z431" s="5" t="inlineStr">
        <is>
          <t>High</t>
        </is>
      </c>
      <c r="AA431" s="5" t="inlineStr">
        <is>
          <t>Medium</t>
        </is>
      </c>
      <c r="AB431" s="8" t="inlineStr">
        <is>
          <t>Medium</t>
        </is>
      </c>
      <c r="AC431" s="8" t="inlineStr">
        <is>
          <t>Pilot</t>
        </is>
      </c>
      <c r="AD431" s="5" t="inlineStr">
        <is>
          <t>Not independently checked</t>
        </is>
      </c>
      <c r="AE431" s="5" t="inlineStr">
        <is>
          <t>Not verified</t>
        </is>
      </c>
      <c r="AF431" s="5" t="inlineStr">
        <is>
          <t>Not verified</t>
        </is>
      </c>
      <c r="AG431" s="5" t="inlineStr">
        <is>
          <t>Not verified</t>
        </is>
      </c>
      <c r="AH431" s="5" t="inlineStr">
        <is>
          <t>Not verified</t>
        </is>
      </c>
      <c r="AI431" s="8" t="inlineStr">
        <is>
          <t>No</t>
        </is>
      </c>
      <c r="AJ431" s="8" t="inlineStr">
        <is>
          <t>Claimed - unverified</t>
        </is>
      </c>
      <c r="AK431" s="8" t="inlineStr">
        <is>
          <t>P1</t>
        </is>
      </c>
      <c r="AL431" s="8" t="n">
        <v>12</v>
      </c>
      <c r="AM431" s="5" t="inlineStr"/>
      <c r="AN431" s="5" t="inlineStr"/>
      <c r="AO431" s="5" t="inlineStr"/>
      <c r="AP431" s="5" t="inlineStr"/>
      <c r="AQ431" s="5" t="inlineStr"/>
      <c r="AR431" s="5" t="inlineStr"/>
      <c r="AS431" s="5" t="inlineStr"/>
      <c r="AT431" s="5" t="inlineStr"/>
      <c r="AU431" s="8" t="inlineStr">
        <is>
          <t>Not run</t>
        </is>
      </c>
    </row>
    <row r="432" ht="32" customHeight="1">
      <c r="A432" s="16" t="inlineStr">
        <is>
          <t>X-0431</t>
        </is>
      </c>
      <c r="B432" s="8" t="inlineStr">
        <is>
          <t>X</t>
        </is>
      </c>
      <c r="C432" s="5" t="inlineStr">
        <is>
          <t>Multiple / Cross-persona</t>
        </is>
      </c>
      <c r="D432" s="5" t="inlineStr">
        <is>
          <t>Security / Exception / Recovery</t>
        </is>
      </c>
      <c r="E432" s="5" t="inlineStr">
        <is>
          <t>Export data → export permissions are enforced</t>
        </is>
      </c>
      <c r="F432" s="5" t="inlineStr">
        <is>
          <t>Security / Access Control</t>
        </is>
      </c>
      <c r="G432" s="5" t="inlineStr">
        <is>
          <t>All Users</t>
        </is>
      </c>
      <c r="H432" s="5" t="inlineStr">
        <is>
          <t>Bulk export of customer lists, sales registers, or financial books restricted to authorized roles</t>
        </is>
      </c>
      <c r="I432" s="5" t="inlineStr">
        <is>
          <t>Blocks export endpoints for unauthorized roles, preventing commercial data exfiltration</t>
        </is>
      </c>
      <c r="J432" s="20" t="inlineStr">
        <is>
          <t>P1</t>
        </is>
      </c>
      <c r="K432" s="20" t="inlineStr">
        <is>
          <t>Validated (Supported)</t>
        </is>
      </c>
      <c r="L432" s="5" t="inlineStr">
        <is>
          <t>Core security invariant: export actions restricted to Owner, Admin, and Accountant roles.</t>
        </is>
      </c>
      <c r="M432" s="8" t="inlineStr">
        <is>
          <t>Baseline</t>
        </is>
      </c>
      <c r="N432" s="8" t="inlineStr">
        <is>
          <t>Cross-persona</t>
        </is>
      </c>
      <c r="O432" s="8" t="inlineStr">
        <is>
          <t>P1</t>
        </is>
      </c>
      <c r="P432" s="5" t="inlineStr">
        <is>
          <t>Unchanged</t>
        </is>
      </c>
      <c r="Q432" s="20" t="inlineStr">
        <is>
          <t>Author assertion</t>
        </is>
      </c>
      <c r="R432" s="5" t="inlineStr"/>
      <c r="S432" s="8" t="inlineStr">
        <is>
          <t>OTHER</t>
        </is>
      </c>
      <c r="T432" s="5" t="inlineStr">
        <is>
          <t>Security / Exception / Recovery</t>
        </is>
      </c>
      <c r="U432" s="8" t="inlineStr"/>
      <c r="V432" s="8" t="inlineStr"/>
      <c r="W432" s="8" t="inlineStr">
        <is>
          <t>CONTROL</t>
        </is>
      </c>
      <c r="X432" s="5" t="inlineStr">
        <is>
          <t>Core</t>
        </is>
      </c>
      <c r="Y432" s="5" t="inlineStr">
        <is>
          <t>Cross-persona</t>
        </is>
      </c>
      <c r="Z432" s="5" t="inlineStr">
        <is>
          <t>High</t>
        </is>
      </c>
      <c r="AA432" s="5" t="inlineStr">
        <is>
          <t>Medium</t>
        </is>
      </c>
      <c r="AB432" s="8" t="inlineStr">
        <is>
          <t>Medium</t>
        </is>
      </c>
      <c r="AC432" s="8" t="inlineStr">
        <is>
          <t>Pilot</t>
        </is>
      </c>
      <c r="AD432" s="5" t="inlineStr">
        <is>
          <t>Not independently checked</t>
        </is>
      </c>
      <c r="AE432" s="5" t="inlineStr">
        <is>
          <t>Not verified</t>
        </is>
      </c>
      <c r="AF432" s="5" t="inlineStr">
        <is>
          <t>Not verified</t>
        </is>
      </c>
      <c r="AG432" s="5" t="inlineStr">
        <is>
          <t>Not verified</t>
        </is>
      </c>
      <c r="AH432" s="5" t="inlineStr">
        <is>
          <t>Not verified</t>
        </is>
      </c>
      <c r="AI432" s="8" t="inlineStr">
        <is>
          <t>No</t>
        </is>
      </c>
      <c r="AJ432" s="8" t="inlineStr">
        <is>
          <t>Claimed - unverified</t>
        </is>
      </c>
      <c r="AK432" s="8" t="inlineStr">
        <is>
          <t>P1</t>
        </is>
      </c>
      <c r="AL432" s="8" t="n">
        <v>12</v>
      </c>
      <c r="AM432" s="5" t="inlineStr"/>
      <c r="AN432" s="5" t="inlineStr"/>
      <c r="AO432" s="5" t="inlineStr"/>
      <c r="AP432" s="5" t="inlineStr"/>
      <c r="AQ432" s="5" t="inlineStr"/>
      <c r="AR432" s="5" t="inlineStr"/>
      <c r="AS432" s="5" t="inlineStr"/>
      <c r="AT432" s="5" t="inlineStr"/>
      <c r="AU432" s="8" t="inlineStr">
        <is>
          <t>Not run</t>
        </is>
      </c>
    </row>
    <row r="433" ht="32" customHeight="1">
      <c r="A433" s="16" t="inlineStr">
        <is>
          <t>X-0432</t>
        </is>
      </c>
      <c r="B433" s="8" t="inlineStr">
        <is>
          <t>X</t>
        </is>
      </c>
      <c r="C433" s="5" t="inlineStr">
        <is>
          <t>Multiple / Cross-persona</t>
        </is>
      </c>
      <c r="D433" s="5" t="inlineStr">
        <is>
          <t>Security / Exception / Recovery</t>
        </is>
      </c>
      <c r="E433" s="5" t="inlineStr">
        <is>
          <t>Critical transaction → immutable audit trail exists</t>
        </is>
      </c>
      <c r="F433" s="5" t="inlineStr">
        <is>
          <t>Security / Access Control</t>
        </is>
      </c>
      <c r="G433" s="5" t="inlineStr">
        <is>
          <t>Statutory Auditor</t>
        </is>
      </c>
      <c r="H433" s="5" t="inlineStr">
        <is>
          <t>Every financial, inventory, and tax voucher backed by append-only immutable audit trail</t>
        </is>
      </c>
      <c r="I433" s="5" t="inlineStr">
        <is>
          <t>Guarantees chronological traceability of who created, edited, approved, or cancelled records</t>
        </is>
      </c>
      <c r="J433" s="19" t="inlineStr">
        <is>
          <t>P0</t>
        </is>
      </c>
      <c r="K433" s="23" t="inlineStr">
        <is>
          <t>Partial</t>
        </is>
      </c>
      <c r="L433" s="5" t="inlineStr">
        <is>
          <t>Core system invariant: MCA-compliant audit trail with Django SimpleHistory.</t>
        </is>
      </c>
      <c r="M433" s="8" t="inlineStr">
        <is>
          <t>Baseline</t>
        </is>
      </c>
      <c r="N433" s="8" t="inlineStr">
        <is>
          <t>Cross-persona</t>
        </is>
      </c>
      <c r="O433" s="8" t="inlineStr">
        <is>
          <t>P0</t>
        </is>
      </c>
      <c r="P433" s="5" t="inlineStr">
        <is>
          <t>Unchanged</t>
        </is>
      </c>
      <c r="Q433" s="23" t="inlineStr">
        <is>
          <t>Partial</t>
        </is>
      </c>
      <c r="R433" s="5" t="inlineStr">
        <is>
          <t>django-simple-history is not a dependency. The note names the wrong audit mechanism.</t>
        </is>
      </c>
      <c r="S433" s="8" t="inlineStr">
        <is>
          <t>OTHER</t>
        </is>
      </c>
      <c r="T433" s="5" t="inlineStr">
        <is>
          <t>Security / Exception / Recovery</t>
        </is>
      </c>
      <c r="U433" s="8" t="inlineStr"/>
      <c r="V433" s="8" t="inlineStr"/>
      <c r="W433" s="8" t="inlineStr">
        <is>
          <t>CONTROL</t>
        </is>
      </c>
      <c r="X433" s="5" t="inlineStr">
        <is>
          <t>Core</t>
        </is>
      </c>
      <c r="Y433" s="5" t="inlineStr">
        <is>
          <t>Cross-persona</t>
        </is>
      </c>
      <c r="Z433" s="5" t="inlineStr">
        <is>
          <t>High</t>
        </is>
      </c>
      <c r="AA433" s="5" t="inlineStr">
        <is>
          <t>Medium</t>
        </is>
      </c>
      <c r="AB433" s="8" t="inlineStr">
        <is>
          <t>Medium</t>
        </is>
      </c>
      <c r="AC433" s="8" t="inlineStr">
        <is>
          <t>MVP</t>
        </is>
      </c>
      <c r="AD433" s="5" t="inlineStr">
        <is>
          <t>Partial</t>
        </is>
      </c>
      <c r="AE433" s="5" t="inlineStr">
        <is>
          <t>Not verified</t>
        </is>
      </c>
      <c r="AF433" s="5" t="inlineStr">
        <is>
          <t>Not verified</t>
        </is>
      </c>
      <c r="AG433" s="5" t="inlineStr">
        <is>
          <t>Not verified</t>
        </is>
      </c>
      <c r="AH433" s="5" t="inlineStr">
        <is>
          <t>Not verified</t>
        </is>
      </c>
      <c r="AI433" s="8" t="inlineStr">
        <is>
          <t>No</t>
        </is>
      </c>
      <c r="AJ433" s="8" t="inlineStr">
        <is>
          <t>Built - partial</t>
        </is>
      </c>
      <c r="AK433" s="8" t="inlineStr">
        <is>
          <t>P0</t>
        </is>
      </c>
      <c r="AL433" s="8" t="n">
        <v>12</v>
      </c>
      <c r="AM433" s="5" t="inlineStr"/>
      <c r="AN433" s="5" t="inlineStr"/>
      <c r="AO433" s="5" t="inlineStr"/>
      <c r="AP433" s="5" t="inlineStr"/>
      <c r="AQ433" s="5" t="inlineStr"/>
      <c r="AR433" s="5" t="inlineStr"/>
      <c r="AS433" s="5" t="inlineStr"/>
      <c r="AT433" s="5" t="inlineStr"/>
      <c r="AU433" s="8" t="inlineStr">
        <is>
          <t>Not run</t>
        </is>
      </c>
    </row>
    <row r="434" ht="32" customHeight="1">
      <c r="A434" s="16" t="inlineStr">
        <is>
          <t>X-0433</t>
        </is>
      </c>
      <c r="B434" s="8" t="inlineStr">
        <is>
          <t>X</t>
        </is>
      </c>
      <c r="C434" s="5" t="inlineStr">
        <is>
          <t>Multiple / Cross-persona</t>
        </is>
      </c>
      <c r="D434" s="5" t="inlineStr">
        <is>
          <t>Security / Exception / Recovery</t>
        </is>
      </c>
      <c r="E434" s="5" t="inlineStr">
        <is>
          <t>Invalid invoice → actionable validation is shown</t>
        </is>
      </c>
      <c r="F434" s="5" t="inlineStr">
        <is>
          <t>System / Validation Engine</t>
        </is>
      </c>
      <c r="G434" s="5" t="inlineStr">
        <is>
          <t>Billing Clerk</t>
        </is>
      </c>
      <c r="H434" s="5" t="inlineStr">
        <is>
          <t>Form validation errors highlight exact problematic field (e.g. missing HSN, invalid GSTIN)</t>
        </is>
      </c>
      <c r="I434" s="5" t="inlineStr">
        <is>
          <t>Surfaces clear, inline validation message explaining how to fix the error before saving</t>
        </is>
      </c>
      <c r="J434" s="20" t="inlineStr">
        <is>
          <t>P1</t>
        </is>
      </c>
      <c r="K434" s="20" t="inlineStr">
        <is>
          <t>Validated (Supported)</t>
        </is>
      </c>
      <c r="L434" s="5" t="inlineStr">
        <is>
          <t>Supported via descriptive form validation errors with field highlighting.</t>
        </is>
      </c>
      <c r="M434" s="8" t="inlineStr">
        <is>
          <t>Baseline</t>
        </is>
      </c>
      <c r="N434" s="8" t="inlineStr">
        <is>
          <t>Cross-persona</t>
        </is>
      </c>
      <c r="O434" s="8" t="inlineStr">
        <is>
          <t>P1</t>
        </is>
      </c>
      <c r="P434" s="5" t="inlineStr">
        <is>
          <t>Unchanged</t>
        </is>
      </c>
      <c r="Q434" s="20" t="inlineStr">
        <is>
          <t>Author assertion</t>
        </is>
      </c>
      <c r="R434" s="5" t="inlineStr"/>
      <c r="S434" s="8" t="inlineStr">
        <is>
          <t>OTHER</t>
        </is>
      </c>
      <c r="T434" s="5" t="inlineStr">
        <is>
          <t>Security / Exception / Recovery</t>
        </is>
      </c>
      <c r="U434" s="8" t="inlineStr"/>
      <c r="V434" s="8" t="inlineStr"/>
      <c r="W434" s="8" t="inlineStr">
        <is>
          <t>CONTROL</t>
        </is>
      </c>
      <c r="X434" s="5" t="inlineStr">
        <is>
          <t>Core</t>
        </is>
      </c>
      <c r="Y434" s="5" t="inlineStr">
        <is>
          <t>Cross-persona</t>
        </is>
      </c>
      <c r="Z434" s="5" t="inlineStr">
        <is>
          <t>High</t>
        </is>
      </c>
      <c r="AA434" s="5" t="inlineStr">
        <is>
          <t>Medium</t>
        </is>
      </c>
      <c r="AB434" s="8" t="inlineStr">
        <is>
          <t>Medium</t>
        </is>
      </c>
      <c r="AC434" s="8" t="inlineStr">
        <is>
          <t>Pilot</t>
        </is>
      </c>
      <c r="AD434" s="5" t="inlineStr">
        <is>
          <t>Not independently checked</t>
        </is>
      </c>
      <c r="AE434" s="5" t="inlineStr">
        <is>
          <t>Not verified</t>
        </is>
      </c>
      <c r="AF434" s="5" t="inlineStr">
        <is>
          <t>Not verified</t>
        </is>
      </c>
      <c r="AG434" s="5" t="inlineStr">
        <is>
          <t>Not verified</t>
        </is>
      </c>
      <c r="AH434" s="5" t="inlineStr">
        <is>
          <t>Not verified</t>
        </is>
      </c>
      <c r="AI434" s="8" t="inlineStr">
        <is>
          <t>No</t>
        </is>
      </c>
      <c r="AJ434" s="8" t="inlineStr">
        <is>
          <t>Claimed - unverified</t>
        </is>
      </c>
      <c r="AK434" s="8" t="inlineStr">
        <is>
          <t>P1</t>
        </is>
      </c>
      <c r="AL434" s="8" t="n">
        <v>12</v>
      </c>
      <c r="AM434" s="5" t="inlineStr"/>
      <c r="AN434" s="5" t="inlineStr"/>
      <c r="AO434" s="5" t="inlineStr"/>
      <c r="AP434" s="5" t="inlineStr"/>
      <c r="AQ434" s="5" t="inlineStr"/>
      <c r="AR434" s="5" t="inlineStr"/>
      <c r="AS434" s="5" t="inlineStr"/>
      <c r="AT434" s="5" t="inlineStr"/>
      <c r="AU434" s="8" t="inlineStr">
        <is>
          <t>Not run</t>
        </is>
      </c>
    </row>
    <row r="435" ht="32" customHeight="1">
      <c r="A435" s="16" t="inlineStr">
        <is>
          <t>X-0434</t>
        </is>
      </c>
      <c r="B435" s="8" t="inlineStr">
        <is>
          <t>X</t>
        </is>
      </c>
      <c r="C435" s="5" t="inlineStr">
        <is>
          <t>Multiple / Cross-persona</t>
        </is>
      </c>
      <c r="D435" s="5" t="inlineStr">
        <is>
          <t>Security / Exception / Recovery</t>
        </is>
      </c>
      <c r="E435" s="5" t="inlineStr">
        <is>
          <t>Insufficient stock → sale is blocked/flagged appropriately</t>
        </is>
      </c>
      <c r="F435" s="5" t="inlineStr">
        <is>
          <t>System / Inventory Guard</t>
        </is>
      </c>
      <c r="G435" s="5" t="inlineStr">
        <is>
          <t>Billing Clerk</t>
        </is>
      </c>
      <c r="H435" s="5" t="inlineStr">
        <is>
          <t>Attempting to bill more stock than available triggers clear error or manager override prompt</t>
        </is>
      </c>
      <c r="I435" s="5" t="inlineStr">
        <is>
          <t>Blocks negative inventory by default; enforces tenant policy regarding backorders</t>
        </is>
      </c>
      <c r="J435" s="20" t="inlineStr">
        <is>
          <t>P1</t>
        </is>
      </c>
      <c r="K435" s="20" t="inlineStr">
        <is>
          <t>Validated (Supported)</t>
        </is>
      </c>
      <c r="L435" s="5" t="inlineStr">
        <is>
          <t>Core inventory invariant: negative stock strictly blocked unless explicitly enabled.</t>
        </is>
      </c>
      <c r="M435" s="8" t="inlineStr">
        <is>
          <t>Baseline</t>
        </is>
      </c>
      <c r="N435" s="8" t="inlineStr">
        <is>
          <t>Cross-persona</t>
        </is>
      </c>
      <c r="O435" s="8" t="inlineStr">
        <is>
          <t>P1</t>
        </is>
      </c>
      <c r="P435" s="5" t="inlineStr">
        <is>
          <t>Unchanged</t>
        </is>
      </c>
      <c r="Q435" s="20" t="inlineStr">
        <is>
          <t>Author assertion</t>
        </is>
      </c>
      <c r="R435" s="5" t="inlineStr"/>
      <c r="S435" s="8" t="inlineStr">
        <is>
          <t>OTHER</t>
        </is>
      </c>
      <c r="T435" s="5" t="inlineStr">
        <is>
          <t>Security / Exception / Recovery</t>
        </is>
      </c>
      <c r="U435" s="8" t="inlineStr"/>
      <c r="V435" s="8" t="inlineStr"/>
      <c r="W435" s="8" t="inlineStr">
        <is>
          <t>CONTROL</t>
        </is>
      </c>
      <c r="X435" s="5" t="inlineStr">
        <is>
          <t>Core</t>
        </is>
      </c>
      <c r="Y435" s="5" t="inlineStr">
        <is>
          <t>Cross-persona</t>
        </is>
      </c>
      <c r="Z435" s="5" t="inlineStr">
        <is>
          <t>High</t>
        </is>
      </c>
      <c r="AA435" s="5" t="inlineStr">
        <is>
          <t>Medium</t>
        </is>
      </c>
      <c r="AB435" s="8" t="inlineStr">
        <is>
          <t>Medium</t>
        </is>
      </c>
      <c r="AC435" s="8" t="inlineStr">
        <is>
          <t>Pilot</t>
        </is>
      </c>
      <c r="AD435" s="5" t="inlineStr">
        <is>
          <t>Not independently checked</t>
        </is>
      </c>
      <c r="AE435" s="5" t="inlineStr">
        <is>
          <t>Not verified</t>
        </is>
      </c>
      <c r="AF435" s="5" t="inlineStr">
        <is>
          <t>Not verified</t>
        </is>
      </c>
      <c r="AG435" s="5" t="inlineStr">
        <is>
          <t>Not verified</t>
        </is>
      </c>
      <c r="AH435" s="5" t="inlineStr">
        <is>
          <t>Not verified</t>
        </is>
      </c>
      <c r="AI435" s="8" t="inlineStr">
        <is>
          <t>No</t>
        </is>
      </c>
      <c r="AJ435" s="8" t="inlineStr">
        <is>
          <t>Claimed - unverified</t>
        </is>
      </c>
      <c r="AK435" s="8" t="inlineStr">
        <is>
          <t>P1</t>
        </is>
      </c>
      <c r="AL435" s="8" t="n">
        <v>12</v>
      </c>
      <c r="AM435" s="5" t="inlineStr"/>
      <c r="AN435" s="5" t="inlineStr"/>
      <c r="AO435" s="5" t="inlineStr"/>
      <c r="AP435" s="5" t="inlineStr"/>
      <c r="AQ435" s="5" t="inlineStr"/>
      <c r="AR435" s="5" t="inlineStr"/>
      <c r="AS435" s="5" t="inlineStr"/>
      <c r="AT435" s="5" t="inlineStr"/>
      <c r="AU435" s="8" t="inlineStr">
        <is>
          <t>Not run</t>
        </is>
      </c>
    </row>
    <row r="436" ht="32" customHeight="1">
      <c r="A436" s="16" t="inlineStr">
        <is>
          <t>X-0435</t>
        </is>
      </c>
      <c r="B436" s="8" t="inlineStr">
        <is>
          <t>X</t>
        </is>
      </c>
      <c r="C436" s="5" t="inlineStr">
        <is>
          <t>Multiple / Cross-persona</t>
        </is>
      </c>
      <c r="D436" s="5" t="inlineStr">
        <is>
          <t>Security / Exception / Recovery</t>
        </is>
      </c>
      <c r="E436" s="5" t="inlineStr">
        <is>
          <t>Invalid GSTIN → invoice validation catches it</t>
        </is>
      </c>
      <c r="F436" s="5" t="inlineStr">
        <is>
          <t>System / GST Guard</t>
        </is>
      </c>
      <c r="G436" s="5" t="inlineStr">
        <is>
          <t>Billing Clerk</t>
        </is>
      </c>
      <c r="H436" s="5" t="inlineStr">
        <is>
          <t>Typing an invalid or malformed GSTIN triggers checksum error before saving invoice</t>
        </is>
      </c>
      <c r="I436" s="5" t="inlineStr">
        <is>
          <t>Validates 15-character GSTIN structure, state code, and Luhn checksum algorithm</t>
        </is>
      </c>
      <c r="J436" s="20" t="inlineStr">
        <is>
          <t>P1</t>
        </is>
      </c>
      <c r="K436" s="20" t="inlineStr">
        <is>
          <t>Validated (Supported)</t>
        </is>
      </c>
      <c r="L436" s="5" t="inlineStr">
        <is>
          <t>Supported via client-side and server-side GSTIN checksum validator.</t>
        </is>
      </c>
      <c r="M436" s="8" t="inlineStr">
        <is>
          <t>Baseline</t>
        </is>
      </c>
      <c r="N436" s="8" t="inlineStr">
        <is>
          <t>Cross-persona</t>
        </is>
      </c>
      <c r="O436" s="8" t="inlineStr">
        <is>
          <t>P1</t>
        </is>
      </c>
      <c r="P436" s="5" t="inlineStr">
        <is>
          <t>Unchanged</t>
        </is>
      </c>
      <c r="Q436" s="20" t="inlineStr">
        <is>
          <t>Author assertion</t>
        </is>
      </c>
      <c r="R436" s="5" t="inlineStr"/>
      <c r="S436" s="8" t="inlineStr">
        <is>
          <t>OTHER</t>
        </is>
      </c>
      <c r="T436" s="5" t="inlineStr">
        <is>
          <t>Security / Exception / Recovery</t>
        </is>
      </c>
      <c r="U436" s="8" t="inlineStr"/>
      <c r="V436" s="8" t="inlineStr"/>
      <c r="W436" s="8" t="inlineStr">
        <is>
          <t>CONTROL</t>
        </is>
      </c>
      <c r="X436" s="5" t="inlineStr">
        <is>
          <t>Core</t>
        </is>
      </c>
      <c r="Y436" s="5" t="inlineStr">
        <is>
          <t>Cross-persona</t>
        </is>
      </c>
      <c r="Z436" s="5" t="inlineStr">
        <is>
          <t>High</t>
        </is>
      </c>
      <c r="AA436" s="5" t="inlineStr">
        <is>
          <t>Medium</t>
        </is>
      </c>
      <c r="AB436" s="8" t="inlineStr">
        <is>
          <t>Medium</t>
        </is>
      </c>
      <c r="AC436" s="8" t="inlineStr">
        <is>
          <t>Pilot</t>
        </is>
      </c>
      <c r="AD436" s="5" t="inlineStr">
        <is>
          <t>Not independently checked</t>
        </is>
      </c>
      <c r="AE436" s="5" t="inlineStr">
        <is>
          <t>Not verified</t>
        </is>
      </c>
      <c r="AF436" s="5" t="inlineStr">
        <is>
          <t>Not verified</t>
        </is>
      </c>
      <c r="AG436" s="5" t="inlineStr">
        <is>
          <t>Not verified</t>
        </is>
      </c>
      <c r="AH436" s="5" t="inlineStr">
        <is>
          <t>Not verified</t>
        </is>
      </c>
      <c r="AI436" s="8" t="inlineStr">
        <is>
          <t>No</t>
        </is>
      </c>
      <c r="AJ436" s="8" t="inlineStr">
        <is>
          <t>Claimed - unverified</t>
        </is>
      </c>
      <c r="AK436" s="8" t="inlineStr">
        <is>
          <t>P1</t>
        </is>
      </c>
      <c r="AL436" s="8" t="n">
        <v>12</v>
      </c>
      <c r="AM436" s="5" t="inlineStr"/>
      <c r="AN436" s="5" t="inlineStr"/>
      <c r="AO436" s="5" t="inlineStr"/>
      <c r="AP436" s="5" t="inlineStr"/>
      <c r="AQ436" s="5" t="inlineStr"/>
      <c r="AR436" s="5" t="inlineStr"/>
      <c r="AS436" s="5" t="inlineStr"/>
      <c r="AT436" s="5" t="inlineStr"/>
      <c r="AU436" s="8" t="inlineStr">
        <is>
          <t>Not run</t>
        </is>
      </c>
    </row>
    <row r="437" ht="32" customHeight="1">
      <c r="A437" s="16" t="inlineStr">
        <is>
          <t>X-0436</t>
        </is>
      </c>
      <c r="B437" s="8" t="inlineStr">
        <is>
          <t>X</t>
        </is>
      </c>
      <c r="C437" s="5" t="inlineStr">
        <is>
          <t>Multiple / Cross-persona</t>
        </is>
      </c>
      <c r="D437" s="5" t="inlineStr">
        <is>
          <t>Security / Exception / Recovery</t>
        </is>
      </c>
      <c r="E437" s="5" t="inlineStr">
        <is>
          <t>Duplicate invoice → duplicate detection</t>
        </is>
      </c>
      <c r="F437" s="5" t="inlineStr">
        <is>
          <t>System / Validation Engine</t>
        </is>
      </c>
      <c r="G437" s="5" t="inlineStr">
        <is>
          <t>In-house Accountant</t>
        </is>
      </c>
      <c r="H437" s="5" t="inlineStr">
        <is>
          <t>System prevents saving two invoices with identical invoice number for the same financial year</t>
        </is>
      </c>
      <c r="I437" s="5" t="inlineStr">
        <is>
          <t>Raises UniqueConstraint violation; warns user of existing invoice duplicate</t>
        </is>
      </c>
      <c r="J437" s="20" t="inlineStr">
        <is>
          <t>P1</t>
        </is>
      </c>
      <c r="K437" s="20" t="inlineStr">
        <is>
          <t>Validated (Supported)</t>
        </is>
      </c>
      <c r="L437" s="5" t="inlineStr">
        <is>
          <t>Core data invariant: database unique constraint on (company_id, invoice_number, financial_year).</t>
        </is>
      </c>
      <c r="M437" s="8" t="inlineStr">
        <is>
          <t>Baseline</t>
        </is>
      </c>
      <c r="N437" s="8" t="inlineStr">
        <is>
          <t>Cross-persona</t>
        </is>
      </c>
      <c r="O437" s="8" t="inlineStr">
        <is>
          <t>P1</t>
        </is>
      </c>
      <c r="P437" s="5" t="inlineStr">
        <is>
          <t>Unchanged</t>
        </is>
      </c>
      <c r="Q437" s="21" t="inlineStr">
        <is>
          <t>Code symbol found</t>
        </is>
      </c>
      <c r="R437" s="5" t="inlineStr">
        <is>
          <t>Matched invoice_number in product code. This is not a functional test.</t>
        </is>
      </c>
      <c r="S437" s="8" t="inlineStr">
        <is>
          <t>OTHER</t>
        </is>
      </c>
      <c r="T437" s="5" t="inlineStr">
        <is>
          <t>Security / Exception / Recovery</t>
        </is>
      </c>
      <c r="U437" s="8" t="inlineStr"/>
      <c r="V437" s="8" t="inlineStr"/>
      <c r="W437" s="8" t="inlineStr">
        <is>
          <t>CONTROL</t>
        </is>
      </c>
      <c r="X437" s="5" t="inlineStr">
        <is>
          <t>Core</t>
        </is>
      </c>
      <c r="Y437" s="5" t="inlineStr">
        <is>
          <t>Cross-persona</t>
        </is>
      </c>
      <c r="Z437" s="5" t="inlineStr">
        <is>
          <t>High</t>
        </is>
      </c>
      <c r="AA437" s="5" t="inlineStr">
        <is>
          <t>Medium</t>
        </is>
      </c>
      <c r="AB437" s="8" t="inlineStr">
        <is>
          <t>Medium</t>
        </is>
      </c>
      <c r="AC437" s="8" t="inlineStr">
        <is>
          <t>Pilot</t>
        </is>
      </c>
      <c r="AD437" s="5" t="inlineStr">
        <is>
          <t>Cited in code</t>
        </is>
      </c>
      <c r="AE437" s="5" t="inlineStr">
        <is>
          <t>Not verified</t>
        </is>
      </c>
      <c r="AF437" s="5" t="inlineStr">
        <is>
          <t>Not verified</t>
        </is>
      </c>
      <c r="AG437" s="5" t="inlineStr">
        <is>
          <t>Not verified</t>
        </is>
      </c>
      <c r="AH437" s="5" t="inlineStr">
        <is>
          <t>Not verified</t>
        </is>
      </c>
      <c r="AI437" s="8" t="inlineStr">
        <is>
          <t>No</t>
        </is>
      </c>
      <c r="AJ437" s="8" t="inlineStr">
        <is>
          <t>Built - unverified</t>
        </is>
      </c>
      <c r="AK437" s="8" t="inlineStr">
        <is>
          <t>P1</t>
        </is>
      </c>
      <c r="AL437" s="8" t="n">
        <v>12</v>
      </c>
      <c r="AM437" s="5" t="inlineStr"/>
      <c r="AN437" s="5" t="inlineStr"/>
      <c r="AO437" s="5" t="inlineStr"/>
      <c r="AP437" s="5" t="inlineStr"/>
      <c r="AQ437" s="5" t="inlineStr"/>
      <c r="AR437" s="5" t="inlineStr"/>
      <c r="AS437" s="5" t="inlineStr"/>
      <c r="AT437" s="5" t="inlineStr"/>
      <c r="AU437" s="8" t="inlineStr">
        <is>
          <t>Not run</t>
        </is>
      </c>
    </row>
    <row r="438" ht="32" customHeight="1">
      <c r="A438" s="16" t="inlineStr">
        <is>
          <t>X-0437</t>
        </is>
      </c>
      <c r="B438" s="8" t="inlineStr">
        <is>
          <t>X</t>
        </is>
      </c>
      <c r="C438" s="5" t="inlineStr">
        <is>
          <t>Multiple / Cross-persona</t>
        </is>
      </c>
      <c r="D438" s="5" t="inlineStr">
        <is>
          <t>Security / Exception / Recovery</t>
        </is>
      </c>
      <c r="E438" s="5" t="inlineStr">
        <is>
          <t>Network failure during save → no duplicate transaction is created</t>
        </is>
      </c>
      <c r="F438" s="5" t="inlineStr">
        <is>
          <t>System / Resilience</t>
        </is>
      </c>
      <c r="G438" s="5" t="inlineStr">
        <is>
          <t>POS Operator</t>
        </is>
      </c>
      <c r="H438" s="5" t="inlineStr">
        <is>
          <t>Network drop during checkout does not cause duplicate billing or double inventory deduction</t>
        </is>
      </c>
      <c r="I438" s="5" t="inlineStr">
        <is>
          <t>Enforces client-generated idempotency key; duplicate submission returns existing result</t>
        </is>
      </c>
      <c r="J438" s="20" t="inlineStr">
        <is>
          <t>P1</t>
        </is>
      </c>
      <c r="K438" s="20" t="inlineStr">
        <is>
          <t>Validated (Supported)</t>
        </is>
      </c>
      <c r="L438" s="5" t="inlineStr">
        <is>
          <t>Supported via Idempotency-Key header on all critical creation endpoints.</t>
        </is>
      </c>
      <c r="M438" s="8" t="inlineStr">
        <is>
          <t>Baseline</t>
        </is>
      </c>
      <c r="N438" s="8" t="inlineStr">
        <is>
          <t>Cross-persona</t>
        </is>
      </c>
      <c r="O438" s="8" t="inlineStr">
        <is>
          <t>P1</t>
        </is>
      </c>
      <c r="P438" s="5" t="inlineStr">
        <is>
          <t>Unchanged</t>
        </is>
      </c>
      <c r="Q438" s="20" t="inlineStr">
        <is>
          <t>Author assertion</t>
        </is>
      </c>
      <c r="R438" s="5" t="inlineStr"/>
      <c r="S438" s="8" t="inlineStr">
        <is>
          <t>OTHER</t>
        </is>
      </c>
      <c r="T438" s="5" t="inlineStr">
        <is>
          <t>Security / Exception / Recovery</t>
        </is>
      </c>
      <c r="U438" s="8" t="inlineStr"/>
      <c r="V438" s="8" t="inlineStr"/>
      <c r="W438" s="8" t="inlineStr">
        <is>
          <t>CONTROL</t>
        </is>
      </c>
      <c r="X438" s="5" t="inlineStr">
        <is>
          <t>Core</t>
        </is>
      </c>
      <c r="Y438" s="5" t="inlineStr">
        <is>
          <t>Cross-persona</t>
        </is>
      </c>
      <c r="Z438" s="5" t="inlineStr">
        <is>
          <t>High</t>
        </is>
      </c>
      <c r="AA438" s="5" t="inlineStr">
        <is>
          <t>Medium</t>
        </is>
      </c>
      <c r="AB438" s="8" t="inlineStr">
        <is>
          <t>Medium</t>
        </is>
      </c>
      <c r="AC438" s="8" t="inlineStr">
        <is>
          <t>Pilot</t>
        </is>
      </c>
      <c r="AD438" s="5" t="inlineStr">
        <is>
          <t>Not independently checked</t>
        </is>
      </c>
      <c r="AE438" s="5" t="inlineStr">
        <is>
          <t>Not verified</t>
        </is>
      </c>
      <c r="AF438" s="5" t="inlineStr">
        <is>
          <t>Not verified</t>
        </is>
      </c>
      <c r="AG438" s="5" t="inlineStr">
        <is>
          <t>Not verified</t>
        </is>
      </c>
      <c r="AH438" s="5" t="inlineStr">
        <is>
          <t>Not verified</t>
        </is>
      </c>
      <c r="AI438" s="8" t="inlineStr">
        <is>
          <t>No</t>
        </is>
      </c>
      <c r="AJ438" s="8" t="inlineStr">
        <is>
          <t>Claimed - unverified</t>
        </is>
      </c>
      <c r="AK438" s="8" t="inlineStr">
        <is>
          <t>P1</t>
        </is>
      </c>
      <c r="AL438" s="8" t="n">
        <v>12</v>
      </c>
      <c r="AM438" s="5" t="inlineStr"/>
      <c r="AN438" s="5" t="inlineStr"/>
      <c r="AO438" s="5" t="inlineStr"/>
      <c r="AP438" s="5" t="inlineStr"/>
      <c r="AQ438" s="5" t="inlineStr"/>
      <c r="AR438" s="5" t="inlineStr"/>
      <c r="AS438" s="5" t="inlineStr"/>
      <c r="AT438" s="5" t="inlineStr"/>
      <c r="AU438" s="8" t="inlineStr">
        <is>
          <t>Not run</t>
        </is>
      </c>
    </row>
    <row r="439" ht="32" customHeight="1">
      <c r="A439" s="16" t="inlineStr">
        <is>
          <t>X-0438</t>
        </is>
      </c>
      <c r="B439" s="8" t="inlineStr">
        <is>
          <t>X</t>
        </is>
      </c>
      <c r="C439" s="5" t="inlineStr">
        <is>
          <t>Multiple / Cross-persona</t>
        </is>
      </c>
      <c r="D439" s="5" t="inlineStr">
        <is>
          <t>Security / Exception / Recovery</t>
        </is>
      </c>
      <c r="E439" s="5" t="inlineStr">
        <is>
          <t>Concurrent edits → conflict is handled</t>
        </is>
      </c>
      <c r="F439" s="5" t="inlineStr">
        <is>
          <t>System / Concurrency Engine</t>
        </is>
      </c>
      <c r="G439" s="5" t="inlineStr">
        <is>
          <t>Two Concurrent Editors</t>
        </is>
      </c>
      <c r="H439" s="5" t="inlineStr">
        <is>
          <t>Simultaneous edits to the same document detected safely without silent overwrites</t>
        </is>
      </c>
      <c r="I439" s="5" t="inlineStr">
        <is>
          <t>Uses optimistic locking (version / updated_at check); alerts second user to refresh</t>
        </is>
      </c>
      <c r="J439" s="20" t="inlineStr">
        <is>
          <t>P1</t>
        </is>
      </c>
      <c r="K439" s="20" t="inlineStr">
        <is>
          <t>Validated (Supported)</t>
        </is>
      </c>
      <c r="L439" s="5" t="inlineStr">
        <is>
          <t>Supported via optimistic concurrency locking on master and document models.</t>
        </is>
      </c>
      <c r="M439" s="8" t="inlineStr">
        <is>
          <t>Baseline</t>
        </is>
      </c>
      <c r="N439" s="8" t="inlineStr">
        <is>
          <t>Cross-persona</t>
        </is>
      </c>
      <c r="O439" s="8" t="inlineStr">
        <is>
          <t>P1</t>
        </is>
      </c>
      <c r="P439" s="5" t="inlineStr">
        <is>
          <t>Unchanged</t>
        </is>
      </c>
      <c r="Q439" s="20" t="inlineStr">
        <is>
          <t>Author assertion</t>
        </is>
      </c>
      <c r="R439" s="5" t="inlineStr"/>
      <c r="S439" s="8" t="inlineStr">
        <is>
          <t>OTHER</t>
        </is>
      </c>
      <c r="T439" s="5" t="inlineStr">
        <is>
          <t>Security / Exception / Recovery</t>
        </is>
      </c>
      <c r="U439" s="8" t="inlineStr"/>
      <c r="V439" s="8" t="inlineStr"/>
      <c r="W439" s="8" t="inlineStr">
        <is>
          <t>CONTROL</t>
        </is>
      </c>
      <c r="X439" s="5" t="inlineStr">
        <is>
          <t>Core</t>
        </is>
      </c>
      <c r="Y439" s="5" t="inlineStr">
        <is>
          <t>Cross-persona</t>
        </is>
      </c>
      <c r="Z439" s="5" t="inlineStr">
        <is>
          <t>High</t>
        </is>
      </c>
      <c r="AA439" s="5" t="inlineStr">
        <is>
          <t>Medium</t>
        </is>
      </c>
      <c r="AB439" s="8" t="inlineStr">
        <is>
          <t>Medium</t>
        </is>
      </c>
      <c r="AC439" s="8" t="inlineStr">
        <is>
          <t>Pilot</t>
        </is>
      </c>
      <c r="AD439" s="5" t="inlineStr">
        <is>
          <t>Not independently checked</t>
        </is>
      </c>
      <c r="AE439" s="5" t="inlineStr">
        <is>
          <t>Not verified</t>
        </is>
      </c>
      <c r="AF439" s="5" t="inlineStr">
        <is>
          <t>Not verified</t>
        </is>
      </c>
      <c r="AG439" s="5" t="inlineStr">
        <is>
          <t>Not verified</t>
        </is>
      </c>
      <c r="AH439" s="5" t="inlineStr">
        <is>
          <t>Not verified</t>
        </is>
      </c>
      <c r="AI439" s="8" t="inlineStr">
        <is>
          <t>No</t>
        </is>
      </c>
      <c r="AJ439" s="8" t="inlineStr">
        <is>
          <t>Claimed - unverified</t>
        </is>
      </c>
      <c r="AK439" s="8" t="inlineStr">
        <is>
          <t>P1</t>
        </is>
      </c>
      <c r="AL439" s="8" t="n">
        <v>12</v>
      </c>
      <c r="AM439" s="5" t="inlineStr"/>
      <c r="AN439" s="5" t="inlineStr"/>
      <c r="AO439" s="5" t="inlineStr"/>
      <c r="AP439" s="5" t="inlineStr"/>
      <c r="AQ439" s="5" t="inlineStr"/>
      <c r="AR439" s="5" t="inlineStr"/>
      <c r="AS439" s="5" t="inlineStr"/>
      <c r="AT439" s="5" t="inlineStr"/>
      <c r="AU439" s="8" t="inlineStr">
        <is>
          <t>Not run</t>
        </is>
      </c>
    </row>
    <row r="440" ht="32" customHeight="1">
      <c r="A440" s="16" t="inlineStr">
        <is>
          <t>X-0439</t>
        </is>
      </c>
      <c r="B440" s="8" t="inlineStr">
        <is>
          <t>X</t>
        </is>
      </c>
      <c r="C440" s="5" t="inlineStr">
        <is>
          <t>Multiple / Cross-persona</t>
        </is>
      </c>
      <c r="D440" s="5" t="inlineStr">
        <is>
          <t>Security / Exception / Recovery</t>
        </is>
      </c>
      <c r="E440" s="5" t="inlineStr">
        <is>
          <t>Integration failure → transaction is not silently lost</t>
        </is>
      </c>
      <c r="F440" s="5" t="inlineStr">
        <is>
          <t>System / Integration Queue</t>
        </is>
      </c>
      <c r="G440" s="5" t="inlineStr">
        <is>
          <t>System Administrator</t>
        </is>
      </c>
      <c r="H440" s="5" t="inlineStr">
        <is>
          <t>WhatsApp or payment gateway network failure queued for automatic background retry</t>
        </is>
      </c>
      <c r="I440" s="5" t="inlineStr">
        <is>
          <t>Records failed payload in IntegrationOutbox queue; retries with exponential backoff</t>
        </is>
      </c>
      <c r="J440" s="20" t="inlineStr">
        <is>
          <t>P1</t>
        </is>
      </c>
      <c r="K440" s="20" t="inlineStr">
        <is>
          <t>Validated (Supported)</t>
        </is>
      </c>
      <c r="L440" s="5" t="inlineStr">
        <is>
          <t>Supported via Celery background task retry queue for external integrations.</t>
        </is>
      </c>
      <c r="M440" s="8" t="inlineStr">
        <is>
          <t>Baseline</t>
        </is>
      </c>
      <c r="N440" s="8" t="inlineStr">
        <is>
          <t>Cross-persona</t>
        </is>
      </c>
      <c r="O440" s="8" t="inlineStr">
        <is>
          <t>P1</t>
        </is>
      </c>
      <c r="P440" s="5" t="inlineStr">
        <is>
          <t>Unchanged</t>
        </is>
      </c>
      <c r="Q440" s="20" t="inlineStr">
        <is>
          <t>Author assertion</t>
        </is>
      </c>
      <c r="R440" s="5" t="inlineStr"/>
      <c r="S440" s="8" t="inlineStr">
        <is>
          <t>OTHER</t>
        </is>
      </c>
      <c r="T440" s="5" t="inlineStr">
        <is>
          <t>Security / Exception / Recovery</t>
        </is>
      </c>
      <c r="U440" s="8" t="inlineStr"/>
      <c r="V440" s="8" t="inlineStr"/>
      <c r="W440" s="8" t="inlineStr">
        <is>
          <t>CONTROL</t>
        </is>
      </c>
      <c r="X440" s="5" t="inlineStr">
        <is>
          <t>Core</t>
        </is>
      </c>
      <c r="Y440" s="5" t="inlineStr">
        <is>
          <t>Cross-persona</t>
        </is>
      </c>
      <c r="Z440" s="5" t="inlineStr">
        <is>
          <t>High</t>
        </is>
      </c>
      <c r="AA440" s="5" t="inlineStr">
        <is>
          <t>Medium</t>
        </is>
      </c>
      <c r="AB440" s="8" t="inlineStr">
        <is>
          <t>Medium</t>
        </is>
      </c>
      <c r="AC440" s="8" t="inlineStr">
        <is>
          <t>Pilot</t>
        </is>
      </c>
      <c r="AD440" s="5" t="inlineStr">
        <is>
          <t>Not independently checked</t>
        </is>
      </c>
      <c r="AE440" s="5" t="inlineStr">
        <is>
          <t>Not verified</t>
        </is>
      </c>
      <c r="AF440" s="5" t="inlineStr">
        <is>
          <t>Not verified</t>
        </is>
      </c>
      <c r="AG440" s="5" t="inlineStr">
        <is>
          <t>Not verified</t>
        </is>
      </c>
      <c r="AH440" s="5" t="inlineStr">
        <is>
          <t>Not verified</t>
        </is>
      </c>
      <c r="AI440" s="8" t="inlineStr">
        <is>
          <t>No</t>
        </is>
      </c>
      <c r="AJ440" s="8" t="inlineStr">
        <is>
          <t>Claimed - unverified</t>
        </is>
      </c>
      <c r="AK440" s="8" t="inlineStr">
        <is>
          <t>P1</t>
        </is>
      </c>
      <c r="AL440" s="8" t="n">
        <v>12</v>
      </c>
      <c r="AM440" s="5" t="inlineStr"/>
      <c r="AN440" s="5" t="inlineStr"/>
      <c r="AO440" s="5" t="inlineStr"/>
      <c r="AP440" s="5" t="inlineStr"/>
      <c r="AQ440" s="5" t="inlineStr"/>
      <c r="AR440" s="5" t="inlineStr"/>
      <c r="AS440" s="5" t="inlineStr"/>
      <c r="AT440" s="5" t="inlineStr"/>
      <c r="AU440" s="8" t="inlineStr">
        <is>
          <t>Not run</t>
        </is>
      </c>
    </row>
    <row r="441" ht="32" customHeight="1">
      <c r="A441" s="16" t="inlineStr">
        <is>
          <t>X-0440</t>
        </is>
      </c>
      <c r="B441" s="8" t="inlineStr">
        <is>
          <t>X</t>
        </is>
      </c>
      <c r="C441" s="5" t="inlineStr">
        <is>
          <t>Multiple / Cross-persona</t>
        </is>
      </c>
      <c r="D441" s="5" t="inlineStr">
        <is>
          <t>Security / Exception / Recovery</t>
        </is>
      </c>
      <c r="E441" s="5" t="inlineStr">
        <is>
          <t>GST integration failure → exception is visible</t>
        </is>
      </c>
      <c r="F441" s="5" t="inlineStr">
        <is>
          <t>System / GST Engine</t>
        </is>
      </c>
      <c r="G441" s="5" t="inlineStr">
        <is>
          <t>In-house Accountant</t>
        </is>
      </c>
      <c r="H441" s="5" t="inlineStr">
        <is>
          <t>Errors during government portal sync surfaced with actionable error descriptions</t>
        </is>
      </c>
      <c r="I441" s="5" t="inlineStr">
        <is>
          <t>Logs exact government error code (e.g. Invalid Token, Duplicate IRN) in GST Error Queue</t>
        </is>
      </c>
      <c r="J441" s="20" t="inlineStr">
        <is>
          <t>P1</t>
        </is>
      </c>
      <c r="K441" s="20" t="inlineStr">
        <is>
          <t>Validated (Supported)</t>
        </is>
      </c>
      <c r="L441" s="5" t="inlineStr">
        <is>
          <t>Supported via GST Integration Exception Dashboard.</t>
        </is>
      </c>
      <c r="M441" s="8" t="inlineStr">
        <is>
          <t>Baseline</t>
        </is>
      </c>
      <c r="N441" s="8" t="inlineStr">
        <is>
          <t>Cross-persona</t>
        </is>
      </c>
      <c r="O441" s="8" t="inlineStr">
        <is>
          <t>P1</t>
        </is>
      </c>
      <c r="P441" s="5" t="inlineStr">
        <is>
          <t>Unchanged</t>
        </is>
      </c>
      <c r="Q441" s="20" t="inlineStr">
        <is>
          <t>Author assertion</t>
        </is>
      </c>
      <c r="R441" s="5" t="inlineStr"/>
      <c r="S441" s="8" t="inlineStr">
        <is>
          <t>OTHER</t>
        </is>
      </c>
      <c r="T441" s="5" t="inlineStr">
        <is>
          <t>Security / Exception / Recovery</t>
        </is>
      </c>
      <c r="U441" s="8" t="inlineStr"/>
      <c r="V441" s="8" t="inlineStr"/>
      <c r="W441" s="8" t="inlineStr">
        <is>
          <t>CONTROL</t>
        </is>
      </c>
      <c r="X441" s="5" t="inlineStr">
        <is>
          <t>Core</t>
        </is>
      </c>
      <c r="Y441" s="5" t="inlineStr">
        <is>
          <t>Cross-persona</t>
        </is>
      </c>
      <c r="Z441" s="5" t="inlineStr">
        <is>
          <t>High</t>
        </is>
      </c>
      <c r="AA441" s="5" t="inlineStr">
        <is>
          <t>Medium</t>
        </is>
      </c>
      <c r="AB441" s="8" t="inlineStr">
        <is>
          <t>Medium</t>
        </is>
      </c>
      <c r="AC441" s="8" t="inlineStr">
        <is>
          <t>Pilot</t>
        </is>
      </c>
      <c r="AD441" s="5" t="inlineStr">
        <is>
          <t>Not independently checked</t>
        </is>
      </c>
      <c r="AE441" s="5" t="inlineStr">
        <is>
          <t>Not verified</t>
        </is>
      </c>
      <c r="AF441" s="5" t="inlineStr">
        <is>
          <t>Not verified</t>
        </is>
      </c>
      <c r="AG441" s="5" t="inlineStr">
        <is>
          <t>Not verified</t>
        </is>
      </c>
      <c r="AH441" s="5" t="inlineStr">
        <is>
          <t>Not verified</t>
        </is>
      </c>
      <c r="AI441" s="8" t="inlineStr">
        <is>
          <t>No</t>
        </is>
      </c>
      <c r="AJ441" s="8" t="inlineStr">
        <is>
          <t>Claimed - unverified</t>
        </is>
      </c>
      <c r="AK441" s="8" t="inlineStr">
        <is>
          <t>P1</t>
        </is>
      </c>
      <c r="AL441" s="8" t="n">
        <v>12</v>
      </c>
      <c r="AM441" s="5" t="inlineStr"/>
      <c r="AN441" s="5" t="inlineStr"/>
      <c r="AO441" s="5" t="inlineStr"/>
      <c r="AP441" s="5" t="inlineStr"/>
      <c r="AQ441" s="5" t="inlineStr"/>
      <c r="AR441" s="5" t="inlineStr"/>
      <c r="AS441" s="5" t="inlineStr"/>
      <c r="AT441" s="5" t="inlineStr"/>
      <c r="AU441" s="8" t="inlineStr">
        <is>
          <t>Not run</t>
        </is>
      </c>
    </row>
    <row r="442" ht="32" customHeight="1">
      <c r="A442" s="16" t="inlineStr">
        <is>
          <t>X-0441</t>
        </is>
      </c>
      <c r="B442" s="8" t="inlineStr">
        <is>
          <t>X</t>
        </is>
      </c>
      <c r="C442" s="5" t="inlineStr">
        <is>
          <t>Multiple / Cross-persona</t>
        </is>
      </c>
      <c r="D442" s="5" t="inlineStr">
        <is>
          <t>Security / Exception / Recovery</t>
        </is>
      </c>
      <c r="E442" s="5" t="inlineStr">
        <is>
          <t>Bulk operation failure → successful and failed records are separated</t>
        </is>
      </c>
      <c r="F442" s="5" t="inlineStr">
        <is>
          <t>System / Import Engine</t>
        </is>
      </c>
      <c r="G442" s="5" t="inlineStr">
        <is>
          <t>In-house Accountant</t>
        </is>
      </c>
      <c r="H442" s="5" t="inlineStr">
        <is>
          <t>Bulk CSV import processes valid rows while isolating invalid rows into downloadable error CSV</t>
        </is>
      </c>
      <c r="I442" s="5" t="inlineStr">
        <is>
          <t>Commits valid records; generates error spreadsheet showing exact row and column failures</t>
        </is>
      </c>
      <c r="J442" s="20" t="inlineStr">
        <is>
          <t>P1</t>
        </is>
      </c>
      <c r="K442" s="20" t="inlineStr">
        <is>
          <t>Validated (Supported)</t>
        </is>
      </c>
      <c r="L442" s="5" t="inlineStr">
        <is>
          <t>Supported via transactional bulk import engine with error CSV download.</t>
        </is>
      </c>
      <c r="M442" s="8" t="inlineStr">
        <is>
          <t>Baseline</t>
        </is>
      </c>
      <c r="N442" s="8" t="inlineStr">
        <is>
          <t>Cross-persona</t>
        </is>
      </c>
      <c r="O442" s="8" t="inlineStr">
        <is>
          <t>P1</t>
        </is>
      </c>
      <c r="P442" s="5" t="inlineStr">
        <is>
          <t>Unchanged</t>
        </is>
      </c>
      <c r="Q442" s="20" t="inlineStr">
        <is>
          <t>Author assertion</t>
        </is>
      </c>
      <c r="R442" s="5" t="inlineStr"/>
      <c r="S442" s="8" t="inlineStr">
        <is>
          <t>OTHER</t>
        </is>
      </c>
      <c r="T442" s="5" t="inlineStr">
        <is>
          <t>Security / Exception / Recovery</t>
        </is>
      </c>
      <c r="U442" s="8" t="inlineStr"/>
      <c r="V442" s="8" t="inlineStr"/>
      <c r="W442" s="8" t="inlineStr">
        <is>
          <t>CONTROL</t>
        </is>
      </c>
      <c r="X442" s="5" t="inlineStr">
        <is>
          <t>Core</t>
        </is>
      </c>
      <c r="Y442" s="5" t="inlineStr">
        <is>
          <t>Cross-persona</t>
        </is>
      </c>
      <c r="Z442" s="5" t="inlineStr">
        <is>
          <t>High</t>
        </is>
      </c>
      <c r="AA442" s="5" t="inlineStr">
        <is>
          <t>Medium</t>
        </is>
      </c>
      <c r="AB442" s="8" t="inlineStr">
        <is>
          <t>Medium</t>
        </is>
      </c>
      <c r="AC442" s="8" t="inlineStr">
        <is>
          <t>Pilot</t>
        </is>
      </c>
      <c r="AD442" s="5" t="inlineStr">
        <is>
          <t>Not independently checked</t>
        </is>
      </c>
      <c r="AE442" s="5" t="inlineStr">
        <is>
          <t>Not verified</t>
        </is>
      </c>
      <c r="AF442" s="5" t="inlineStr">
        <is>
          <t>Not verified</t>
        </is>
      </c>
      <c r="AG442" s="5" t="inlineStr">
        <is>
          <t>Not verified</t>
        </is>
      </c>
      <c r="AH442" s="5" t="inlineStr">
        <is>
          <t>Not verified</t>
        </is>
      </c>
      <c r="AI442" s="8" t="inlineStr">
        <is>
          <t>No</t>
        </is>
      </c>
      <c r="AJ442" s="8" t="inlineStr">
        <is>
          <t>Claimed - unverified</t>
        </is>
      </c>
      <c r="AK442" s="8" t="inlineStr">
        <is>
          <t>P1</t>
        </is>
      </c>
      <c r="AL442" s="8" t="n">
        <v>12</v>
      </c>
      <c r="AM442" s="5" t="inlineStr"/>
      <c r="AN442" s="5" t="inlineStr"/>
      <c r="AO442" s="5" t="inlineStr"/>
      <c r="AP442" s="5" t="inlineStr"/>
      <c r="AQ442" s="5" t="inlineStr"/>
      <c r="AR442" s="5" t="inlineStr"/>
      <c r="AS442" s="5" t="inlineStr"/>
      <c r="AT442" s="5" t="inlineStr"/>
      <c r="AU442" s="8" t="inlineStr">
        <is>
          <t>Not run</t>
        </is>
      </c>
    </row>
    <row r="443" ht="32" customHeight="1">
      <c r="A443" s="16" t="inlineStr">
        <is>
          <t>X-0442</t>
        </is>
      </c>
      <c r="B443" s="8" t="inlineStr">
        <is>
          <t>X</t>
        </is>
      </c>
      <c r="C443" s="5" t="inlineStr">
        <is>
          <t>Multiple / Cross-persona</t>
        </is>
      </c>
      <c r="D443" s="5" t="inlineStr">
        <is>
          <t>Security / Exception / Recovery</t>
        </is>
      </c>
      <c r="E443" s="5" t="inlineStr">
        <is>
          <t>Incorrect transaction → authorized correction mechanism exists</t>
        </is>
      </c>
      <c r="F443" s="5" t="inlineStr">
        <is>
          <t>In-house Accountant</t>
        </is>
      </c>
      <c r="G443" s="5" t="inlineStr">
        <is>
          <t>Business Owner</t>
        </is>
      </c>
      <c r="H443" s="5" t="inlineStr">
        <is>
          <t>Legitimate mechanism to void, cancel, or amend wrong bills while preserving audit history</t>
        </is>
      </c>
      <c r="I443" s="5" t="inlineStr">
        <is>
          <t>Generates offsetting reversal voucher; prompts user for mandatory cancellation reason</t>
        </is>
      </c>
      <c r="J443" s="20" t="inlineStr">
        <is>
          <t>P1</t>
        </is>
      </c>
      <c r="K443" s="20" t="inlineStr">
        <is>
          <t>Validated (Supported)</t>
        </is>
      </c>
      <c r="L443" s="5" t="inlineStr">
        <is>
          <t>Supported via formal Document Cancellation and Credit/Debit Note workflows.</t>
        </is>
      </c>
      <c r="M443" s="8" t="inlineStr">
        <is>
          <t>Baseline</t>
        </is>
      </c>
      <c r="N443" s="8" t="inlineStr">
        <is>
          <t>Cross-persona</t>
        </is>
      </c>
      <c r="O443" s="8" t="inlineStr">
        <is>
          <t>P1</t>
        </is>
      </c>
      <c r="P443" s="5" t="inlineStr">
        <is>
          <t>Unchanged</t>
        </is>
      </c>
      <c r="Q443" s="20" t="inlineStr">
        <is>
          <t>Author assertion</t>
        </is>
      </c>
      <c r="R443" s="5" t="inlineStr"/>
      <c r="S443" s="8" t="inlineStr">
        <is>
          <t>OTHER</t>
        </is>
      </c>
      <c r="T443" s="5" t="inlineStr">
        <is>
          <t>Security / Exception / Recovery</t>
        </is>
      </c>
      <c r="U443" s="8" t="inlineStr"/>
      <c r="V443" s="8" t="inlineStr"/>
      <c r="W443" s="8" t="inlineStr">
        <is>
          <t>CONTROL</t>
        </is>
      </c>
      <c r="X443" s="5" t="inlineStr">
        <is>
          <t>Core</t>
        </is>
      </c>
      <c r="Y443" s="5" t="inlineStr">
        <is>
          <t>Cross-persona</t>
        </is>
      </c>
      <c r="Z443" s="5" t="inlineStr">
        <is>
          <t>High</t>
        </is>
      </c>
      <c r="AA443" s="5" t="inlineStr">
        <is>
          <t>Medium</t>
        </is>
      </c>
      <c r="AB443" s="8" t="inlineStr">
        <is>
          <t>Medium</t>
        </is>
      </c>
      <c r="AC443" s="8" t="inlineStr">
        <is>
          <t>Pilot</t>
        </is>
      </c>
      <c r="AD443" s="5" t="inlineStr">
        <is>
          <t>Not independently checked</t>
        </is>
      </c>
      <c r="AE443" s="5" t="inlineStr">
        <is>
          <t>Not verified</t>
        </is>
      </c>
      <c r="AF443" s="5" t="inlineStr">
        <is>
          <t>Not verified</t>
        </is>
      </c>
      <c r="AG443" s="5" t="inlineStr">
        <is>
          <t>Not verified</t>
        </is>
      </c>
      <c r="AH443" s="5" t="inlineStr">
        <is>
          <t>Not verified</t>
        </is>
      </c>
      <c r="AI443" s="8" t="inlineStr">
        <is>
          <t>No</t>
        </is>
      </c>
      <c r="AJ443" s="8" t="inlineStr">
        <is>
          <t>Claimed - unverified</t>
        </is>
      </c>
      <c r="AK443" s="8" t="inlineStr">
        <is>
          <t>P1</t>
        </is>
      </c>
      <c r="AL443" s="8" t="n">
        <v>12</v>
      </c>
      <c r="AM443" s="5" t="inlineStr"/>
      <c r="AN443" s="5" t="inlineStr"/>
      <c r="AO443" s="5" t="inlineStr"/>
      <c r="AP443" s="5" t="inlineStr"/>
      <c r="AQ443" s="5" t="inlineStr"/>
      <c r="AR443" s="5" t="inlineStr"/>
      <c r="AS443" s="5" t="inlineStr"/>
      <c r="AT443" s="5" t="inlineStr"/>
      <c r="AU443" s="8" t="inlineStr">
        <is>
          <t>Not run</t>
        </is>
      </c>
    </row>
    <row r="444" ht="32" customHeight="1">
      <c r="A444" s="16" t="inlineStr">
        <is>
          <t>X-0443</t>
        </is>
      </c>
      <c r="B444" s="8" t="inlineStr">
        <is>
          <t>X</t>
        </is>
      </c>
      <c r="C444" s="5" t="inlineStr">
        <is>
          <t>Multiple / Cross-persona</t>
        </is>
      </c>
      <c r="D444" s="5" t="inlineStr">
        <is>
          <t>Security / Exception / Recovery</t>
        </is>
      </c>
      <c r="E444" s="5" t="inlineStr">
        <is>
          <t>Cancellation → downstream impacts are correctly reversed</t>
        </is>
      </c>
      <c r="F444" s="5" t="inlineStr">
        <is>
          <t>System / Ledger Engine</t>
        </is>
      </c>
      <c r="G444" s="5" t="inlineStr">
        <is>
          <t>In-house Accountant</t>
        </is>
      </c>
      <c r="H444" s="5" t="inlineStr">
        <is>
          <t>Cancelling an invoice completely reverses stock decrements, AR debits, and tax liabilities</t>
        </is>
      </c>
      <c r="I444" s="5" t="inlineStr">
        <is>
          <t>Atomically posts reversal movements and GL vouchers in single database transaction</t>
        </is>
      </c>
      <c r="J444" s="20" t="inlineStr">
        <is>
          <t>P1</t>
        </is>
      </c>
      <c r="K444" s="20" t="inlineStr">
        <is>
          <t>Validated (Supported)</t>
        </is>
      </c>
      <c r="L444" s="5" t="inlineStr">
        <is>
          <t>Core system invariant: cancellation atomically reverses stock, receivables, and taxes.</t>
        </is>
      </c>
      <c r="M444" s="8" t="inlineStr">
        <is>
          <t>Baseline</t>
        </is>
      </c>
      <c r="N444" s="8" t="inlineStr">
        <is>
          <t>Cross-persona</t>
        </is>
      </c>
      <c r="O444" s="8" t="inlineStr">
        <is>
          <t>P1</t>
        </is>
      </c>
      <c r="P444" s="5" t="inlineStr">
        <is>
          <t>Restored to authored P1. The previous workbook had P0 after a keyword rebalance.</t>
        </is>
      </c>
      <c r="Q444" s="20" t="inlineStr">
        <is>
          <t>Author assertion</t>
        </is>
      </c>
      <c r="R444" s="5" t="inlineStr">
        <is>
          <t>Restored to authored P1. The previous workbook had P0 after a keyword rebalance.</t>
        </is>
      </c>
      <c r="S444" s="8" t="inlineStr">
        <is>
          <t>OTHER</t>
        </is>
      </c>
      <c r="T444" s="5" t="inlineStr">
        <is>
          <t>Security / Exception / Recovery</t>
        </is>
      </c>
      <c r="U444" s="8" t="inlineStr"/>
      <c r="V444" s="8" t="inlineStr"/>
      <c r="W444" s="8" t="inlineStr">
        <is>
          <t>CONTROL</t>
        </is>
      </c>
      <c r="X444" s="5" t="inlineStr">
        <is>
          <t>Core</t>
        </is>
      </c>
      <c r="Y444" s="5" t="inlineStr">
        <is>
          <t>Cross-persona</t>
        </is>
      </c>
      <c r="Z444" s="5" t="inlineStr">
        <is>
          <t>High</t>
        </is>
      </c>
      <c r="AA444" s="5" t="inlineStr">
        <is>
          <t>Medium</t>
        </is>
      </c>
      <c r="AB444" s="8" t="inlineStr">
        <is>
          <t>Medium</t>
        </is>
      </c>
      <c r="AC444" s="8" t="inlineStr">
        <is>
          <t>Pilot</t>
        </is>
      </c>
      <c r="AD444" s="5" t="inlineStr">
        <is>
          <t>Not independently checked</t>
        </is>
      </c>
      <c r="AE444" s="5" t="inlineStr">
        <is>
          <t>Not verified</t>
        </is>
      </c>
      <c r="AF444" s="5" t="inlineStr">
        <is>
          <t>Not verified</t>
        </is>
      </c>
      <c r="AG444" s="5" t="inlineStr">
        <is>
          <t>Not verified</t>
        </is>
      </c>
      <c r="AH444" s="5" t="inlineStr">
        <is>
          <t>Not verified</t>
        </is>
      </c>
      <c r="AI444" s="8" t="inlineStr">
        <is>
          <t>No</t>
        </is>
      </c>
      <c r="AJ444" s="8" t="inlineStr">
        <is>
          <t>Claimed - unverified</t>
        </is>
      </c>
      <c r="AK444" s="8" t="inlineStr">
        <is>
          <t>P1</t>
        </is>
      </c>
      <c r="AL444" s="8" t="n">
        <v>12</v>
      </c>
      <c r="AM444" s="5" t="inlineStr"/>
      <c r="AN444" s="5" t="inlineStr"/>
      <c r="AO444" s="5" t="inlineStr"/>
      <c r="AP444" s="5" t="inlineStr"/>
      <c r="AQ444" s="5" t="inlineStr"/>
      <c r="AR444" s="5" t="inlineStr"/>
      <c r="AS444" s="5" t="inlineStr"/>
      <c r="AT444" s="5" t="inlineStr"/>
      <c r="AU444" s="8" t="inlineStr">
        <is>
          <t>Not run</t>
        </is>
      </c>
    </row>
    <row r="445" ht="32" customHeight="1">
      <c r="A445" s="16" t="inlineStr">
        <is>
          <t>X-0444</t>
        </is>
      </c>
      <c r="B445" s="8" t="inlineStr">
        <is>
          <t>X</t>
        </is>
      </c>
      <c r="C445" s="5" t="inlineStr">
        <is>
          <t>Multiple / Cross-persona</t>
        </is>
      </c>
      <c r="D445" s="5" t="inlineStr">
        <is>
          <t>Security / Exception / Recovery</t>
        </is>
      </c>
      <c r="E445" s="5" t="inlineStr">
        <is>
          <t>System recovery → financial/inventory integrity is preserved</t>
        </is>
      </c>
      <c r="F445" s="5" t="inlineStr">
        <is>
          <t>System Administrator</t>
        </is>
      </c>
      <c r="G445" s="5" t="inlineStr">
        <is>
          <t>Statutory Auditor</t>
        </is>
      </c>
      <c r="H445" s="5" t="inlineStr">
        <is>
          <t>Unplanned server crash or power cut leaves zero corrupted half-completed transactions</t>
        </is>
      </c>
      <c r="I445" s="5" t="inlineStr">
        <is>
          <t>Enforces ACID compliance; uncommitted transactions rolled back completely by PostgreSQL</t>
        </is>
      </c>
      <c r="J445" s="20" t="inlineStr">
        <is>
          <t>P1</t>
        </is>
      </c>
      <c r="K445" s="20" t="inlineStr">
        <is>
          <t>Validated (Supported)</t>
        </is>
      </c>
      <c r="L445" s="5" t="inlineStr">
        <is>
          <t>Core architectural invariant: all operations wrapped in atomic database transactions.</t>
        </is>
      </c>
      <c r="M445" s="8" t="inlineStr">
        <is>
          <t>Baseline</t>
        </is>
      </c>
      <c r="N445" s="8" t="inlineStr">
        <is>
          <t>Cross-persona</t>
        </is>
      </c>
      <c r="O445" s="8" t="inlineStr">
        <is>
          <t>P1</t>
        </is>
      </c>
      <c r="P445" s="5" t="inlineStr">
        <is>
          <t>Restored to authored P1. The previous workbook had P0 after a keyword rebalance.</t>
        </is>
      </c>
      <c r="Q445" s="20" t="inlineStr">
        <is>
          <t>Author assertion</t>
        </is>
      </c>
      <c r="R445" s="5" t="inlineStr">
        <is>
          <t>Restored to authored P1. The previous workbook had P0 after a keyword rebalance.</t>
        </is>
      </c>
      <c r="S445" s="8" t="inlineStr">
        <is>
          <t>OTHER</t>
        </is>
      </c>
      <c r="T445" s="5" t="inlineStr">
        <is>
          <t>Security / Exception / Recovery</t>
        </is>
      </c>
      <c r="U445" s="8" t="inlineStr"/>
      <c r="V445" s="8" t="inlineStr"/>
      <c r="W445" s="8" t="inlineStr">
        <is>
          <t>CONTROL</t>
        </is>
      </c>
      <c r="X445" s="5" t="inlineStr">
        <is>
          <t>Core</t>
        </is>
      </c>
      <c r="Y445" s="5" t="inlineStr">
        <is>
          <t>Cross-persona</t>
        </is>
      </c>
      <c r="Z445" s="5" t="inlineStr">
        <is>
          <t>High</t>
        </is>
      </c>
      <c r="AA445" s="5" t="inlineStr">
        <is>
          <t>Medium</t>
        </is>
      </c>
      <c r="AB445" s="8" t="inlineStr">
        <is>
          <t>Medium</t>
        </is>
      </c>
      <c r="AC445" s="8" t="inlineStr">
        <is>
          <t>Pilot</t>
        </is>
      </c>
      <c r="AD445" s="5" t="inlineStr">
        <is>
          <t>Not independently checked</t>
        </is>
      </c>
      <c r="AE445" s="5" t="inlineStr">
        <is>
          <t>Not verified</t>
        </is>
      </c>
      <c r="AF445" s="5" t="inlineStr">
        <is>
          <t>Not verified</t>
        </is>
      </c>
      <c r="AG445" s="5" t="inlineStr">
        <is>
          <t>Not verified</t>
        </is>
      </c>
      <c r="AH445" s="5" t="inlineStr">
        <is>
          <t>Not verified</t>
        </is>
      </c>
      <c r="AI445" s="8" t="inlineStr">
        <is>
          <t>No</t>
        </is>
      </c>
      <c r="AJ445" s="8" t="inlineStr">
        <is>
          <t>Claimed - unverified</t>
        </is>
      </c>
      <c r="AK445" s="8" t="inlineStr">
        <is>
          <t>P1</t>
        </is>
      </c>
      <c r="AL445" s="8" t="n">
        <v>12</v>
      </c>
      <c r="AM445" s="5" t="inlineStr"/>
      <c r="AN445" s="5" t="inlineStr"/>
      <c r="AO445" s="5" t="inlineStr"/>
      <c r="AP445" s="5" t="inlineStr"/>
      <c r="AQ445" s="5" t="inlineStr"/>
      <c r="AR445" s="5" t="inlineStr"/>
      <c r="AS445" s="5" t="inlineStr"/>
      <c r="AT445" s="5" t="inlineStr"/>
      <c r="AU445" s="8" t="inlineStr">
        <is>
          <t>Not run</t>
        </is>
      </c>
    </row>
    <row r="446" ht="32" customHeight="1">
      <c r="A446" s="16" t="inlineStr">
        <is>
          <t>X-0445</t>
        </is>
      </c>
      <c r="B446" s="8" t="inlineStr">
        <is>
          <t>X</t>
        </is>
      </c>
      <c r="C446" s="5" t="inlineStr">
        <is>
          <t>Multiple / Cross-persona</t>
        </is>
      </c>
      <c r="D446" s="5" t="inlineStr">
        <is>
          <t>Communication &amp; Integrations</t>
        </is>
      </c>
      <c r="E446" s="5" t="inlineStr">
        <is>
          <t>Invoice generated → invoice sent to customer through WhatsApp</t>
        </is>
      </c>
      <c r="F446" s="5" t="inlineStr">
        <is>
          <t>Counter Clerk / Salesperson</t>
        </is>
      </c>
      <c r="G446" s="5" t="inlineStr">
        <is>
          <t>Customer</t>
        </is>
      </c>
      <c r="H446" s="5" t="inlineStr">
        <is>
          <t>Deliver professional invoice PDF and summary directly to customer's WhatsApp</t>
        </is>
      </c>
      <c r="I446" s="5" t="inlineStr">
        <is>
          <t>Opens WhatsApp Web / app with pre-filled message and secure invoice download link</t>
        </is>
      </c>
      <c r="J446" s="20" t="inlineStr">
        <is>
          <t>P1</t>
        </is>
      </c>
      <c r="K446" s="20" t="inlineStr">
        <is>
          <t>Validated (Supported)</t>
        </is>
      </c>
      <c r="L446" s="5" t="inlineStr">
        <is>
          <t>Supported via WhatsApp click-to-chat API integration and shareable link.</t>
        </is>
      </c>
      <c r="M446" s="8" t="inlineStr">
        <is>
          <t>Baseline</t>
        </is>
      </c>
      <c r="N446" s="8" t="inlineStr">
        <is>
          <t>Cross-persona</t>
        </is>
      </c>
      <c r="O446" s="8" t="inlineStr">
        <is>
          <t>P1</t>
        </is>
      </c>
      <c r="P446" s="5" t="inlineStr">
        <is>
          <t>Unchanged</t>
        </is>
      </c>
      <c r="Q446" s="21" t="inlineStr">
        <is>
          <t>Code symbol found</t>
        </is>
      </c>
      <c r="R446" s="5" t="inlineStr">
        <is>
          <t>Matched WhatsApp in product code. This is not a functional test.</t>
        </is>
      </c>
      <c r="S446" s="8" t="inlineStr">
        <is>
          <t>INT</t>
        </is>
      </c>
      <c r="T446" s="5" t="inlineStr">
        <is>
          <t>Communication and integrations</t>
        </is>
      </c>
      <c r="U446" s="8" t="inlineStr"/>
      <c r="V446" s="8" t="inlineStr">
        <is>
          <t>integrations</t>
        </is>
      </c>
      <c r="W446" s="8" t="inlineStr">
        <is>
          <t>KERNEL</t>
        </is>
      </c>
      <c r="X446" s="5" t="inlineStr">
        <is>
          <t>Core</t>
        </is>
      </c>
      <c r="Y446" s="5" t="inlineStr">
        <is>
          <t>Cross-persona</t>
        </is>
      </c>
      <c r="Z446" s="5" t="inlineStr">
        <is>
          <t>Medium</t>
        </is>
      </c>
      <c r="AA446" s="5" t="inlineStr">
        <is>
          <t>Medium</t>
        </is>
      </c>
      <c r="AB446" s="8" t="inlineStr">
        <is>
          <t>Low</t>
        </is>
      </c>
      <c r="AC446" s="8" t="inlineStr">
        <is>
          <t>Later</t>
        </is>
      </c>
      <c r="AD446" s="5" t="inlineStr">
        <is>
          <t>Cited in code</t>
        </is>
      </c>
      <c r="AE446" s="5" t="inlineStr">
        <is>
          <t>Not verified</t>
        </is>
      </c>
      <c r="AF446" s="5" t="inlineStr">
        <is>
          <t>Not verified</t>
        </is>
      </c>
      <c r="AG446" s="5" t="inlineStr">
        <is>
          <t>Not verified</t>
        </is>
      </c>
      <c r="AH446" s="5" t="inlineStr">
        <is>
          <t>Not verified</t>
        </is>
      </c>
      <c r="AI446" s="8" t="inlineStr">
        <is>
          <t>No</t>
        </is>
      </c>
      <c r="AJ446" s="8" t="inlineStr">
        <is>
          <t>Built - unverified</t>
        </is>
      </c>
      <c r="AK446" s="8" t="inlineStr">
        <is>
          <t>P1</t>
        </is>
      </c>
      <c r="AL446" s="8" t="n">
        <v>6</v>
      </c>
      <c r="AM446" s="5" t="inlineStr"/>
      <c r="AN446" s="5" t="inlineStr"/>
      <c r="AO446" s="5" t="inlineStr"/>
      <c r="AP446" s="5" t="inlineStr"/>
      <c r="AQ446" s="5" t="inlineStr"/>
      <c r="AR446" s="5" t="inlineStr"/>
      <c r="AS446" s="5" t="inlineStr"/>
      <c r="AT446" s="5" t="inlineStr"/>
      <c r="AU446" s="8" t="inlineStr">
        <is>
          <t>Not run</t>
        </is>
      </c>
    </row>
    <row r="447" ht="32" customHeight="1">
      <c r="A447" s="16" t="inlineStr">
        <is>
          <t>X-0446</t>
        </is>
      </c>
      <c r="B447" s="8" t="inlineStr">
        <is>
          <t>X</t>
        </is>
      </c>
      <c r="C447" s="5" t="inlineStr">
        <is>
          <t>Multiple / Cross-persona</t>
        </is>
      </c>
      <c r="D447" s="5" t="inlineStr">
        <is>
          <t>Communication &amp; Integrations</t>
        </is>
      </c>
      <c r="E447" s="5" t="inlineStr">
        <is>
          <t>Payment reminder → customer receives reminder</t>
        </is>
      </c>
      <c r="F447" s="5" t="inlineStr">
        <is>
          <t>Credit Controller</t>
        </is>
      </c>
      <c r="G447" s="5" t="inlineStr">
        <is>
          <t>Customer</t>
        </is>
      </c>
      <c r="H447" s="5" t="inlineStr">
        <is>
          <t>Automated payment reminder delivered to customer WhatsApp/SMS with due amount and payment QR</t>
        </is>
      </c>
      <c r="I447" s="5" t="inlineStr">
        <is>
          <t>Dispatches reminder message; tracks delivery and customer acknowledgment status</t>
        </is>
      </c>
      <c r="J447" s="20" t="inlineStr">
        <is>
          <t>P1</t>
        </is>
      </c>
      <c r="K447" s="20" t="inlineStr">
        <is>
          <t>Validated (Supported)</t>
        </is>
      </c>
      <c r="L447" s="5" t="inlineStr">
        <is>
          <t>Supported via WhatsApp automated payment reminder dispatch.</t>
        </is>
      </c>
      <c r="M447" s="8" t="inlineStr">
        <is>
          <t>Baseline</t>
        </is>
      </c>
      <c r="N447" s="8" t="inlineStr">
        <is>
          <t>Cross-persona</t>
        </is>
      </c>
      <c r="O447" s="8" t="inlineStr">
        <is>
          <t>P1</t>
        </is>
      </c>
      <c r="P447" s="5" t="inlineStr">
        <is>
          <t>Unchanged</t>
        </is>
      </c>
      <c r="Q447" s="21" t="inlineStr">
        <is>
          <t>Code symbol found</t>
        </is>
      </c>
      <c r="R447" s="5" t="inlineStr">
        <is>
          <t>Matched WhatsApp in product code. This is not a functional test.</t>
        </is>
      </c>
      <c r="S447" s="8" t="inlineStr">
        <is>
          <t>INT</t>
        </is>
      </c>
      <c r="T447" s="5" t="inlineStr">
        <is>
          <t>Communication and integrations</t>
        </is>
      </c>
      <c r="U447" s="8" t="inlineStr"/>
      <c r="V447" s="8" t="inlineStr">
        <is>
          <t>integrations</t>
        </is>
      </c>
      <c r="W447" s="8" t="inlineStr">
        <is>
          <t>KERNEL</t>
        </is>
      </c>
      <c r="X447" s="5" t="inlineStr">
        <is>
          <t>Core</t>
        </is>
      </c>
      <c r="Y447" s="5" t="inlineStr">
        <is>
          <t>Cross-persona</t>
        </is>
      </c>
      <c r="Z447" s="5" t="inlineStr">
        <is>
          <t>Medium</t>
        </is>
      </c>
      <c r="AA447" s="5" t="inlineStr">
        <is>
          <t>Medium</t>
        </is>
      </c>
      <c r="AB447" s="8" t="inlineStr">
        <is>
          <t>Low</t>
        </is>
      </c>
      <c r="AC447" s="8" t="inlineStr">
        <is>
          <t>Later</t>
        </is>
      </c>
      <c r="AD447" s="5" t="inlineStr">
        <is>
          <t>Cited in code</t>
        </is>
      </c>
      <c r="AE447" s="5" t="inlineStr">
        <is>
          <t>Not verified</t>
        </is>
      </c>
      <c r="AF447" s="5" t="inlineStr">
        <is>
          <t>Not verified</t>
        </is>
      </c>
      <c r="AG447" s="5" t="inlineStr">
        <is>
          <t>Not verified</t>
        </is>
      </c>
      <c r="AH447" s="5" t="inlineStr">
        <is>
          <t>Not verified</t>
        </is>
      </c>
      <c r="AI447" s="8" t="inlineStr">
        <is>
          <t>No</t>
        </is>
      </c>
      <c r="AJ447" s="8" t="inlineStr">
        <is>
          <t>Built - unverified</t>
        </is>
      </c>
      <c r="AK447" s="8" t="inlineStr">
        <is>
          <t>P1</t>
        </is>
      </c>
      <c r="AL447" s="8" t="n">
        <v>6</v>
      </c>
      <c r="AM447" s="5" t="inlineStr"/>
      <c r="AN447" s="5" t="inlineStr"/>
      <c r="AO447" s="5" t="inlineStr"/>
      <c r="AP447" s="5" t="inlineStr"/>
      <c r="AQ447" s="5" t="inlineStr"/>
      <c r="AR447" s="5" t="inlineStr"/>
      <c r="AS447" s="5" t="inlineStr"/>
      <c r="AT447" s="5" t="inlineStr"/>
      <c r="AU447" s="8" t="inlineStr">
        <is>
          <t>Not run</t>
        </is>
      </c>
    </row>
    <row r="448" ht="32" customHeight="1">
      <c r="A448" s="16" t="inlineStr">
        <is>
          <t>X-0447</t>
        </is>
      </c>
      <c r="B448" s="8" t="inlineStr">
        <is>
          <t>X</t>
        </is>
      </c>
      <c r="C448" s="5" t="inlineStr">
        <is>
          <t>Multiple / Cross-persona</t>
        </is>
      </c>
      <c r="D448" s="5" t="inlineStr">
        <is>
          <t>Communication &amp; Integrations</t>
        </is>
      </c>
      <c r="E448" s="5" t="inlineStr">
        <is>
          <t>Order confirmation → customer receives confirmation</t>
        </is>
      </c>
      <c r="F448" s="5" t="inlineStr">
        <is>
          <t>Sales Desk</t>
        </is>
      </c>
      <c r="G448" s="5" t="inlineStr">
        <is>
          <t>Customer</t>
        </is>
      </c>
      <c r="H448" s="5" t="inlineStr">
        <is>
          <t>Customer receives instant digital order confirmation receipt upon order booking</t>
        </is>
      </c>
      <c r="I448" s="5" t="inlineStr">
        <is>
          <t>Sends order confirmation notification with expected delivery date and items ordered</t>
        </is>
      </c>
      <c r="J448" s="20" t="inlineStr">
        <is>
          <t>P1</t>
        </is>
      </c>
      <c r="K448" s="20" t="inlineStr">
        <is>
          <t>Validated (Supported)</t>
        </is>
      </c>
      <c r="L448" s="5" t="inlineStr">
        <is>
          <t>Supported via automated order notification webhook.</t>
        </is>
      </c>
      <c r="M448" s="8" t="inlineStr">
        <is>
          <t>Baseline</t>
        </is>
      </c>
      <c r="N448" s="8" t="inlineStr">
        <is>
          <t>Cross-persona</t>
        </is>
      </c>
      <c r="O448" s="8" t="inlineStr">
        <is>
          <t>P1</t>
        </is>
      </c>
      <c r="P448" s="5" t="inlineStr">
        <is>
          <t>Unchanged</t>
        </is>
      </c>
      <c r="Q448" s="20" t="inlineStr">
        <is>
          <t>Author assertion</t>
        </is>
      </c>
      <c r="R448" s="5" t="inlineStr"/>
      <c r="S448" s="8" t="inlineStr">
        <is>
          <t>INT</t>
        </is>
      </c>
      <c r="T448" s="5" t="inlineStr">
        <is>
          <t>Communication and integrations</t>
        </is>
      </c>
      <c r="U448" s="8" t="inlineStr"/>
      <c r="V448" s="8" t="inlineStr">
        <is>
          <t>integrations</t>
        </is>
      </c>
      <c r="W448" s="8" t="inlineStr">
        <is>
          <t>KERNEL</t>
        </is>
      </c>
      <c r="X448" s="5" t="inlineStr">
        <is>
          <t>Core</t>
        </is>
      </c>
      <c r="Y448" s="5" t="inlineStr">
        <is>
          <t>Cross-persona</t>
        </is>
      </c>
      <c r="Z448" s="5" t="inlineStr">
        <is>
          <t>Medium</t>
        </is>
      </c>
      <c r="AA448" s="5" t="inlineStr">
        <is>
          <t>Medium</t>
        </is>
      </c>
      <c r="AB448" s="8" t="inlineStr">
        <is>
          <t>Low</t>
        </is>
      </c>
      <c r="AC448" s="8" t="inlineStr">
        <is>
          <t>Later</t>
        </is>
      </c>
      <c r="AD448" s="5" t="inlineStr">
        <is>
          <t>Not independently checked</t>
        </is>
      </c>
      <c r="AE448" s="5" t="inlineStr">
        <is>
          <t>Not verified</t>
        </is>
      </c>
      <c r="AF448" s="5" t="inlineStr">
        <is>
          <t>Not verified</t>
        </is>
      </c>
      <c r="AG448" s="5" t="inlineStr">
        <is>
          <t>Not verified</t>
        </is>
      </c>
      <c r="AH448" s="5" t="inlineStr">
        <is>
          <t>Not verified</t>
        </is>
      </c>
      <c r="AI448" s="8" t="inlineStr">
        <is>
          <t>No</t>
        </is>
      </c>
      <c r="AJ448" s="8" t="inlineStr">
        <is>
          <t>Claimed - unverified</t>
        </is>
      </c>
      <c r="AK448" s="8" t="inlineStr">
        <is>
          <t>P1</t>
        </is>
      </c>
      <c r="AL448" s="8" t="n">
        <v>6</v>
      </c>
      <c r="AM448" s="5" t="inlineStr"/>
      <c r="AN448" s="5" t="inlineStr"/>
      <c r="AO448" s="5" t="inlineStr"/>
      <c r="AP448" s="5" t="inlineStr"/>
      <c r="AQ448" s="5" t="inlineStr"/>
      <c r="AR448" s="5" t="inlineStr"/>
      <c r="AS448" s="5" t="inlineStr"/>
      <c r="AT448" s="5" t="inlineStr"/>
      <c r="AU448" s="8" t="inlineStr">
        <is>
          <t>Not run</t>
        </is>
      </c>
    </row>
    <row r="449" ht="32" customHeight="1">
      <c r="A449" s="16" t="inlineStr">
        <is>
          <t>X-0448</t>
        </is>
      </c>
      <c r="B449" s="8" t="inlineStr">
        <is>
          <t>X</t>
        </is>
      </c>
      <c r="C449" s="5" t="inlineStr">
        <is>
          <t>Multiple / Cross-persona</t>
        </is>
      </c>
      <c r="D449" s="5" t="inlineStr">
        <is>
          <t>Communication &amp; Integrations</t>
        </is>
      </c>
      <c r="E449" s="5" t="inlineStr">
        <is>
          <t>Delivery update → customer receives update</t>
        </is>
      </c>
      <c r="F449" s="5" t="inlineStr">
        <is>
          <t>Logistics Dispatcher</t>
        </is>
      </c>
      <c r="G449" s="5" t="inlineStr">
        <is>
          <t>Customer</t>
        </is>
      </c>
      <c r="H449" s="5" t="inlineStr">
        <is>
          <t>Customer receives real-time update when order is dispatched with vehicle tracking info</t>
        </is>
      </c>
      <c r="I449" s="5" t="inlineStr">
        <is>
          <t>Dispatches dispatch notification with driver phone number and estimated delivery time</t>
        </is>
      </c>
      <c r="J449" s="20" t="inlineStr">
        <is>
          <t>P1</t>
        </is>
      </c>
      <c r="K449" s="20" t="inlineStr">
        <is>
          <t>Validated (Supported)</t>
        </is>
      </c>
      <c r="L449" s="5" t="inlineStr">
        <is>
          <t>Supported via delivery challan dispatch event webhook.</t>
        </is>
      </c>
      <c r="M449" s="8" t="inlineStr">
        <is>
          <t>Baseline</t>
        </is>
      </c>
      <c r="N449" s="8" t="inlineStr">
        <is>
          <t>Cross-persona</t>
        </is>
      </c>
      <c r="O449" s="8" t="inlineStr">
        <is>
          <t>P1</t>
        </is>
      </c>
      <c r="P449" s="5" t="inlineStr">
        <is>
          <t>Unchanged</t>
        </is>
      </c>
      <c r="Q449" s="20" t="inlineStr">
        <is>
          <t>Author assertion</t>
        </is>
      </c>
      <c r="R449" s="5" t="inlineStr"/>
      <c r="S449" s="8" t="inlineStr">
        <is>
          <t>INT</t>
        </is>
      </c>
      <c r="T449" s="5" t="inlineStr">
        <is>
          <t>Communication and integrations</t>
        </is>
      </c>
      <c r="U449" s="8" t="inlineStr"/>
      <c r="V449" s="8" t="inlineStr">
        <is>
          <t>integrations</t>
        </is>
      </c>
      <c r="W449" s="8" t="inlineStr">
        <is>
          <t>KERNEL</t>
        </is>
      </c>
      <c r="X449" s="5" t="inlineStr">
        <is>
          <t>Core</t>
        </is>
      </c>
      <c r="Y449" s="5" t="inlineStr">
        <is>
          <t>Cross-persona</t>
        </is>
      </c>
      <c r="Z449" s="5" t="inlineStr">
        <is>
          <t>Medium</t>
        </is>
      </c>
      <c r="AA449" s="5" t="inlineStr">
        <is>
          <t>Medium</t>
        </is>
      </c>
      <c r="AB449" s="8" t="inlineStr">
        <is>
          <t>Low</t>
        </is>
      </c>
      <c r="AC449" s="8" t="inlineStr">
        <is>
          <t>Later</t>
        </is>
      </c>
      <c r="AD449" s="5" t="inlineStr">
        <is>
          <t>Not independently checked</t>
        </is>
      </c>
      <c r="AE449" s="5" t="inlineStr">
        <is>
          <t>Not verified</t>
        </is>
      </c>
      <c r="AF449" s="5" t="inlineStr">
        <is>
          <t>Not verified</t>
        </is>
      </c>
      <c r="AG449" s="5" t="inlineStr">
        <is>
          <t>Not verified</t>
        </is>
      </c>
      <c r="AH449" s="5" t="inlineStr">
        <is>
          <t>Not verified</t>
        </is>
      </c>
      <c r="AI449" s="8" t="inlineStr">
        <is>
          <t>No</t>
        </is>
      </c>
      <c r="AJ449" s="8" t="inlineStr">
        <is>
          <t>Claimed - unverified</t>
        </is>
      </c>
      <c r="AK449" s="8" t="inlineStr">
        <is>
          <t>P1</t>
        </is>
      </c>
      <c r="AL449" s="8" t="n">
        <v>6</v>
      </c>
      <c r="AM449" s="5" t="inlineStr"/>
      <c r="AN449" s="5" t="inlineStr"/>
      <c r="AO449" s="5" t="inlineStr"/>
      <c r="AP449" s="5" t="inlineStr"/>
      <c r="AQ449" s="5" t="inlineStr"/>
      <c r="AR449" s="5" t="inlineStr"/>
      <c r="AS449" s="5" t="inlineStr"/>
      <c r="AT449" s="5" t="inlineStr"/>
      <c r="AU449" s="8" t="inlineStr">
        <is>
          <t>Not run</t>
        </is>
      </c>
    </row>
    <row r="450" ht="32" customHeight="1">
      <c r="A450" s="16" t="inlineStr">
        <is>
          <t>X-0449</t>
        </is>
      </c>
      <c r="B450" s="8" t="inlineStr">
        <is>
          <t>X</t>
        </is>
      </c>
      <c r="C450" s="5" t="inlineStr">
        <is>
          <t>Multiple / Cross-persona</t>
        </is>
      </c>
      <c r="D450" s="5" t="inlineStr">
        <is>
          <t>Communication &amp; Integrations</t>
        </is>
      </c>
      <c r="E450" s="5" t="inlineStr">
        <is>
          <t>Return confirmation → customer receives confirmation</t>
        </is>
      </c>
      <c r="F450" s="5" t="inlineStr">
        <is>
          <t>Customer Support</t>
        </is>
      </c>
      <c r="G450" s="5" t="inlineStr">
        <is>
          <t>Customer</t>
        </is>
      </c>
      <c r="H450" s="5" t="inlineStr">
        <is>
          <t>Customer receives confirmation when returned items are accepted and credit note is issued</t>
        </is>
      </c>
      <c r="I450" s="5" t="inlineStr">
        <is>
          <t>Sends credit note PDF and balance confirmation directly to customer mobile</t>
        </is>
      </c>
      <c r="J450" s="20" t="inlineStr">
        <is>
          <t>P1</t>
        </is>
      </c>
      <c r="K450" s="20" t="inlineStr">
        <is>
          <t>Validated (Supported)</t>
        </is>
      </c>
      <c r="L450" s="5" t="inlineStr">
        <is>
          <t>Supported via SalesReturn approval customer notification.</t>
        </is>
      </c>
      <c r="M450" s="8" t="inlineStr">
        <is>
          <t>Baseline</t>
        </is>
      </c>
      <c r="N450" s="8" t="inlineStr">
        <is>
          <t>Cross-persona</t>
        </is>
      </c>
      <c r="O450" s="8" t="inlineStr">
        <is>
          <t>P1</t>
        </is>
      </c>
      <c r="P450" s="5" t="inlineStr">
        <is>
          <t>Unchanged</t>
        </is>
      </c>
      <c r="Q450" s="21" t="inlineStr">
        <is>
          <t>Code symbol found</t>
        </is>
      </c>
      <c r="R450" s="5" t="inlineStr">
        <is>
          <t>Matched SalesReturn in product code. This is not a functional test.</t>
        </is>
      </c>
      <c r="S450" s="8" t="inlineStr">
        <is>
          <t>INT</t>
        </is>
      </c>
      <c r="T450" s="5" t="inlineStr">
        <is>
          <t>Communication and integrations</t>
        </is>
      </c>
      <c r="U450" s="8" t="inlineStr"/>
      <c r="V450" s="8" t="inlineStr">
        <is>
          <t>integrations</t>
        </is>
      </c>
      <c r="W450" s="8" t="inlineStr">
        <is>
          <t>KERNEL</t>
        </is>
      </c>
      <c r="X450" s="5" t="inlineStr">
        <is>
          <t>Core</t>
        </is>
      </c>
      <c r="Y450" s="5" t="inlineStr">
        <is>
          <t>Cross-persona</t>
        </is>
      </c>
      <c r="Z450" s="5" t="inlineStr">
        <is>
          <t>Medium</t>
        </is>
      </c>
      <c r="AA450" s="5" t="inlineStr">
        <is>
          <t>Medium</t>
        </is>
      </c>
      <c r="AB450" s="8" t="inlineStr">
        <is>
          <t>Low</t>
        </is>
      </c>
      <c r="AC450" s="8" t="inlineStr">
        <is>
          <t>Later</t>
        </is>
      </c>
      <c r="AD450" s="5" t="inlineStr">
        <is>
          <t>Cited in code</t>
        </is>
      </c>
      <c r="AE450" s="5" t="inlineStr">
        <is>
          <t>Not verified</t>
        </is>
      </c>
      <c r="AF450" s="5" t="inlineStr">
        <is>
          <t>Not verified</t>
        </is>
      </c>
      <c r="AG450" s="5" t="inlineStr">
        <is>
          <t>Not verified</t>
        </is>
      </c>
      <c r="AH450" s="5" t="inlineStr">
        <is>
          <t>Not verified</t>
        </is>
      </c>
      <c r="AI450" s="8" t="inlineStr">
        <is>
          <t>No</t>
        </is>
      </c>
      <c r="AJ450" s="8" t="inlineStr">
        <is>
          <t>Built - unverified</t>
        </is>
      </c>
      <c r="AK450" s="8" t="inlineStr">
        <is>
          <t>P1</t>
        </is>
      </c>
      <c r="AL450" s="8" t="n">
        <v>6</v>
      </c>
      <c r="AM450" s="5" t="inlineStr"/>
      <c r="AN450" s="5" t="inlineStr"/>
      <c r="AO450" s="5" t="inlineStr"/>
      <c r="AP450" s="5" t="inlineStr"/>
      <c r="AQ450" s="5" t="inlineStr"/>
      <c r="AR450" s="5" t="inlineStr"/>
      <c r="AS450" s="5" t="inlineStr"/>
      <c r="AT450" s="5" t="inlineStr"/>
      <c r="AU450" s="8" t="inlineStr">
        <is>
          <t>Not run</t>
        </is>
      </c>
    </row>
    <row r="451" ht="32" customHeight="1">
      <c r="A451" s="16" t="inlineStr">
        <is>
          <t>X-0450</t>
        </is>
      </c>
      <c r="B451" s="8" t="inlineStr">
        <is>
          <t>X</t>
        </is>
      </c>
      <c r="C451" s="5" t="inlineStr">
        <is>
          <t>Multiple / Cross-persona</t>
        </is>
      </c>
      <c r="D451" s="5" t="inlineStr">
        <is>
          <t>Communication &amp; Integrations</t>
        </is>
      </c>
      <c r="E451" s="5" t="inlineStr">
        <is>
          <t>Payment receipt → customer receives receipt</t>
        </is>
      </c>
      <c r="F451" s="5" t="inlineStr">
        <is>
          <t>Cashier</t>
        </is>
      </c>
      <c r="G451" s="5" t="inlineStr">
        <is>
          <t>Customer</t>
        </is>
      </c>
      <c r="H451" s="5" t="inlineStr">
        <is>
          <t>Customer receives payment receipt acknowledgement immediately upon paying bill</t>
        </is>
      </c>
      <c r="I451" s="5" t="inlineStr">
        <is>
          <t>Sends digital payment receipt showing amount paid, payment mode, and remaining dues</t>
        </is>
      </c>
      <c r="J451" s="20" t="inlineStr">
        <is>
          <t>P1</t>
        </is>
      </c>
      <c r="K451" s="20" t="inlineStr">
        <is>
          <t>Validated (Supported)</t>
        </is>
      </c>
      <c r="L451" s="5" t="inlineStr">
        <is>
          <t>Supported via Payment entry instant receipt share.</t>
        </is>
      </c>
      <c r="M451" s="8" t="inlineStr">
        <is>
          <t>Baseline</t>
        </is>
      </c>
      <c r="N451" s="8" t="inlineStr">
        <is>
          <t>Cross-persona</t>
        </is>
      </c>
      <c r="O451" s="8" t="inlineStr">
        <is>
          <t>P1</t>
        </is>
      </c>
      <c r="P451" s="5" t="inlineStr">
        <is>
          <t>Unchanged</t>
        </is>
      </c>
      <c r="Q451" s="20" t="inlineStr">
        <is>
          <t>Author assertion</t>
        </is>
      </c>
      <c r="R451" s="5" t="inlineStr"/>
      <c r="S451" s="8" t="inlineStr">
        <is>
          <t>INT</t>
        </is>
      </c>
      <c r="T451" s="5" t="inlineStr">
        <is>
          <t>Communication and integrations</t>
        </is>
      </c>
      <c r="U451" s="8" t="inlineStr"/>
      <c r="V451" s="8" t="inlineStr">
        <is>
          <t>integrations</t>
        </is>
      </c>
      <c r="W451" s="8" t="inlineStr">
        <is>
          <t>KERNEL</t>
        </is>
      </c>
      <c r="X451" s="5" t="inlineStr">
        <is>
          <t>Core</t>
        </is>
      </c>
      <c r="Y451" s="5" t="inlineStr">
        <is>
          <t>Cross-persona</t>
        </is>
      </c>
      <c r="Z451" s="5" t="inlineStr">
        <is>
          <t>Medium</t>
        </is>
      </c>
      <c r="AA451" s="5" t="inlineStr">
        <is>
          <t>Medium</t>
        </is>
      </c>
      <c r="AB451" s="8" t="inlineStr">
        <is>
          <t>Low</t>
        </is>
      </c>
      <c r="AC451" s="8" t="inlineStr">
        <is>
          <t>Later</t>
        </is>
      </c>
      <c r="AD451" s="5" t="inlineStr">
        <is>
          <t>Not independently checked</t>
        </is>
      </c>
      <c r="AE451" s="5" t="inlineStr">
        <is>
          <t>Not verified</t>
        </is>
      </c>
      <c r="AF451" s="5" t="inlineStr">
        <is>
          <t>Not verified</t>
        </is>
      </c>
      <c r="AG451" s="5" t="inlineStr">
        <is>
          <t>Not verified</t>
        </is>
      </c>
      <c r="AH451" s="5" t="inlineStr">
        <is>
          <t>Not verified</t>
        </is>
      </c>
      <c r="AI451" s="8" t="inlineStr">
        <is>
          <t>No</t>
        </is>
      </c>
      <c r="AJ451" s="8" t="inlineStr">
        <is>
          <t>Claimed - unverified</t>
        </is>
      </c>
      <c r="AK451" s="8" t="inlineStr">
        <is>
          <t>P1</t>
        </is>
      </c>
      <c r="AL451" s="8" t="n">
        <v>6</v>
      </c>
      <c r="AM451" s="5" t="inlineStr"/>
      <c r="AN451" s="5" t="inlineStr"/>
      <c r="AO451" s="5" t="inlineStr"/>
      <c r="AP451" s="5" t="inlineStr"/>
      <c r="AQ451" s="5" t="inlineStr"/>
      <c r="AR451" s="5" t="inlineStr"/>
      <c r="AS451" s="5" t="inlineStr"/>
      <c r="AT451" s="5" t="inlineStr"/>
      <c r="AU451" s="8" t="inlineStr">
        <is>
          <t>Not run</t>
        </is>
      </c>
    </row>
    <row r="452" ht="32" customHeight="1">
      <c r="A452" s="16" t="inlineStr">
        <is>
          <t>X-0451</t>
        </is>
      </c>
      <c r="B452" s="8" t="inlineStr">
        <is>
          <t>X</t>
        </is>
      </c>
      <c r="C452" s="5" t="inlineStr">
        <is>
          <t>Multiple / Cross-persona</t>
        </is>
      </c>
      <c r="D452" s="5" t="inlineStr">
        <is>
          <t>Communication &amp; Integrations</t>
        </is>
      </c>
      <c r="E452" s="5" t="inlineStr">
        <is>
          <t>Failed message → delivery status is visible</t>
        </is>
      </c>
      <c r="F452" s="5" t="inlineStr">
        <is>
          <t>System Administrator</t>
        </is>
      </c>
      <c r="G452" s="5" t="inlineStr">
        <is>
          <t>Support Desk</t>
        </is>
      </c>
      <c r="H452" s="5" t="inlineStr">
        <is>
          <t>Failed SMS or WhatsApp dispatches flagged clearly on message log screen</t>
        </is>
      </c>
      <c r="I452" s="5" t="inlineStr">
        <is>
          <t>Updates message status to FAILED; displays provider error description (e.g. Invalid Number)</t>
        </is>
      </c>
      <c r="J452" s="20" t="inlineStr">
        <is>
          <t>P1</t>
        </is>
      </c>
      <c r="K452" s="20" t="inlineStr">
        <is>
          <t>Validated (Supported)</t>
        </is>
      </c>
      <c r="L452" s="5" t="inlineStr">
        <is>
          <t>Supported via Outbound Message Log (/settings/messages/).</t>
        </is>
      </c>
      <c r="M452" s="8" t="inlineStr">
        <is>
          <t>Baseline</t>
        </is>
      </c>
      <c r="N452" s="8" t="inlineStr">
        <is>
          <t>Cross-persona</t>
        </is>
      </c>
      <c r="O452" s="8" t="inlineStr">
        <is>
          <t>P1</t>
        </is>
      </c>
      <c r="P452" s="5" t="inlineStr">
        <is>
          <t>Unchanged</t>
        </is>
      </c>
      <c r="Q452" s="20" t="inlineStr">
        <is>
          <t>Author assertion</t>
        </is>
      </c>
      <c r="R452" s="5" t="inlineStr"/>
      <c r="S452" s="8" t="inlineStr">
        <is>
          <t>INT</t>
        </is>
      </c>
      <c r="T452" s="5" t="inlineStr">
        <is>
          <t>Communication and integrations</t>
        </is>
      </c>
      <c r="U452" s="8" t="inlineStr"/>
      <c r="V452" s="8" t="inlineStr">
        <is>
          <t>integrations</t>
        </is>
      </c>
      <c r="W452" s="8" t="inlineStr">
        <is>
          <t>KERNEL</t>
        </is>
      </c>
      <c r="X452" s="5" t="inlineStr">
        <is>
          <t>Core</t>
        </is>
      </c>
      <c r="Y452" s="5" t="inlineStr">
        <is>
          <t>Cross-persona</t>
        </is>
      </c>
      <c r="Z452" s="5" t="inlineStr">
        <is>
          <t>Medium</t>
        </is>
      </c>
      <c r="AA452" s="5" t="inlineStr">
        <is>
          <t>Medium</t>
        </is>
      </c>
      <c r="AB452" s="8" t="inlineStr">
        <is>
          <t>Low</t>
        </is>
      </c>
      <c r="AC452" s="8" t="inlineStr">
        <is>
          <t>Later</t>
        </is>
      </c>
      <c r="AD452" s="5" t="inlineStr">
        <is>
          <t>Not independently checked</t>
        </is>
      </c>
      <c r="AE452" s="5" t="inlineStr">
        <is>
          <t>Not verified</t>
        </is>
      </c>
      <c r="AF452" s="5" t="inlineStr">
        <is>
          <t>Not verified</t>
        </is>
      </c>
      <c r="AG452" s="5" t="inlineStr">
        <is>
          <t>Not verified</t>
        </is>
      </c>
      <c r="AH452" s="5" t="inlineStr">
        <is>
          <t>Not verified</t>
        </is>
      </c>
      <c r="AI452" s="8" t="inlineStr">
        <is>
          <t>No</t>
        </is>
      </c>
      <c r="AJ452" s="8" t="inlineStr">
        <is>
          <t>Claimed - unverified</t>
        </is>
      </c>
      <c r="AK452" s="8" t="inlineStr">
        <is>
          <t>P1</t>
        </is>
      </c>
      <c r="AL452" s="8" t="n">
        <v>6</v>
      </c>
      <c r="AM452" s="5" t="inlineStr"/>
      <c r="AN452" s="5" t="inlineStr"/>
      <c r="AO452" s="5" t="inlineStr"/>
      <c r="AP452" s="5" t="inlineStr"/>
      <c r="AQ452" s="5" t="inlineStr"/>
      <c r="AR452" s="5" t="inlineStr"/>
      <c r="AS452" s="5" t="inlineStr"/>
      <c r="AT452" s="5" t="inlineStr"/>
      <c r="AU452" s="8" t="inlineStr">
        <is>
          <t>Not run</t>
        </is>
      </c>
    </row>
    <row r="453" ht="32" customHeight="1">
      <c r="A453" s="16" t="inlineStr">
        <is>
          <t>X-0452</t>
        </is>
      </c>
      <c r="B453" s="8" t="inlineStr">
        <is>
          <t>X</t>
        </is>
      </c>
      <c r="C453" s="5" t="inlineStr">
        <is>
          <t>Multiple / Cross-persona</t>
        </is>
      </c>
      <c r="D453" s="5" t="inlineStr">
        <is>
          <t>Communication &amp; Integrations</t>
        </is>
      </c>
      <c r="E453" s="5" t="inlineStr">
        <is>
          <t>User resends failed message</t>
        </is>
      </c>
      <c r="F453" s="5" t="inlineStr">
        <is>
          <t>Billing Clerk</t>
        </is>
      </c>
      <c r="G453" s="5" t="inlineStr">
        <is>
          <t>Customer</t>
        </is>
      </c>
      <c r="H453" s="5" t="inlineStr">
        <is>
          <t>One-click resend button to re-dispatch invoice or reminder after network failure</t>
        </is>
      </c>
      <c r="I453" s="5" t="inlineStr">
        <is>
          <t>Re-queues message payload for immediate re-transmission; updates delivery status</t>
        </is>
      </c>
      <c r="J453" s="20" t="inlineStr">
        <is>
          <t>P1</t>
        </is>
      </c>
      <c r="K453" s="20" t="inlineStr">
        <is>
          <t>Validated (Supported)</t>
        </is>
      </c>
      <c r="L453" s="5" t="inlineStr">
        <is>
          <t>Supported via 'Resend Message' action in message log.</t>
        </is>
      </c>
      <c r="M453" s="8" t="inlineStr">
        <is>
          <t>Baseline</t>
        </is>
      </c>
      <c r="N453" s="8" t="inlineStr">
        <is>
          <t>Cross-persona</t>
        </is>
      </c>
      <c r="O453" s="8" t="inlineStr">
        <is>
          <t>P1</t>
        </is>
      </c>
      <c r="P453" s="5" t="inlineStr">
        <is>
          <t>Unchanged</t>
        </is>
      </c>
      <c r="Q453" s="20" t="inlineStr">
        <is>
          <t>Author assertion</t>
        </is>
      </c>
      <c r="R453" s="5" t="inlineStr"/>
      <c r="S453" s="8" t="inlineStr">
        <is>
          <t>INT</t>
        </is>
      </c>
      <c r="T453" s="5" t="inlineStr">
        <is>
          <t>Communication and integrations</t>
        </is>
      </c>
      <c r="U453" s="8" t="inlineStr"/>
      <c r="V453" s="8" t="inlineStr">
        <is>
          <t>integrations</t>
        </is>
      </c>
      <c r="W453" s="8" t="inlineStr">
        <is>
          <t>KERNEL</t>
        </is>
      </c>
      <c r="X453" s="5" t="inlineStr">
        <is>
          <t>Core</t>
        </is>
      </c>
      <c r="Y453" s="5" t="inlineStr">
        <is>
          <t>Cross-persona</t>
        </is>
      </c>
      <c r="Z453" s="5" t="inlineStr">
        <is>
          <t>Medium</t>
        </is>
      </c>
      <c r="AA453" s="5" t="inlineStr">
        <is>
          <t>Medium</t>
        </is>
      </c>
      <c r="AB453" s="8" t="inlineStr">
        <is>
          <t>Low</t>
        </is>
      </c>
      <c r="AC453" s="8" t="inlineStr">
        <is>
          <t>Later</t>
        </is>
      </c>
      <c r="AD453" s="5" t="inlineStr">
        <is>
          <t>Not independently checked</t>
        </is>
      </c>
      <c r="AE453" s="5" t="inlineStr">
        <is>
          <t>Not verified</t>
        </is>
      </c>
      <c r="AF453" s="5" t="inlineStr">
        <is>
          <t>Not verified</t>
        </is>
      </c>
      <c r="AG453" s="5" t="inlineStr">
        <is>
          <t>Not verified</t>
        </is>
      </c>
      <c r="AH453" s="5" t="inlineStr">
        <is>
          <t>Not verified</t>
        </is>
      </c>
      <c r="AI453" s="8" t="inlineStr">
        <is>
          <t>No</t>
        </is>
      </c>
      <c r="AJ453" s="8" t="inlineStr">
        <is>
          <t>Claimed - unverified</t>
        </is>
      </c>
      <c r="AK453" s="8" t="inlineStr">
        <is>
          <t>P1</t>
        </is>
      </c>
      <c r="AL453" s="8" t="n">
        <v>6</v>
      </c>
      <c r="AM453" s="5" t="inlineStr"/>
      <c r="AN453" s="5" t="inlineStr"/>
      <c r="AO453" s="5" t="inlineStr"/>
      <c r="AP453" s="5" t="inlineStr"/>
      <c r="AQ453" s="5" t="inlineStr"/>
      <c r="AR453" s="5" t="inlineStr"/>
      <c r="AS453" s="5" t="inlineStr"/>
      <c r="AT453" s="5" t="inlineStr"/>
      <c r="AU453" s="8" t="inlineStr">
        <is>
          <t>Not run</t>
        </is>
      </c>
    </row>
    <row r="454" ht="32" customHeight="1">
      <c r="A454" s="16" t="inlineStr">
        <is>
          <t>X-0453</t>
        </is>
      </c>
      <c r="B454" s="8" t="inlineStr">
        <is>
          <t>X</t>
        </is>
      </c>
      <c r="C454" s="5" t="inlineStr">
        <is>
          <t>Multiple / Cross-persona</t>
        </is>
      </c>
      <c r="D454" s="5" t="inlineStr">
        <is>
          <t>Communication &amp; Integrations</t>
        </is>
      </c>
      <c r="E454" s="5" t="inlineStr">
        <is>
          <t>Communication history remains associated with transaction/customer</t>
        </is>
      </c>
      <c r="F454" s="5" t="inlineStr">
        <is>
          <t>Sales Staff / Support</t>
        </is>
      </c>
      <c r="G454" s="5" t="inlineStr">
        <is>
          <t>Auditor</t>
        </is>
      </c>
      <c r="H454" s="5" t="inlineStr">
        <is>
          <t>Full log of messages, reminders, and delivery receipts permanently linked to invoice</t>
        </is>
      </c>
      <c r="I454" s="5" t="inlineStr">
        <is>
          <t>Stores message audit trail on invoice detail view showing dispatch timestamps and user</t>
        </is>
      </c>
      <c r="J454" s="20" t="inlineStr">
        <is>
          <t>P1</t>
        </is>
      </c>
      <c r="K454" s="20" t="inlineStr">
        <is>
          <t>Validated (Supported)</t>
        </is>
      </c>
      <c r="L454" s="5" t="inlineStr">
        <is>
          <t>Supported via Activity Timeline on invoice and customer records.</t>
        </is>
      </c>
      <c r="M454" s="8" t="inlineStr">
        <is>
          <t>Baseline</t>
        </is>
      </c>
      <c r="N454" s="8" t="inlineStr">
        <is>
          <t>Cross-persona</t>
        </is>
      </c>
      <c r="O454" s="8" t="inlineStr">
        <is>
          <t>P1</t>
        </is>
      </c>
      <c r="P454" s="5" t="inlineStr">
        <is>
          <t>Unchanged</t>
        </is>
      </c>
      <c r="Q454" s="20" t="inlineStr">
        <is>
          <t>Author assertion</t>
        </is>
      </c>
      <c r="R454" s="5" t="inlineStr"/>
      <c r="S454" s="8" t="inlineStr">
        <is>
          <t>INT</t>
        </is>
      </c>
      <c r="T454" s="5" t="inlineStr">
        <is>
          <t>Communication and integrations</t>
        </is>
      </c>
      <c r="U454" s="8" t="inlineStr"/>
      <c r="V454" s="8" t="inlineStr">
        <is>
          <t>integrations</t>
        </is>
      </c>
      <c r="W454" s="8" t="inlineStr">
        <is>
          <t>KERNEL</t>
        </is>
      </c>
      <c r="X454" s="5" t="inlineStr">
        <is>
          <t>Core</t>
        </is>
      </c>
      <c r="Y454" s="5" t="inlineStr">
        <is>
          <t>Cross-persona</t>
        </is>
      </c>
      <c r="Z454" s="5" t="inlineStr">
        <is>
          <t>Medium</t>
        </is>
      </c>
      <c r="AA454" s="5" t="inlineStr">
        <is>
          <t>Medium</t>
        </is>
      </c>
      <c r="AB454" s="8" t="inlineStr">
        <is>
          <t>Low</t>
        </is>
      </c>
      <c r="AC454" s="8" t="inlineStr">
        <is>
          <t>Later</t>
        </is>
      </c>
      <c r="AD454" s="5" t="inlineStr">
        <is>
          <t>Not independently checked</t>
        </is>
      </c>
      <c r="AE454" s="5" t="inlineStr">
        <is>
          <t>Not verified</t>
        </is>
      </c>
      <c r="AF454" s="5" t="inlineStr">
        <is>
          <t>Not verified</t>
        </is>
      </c>
      <c r="AG454" s="5" t="inlineStr">
        <is>
          <t>Not verified</t>
        </is>
      </c>
      <c r="AH454" s="5" t="inlineStr">
        <is>
          <t>Not verified</t>
        </is>
      </c>
      <c r="AI454" s="8" t="inlineStr">
        <is>
          <t>No</t>
        </is>
      </c>
      <c r="AJ454" s="8" t="inlineStr">
        <is>
          <t>Claimed - unverified</t>
        </is>
      </c>
      <c r="AK454" s="8" t="inlineStr">
        <is>
          <t>P1</t>
        </is>
      </c>
      <c r="AL454" s="8" t="n">
        <v>6</v>
      </c>
      <c r="AM454" s="5" t="inlineStr"/>
      <c r="AN454" s="5" t="inlineStr"/>
      <c r="AO454" s="5" t="inlineStr"/>
      <c r="AP454" s="5" t="inlineStr"/>
      <c r="AQ454" s="5" t="inlineStr"/>
      <c r="AR454" s="5" t="inlineStr"/>
      <c r="AS454" s="5" t="inlineStr"/>
      <c r="AT454" s="5" t="inlineStr"/>
      <c r="AU454" s="8" t="inlineStr">
        <is>
          <t>Not run</t>
        </is>
      </c>
    </row>
    <row r="455" ht="32" customHeight="1">
      <c r="A455" s="16" t="inlineStr">
        <is>
          <t>X-0454</t>
        </is>
      </c>
      <c r="B455" s="8" t="inlineStr">
        <is>
          <t>X</t>
        </is>
      </c>
      <c r="C455" s="5" t="inlineStr">
        <is>
          <t>Multiple / Cross-persona</t>
        </is>
      </c>
      <c r="D455" s="5" t="inlineStr">
        <is>
          <t>Communication &amp; Integrations</t>
        </is>
      </c>
      <c r="E455" s="5" t="inlineStr">
        <is>
          <t>Payment gateway → payment status</t>
        </is>
      </c>
      <c r="F455" s="5" t="inlineStr">
        <is>
          <t>Payment Gateway Webhook</t>
        </is>
      </c>
      <c r="G455" s="5" t="inlineStr">
        <is>
          <t>In-house Accountant</t>
        </is>
      </c>
      <c r="H455" s="5" t="inlineStr">
        <is>
          <t>Online payment gateway webhooks automatically update transaction status to SUCCESS or FAILED</t>
        </is>
      </c>
      <c r="I455" s="5" t="inlineStr">
        <is>
          <t>Receives webhook; verifies cryptographic signature; updates Payment record status</t>
        </is>
      </c>
      <c r="J455" s="20" t="inlineStr">
        <is>
          <t>P1</t>
        </is>
      </c>
      <c r="K455" s="20" t="inlineStr">
        <is>
          <t>Validated (Supported)</t>
        </is>
      </c>
      <c r="L455" s="5" t="inlineStr">
        <is>
          <t>Supported via Payment Gateway Webhook receiver (/api/v1/payments/webhook/).</t>
        </is>
      </c>
      <c r="M455" s="8" t="inlineStr">
        <is>
          <t>Baseline</t>
        </is>
      </c>
      <c r="N455" s="8" t="inlineStr">
        <is>
          <t>Cross-persona</t>
        </is>
      </c>
      <c r="O455" s="8" t="inlineStr">
        <is>
          <t>P1</t>
        </is>
      </c>
      <c r="P455" s="5" t="inlineStr">
        <is>
          <t>Unchanged</t>
        </is>
      </c>
      <c r="Q455" s="20" t="inlineStr">
        <is>
          <t>Author assertion</t>
        </is>
      </c>
      <c r="R455" s="5" t="inlineStr"/>
      <c r="S455" s="8" t="inlineStr">
        <is>
          <t>INT</t>
        </is>
      </c>
      <c r="T455" s="5" t="inlineStr">
        <is>
          <t>Communication and integrations</t>
        </is>
      </c>
      <c r="U455" s="8" t="inlineStr"/>
      <c r="V455" s="8" t="inlineStr">
        <is>
          <t>integrations</t>
        </is>
      </c>
      <c r="W455" s="8" t="inlineStr">
        <is>
          <t>KERNEL</t>
        </is>
      </c>
      <c r="X455" s="5" t="inlineStr">
        <is>
          <t>Core</t>
        </is>
      </c>
      <c r="Y455" s="5" t="inlineStr">
        <is>
          <t>Cross-persona</t>
        </is>
      </c>
      <c r="Z455" s="5" t="inlineStr">
        <is>
          <t>Medium</t>
        </is>
      </c>
      <c r="AA455" s="5" t="inlineStr">
        <is>
          <t>Medium</t>
        </is>
      </c>
      <c r="AB455" s="8" t="inlineStr">
        <is>
          <t>Low</t>
        </is>
      </c>
      <c r="AC455" s="8" t="inlineStr">
        <is>
          <t>Later</t>
        </is>
      </c>
      <c r="AD455" s="5" t="inlineStr">
        <is>
          <t>Not independently checked</t>
        </is>
      </c>
      <c r="AE455" s="5" t="inlineStr">
        <is>
          <t>Not verified</t>
        </is>
      </c>
      <c r="AF455" s="5" t="inlineStr">
        <is>
          <t>Not verified</t>
        </is>
      </c>
      <c r="AG455" s="5" t="inlineStr">
        <is>
          <t>Not verified</t>
        </is>
      </c>
      <c r="AH455" s="5" t="inlineStr">
        <is>
          <t>Not verified</t>
        </is>
      </c>
      <c r="AI455" s="8" t="inlineStr">
        <is>
          <t>No</t>
        </is>
      </c>
      <c r="AJ455" s="8" t="inlineStr">
        <is>
          <t>Claimed - unverified</t>
        </is>
      </c>
      <c r="AK455" s="8" t="inlineStr">
        <is>
          <t>P1</t>
        </is>
      </c>
      <c r="AL455" s="8" t="n">
        <v>6</v>
      </c>
      <c r="AM455" s="5" t="inlineStr"/>
      <c r="AN455" s="5" t="inlineStr"/>
      <c r="AO455" s="5" t="inlineStr"/>
      <c r="AP455" s="5" t="inlineStr"/>
      <c r="AQ455" s="5" t="inlineStr"/>
      <c r="AR455" s="5" t="inlineStr"/>
      <c r="AS455" s="5" t="inlineStr"/>
      <c r="AT455" s="5" t="inlineStr"/>
      <c r="AU455" s="8" t="inlineStr">
        <is>
          <t>Not run</t>
        </is>
      </c>
    </row>
    <row r="456" ht="32" customHeight="1">
      <c r="A456" s="16" t="inlineStr">
        <is>
          <t>X-0455</t>
        </is>
      </c>
      <c r="B456" s="8" t="inlineStr">
        <is>
          <t>X</t>
        </is>
      </c>
      <c r="C456" s="5" t="inlineStr">
        <is>
          <t>Multiple / Cross-persona</t>
        </is>
      </c>
      <c r="D456" s="5" t="inlineStr">
        <is>
          <t>Communication &amp; Integrations</t>
        </is>
      </c>
      <c r="E456" s="5" t="inlineStr">
        <is>
          <t>Payment gateway → customer ledger</t>
        </is>
      </c>
      <c r="F456" s="5" t="inlineStr">
        <is>
          <t>System / Ledger Engine</t>
        </is>
      </c>
      <c r="G456" s="5" t="inlineStr">
        <is>
          <t>In-house Accountant</t>
        </is>
      </c>
      <c r="H456" s="5" t="inlineStr">
        <is>
          <t>Confirmed online payment automatically credits customer ledger without manual entry</t>
        </is>
      </c>
      <c r="I456" s="5" t="inlineStr">
        <is>
          <t>Creates double-entry ledger voucher crediting Customer AR and debiting Gateway Clearing</t>
        </is>
      </c>
      <c r="J456" s="20" t="inlineStr">
        <is>
          <t>P1</t>
        </is>
      </c>
      <c r="K456" s="20" t="inlineStr">
        <is>
          <t>Validated (Supported)</t>
        </is>
      </c>
      <c r="L456" s="5" t="inlineStr">
        <is>
          <t>Core system invariant: verified gateway webhook atomically updates customer ledger.</t>
        </is>
      </c>
      <c r="M456" s="8" t="inlineStr">
        <is>
          <t>Baseline</t>
        </is>
      </c>
      <c r="N456" s="8" t="inlineStr">
        <is>
          <t>Cross-persona</t>
        </is>
      </c>
      <c r="O456" s="8" t="inlineStr">
        <is>
          <t>P1</t>
        </is>
      </c>
      <c r="P456" s="5" t="inlineStr">
        <is>
          <t>Restored to authored P1. The previous workbook had P0 after a keyword rebalance.</t>
        </is>
      </c>
      <c r="Q456" s="20" t="inlineStr">
        <is>
          <t>Author assertion</t>
        </is>
      </c>
      <c r="R456" s="5" t="inlineStr">
        <is>
          <t>Restored to authored P1. The previous workbook had P0 after a keyword rebalance.</t>
        </is>
      </c>
      <c r="S456" s="8" t="inlineStr">
        <is>
          <t>INT</t>
        </is>
      </c>
      <c r="T456" s="5" t="inlineStr">
        <is>
          <t>Communication and integrations</t>
        </is>
      </c>
      <c r="U456" s="8" t="inlineStr"/>
      <c r="V456" s="8" t="inlineStr">
        <is>
          <t>integrations</t>
        </is>
      </c>
      <c r="W456" s="8" t="inlineStr">
        <is>
          <t>KERNEL</t>
        </is>
      </c>
      <c r="X456" s="5" t="inlineStr">
        <is>
          <t>Core</t>
        </is>
      </c>
      <c r="Y456" s="5" t="inlineStr">
        <is>
          <t>Cross-persona</t>
        </is>
      </c>
      <c r="Z456" s="5" t="inlineStr">
        <is>
          <t>Medium</t>
        </is>
      </c>
      <c r="AA456" s="5" t="inlineStr">
        <is>
          <t>Medium</t>
        </is>
      </c>
      <c r="AB456" s="8" t="inlineStr">
        <is>
          <t>Low</t>
        </is>
      </c>
      <c r="AC456" s="8" t="inlineStr">
        <is>
          <t>Later</t>
        </is>
      </c>
      <c r="AD456" s="5" t="inlineStr">
        <is>
          <t>Not independently checked</t>
        </is>
      </c>
      <c r="AE456" s="5" t="inlineStr">
        <is>
          <t>Not verified</t>
        </is>
      </c>
      <c r="AF456" s="5" t="inlineStr">
        <is>
          <t>Not verified</t>
        </is>
      </c>
      <c r="AG456" s="5" t="inlineStr">
        <is>
          <t>Not verified</t>
        </is>
      </c>
      <c r="AH456" s="5" t="inlineStr">
        <is>
          <t>Not verified</t>
        </is>
      </c>
      <c r="AI456" s="8" t="inlineStr">
        <is>
          <t>No</t>
        </is>
      </c>
      <c r="AJ456" s="8" t="inlineStr">
        <is>
          <t>Claimed - unverified</t>
        </is>
      </c>
      <c r="AK456" s="8" t="inlineStr">
        <is>
          <t>P1</t>
        </is>
      </c>
      <c r="AL456" s="8" t="n">
        <v>6</v>
      </c>
      <c r="AM456" s="5" t="inlineStr"/>
      <c r="AN456" s="5" t="inlineStr"/>
      <c r="AO456" s="5" t="inlineStr"/>
      <c r="AP456" s="5" t="inlineStr"/>
      <c r="AQ456" s="5" t="inlineStr"/>
      <c r="AR456" s="5" t="inlineStr"/>
      <c r="AS456" s="5" t="inlineStr"/>
      <c r="AT456" s="5" t="inlineStr"/>
      <c r="AU456" s="8" t="inlineStr">
        <is>
          <t>Not run</t>
        </is>
      </c>
    </row>
    <row r="457" ht="32" customHeight="1">
      <c r="A457" s="16" t="inlineStr">
        <is>
          <t>X-0456</t>
        </is>
      </c>
      <c r="B457" s="8" t="inlineStr">
        <is>
          <t>X</t>
        </is>
      </c>
      <c r="C457" s="5" t="inlineStr">
        <is>
          <t>Multiple / Cross-persona</t>
        </is>
      </c>
      <c r="D457" s="5" t="inlineStr">
        <is>
          <t>Communication &amp; Integrations</t>
        </is>
      </c>
      <c r="E457" s="5" t="inlineStr">
        <is>
          <t>Payment gateway → invoice settlement</t>
        </is>
      </c>
      <c r="F457" s="5" t="inlineStr">
        <is>
          <t>System / Payment Engine</t>
        </is>
      </c>
      <c r="G457" s="5" t="inlineStr">
        <is>
          <t>Billing Clerk</t>
        </is>
      </c>
      <c r="H457" s="5" t="inlineStr">
        <is>
          <t>Confirmed online payment automatically settles corresponding open invoice</t>
        </is>
      </c>
      <c r="I457" s="5" t="inlineStr">
        <is>
          <t>Creates PaymentAllocation record; marks invoice as PAID; unlocks customer credit limit</t>
        </is>
      </c>
      <c r="J457" s="20" t="inlineStr">
        <is>
          <t>P1</t>
        </is>
      </c>
      <c r="K457" s="20" t="inlineStr">
        <is>
          <t>Validated (Supported)</t>
        </is>
      </c>
      <c r="L457" s="5" t="inlineStr">
        <is>
          <t>Automated invoice settlement upon successful gateway payment notification.</t>
        </is>
      </c>
      <c r="M457" s="8" t="inlineStr">
        <is>
          <t>Baseline</t>
        </is>
      </c>
      <c r="N457" s="8" t="inlineStr">
        <is>
          <t>Cross-persona</t>
        </is>
      </c>
      <c r="O457" s="8" t="inlineStr">
        <is>
          <t>P1</t>
        </is>
      </c>
      <c r="P457" s="5" t="inlineStr">
        <is>
          <t>Unchanged</t>
        </is>
      </c>
      <c r="Q457" s="20" t="inlineStr">
        <is>
          <t>Author assertion</t>
        </is>
      </c>
      <c r="R457" s="5" t="inlineStr"/>
      <c r="S457" s="8" t="inlineStr">
        <is>
          <t>INT</t>
        </is>
      </c>
      <c r="T457" s="5" t="inlineStr">
        <is>
          <t>Communication and integrations</t>
        </is>
      </c>
      <c r="U457" s="8" t="inlineStr"/>
      <c r="V457" s="8" t="inlineStr">
        <is>
          <t>integrations</t>
        </is>
      </c>
      <c r="W457" s="8" t="inlineStr">
        <is>
          <t>KERNEL</t>
        </is>
      </c>
      <c r="X457" s="5" t="inlineStr">
        <is>
          <t>Core</t>
        </is>
      </c>
      <c r="Y457" s="5" t="inlineStr">
        <is>
          <t>Cross-persona</t>
        </is>
      </c>
      <c r="Z457" s="5" t="inlineStr">
        <is>
          <t>Medium</t>
        </is>
      </c>
      <c r="AA457" s="5" t="inlineStr">
        <is>
          <t>Medium</t>
        </is>
      </c>
      <c r="AB457" s="8" t="inlineStr">
        <is>
          <t>Low</t>
        </is>
      </c>
      <c r="AC457" s="8" t="inlineStr">
        <is>
          <t>Later</t>
        </is>
      </c>
      <c r="AD457" s="5" t="inlineStr">
        <is>
          <t>Not independently checked</t>
        </is>
      </c>
      <c r="AE457" s="5" t="inlineStr">
        <is>
          <t>Not verified</t>
        </is>
      </c>
      <c r="AF457" s="5" t="inlineStr">
        <is>
          <t>Not verified</t>
        </is>
      </c>
      <c r="AG457" s="5" t="inlineStr">
        <is>
          <t>Not verified</t>
        </is>
      </c>
      <c r="AH457" s="5" t="inlineStr">
        <is>
          <t>Not verified</t>
        </is>
      </c>
      <c r="AI457" s="8" t="inlineStr">
        <is>
          <t>No</t>
        </is>
      </c>
      <c r="AJ457" s="8" t="inlineStr">
        <is>
          <t>Claimed - unverified</t>
        </is>
      </c>
      <c r="AK457" s="8" t="inlineStr">
        <is>
          <t>P1</t>
        </is>
      </c>
      <c r="AL457" s="8" t="n">
        <v>6</v>
      </c>
      <c r="AM457" s="5" t="inlineStr"/>
      <c r="AN457" s="5" t="inlineStr"/>
      <c r="AO457" s="5" t="inlineStr"/>
      <c r="AP457" s="5" t="inlineStr"/>
      <c r="AQ457" s="5" t="inlineStr"/>
      <c r="AR457" s="5" t="inlineStr"/>
      <c r="AS457" s="5" t="inlineStr"/>
      <c r="AT457" s="5" t="inlineStr"/>
      <c r="AU457" s="8" t="inlineStr">
        <is>
          <t>Not run</t>
        </is>
      </c>
    </row>
    <row r="458" ht="32" customHeight="1">
      <c r="A458" s="16" t="inlineStr">
        <is>
          <t>X-0457</t>
        </is>
      </c>
      <c r="B458" s="8" t="inlineStr">
        <is>
          <t>X</t>
        </is>
      </c>
      <c r="C458" s="5" t="inlineStr">
        <is>
          <t>Multiple / Cross-persona</t>
        </is>
      </c>
      <c r="D458" s="5" t="inlineStr">
        <is>
          <t>Communication &amp; Integrations</t>
        </is>
      </c>
      <c r="E458" s="5" t="inlineStr">
        <is>
          <t>Accounting export → downstream accounting</t>
        </is>
      </c>
      <c r="F458" s="5" t="inlineStr">
        <is>
          <t>In-house Accountant</t>
        </is>
      </c>
      <c r="G458" s="5" t="inlineStr">
        <is>
          <t>External CA</t>
        </is>
      </c>
      <c r="H458" s="5" t="inlineStr">
        <is>
          <t>Export sales, purchases, and payments into standardized format for external accounting software</t>
        </is>
      </c>
      <c r="I458" s="5" t="inlineStr">
        <is>
          <t>Generates structured XML/Excel export compatible with Tally, Busy, or Zoho Books</t>
        </is>
      </c>
      <c r="J458" s="20" t="inlineStr">
        <is>
          <t>P1</t>
        </is>
      </c>
      <c r="K458" s="20" t="inlineStr">
        <is>
          <t>Validated (Supported)</t>
        </is>
      </c>
      <c r="L458" s="5" t="inlineStr">
        <is>
          <t>Supported via /accounting/export/tally-xml/ and standard CSV exports.</t>
        </is>
      </c>
      <c r="M458" s="8" t="inlineStr">
        <is>
          <t>Baseline</t>
        </is>
      </c>
      <c r="N458" s="8" t="inlineStr">
        <is>
          <t>Cross-persona</t>
        </is>
      </c>
      <c r="O458" s="8" t="inlineStr">
        <is>
          <t>P1</t>
        </is>
      </c>
      <c r="P458" s="5" t="inlineStr">
        <is>
          <t>Unchanged</t>
        </is>
      </c>
      <c r="Q458" s="20" t="inlineStr">
        <is>
          <t>Author assertion</t>
        </is>
      </c>
      <c r="R458" s="5" t="inlineStr"/>
      <c r="S458" s="8" t="inlineStr">
        <is>
          <t>INT</t>
        </is>
      </c>
      <c r="T458" s="5" t="inlineStr">
        <is>
          <t>Communication and integrations</t>
        </is>
      </c>
      <c r="U458" s="8" t="inlineStr"/>
      <c r="V458" s="8" t="inlineStr">
        <is>
          <t>integrations</t>
        </is>
      </c>
      <c r="W458" s="8" t="inlineStr">
        <is>
          <t>KERNEL</t>
        </is>
      </c>
      <c r="X458" s="5" t="inlineStr">
        <is>
          <t>Core</t>
        </is>
      </c>
      <c r="Y458" s="5" t="inlineStr">
        <is>
          <t>Cross-persona</t>
        </is>
      </c>
      <c r="Z458" s="5" t="inlineStr">
        <is>
          <t>Medium</t>
        </is>
      </c>
      <c r="AA458" s="5" t="inlineStr">
        <is>
          <t>Medium</t>
        </is>
      </c>
      <c r="AB458" s="8" t="inlineStr">
        <is>
          <t>Low</t>
        </is>
      </c>
      <c r="AC458" s="8" t="inlineStr">
        <is>
          <t>Later</t>
        </is>
      </c>
      <c r="AD458" s="5" t="inlineStr">
        <is>
          <t>Not independently checked</t>
        </is>
      </c>
      <c r="AE458" s="5" t="inlineStr">
        <is>
          <t>Not verified</t>
        </is>
      </c>
      <c r="AF458" s="5" t="inlineStr">
        <is>
          <t>Not verified</t>
        </is>
      </c>
      <c r="AG458" s="5" t="inlineStr">
        <is>
          <t>Not verified</t>
        </is>
      </c>
      <c r="AH458" s="5" t="inlineStr">
        <is>
          <t>Not verified</t>
        </is>
      </c>
      <c r="AI458" s="8" t="inlineStr">
        <is>
          <t>No</t>
        </is>
      </c>
      <c r="AJ458" s="8" t="inlineStr">
        <is>
          <t>Claimed - unverified</t>
        </is>
      </c>
      <c r="AK458" s="8" t="inlineStr">
        <is>
          <t>P1</t>
        </is>
      </c>
      <c r="AL458" s="8" t="n">
        <v>6</v>
      </c>
      <c r="AM458" s="5" t="inlineStr"/>
      <c r="AN458" s="5" t="inlineStr"/>
      <c r="AO458" s="5" t="inlineStr"/>
      <c r="AP458" s="5" t="inlineStr"/>
      <c r="AQ458" s="5" t="inlineStr"/>
      <c r="AR458" s="5" t="inlineStr"/>
      <c r="AS458" s="5" t="inlineStr"/>
      <c r="AT458" s="5" t="inlineStr"/>
      <c r="AU458" s="8" t="inlineStr">
        <is>
          <t>Not run</t>
        </is>
      </c>
    </row>
    <row r="459" ht="32" customHeight="1">
      <c r="A459" s="16" t="inlineStr">
        <is>
          <t>X-0458</t>
        </is>
      </c>
      <c r="B459" s="8" t="inlineStr">
        <is>
          <t>X</t>
        </is>
      </c>
      <c r="C459" s="5" t="inlineStr">
        <is>
          <t>Multiple / Cross-persona</t>
        </is>
      </c>
      <c r="D459" s="5" t="inlineStr">
        <is>
          <t>Communication &amp; Integrations</t>
        </is>
      </c>
      <c r="E459" s="5" t="inlineStr">
        <is>
          <t>Accounting data → reconciliation</t>
        </is>
      </c>
      <c r="F459" s="5" t="inlineStr">
        <is>
          <t>In-house Accountant</t>
        </is>
      </c>
      <c r="G459" s="5" t="inlineStr">
        <is>
          <t>External CA</t>
        </is>
      </c>
      <c r="H459" s="5" t="inlineStr">
        <is>
          <t>Verify that exported accounting records match external Tally balance sheet figures</t>
        </is>
      </c>
      <c r="I459" s="5" t="inlineStr">
        <is>
          <t>Provides Trial Balance reconciliation checksum comparing internal books with external export</t>
        </is>
      </c>
      <c r="J459" s="20" t="inlineStr">
        <is>
          <t>P1</t>
        </is>
      </c>
      <c r="K459" s="20" t="inlineStr">
        <is>
          <t>Validated (Supported)</t>
        </is>
      </c>
      <c r="L459" s="5" t="inlineStr">
        <is>
          <t>Supported via Trial Balance export reconciliation report.</t>
        </is>
      </c>
      <c r="M459" s="8" t="inlineStr">
        <is>
          <t>Baseline</t>
        </is>
      </c>
      <c r="N459" s="8" t="inlineStr">
        <is>
          <t>Cross-persona</t>
        </is>
      </c>
      <c r="O459" s="8" t="inlineStr">
        <is>
          <t>P1</t>
        </is>
      </c>
      <c r="P459" s="5" t="inlineStr">
        <is>
          <t>Unchanged</t>
        </is>
      </c>
      <c r="Q459" s="20" t="inlineStr">
        <is>
          <t>Author assertion</t>
        </is>
      </c>
      <c r="R459" s="5" t="inlineStr"/>
      <c r="S459" s="8" t="inlineStr">
        <is>
          <t>INT</t>
        </is>
      </c>
      <c r="T459" s="5" t="inlineStr">
        <is>
          <t>Communication and integrations</t>
        </is>
      </c>
      <c r="U459" s="8" t="inlineStr"/>
      <c r="V459" s="8" t="inlineStr">
        <is>
          <t>integrations</t>
        </is>
      </c>
      <c r="W459" s="8" t="inlineStr">
        <is>
          <t>KERNEL</t>
        </is>
      </c>
      <c r="X459" s="5" t="inlineStr">
        <is>
          <t>Core</t>
        </is>
      </c>
      <c r="Y459" s="5" t="inlineStr">
        <is>
          <t>Cross-persona</t>
        </is>
      </c>
      <c r="Z459" s="5" t="inlineStr">
        <is>
          <t>Medium</t>
        </is>
      </c>
      <c r="AA459" s="5" t="inlineStr">
        <is>
          <t>Medium</t>
        </is>
      </c>
      <c r="AB459" s="8" t="inlineStr">
        <is>
          <t>Low</t>
        </is>
      </c>
      <c r="AC459" s="8" t="inlineStr">
        <is>
          <t>Later</t>
        </is>
      </c>
      <c r="AD459" s="5" t="inlineStr">
        <is>
          <t>Not independently checked</t>
        </is>
      </c>
      <c r="AE459" s="5" t="inlineStr">
        <is>
          <t>Not verified</t>
        </is>
      </c>
      <c r="AF459" s="5" t="inlineStr">
        <is>
          <t>Not verified</t>
        </is>
      </c>
      <c r="AG459" s="5" t="inlineStr">
        <is>
          <t>Not verified</t>
        </is>
      </c>
      <c r="AH459" s="5" t="inlineStr">
        <is>
          <t>Not verified</t>
        </is>
      </c>
      <c r="AI459" s="8" t="inlineStr">
        <is>
          <t>No</t>
        </is>
      </c>
      <c r="AJ459" s="8" t="inlineStr">
        <is>
          <t>Claimed - unverified</t>
        </is>
      </c>
      <c r="AK459" s="8" t="inlineStr">
        <is>
          <t>P1</t>
        </is>
      </c>
      <c r="AL459" s="8" t="n">
        <v>6</v>
      </c>
      <c r="AM459" s="5" t="inlineStr"/>
      <c r="AN459" s="5" t="inlineStr"/>
      <c r="AO459" s="5" t="inlineStr"/>
      <c r="AP459" s="5" t="inlineStr"/>
      <c r="AQ459" s="5" t="inlineStr"/>
      <c r="AR459" s="5" t="inlineStr"/>
      <c r="AS459" s="5" t="inlineStr"/>
      <c r="AT459" s="5" t="inlineStr"/>
      <c r="AU459" s="8" t="inlineStr">
        <is>
          <t>Not run</t>
        </is>
      </c>
    </row>
    <row r="460" ht="32" customHeight="1">
      <c r="A460" s="16" t="inlineStr">
        <is>
          <t>X-0459</t>
        </is>
      </c>
      <c r="B460" s="8" t="inlineStr">
        <is>
          <t>X</t>
        </is>
      </c>
      <c r="C460" s="5" t="inlineStr">
        <is>
          <t>Multiple / Cross-persona</t>
        </is>
      </c>
      <c r="D460" s="5" t="inlineStr">
        <is>
          <t>Communication &amp; Integrations</t>
        </is>
      </c>
      <c r="E460" s="5" t="inlineStr">
        <is>
          <t>Integration failure → retry</t>
        </is>
      </c>
      <c r="F460" s="5" t="inlineStr">
        <is>
          <t>System / Celery Worker</t>
        </is>
      </c>
      <c r="G460" s="5" t="inlineStr">
        <is>
          <t>System Administrator</t>
        </is>
      </c>
      <c r="H460" s="5" t="inlineStr">
        <is>
          <t>Transient external API failures automatically retried with exponential backoff</t>
        </is>
      </c>
      <c r="I460" s="5" t="inlineStr">
        <is>
          <t>Celery task retries up to 5 times with exponential backoff delay before alerting admin</t>
        </is>
      </c>
      <c r="J460" s="20" t="inlineStr">
        <is>
          <t>P1</t>
        </is>
      </c>
      <c r="K460" s="20" t="inlineStr">
        <is>
          <t>Validated (Supported)</t>
        </is>
      </c>
      <c r="L460" s="5" t="inlineStr">
        <is>
          <t>Supported via Celery integration retry decorator with exponential backoff.</t>
        </is>
      </c>
      <c r="M460" s="8" t="inlineStr">
        <is>
          <t>Baseline</t>
        </is>
      </c>
      <c r="N460" s="8" t="inlineStr">
        <is>
          <t>Cross-persona</t>
        </is>
      </c>
      <c r="O460" s="8" t="inlineStr">
        <is>
          <t>P1</t>
        </is>
      </c>
      <c r="P460" s="5" t="inlineStr">
        <is>
          <t>Unchanged</t>
        </is>
      </c>
      <c r="Q460" s="20" t="inlineStr">
        <is>
          <t>Author assertion</t>
        </is>
      </c>
      <c r="R460" s="5" t="inlineStr"/>
      <c r="S460" s="8" t="inlineStr">
        <is>
          <t>INT</t>
        </is>
      </c>
      <c r="T460" s="5" t="inlineStr">
        <is>
          <t>Communication and integrations</t>
        </is>
      </c>
      <c r="U460" s="8" t="inlineStr"/>
      <c r="V460" s="8" t="inlineStr">
        <is>
          <t>integrations</t>
        </is>
      </c>
      <c r="W460" s="8" t="inlineStr">
        <is>
          <t>KERNEL</t>
        </is>
      </c>
      <c r="X460" s="5" t="inlineStr">
        <is>
          <t>Core</t>
        </is>
      </c>
      <c r="Y460" s="5" t="inlineStr">
        <is>
          <t>Cross-persona</t>
        </is>
      </c>
      <c r="Z460" s="5" t="inlineStr">
        <is>
          <t>Medium</t>
        </is>
      </c>
      <c r="AA460" s="5" t="inlineStr">
        <is>
          <t>Medium</t>
        </is>
      </c>
      <c r="AB460" s="8" t="inlineStr">
        <is>
          <t>Low</t>
        </is>
      </c>
      <c r="AC460" s="8" t="inlineStr">
        <is>
          <t>Later</t>
        </is>
      </c>
      <c r="AD460" s="5" t="inlineStr">
        <is>
          <t>Not independently checked</t>
        </is>
      </c>
      <c r="AE460" s="5" t="inlineStr">
        <is>
          <t>Not verified</t>
        </is>
      </c>
      <c r="AF460" s="5" t="inlineStr">
        <is>
          <t>Not verified</t>
        </is>
      </c>
      <c r="AG460" s="5" t="inlineStr">
        <is>
          <t>Not verified</t>
        </is>
      </c>
      <c r="AH460" s="5" t="inlineStr">
        <is>
          <t>Not verified</t>
        </is>
      </c>
      <c r="AI460" s="8" t="inlineStr">
        <is>
          <t>No</t>
        </is>
      </c>
      <c r="AJ460" s="8" t="inlineStr">
        <is>
          <t>Claimed - unverified</t>
        </is>
      </c>
      <c r="AK460" s="8" t="inlineStr">
        <is>
          <t>P1</t>
        </is>
      </c>
      <c r="AL460" s="8" t="n">
        <v>6</v>
      </c>
      <c r="AM460" s="5" t="inlineStr"/>
      <c r="AN460" s="5" t="inlineStr"/>
      <c r="AO460" s="5" t="inlineStr"/>
      <c r="AP460" s="5" t="inlineStr"/>
      <c r="AQ460" s="5" t="inlineStr"/>
      <c r="AR460" s="5" t="inlineStr"/>
      <c r="AS460" s="5" t="inlineStr"/>
      <c r="AT460" s="5" t="inlineStr"/>
      <c r="AU460" s="8" t="inlineStr">
        <is>
          <t>Not run</t>
        </is>
      </c>
    </row>
    <row r="461" ht="32" customHeight="1">
      <c r="A461" s="16" t="inlineStr">
        <is>
          <t>X-0460</t>
        </is>
      </c>
      <c r="B461" s="8" t="inlineStr">
        <is>
          <t>X</t>
        </is>
      </c>
      <c r="C461" s="5" t="inlineStr">
        <is>
          <t>Multiple / Cross-persona</t>
        </is>
      </c>
      <c r="D461" s="5" t="inlineStr">
        <is>
          <t>Communication &amp; Integrations</t>
        </is>
      </c>
      <c r="E461" s="5" t="inlineStr">
        <is>
          <t>Integration retry → idempotent result</t>
        </is>
      </c>
      <c r="F461" s="5" t="inlineStr">
        <is>
          <t>System / Integration Engine</t>
        </is>
      </c>
      <c r="G461" s="5" t="inlineStr">
        <is>
          <t>External Service</t>
        </is>
      </c>
      <c r="H461" s="5" t="inlineStr">
        <is>
          <t>Retried integration requests guarantee zero duplicate records on external services</t>
        </is>
      </c>
      <c r="I461" s="5" t="inlineStr">
        <is>
          <t>Passes unique idempotency token to external service to prevent duplicate charges or messages</t>
        </is>
      </c>
      <c r="J461" s="20" t="inlineStr">
        <is>
          <t>P1</t>
        </is>
      </c>
      <c r="K461" s="20" t="inlineStr">
        <is>
          <t>Validated (Supported)</t>
        </is>
      </c>
      <c r="L461" s="5" t="inlineStr">
        <is>
          <t>Core architectural invariant: all external integration calls enforce idempotency keys.</t>
        </is>
      </c>
      <c r="M461" s="8" t="inlineStr">
        <is>
          <t>Baseline</t>
        </is>
      </c>
      <c r="N461" s="8" t="inlineStr">
        <is>
          <t>Cross-persona</t>
        </is>
      </c>
      <c r="O461" s="8" t="inlineStr">
        <is>
          <t>P1</t>
        </is>
      </c>
      <c r="P461" s="5" t="inlineStr">
        <is>
          <t>Restored to authored P1. The previous workbook had P0 after a keyword rebalance.</t>
        </is>
      </c>
      <c r="Q461" s="20" t="inlineStr">
        <is>
          <t>Author assertion</t>
        </is>
      </c>
      <c r="R461" s="5" t="inlineStr">
        <is>
          <t>Restored to authored P1. The previous workbook had P0 after a keyword rebalance.</t>
        </is>
      </c>
      <c r="S461" s="8" t="inlineStr">
        <is>
          <t>INT</t>
        </is>
      </c>
      <c r="T461" s="5" t="inlineStr">
        <is>
          <t>Communication and integrations</t>
        </is>
      </c>
      <c r="U461" s="8" t="inlineStr"/>
      <c r="V461" s="8" t="inlineStr">
        <is>
          <t>integrations</t>
        </is>
      </c>
      <c r="W461" s="8" t="inlineStr">
        <is>
          <t>KERNEL</t>
        </is>
      </c>
      <c r="X461" s="5" t="inlineStr">
        <is>
          <t>Core</t>
        </is>
      </c>
      <c r="Y461" s="5" t="inlineStr">
        <is>
          <t>Cross-persona</t>
        </is>
      </c>
      <c r="Z461" s="5" t="inlineStr">
        <is>
          <t>Medium</t>
        </is>
      </c>
      <c r="AA461" s="5" t="inlineStr">
        <is>
          <t>Medium</t>
        </is>
      </c>
      <c r="AB461" s="8" t="inlineStr">
        <is>
          <t>Low</t>
        </is>
      </c>
      <c r="AC461" s="8" t="inlineStr">
        <is>
          <t>Later</t>
        </is>
      </c>
      <c r="AD461" s="5" t="inlineStr">
        <is>
          <t>Not independently checked</t>
        </is>
      </c>
      <c r="AE461" s="5" t="inlineStr">
        <is>
          <t>Not verified</t>
        </is>
      </c>
      <c r="AF461" s="5" t="inlineStr">
        <is>
          <t>Not verified</t>
        </is>
      </c>
      <c r="AG461" s="5" t="inlineStr">
        <is>
          <t>Not verified</t>
        </is>
      </c>
      <c r="AH461" s="5" t="inlineStr">
        <is>
          <t>Not verified</t>
        </is>
      </c>
      <c r="AI461" s="8" t="inlineStr">
        <is>
          <t>No</t>
        </is>
      </c>
      <c r="AJ461" s="8" t="inlineStr">
        <is>
          <t>Claimed - unverified</t>
        </is>
      </c>
      <c r="AK461" s="8" t="inlineStr">
        <is>
          <t>P1</t>
        </is>
      </c>
      <c r="AL461" s="8" t="n">
        <v>6</v>
      </c>
      <c r="AM461" s="5" t="inlineStr"/>
      <c r="AN461" s="5" t="inlineStr"/>
      <c r="AO461" s="5" t="inlineStr"/>
      <c r="AP461" s="5" t="inlineStr"/>
      <c r="AQ461" s="5" t="inlineStr"/>
      <c r="AR461" s="5" t="inlineStr"/>
      <c r="AS461" s="5" t="inlineStr"/>
      <c r="AT461" s="5" t="inlineStr"/>
      <c r="AU461" s="8" t="inlineStr">
        <is>
          <t>Not run</t>
        </is>
      </c>
    </row>
    <row r="462" ht="32" customHeight="1">
      <c r="A462" s="16" t="inlineStr">
        <is>
          <t>X-0461</t>
        </is>
      </c>
      <c r="B462" s="8" t="inlineStr">
        <is>
          <t>X</t>
        </is>
      </c>
      <c r="C462" s="5" t="inlineStr">
        <is>
          <t>Multiple / Cross-persona</t>
        </is>
      </c>
      <c r="D462" s="5" t="inlineStr">
        <is>
          <t>Communication &amp; Integrations</t>
        </is>
      </c>
      <c r="E462" s="5" t="inlineStr">
        <is>
          <t>External reference ID → BizBoard transaction traceability</t>
        </is>
      </c>
      <c r="F462" s="5" t="inlineStr">
        <is>
          <t>In-house Accountant</t>
        </is>
      </c>
      <c r="G462" s="5" t="inlineStr">
        <is>
          <t>Auditor</t>
        </is>
      </c>
      <c r="H462" s="5" t="inlineStr">
        <is>
          <t>Bank UTR, payment gateway payment ID, or e-way bill number permanently linked to voucher</t>
        </is>
      </c>
      <c r="I462" s="5" t="inlineStr">
        <is>
          <t>Stores external reference string on Payment/Invoice model; searchable across system</t>
        </is>
      </c>
      <c r="J462" s="20" t="inlineStr">
        <is>
          <t>P1</t>
        </is>
      </c>
      <c r="K462" s="20" t="inlineStr">
        <is>
          <t>Validated (Supported)</t>
        </is>
      </c>
      <c r="L462" s="5" t="inlineStr">
        <is>
          <t>Supported via external_reference_id field indexed across all transaction models.</t>
        </is>
      </c>
      <c r="M462" s="8" t="inlineStr">
        <is>
          <t>Baseline</t>
        </is>
      </c>
      <c r="N462" s="8" t="inlineStr">
        <is>
          <t>Cross-persona</t>
        </is>
      </c>
      <c r="O462" s="8" t="inlineStr">
        <is>
          <t>P1</t>
        </is>
      </c>
      <c r="P462" s="5" t="inlineStr">
        <is>
          <t>Restored to authored P1. The previous workbook had P0 after a keyword rebalance.</t>
        </is>
      </c>
      <c r="Q462" s="20" t="inlineStr">
        <is>
          <t>Author assertion</t>
        </is>
      </c>
      <c r="R462" s="5" t="inlineStr">
        <is>
          <t>Restored to authored P1. The previous workbook had P0 after a keyword rebalance.</t>
        </is>
      </c>
      <c r="S462" s="8" t="inlineStr">
        <is>
          <t>INT</t>
        </is>
      </c>
      <c r="T462" s="5" t="inlineStr">
        <is>
          <t>Communication and integrations</t>
        </is>
      </c>
      <c r="U462" s="8" t="inlineStr"/>
      <c r="V462" s="8" t="inlineStr">
        <is>
          <t>integrations</t>
        </is>
      </c>
      <c r="W462" s="8" t="inlineStr">
        <is>
          <t>KERNEL</t>
        </is>
      </c>
      <c r="X462" s="5" t="inlineStr">
        <is>
          <t>Core</t>
        </is>
      </c>
      <c r="Y462" s="5" t="inlineStr">
        <is>
          <t>Cross-persona</t>
        </is>
      </c>
      <c r="Z462" s="5" t="inlineStr">
        <is>
          <t>Medium</t>
        </is>
      </c>
      <c r="AA462" s="5" t="inlineStr">
        <is>
          <t>Medium</t>
        </is>
      </c>
      <c r="AB462" s="8" t="inlineStr">
        <is>
          <t>Low</t>
        </is>
      </c>
      <c r="AC462" s="8" t="inlineStr">
        <is>
          <t>Later</t>
        </is>
      </c>
      <c r="AD462" s="5" t="inlineStr">
        <is>
          <t>Not independently checked</t>
        </is>
      </c>
      <c r="AE462" s="5" t="inlineStr">
        <is>
          <t>Not verified</t>
        </is>
      </c>
      <c r="AF462" s="5" t="inlineStr">
        <is>
          <t>Not verified</t>
        </is>
      </c>
      <c r="AG462" s="5" t="inlineStr">
        <is>
          <t>Not verified</t>
        </is>
      </c>
      <c r="AH462" s="5" t="inlineStr">
        <is>
          <t>Not verified</t>
        </is>
      </c>
      <c r="AI462" s="8" t="inlineStr">
        <is>
          <t>No</t>
        </is>
      </c>
      <c r="AJ462" s="8" t="inlineStr">
        <is>
          <t>Claimed - unverified</t>
        </is>
      </c>
      <c r="AK462" s="8" t="inlineStr">
        <is>
          <t>P1</t>
        </is>
      </c>
      <c r="AL462" s="8" t="n">
        <v>6</v>
      </c>
      <c r="AM462" s="5" t="inlineStr"/>
      <c r="AN462" s="5" t="inlineStr"/>
      <c r="AO462" s="5" t="inlineStr"/>
      <c r="AP462" s="5" t="inlineStr"/>
      <c r="AQ462" s="5" t="inlineStr"/>
      <c r="AR462" s="5" t="inlineStr"/>
      <c r="AS462" s="5" t="inlineStr"/>
      <c r="AT462" s="5" t="inlineStr"/>
      <c r="AU462" s="8" t="inlineStr">
        <is>
          <t>Not run</t>
        </is>
      </c>
    </row>
    <row r="463" ht="32" customHeight="1">
      <c r="A463" s="16" t="inlineStr">
        <is>
          <t>X-0462</t>
        </is>
      </c>
      <c r="B463" s="8" t="inlineStr">
        <is>
          <t>X</t>
        </is>
      </c>
      <c r="C463" s="5" t="inlineStr">
        <is>
          <t>Multiple / Cross-persona</t>
        </is>
      </c>
      <c r="D463" s="5" t="inlineStr">
        <is>
          <t>Import / Export / Period Close</t>
        </is>
      </c>
      <c r="E463" s="5" t="inlineStr">
        <is>
          <t>Import customer master</t>
        </is>
      </c>
      <c r="F463" s="5" t="inlineStr">
        <is>
          <t>System Administrator / Accountant</t>
        </is>
      </c>
      <c r="G463" s="5" t="inlineStr">
        <is>
          <t>Sales Team</t>
        </is>
      </c>
      <c r="H463" s="5" t="inlineStr">
        <is>
          <t>Bulk import customer contact list, GSTINs, addresses, and credit limits from Excel/CSV</t>
        </is>
      </c>
      <c r="I463" s="5" t="inlineStr">
        <is>
          <t>Validates schema and GSTINs; inserts Customer master records in bulk transaction</t>
        </is>
      </c>
      <c r="J463" s="20" t="inlineStr">
        <is>
          <t>P1</t>
        </is>
      </c>
      <c r="K463" s="20" t="inlineStr">
        <is>
          <t>Validated (Supported)</t>
        </is>
      </c>
      <c r="L463" s="5" t="inlineStr">
        <is>
          <t>Supported via /imports/customers/ with sample template and dry-run preview.</t>
        </is>
      </c>
      <c r="M463" s="8" t="inlineStr">
        <is>
          <t>Baseline</t>
        </is>
      </c>
      <c r="N463" s="8" t="inlineStr">
        <is>
          <t>Cross-persona</t>
        </is>
      </c>
      <c r="O463" s="8" t="inlineStr">
        <is>
          <t>P1</t>
        </is>
      </c>
      <c r="P463" s="5" t="inlineStr">
        <is>
          <t>Restored to authored P1. The previous workbook had P0 after a keyword rebalance.</t>
        </is>
      </c>
      <c r="Q463" s="20" t="inlineStr">
        <is>
          <t>Author assertion</t>
        </is>
      </c>
      <c r="R463" s="5" t="inlineStr">
        <is>
          <t>Restored to authored P1. The previous workbook had P0 after a keyword rebalance.</t>
        </is>
      </c>
      <c r="S463" s="8" t="inlineStr">
        <is>
          <t>CLOSE</t>
        </is>
      </c>
      <c r="T463" s="5" t="inlineStr">
        <is>
          <t>Import, export, and period close</t>
        </is>
      </c>
      <c r="U463" s="8" t="inlineStr"/>
      <c r="V463" s="8" t="inlineStr">
        <is>
          <t>accounting</t>
        </is>
      </c>
      <c r="W463" s="8" t="inlineStr">
        <is>
          <t>CONTROL</t>
        </is>
      </c>
      <c r="X463" s="5" t="inlineStr">
        <is>
          <t>Core</t>
        </is>
      </c>
      <c r="Y463" s="5" t="inlineStr">
        <is>
          <t>Cross-persona</t>
        </is>
      </c>
      <c r="Z463" s="5" t="inlineStr">
        <is>
          <t>Medium</t>
        </is>
      </c>
      <c r="AA463" s="5" t="inlineStr">
        <is>
          <t>Medium</t>
        </is>
      </c>
      <c r="AB463" s="8" t="inlineStr">
        <is>
          <t>Low</t>
        </is>
      </c>
      <c r="AC463" s="8" t="inlineStr">
        <is>
          <t>Pilot</t>
        </is>
      </c>
      <c r="AD463" s="5" t="inlineStr">
        <is>
          <t>Not independently checked</t>
        </is>
      </c>
      <c r="AE463" s="5" t="inlineStr">
        <is>
          <t>Not verified</t>
        </is>
      </c>
      <c r="AF463" s="5" t="inlineStr">
        <is>
          <t>Not verified</t>
        </is>
      </c>
      <c r="AG463" s="5" t="inlineStr">
        <is>
          <t>Not verified</t>
        </is>
      </c>
      <c r="AH463" s="5" t="inlineStr">
        <is>
          <t>Not verified</t>
        </is>
      </c>
      <c r="AI463" s="8" t="inlineStr">
        <is>
          <t>No</t>
        </is>
      </c>
      <c r="AJ463" s="8" t="inlineStr">
        <is>
          <t>Claimed - unverified</t>
        </is>
      </c>
      <c r="AK463" s="8" t="inlineStr">
        <is>
          <t>P1</t>
        </is>
      </c>
      <c r="AL463" s="8" t="n">
        <v>6</v>
      </c>
      <c r="AM463" s="5" t="inlineStr"/>
      <c r="AN463" s="5" t="inlineStr"/>
      <c r="AO463" s="5" t="inlineStr"/>
      <c r="AP463" s="5" t="inlineStr"/>
      <c r="AQ463" s="5" t="inlineStr"/>
      <c r="AR463" s="5" t="inlineStr"/>
      <c r="AS463" s="5" t="inlineStr"/>
      <c r="AT463" s="5" t="inlineStr"/>
      <c r="AU463" s="8" t="inlineStr">
        <is>
          <t>Not run</t>
        </is>
      </c>
    </row>
    <row r="464" ht="32" customHeight="1">
      <c r="A464" s="16" t="inlineStr">
        <is>
          <t>X-0463</t>
        </is>
      </c>
      <c r="B464" s="8" t="inlineStr">
        <is>
          <t>X</t>
        </is>
      </c>
      <c r="C464" s="5" t="inlineStr">
        <is>
          <t>Multiple / Cross-persona</t>
        </is>
      </c>
      <c r="D464" s="5" t="inlineStr">
        <is>
          <t>Import / Export / Period Close</t>
        </is>
      </c>
      <c r="E464" s="5" t="inlineStr">
        <is>
          <t>Import supplier master</t>
        </is>
      </c>
      <c r="F464" s="5" t="inlineStr">
        <is>
          <t>System Administrator / Accountant</t>
        </is>
      </c>
      <c r="G464" s="5" t="inlineStr">
        <is>
          <t>Purchase Team</t>
        </is>
      </c>
      <c r="H464" s="5" t="inlineStr">
        <is>
          <t>Bulk import vendor directory, GSTINs, payment terms, and contact details from Excel/CSV</t>
        </is>
      </c>
      <c r="I464" s="5" t="inlineStr">
        <is>
          <t>Inserts Supplier master records in bulk transaction; flags duplicate vendor GSTINs</t>
        </is>
      </c>
      <c r="J464" s="20" t="inlineStr">
        <is>
          <t>P1</t>
        </is>
      </c>
      <c r="K464" s="20" t="inlineStr">
        <is>
          <t>Validated (Supported)</t>
        </is>
      </c>
      <c r="L464" s="5" t="inlineStr">
        <is>
          <t>Supported via /imports/suppliers/ with sample CSV template.</t>
        </is>
      </c>
      <c r="M464" s="8" t="inlineStr">
        <is>
          <t>Baseline</t>
        </is>
      </c>
      <c r="N464" s="8" t="inlineStr">
        <is>
          <t>Cross-persona</t>
        </is>
      </c>
      <c r="O464" s="8" t="inlineStr">
        <is>
          <t>P1</t>
        </is>
      </c>
      <c r="P464" s="5" t="inlineStr">
        <is>
          <t>Unchanged</t>
        </is>
      </c>
      <c r="Q464" s="20" t="inlineStr">
        <is>
          <t>Author assertion</t>
        </is>
      </c>
      <c r="R464" s="5" t="inlineStr"/>
      <c r="S464" s="8" t="inlineStr">
        <is>
          <t>CLOSE</t>
        </is>
      </c>
      <c r="T464" s="5" t="inlineStr">
        <is>
          <t>Import, export, and period close</t>
        </is>
      </c>
      <c r="U464" s="8" t="inlineStr"/>
      <c r="V464" s="8" t="inlineStr">
        <is>
          <t>accounting</t>
        </is>
      </c>
      <c r="W464" s="8" t="inlineStr">
        <is>
          <t>CONTROL</t>
        </is>
      </c>
      <c r="X464" s="5" t="inlineStr">
        <is>
          <t>Core</t>
        </is>
      </c>
      <c r="Y464" s="5" t="inlineStr">
        <is>
          <t>Cross-persona</t>
        </is>
      </c>
      <c r="Z464" s="5" t="inlineStr">
        <is>
          <t>Medium</t>
        </is>
      </c>
      <c r="AA464" s="5" t="inlineStr">
        <is>
          <t>Medium</t>
        </is>
      </c>
      <c r="AB464" s="8" t="inlineStr">
        <is>
          <t>Low</t>
        </is>
      </c>
      <c r="AC464" s="8" t="inlineStr">
        <is>
          <t>Pilot</t>
        </is>
      </c>
      <c r="AD464" s="5" t="inlineStr">
        <is>
          <t>Not independently checked</t>
        </is>
      </c>
      <c r="AE464" s="5" t="inlineStr">
        <is>
          <t>Not verified</t>
        </is>
      </c>
      <c r="AF464" s="5" t="inlineStr">
        <is>
          <t>Not verified</t>
        </is>
      </c>
      <c r="AG464" s="5" t="inlineStr">
        <is>
          <t>Not verified</t>
        </is>
      </c>
      <c r="AH464" s="5" t="inlineStr">
        <is>
          <t>Not verified</t>
        </is>
      </c>
      <c r="AI464" s="8" t="inlineStr">
        <is>
          <t>No</t>
        </is>
      </c>
      <c r="AJ464" s="8" t="inlineStr">
        <is>
          <t>Claimed - unverified</t>
        </is>
      </c>
      <c r="AK464" s="8" t="inlineStr">
        <is>
          <t>P1</t>
        </is>
      </c>
      <c r="AL464" s="8" t="n">
        <v>6</v>
      </c>
      <c r="AM464" s="5" t="inlineStr"/>
      <c r="AN464" s="5" t="inlineStr"/>
      <c r="AO464" s="5" t="inlineStr"/>
      <c r="AP464" s="5" t="inlineStr"/>
      <c r="AQ464" s="5" t="inlineStr"/>
      <c r="AR464" s="5" t="inlineStr"/>
      <c r="AS464" s="5" t="inlineStr"/>
      <c r="AT464" s="5" t="inlineStr"/>
      <c r="AU464" s="8" t="inlineStr">
        <is>
          <t>Not run</t>
        </is>
      </c>
    </row>
    <row r="465" ht="32" customHeight="1">
      <c r="A465" s="16" t="inlineStr">
        <is>
          <t>X-0464</t>
        </is>
      </c>
      <c r="B465" s="8" t="inlineStr">
        <is>
          <t>X</t>
        </is>
      </c>
      <c r="C465" s="5" t="inlineStr">
        <is>
          <t>Multiple / Cross-persona</t>
        </is>
      </c>
      <c r="D465" s="5" t="inlineStr">
        <is>
          <t>Import / Export / Period Close</t>
        </is>
      </c>
      <c r="E465" s="5" t="inlineStr">
        <is>
          <t>Import product master</t>
        </is>
      </c>
      <c r="F465" s="5" t="inlineStr">
        <is>
          <t>Catalog Lead / Admin</t>
        </is>
      </c>
      <c r="G465" s="5" t="inlineStr">
        <is>
          <t>Sales &amp; Inventory Teams</t>
        </is>
      </c>
      <c r="H465" s="5" t="inlineStr">
        <is>
          <t>Bulk import full product catalog including barcodes, HSN codes, tax rates, and prices</t>
        </is>
      </c>
      <c r="I465" s="5" t="inlineStr">
        <is>
          <t>Inserts Product master records in bulk; validates HSN format and pricing consistency</t>
        </is>
      </c>
      <c r="J465" s="20" t="inlineStr">
        <is>
          <t>P1</t>
        </is>
      </c>
      <c r="K465" s="20" t="inlineStr">
        <is>
          <t>Validated (Supported)</t>
        </is>
      </c>
      <c r="L465" s="5" t="inlineStr">
        <is>
          <t>Supported via /imports/products/ with multi-warehouse opening stock option.</t>
        </is>
      </c>
      <c r="M465" s="8" t="inlineStr">
        <is>
          <t>Baseline</t>
        </is>
      </c>
      <c r="N465" s="8" t="inlineStr">
        <is>
          <t>Cross-persona</t>
        </is>
      </c>
      <c r="O465" s="8" t="inlineStr">
        <is>
          <t>P1</t>
        </is>
      </c>
      <c r="P465" s="5" t="inlineStr">
        <is>
          <t>Unchanged</t>
        </is>
      </c>
      <c r="Q465" s="20" t="inlineStr">
        <is>
          <t>Author assertion</t>
        </is>
      </c>
      <c r="R465" s="5" t="inlineStr"/>
      <c r="S465" s="8" t="inlineStr">
        <is>
          <t>CLOSE</t>
        </is>
      </c>
      <c r="T465" s="5" t="inlineStr">
        <is>
          <t>Import, export, and period close</t>
        </is>
      </c>
      <c r="U465" s="8" t="inlineStr"/>
      <c r="V465" s="8" t="inlineStr">
        <is>
          <t>accounting</t>
        </is>
      </c>
      <c r="W465" s="8" t="inlineStr">
        <is>
          <t>CONTROL</t>
        </is>
      </c>
      <c r="X465" s="5" t="inlineStr">
        <is>
          <t>Core</t>
        </is>
      </c>
      <c r="Y465" s="5" t="inlineStr">
        <is>
          <t>Cross-persona</t>
        </is>
      </c>
      <c r="Z465" s="5" t="inlineStr">
        <is>
          <t>Medium</t>
        </is>
      </c>
      <c r="AA465" s="5" t="inlineStr">
        <is>
          <t>Medium</t>
        </is>
      </c>
      <c r="AB465" s="8" t="inlineStr">
        <is>
          <t>Low</t>
        </is>
      </c>
      <c r="AC465" s="8" t="inlineStr">
        <is>
          <t>Pilot</t>
        </is>
      </c>
      <c r="AD465" s="5" t="inlineStr">
        <is>
          <t>Not independently checked</t>
        </is>
      </c>
      <c r="AE465" s="5" t="inlineStr">
        <is>
          <t>Not verified</t>
        </is>
      </c>
      <c r="AF465" s="5" t="inlineStr">
        <is>
          <t>Not verified</t>
        </is>
      </c>
      <c r="AG465" s="5" t="inlineStr">
        <is>
          <t>Not verified</t>
        </is>
      </c>
      <c r="AH465" s="5" t="inlineStr">
        <is>
          <t>Not verified</t>
        </is>
      </c>
      <c r="AI465" s="8" t="inlineStr">
        <is>
          <t>No</t>
        </is>
      </c>
      <c r="AJ465" s="8" t="inlineStr">
        <is>
          <t>Claimed - unverified</t>
        </is>
      </c>
      <c r="AK465" s="8" t="inlineStr">
        <is>
          <t>P1</t>
        </is>
      </c>
      <c r="AL465" s="8" t="n">
        <v>6</v>
      </c>
      <c r="AM465" s="5" t="inlineStr"/>
      <c r="AN465" s="5" t="inlineStr"/>
      <c r="AO465" s="5" t="inlineStr"/>
      <c r="AP465" s="5" t="inlineStr"/>
      <c r="AQ465" s="5" t="inlineStr"/>
      <c r="AR465" s="5" t="inlineStr"/>
      <c r="AS465" s="5" t="inlineStr"/>
      <c r="AT465" s="5" t="inlineStr"/>
      <c r="AU465" s="8" t="inlineStr">
        <is>
          <t>Not run</t>
        </is>
      </c>
    </row>
    <row r="466" ht="32" customHeight="1">
      <c r="A466" s="16" t="inlineStr">
        <is>
          <t>X-0465</t>
        </is>
      </c>
      <c r="B466" s="8" t="inlineStr">
        <is>
          <t>X</t>
        </is>
      </c>
      <c r="C466" s="5" t="inlineStr">
        <is>
          <t>Multiple / Cross-persona</t>
        </is>
      </c>
      <c r="D466" s="5" t="inlineStr">
        <is>
          <t>Import / Export / Period Close</t>
        </is>
      </c>
      <c r="E466" s="5" t="inlineStr">
        <is>
          <t>Import opening stock</t>
        </is>
      </c>
      <c r="F466" s="5" t="inlineStr">
        <is>
          <t>Inventory Manager / Admin</t>
        </is>
      </c>
      <c r="G466" s="5" t="inlineStr">
        <is>
          <t>Auditor</t>
        </is>
      </c>
      <c r="H466" s="5" t="inlineStr">
        <is>
          <t>Upload initial physical stock quantities, batch numbers, and unit purchase valuations</t>
        </is>
      </c>
      <c r="I466" s="5" t="inlineStr">
        <is>
          <t>Initializes StockBalance records; creates StockMovement (OPENING_BALANCE); posts to GL</t>
        </is>
      </c>
      <c r="J466" s="20" t="inlineStr">
        <is>
          <t>P1</t>
        </is>
      </c>
      <c r="K466" s="20" t="inlineStr">
        <is>
          <t>Validated (Supported)</t>
        </is>
      </c>
      <c r="L466" s="5" t="inlineStr">
        <is>
          <t>Supported via /imports/opening-stock/ with warehouse location tagging.</t>
        </is>
      </c>
      <c r="M466" s="8" t="inlineStr">
        <is>
          <t>Baseline</t>
        </is>
      </c>
      <c r="N466" s="8" t="inlineStr">
        <is>
          <t>Cross-persona</t>
        </is>
      </c>
      <c r="O466" s="8" t="inlineStr">
        <is>
          <t>P1</t>
        </is>
      </c>
      <c r="P466" s="5" t="inlineStr">
        <is>
          <t>Unchanged</t>
        </is>
      </c>
      <c r="Q466" s="20" t="inlineStr">
        <is>
          <t>Author assertion</t>
        </is>
      </c>
      <c r="R466" s="5" t="inlineStr"/>
      <c r="S466" s="8" t="inlineStr">
        <is>
          <t>CLOSE</t>
        </is>
      </c>
      <c r="T466" s="5" t="inlineStr">
        <is>
          <t>Import, export, and period close</t>
        </is>
      </c>
      <c r="U466" s="8" t="inlineStr"/>
      <c r="V466" s="8" t="inlineStr">
        <is>
          <t>accounting</t>
        </is>
      </c>
      <c r="W466" s="8" t="inlineStr">
        <is>
          <t>CONTROL</t>
        </is>
      </c>
      <c r="X466" s="5" t="inlineStr">
        <is>
          <t>Core</t>
        </is>
      </c>
      <c r="Y466" s="5" t="inlineStr">
        <is>
          <t>Cross-persona</t>
        </is>
      </c>
      <c r="Z466" s="5" t="inlineStr">
        <is>
          <t>Medium</t>
        </is>
      </c>
      <c r="AA466" s="5" t="inlineStr">
        <is>
          <t>Medium</t>
        </is>
      </c>
      <c r="AB466" s="8" t="inlineStr">
        <is>
          <t>Low</t>
        </is>
      </c>
      <c r="AC466" s="8" t="inlineStr">
        <is>
          <t>Pilot</t>
        </is>
      </c>
      <c r="AD466" s="5" t="inlineStr">
        <is>
          <t>Not independently checked</t>
        </is>
      </c>
      <c r="AE466" s="5" t="inlineStr">
        <is>
          <t>Not verified</t>
        </is>
      </c>
      <c r="AF466" s="5" t="inlineStr">
        <is>
          <t>Not verified</t>
        </is>
      </c>
      <c r="AG466" s="5" t="inlineStr">
        <is>
          <t>Not verified</t>
        </is>
      </c>
      <c r="AH466" s="5" t="inlineStr">
        <is>
          <t>Not verified</t>
        </is>
      </c>
      <c r="AI466" s="8" t="inlineStr">
        <is>
          <t>No</t>
        </is>
      </c>
      <c r="AJ466" s="8" t="inlineStr">
        <is>
          <t>Claimed - unverified</t>
        </is>
      </c>
      <c r="AK466" s="8" t="inlineStr">
        <is>
          <t>P1</t>
        </is>
      </c>
      <c r="AL466" s="8" t="n">
        <v>6</v>
      </c>
      <c r="AM466" s="5" t="inlineStr"/>
      <c r="AN466" s="5" t="inlineStr"/>
      <c r="AO466" s="5" t="inlineStr"/>
      <c r="AP466" s="5" t="inlineStr"/>
      <c r="AQ466" s="5" t="inlineStr"/>
      <c r="AR466" s="5" t="inlineStr"/>
      <c r="AS466" s="5" t="inlineStr"/>
      <c r="AT466" s="5" t="inlineStr"/>
      <c r="AU466" s="8" t="inlineStr">
        <is>
          <t>Not run</t>
        </is>
      </c>
    </row>
    <row r="467" ht="32" customHeight="1">
      <c r="A467" s="16" t="inlineStr">
        <is>
          <t>X-0466</t>
        </is>
      </c>
      <c r="B467" s="8" t="inlineStr">
        <is>
          <t>X</t>
        </is>
      </c>
      <c r="C467" s="5" t="inlineStr">
        <is>
          <t>Multiple / Cross-persona</t>
        </is>
      </c>
      <c r="D467" s="5" t="inlineStr">
        <is>
          <t>Import / Export / Period Close</t>
        </is>
      </c>
      <c r="E467" s="5" t="inlineStr">
        <is>
          <t>Import opening customer balances</t>
        </is>
      </c>
      <c r="F467" s="5" t="inlineStr">
        <is>
          <t>In-house Accountant</t>
        </is>
      </c>
      <c r="G467" s="5" t="inlineStr">
        <is>
          <t>Credit Controller</t>
        </is>
      </c>
      <c r="H467" s="5" t="inlineStr">
        <is>
          <t>Upload existing customer credit (khata) balances and unpaid historical bills into system</t>
        </is>
      </c>
      <c r="I467" s="5" t="inlineStr">
        <is>
          <t>Initializes opening Accounts Receivable debit balances; establishes opening aging buckets</t>
        </is>
      </c>
      <c r="J467" s="20" t="inlineStr">
        <is>
          <t>P1</t>
        </is>
      </c>
      <c r="K467" s="20" t="inlineStr">
        <is>
          <t>Validated (Supported)</t>
        </is>
      </c>
      <c r="L467" s="5" t="inlineStr">
        <is>
          <t>Supported via /imports/customer-balances/ with invoice-level opening bill support.</t>
        </is>
      </c>
      <c r="M467" s="8" t="inlineStr">
        <is>
          <t>Baseline</t>
        </is>
      </c>
      <c r="N467" s="8" t="inlineStr">
        <is>
          <t>Cross-persona</t>
        </is>
      </c>
      <c r="O467" s="8" t="inlineStr">
        <is>
          <t>P1</t>
        </is>
      </c>
      <c r="P467" s="5" t="inlineStr">
        <is>
          <t>Unchanged</t>
        </is>
      </c>
      <c r="Q467" s="20" t="inlineStr">
        <is>
          <t>Author assertion</t>
        </is>
      </c>
      <c r="R467" s="5" t="inlineStr"/>
      <c r="S467" s="8" t="inlineStr">
        <is>
          <t>CLOSE</t>
        </is>
      </c>
      <c r="T467" s="5" t="inlineStr">
        <is>
          <t>Import, export, and period close</t>
        </is>
      </c>
      <c r="U467" s="8" t="inlineStr"/>
      <c r="V467" s="8" t="inlineStr">
        <is>
          <t>accounting</t>
        </is>
      </c>
      <c r="W467" s="8" t="inlineStr">
        <is>
          <t>CONTROL</t>
        </is>
      </c>
      <c r="X467" s="5" t="inlineStr">
        <is>
          <t>Core</t>
        </is>
      </c>
      <c r="Y467" s="5" t="inlineStr">
        <is>
          <t>Cross-persona</t>
        </is>
      </c>
      <c r="Z467" s="5" t="inlineStr">
        <is>
          <t>Medium</t>
        </is>
      </c>
      <c r="AA467" s="5" t="inlineStr">
        <is>
          <t>Medium</t>
        </is>
      </c>
      <c r="AB467" s="8" t="inlineStr">
        <is>
          <t>Low</t>
        </is>
      </c>
      <c r="AC467" s="8" t="inlineStr">
        <is>
          <t>Pilot</t>
        </is>
      </c>
      <c r="AD467" s="5" t="inlineStr">
        <is>
          <t>Not independently checked</t>
        </is>
      </c>
      <c r="AE467" s="5" t="inlineStr">
        <is>
          <t>Not verified</t>
        </is>
      </c>
      <c r="AF467" s="5" t="inlineStr">
        <is>
          <t>Not verified</t>
        </is>
      </c>
      <c r="AG467" s="5" t="inlineStr">
        <is>
          <t>Not verified</t>
        </is>
      </c>
      <c r="AH467" s="5" t="inlineStr">
        <is>
          <t>Not verified</t>
        </is>
      </c>
      <c r="AI467" s="8" t="inlineStr">
        <is>
          <t>No</t>
        </is>
      </c>
      <c r="AJ467" s="8" t="inlineStr">
        <is>
          <t>Claimed - unverified</t>
        </is>
      </c>
      <c r="AK467" s="8" t="inlineStr">
        <is>
          <t>P1</t>
        </is>
      </c>
      <c r="AL467" s="8" t="n">
        <v>6</v>
      </c>
      <c r="AM467" s="5" t="inlineStr"/>
      <c r="AN467" s="5" t="inlineStr"/>
      <c r="AO467" s="5" t="inlineStr"/>
      <c r="AP467" s="5" t="inlineStr"/>
      <c r="AQ467" s="5" t="inlineStr"/>
      <c r="AR467" s="5" t="inlineStr"/>
      <c r="AS467" s="5" t="inlineStr"/>
      <c r="AT467" s="5" t="inlineStr"/>
      <c r="AU467" s="8" t="inlineStr">
        <is>
          <t>Not run</t>
        </is>
      </c>
    </row>
    <row r="468" ht="32" customHeight="1">
      <c r="A468" s="16" t="inlineStr">
        <is>
          <t>X-0467</t>
        </is>
      </c>
      <c r="B468" s="8" t="inlineStr">
        <is>
          <t>X</t>
        </is>
      </c>
      <c r="C468" s="5" t="inlineStr">
        <is>
          <t>Multiple / Cross-persona</t>
        </is>
      </c>
      <c r="D468" s="5" t="inlineStr">
        <is>
          <t>Import / Export / Period Close</t>
        </is>
      </c>
      <c r="E468" s="5" t="inlineStr">
        <is>
          <t>Import opening supplier balances</t>
        </is>
      </c>
      <c r="F468" s="5" t="inlineStr">
        <is>
          <t>In-house Accountant</t>
        </is>
      </c>
      <c r="G468" s="5" t="inlineStr">
        <is>
          <t>Purchase Manager</t>
        </is>
      </c>
      <c r="H468" s="5" t="inlineStr">
        <is>
          <t>Upload outstanding supplier liabilities and unpaid historical purchase bills</t>
        </is>
      </c>
      <c r="I468" s="5" t="inlineStr">
        <is>
          <t>Initializes opening Accounts Payable credit balances; establishes opening vendor aging</t>
        </is>
      </c>
      <c r="J468" s="20" t="inlineStr">
        <is>
          <t>P1</t>
        </is>
      </c>
      <c r="K468" s="20" t="inlineStr">
        <is>
          <t>Validated (Supported)</t>
        </is>
      </c>
      <c r="L468" s="5" t="inlineStr">
        <is>
          <t>Supported via /imports/supplier-balances/.</t>
        </is>
      </c>
      <c r="M468" s="8" t="inlineStr">
        <is>
          <t>Baseline</t>
        </is>
      </c>
      <c r="N468" s="8" t="inlineStr">
        <is>
          <t>Cross-persona</t>
        </is>
      </c>
      <c r="O468" s="8" t="inlineStr">
        <is>
          <t>P1</t>
        </is>
      </c>
      <c r="P468" s="5" t="inlineStr">
        <is>
          <t>Unchanged</t>
        </is>
      </c>
      <c r="Q468" s="20" t="inlineStr">
        <is>
          <t>Author assertion</t>
        </is>
      </c>
      <c r="R468" s="5" t="inlineStr"/>
      <c r="S468" s="8" t="inlineStr">
        <is>
          <t>CLOSE</t>
        </is>
      </c>
      <c r="T468" s="5" t="inlineStr">
        <is>
          <t>Import, export, and period close</t>
        </is>
      </c>
      <c r="U468" s="8" t="inlineStr"/>
      <c r="V468" s="8" t="inlineStr">
        <is>
          <t>accounting</t>
        </is>
      </c>
      <c r="W468" s="8" t="inlineStr">
        <is>
          <t>CONTROL</t>
        </is>
      </c>
      <c r="X468" s="5" t="inlineStr">
        <is>
          <t>Core</t>
        </is>
      </c>
      <c r="Y468" s="5" t="inlineStr">
        <is>
          <t>Cross-persona</t>
        </is>
      </c>
      <c r="Z468" s="5" t="inlineStr">
        <is>
          <t>Medium</t>
        </is>
      </c>
      <c r="AA468" s="5" t="inlineStr">
        <is>
          <t>Medium</t>
        </is>
      </c>
      <c r="AB468" s="8" t="inlineStr">
        <is>
          <t>Low</t>
        </is>
      </c>
      <c r="AC468" s="8" t="inlineStr">
        <is>
          <t>Pilot</t>
        </is>
      </c>
      <c r="AD468" s="5" t="inlineStr">
        <is>
          <t>Not independently checked</t>
        </is>
      </c>
      <c r="AE468" s="5" t="inlineStr">
        <is>
          <t>Not verified</t>
        </is>
      </c>
      <c r="AF468" s="5" t="inlineStr">
        <is>
          <t>Not verified</t>
        </is>
      </c>
      <c r="AG468" s="5" t="inlineStr">
        <is>
          <t>Not verified</t>
        </is>
      </c>
      <c r="AH468" s="5" t="inlineStr">
        <is>
          <t>Not verified</t>
        </is>
      </c>
      <c r="AI468" s="8" t="inlineStr">
        <is>
          <t>No</t>
        </is>
      </c>
      <c r="AJ468" s="8" t="inlineStr">
        <is>
          <t>Claimed - unverified</t>
        </is>
      </c>
      <c r="AK468" s="8" t="inlineStr">
        <is>
          <t>P1</t>
        </is>
      </c>
      <c r="AL468" s="8" t="n">
        <v>6</v>
      </c>
      <c r="AM468" s="5" t="inlineStr"/>
      <c r="AN468" s="5" t="inlineStr"/>
      <c r="AO468" s="5" t="inlineStr"/>
      <c r="AP468" s="5" t="inlineStr"/>
      <c r="AQ468" s="5" t="inlineStr"/>
      <c r="AR468" s="5" t="inlineStr"/>
      <c r="AS468" s="5" t="inlineStr"/>
      <c r="AT468" s="5" t="inlineStr"/>
      <c r="AU468" s="8" t="inlineStr">
        <is>
          <t>Not run</t>
        </is>
      </c>
    </row>
    <row r="469" ht="32" customHeight="1">
      <c r="A469" s="16" t="inlineStr">
        <is>
          <t>X-0468</t>
        </is>
      </c>
      <c r="B469" s="8" t="inlineStr">
        <is>
          <t>X</t>
        </is>
      </c>
      <c r="C469" s="5" t="inlineStr">
        <is>
          <t>Multiple / Cross-persona</t>
        </is>
      </c>
      <c r="D469" s="5" t="inlineStr">
        <is>
          <t>Import / Export / Period Close</t>
        </is>
      </c>
      <c r="E469" s="5" t="inlineStr">
        <is>
          <t>Import historical invoices</t>
        </is>
      </c>
      <c r="F469" s="5" t="inlineStr">
        <is>
          <t>System Administrator / Accountant</t>
        </is>
      </c>
      <c r="G469" s="5" t="inlineStr">
        <is>
          <t>Auditor</t>
        </is>
      </c>
      <c r="H469" s="5" t="inlineStr">
        <is>
          <t>Import previous months' sales invoices for year-to-date GST return and reporting continuity</t>
        </is>
      </c>
      <c r="I469" s="5" t="inlineStr">
        <is>
          <t>Loads historical invoices with CLOSED status; populates annual sales reporting dataset</t>
        </is>
      </c>
      <c r="J469" s="20" t="inlineStr">
        <is>
          <t>P1</t>
        </is>
      </c>
      <c r="K469" s="20" t="inlineStr">
        <is>
          <t>Validated (Supported)</t>
        </is>
      </c>
      <c r="L469" s="5" t="inlineStr">
        <is>
          <t>Supported via /imports/historical-invoices/ with legacy flag.</t>
        </is>
      </c>
      <c r="M469" s="8" t="inlineStr">
        <is>
          <t>Baseline</t>
        </is>
      </c>
      <c r="N469" s="8" t="inlineStr">
        <is>
          <t>Cross-persona</t>
        </is>
      </c>
      <c r="O469" s="8" t="inlineStr">
        <is>
          <t>P1</t>
        </is>
      </c>
      <c r="P469" s="5" t="inlineStr">
        <is>
          <t>Unchanged</t>
        </is>
      </c>
      <c r="Q469" s="20" t="inlineStr">
        <is>
          <t>Author assertion</t>
        </is>
      </c>
      <c r="R469" s="5" t="inlineStr"/>
      <c r="S469" s="8" t="inlineStr">
        <is>
          <t>CLOSE</t>
        </is>
      </c>
      <c r="T469" s="5" t="inlineStr">
        <is>
          <t>Import, export, and period close</t>
        </is>
      </c>
      <c r="U469" s="8" t="inlineStr"/>
      <c r="V469" s="8" t="inlineStr">
        <is>
          <t>accounting</t>
        </is>
      </c>
      <c r="W469" s="8" t="inlineStr">
        <is>
          <t>CONTROL</t>
        </is>
      </c>
      <c r="X469" s="5" t="inlineStr">
        <is>
          <t>Core</t>
        </is>
      </c>
      <c r="Y469" s="5" t="inlineStr">
        <is>
          <t>Cross-persona</t>
        </is>
      </c>
      <c r="Z469" s="5" t="inlineStr">
        <is>
          <t>Medium</t>
        </is>
      </c>
      <c r="AA469" s="5" t="inlineStr">
        <is>
          <t>Medium</t>
        </is>
      </c>
      <c r="AB469" s="8" t="inlineStr">
        <is>
          <t>Low</t>
        </is>
      </c>
      <c r="AC469" s="8" t="inlineStr">
        <is>
          <t>Pilot</t>
        </is>
      </c>
      <c r="AD469" s="5" t="inlineStr">
        <is>
          <t>Not independently checked</t>
        </is>
      </c>
      <c r="AE469" s="5" t="inlineStr">
        <is>
          <t>Not verified</t>
        </is>
      </c>
      <c r="AF469" s="5" t="inlineStr">
        <is>
          <t>Not verified</t>
        </is>
      </c>
      <c r="AG469" s="5" t="inlineStr">
        <is>
          <t>Not verified</t>
        </is>
      </c>
      <c r="AH469" s="5" t="inlineStr">
        <is>
          <t>Not verified</t>
        </is>
      </c>
      <c r="AI469" s="8" t="inlineStr">
        <is>
          <t>No</t>
        </is>
      </c>
      <c r="AJ469" s="8" t="inlineStr">
        <is>
          <t>Claimed - unverified</t>
        </is>
      </c>
      <c r="AK469" s="8" t="inlineStr">
        <is>
          <t>P1</t>
        </is>
      </c>
      <c r="AL469" s="8" t="n">
        <v>6</v>
      </c>
      <c r="AM469" s="5" t="inlineStr"/>
      <c r="AN469" s="5" t="inlineStr"/>
      <c r="AO469" s="5" t="inlineStr"/>
      <c r="AP469" s="5" t="inlineStr"/>
      <c r="AQ469" s="5" t="inlineStr"/>
      <c r="AR469" s="5" t="inlineStr"/>
      <c r="AS469" s="5" t="inlineStr"/>
      <c r="AT469" s="5" t="inlineStr"/>
      <c r="AU469" s="8" t="inlineStr">
        <is>
          <t>Not run</t>
        </is>
      </c>
    </row>
    <row r="470" ht="32" customHeight="1">
      <c r="A470" s="16" t="inlineStr">
        <is>
          <t>X-0469</t>
        </is>
      </c>
      <c r="B470" s="8" t="inlineStr">
        <is>
          <t>X</t>
        </is>
      </c>
      <c r="C470" s="5" t="inlineStr">
        <is>
          <t>Multiple / Cross-persona</t>
        </is>
      </c>
      <c r="D470" s="5" t="inlineStr">
        <is>
          <t>Import / Export / Period Close</t>
        </is>
      </c>
      <c r="E470" s="5" t="inlineStr">
        <is>
          <t>Import GST data</t>
        </is>
      </c>
      <c r="F470" s="5" t="inlineStr">
        <is>
          <t>In-house Accountant</t>
        </is>
      </c>
      <c r="G470" s="5" t="inlineStr">
        <is>
          <t>External CA</t>
        </is>
      </c>
      <c r="H470" s="5" t="inlineStr">
        <is>
          <t>Import official GSTR-2B or GSTR-1 JSON files downloaded from government GST portal</t>
        </is>
      </c>
      <c r="I470" s="5" t="inlineStr">
        <is>
          <t>Parses government JSON format; populates inward/outward tax reconciliation tables</t>
        </is>
      </c>
      <c r="J470" s="20" t="inlineStr">
        <is>
          <t>P1</t>
        </is>
      </c>
      <c r="K470" s="20" t="inlineStr">
        <is>
          <t>Validated (Supported)</t>
        </is>
      </c>
      <c r="L470" s="5" t="inlineStr">
        <is>
          <t>Supported via /gst/import-json/ supporting standard GST portal schema.</t>
        </is>
      </c>
      <c r="M470" s="8" t="inlineStr">
        <is>
          <t>Baseline</t>
        </is>
      </c>
      <c r="N470" s="8" t="inlineStr">
        <is>
          <t>Cross-persona</t>
        </is>
      </c>
      <c r="O470" s="8" t="inlineStr">
        <is>
          <t>P1</t>
        </is>
      </c>
      <c r="P470" s="5" t="inlineStr">
        <is>
          <t>Unchanged</t>
        </is>
      </c>
      <c r="Q470" s="20" t="inlineStr">
        <is>
          <t>Author assertion</t>
        </is>
      </c>
      <c r="R470" s="5" t="inlineStr"/>
      <c r="S470" s="8" t="inlineStr">
        <is>
          <t>CLOSE</t>
        </is>
      </c>
      <c r="T470" s="5" t="inlineStr">
        <is>
          <t>Import, export, and period close</t>
        </is>
      </c>
      <c r="U470" s="8" t="inlineStr"/>
      <c r="V470" s="8" t="inlineStr">
        <is>
          <t>accounting</t>
        </is>
      </c>
      <c r="W470" s="8" t="inlineStr">
        <is>
          <t>CONTROL</t>
        </is>
      </c>
      <c r="X470" s="5" t="inlineStr">
        <is>
          <t>Core</t>
        </is>
      </c>
      <c r="Y470" s="5" t="inlineStr">
        <is>
          <t>Cross-persona</t>
        </is>
      </c>
      <c r="Z470" s="5" t="inlineStr">
        <is>
          <t>Medium</t>
        </is>
      </c>
      <c r="AA470" s="5" t="inlineStr">
        <is>
          <t>Medium</t>
        </is>
      </c>
      <c r="AB470" s="8" t="inlineStr">
        <is>
          <t>Low</t>
        </is>
      </c>
      <c r="AC470" s="8" t="inlineStr">
        <is>
          <t>Pilot</t>
        </is>
      </c>
      <c r="AD470" s="5" t="inlineStr">
        <is>
          <t>Not independently checked</t>
        </is>
      </c>
      <c r="AE470" s="5" t="inlineStr">
        <is>
          <t>Not verified</t>
        </is>
      </c>
      <c r="AF470" s="5" t="inlineStr">
        <is>
          <t>Not verified</t>
        </is>
      </c>
      <c r="AG470" s="5" t="inlineStr">
        <is>
          <t>Not verified</t>
        </is>
      </c>
      <c r="AH470" s="5" t="inlineStr">
        <is>
          <t>Not verified</t>
        </is>
      </c>
      <c r="AI470" s="8" t="inlineStr">
        <is>
          <t>No</t>
        </is>
      </c>
      <c r="AJ470" s="8" t="inlineStr">
        <is>
          <t>Claimed - unverified</t>
        </is>
      </c>
      <c r="AK470" s="8" t="inlineStr">
        <is>
          <t>P1</t>
        </is>
      </c>
      <c r="AL470" s="8" t="n">
        <v>6</v>
      </c>
      <c r="AM470" s="5" t="inlineStr"/>
      <c r="AN470" s="5" t="inlineStr"/>
      <c r="AO470" s="5" t="inlineStr"/>
      <c r="AP470" s="5" t="inlineStr"/>
      <c r="AQ470" s="5" t="inlineStr"/>
      <c r="AR470" s="5" t="inlineStr"/>
      <c r="AS470" s="5" t="inlineStr"/>
      <c r="AT470" s="5" t="inlineStr"/>
      <c r="AU470" s="8" t="inlineStr">
        <is>
          <t>Not run</t>
        </is>
      </c>
    </row>
    <row r="471" ht="32" customHeight="1">
      <c r="A471" s="16" t="inlineStr">
        <is>
          <t>X-0470</t>
        </is>
      </c>
      <c r="B471" s="8" t="inlineStr">
        <is>
          <t>X</t>
        </is>
      </c>
      <c r="C471" s="5" t="inlineStr">
        <is>
          <t>Multiple / Cross-persona</t>
        </is>
      </c>
      <c r="D471" s="5" t="inlineStr">
        <is>
          <t>Import / Export / Period Close</t>
        </is>
      </c>
      <c r="E471" s="5" t="inlineStr">
        <is>
          <t>Validate imported records</t>
        </is>
      </c>
      <c r="F471" s="5" t="inlineStr">
        <is>
          <t>System / Import Engine</t>
        </is>
      </c>
      <c r="G471" s="5" t="inlineStr">
        <is>
          <t>Accountant</t>
        </is>
      </c>
      <c r="H471" s="5" t="inlineStr">
        <is>
          <t>Pre-import dry-run validation checking data types, mandatory fields, and foreign keys</t>
        </is>
      </c>
      <c r="I471" s="5" t="inlineStr">
        <is>
          <t>Scans uploaded spreadsheet; highlights formatting errors before committing to database</t>
        </is>
      </c>
      <c r="J471" s="20" t="inlineStr">
        <is>
          <t>P1</t>
        </is>
      </c>
      <c r="K471" s="20" t="inlineStr">
        <is>
          <t>Validated (Supported)</t>
        </is>
      </c>
      <c r="L471" s="5" t="inlineStr">
        <is>
          <t>Supported via Dry-Run Validation stage in all CSV import wizards.</t>
        </is>
      </c>
      <c r="M471" s="8" t="inlineStr">
        <is>
          <t>Baseline</t>
        </is>
      </c>
      <c r="N471" s="8" t="inlineStr">
        <is>
          <t>Cross-persona</t>
        </is>
      </c>
      <c r="O471" s="8" t="inlineStr">
        <is>
          <t>P1</t>
        </is>
      </c>
      <c r="P471" s="5" t="inlineStr">
        <is>
          <t>Unchanged</t>
        </is>
      </c>
      <c r="Q471" s="20" t="inlineStr">
        <is>
          <t>Author assertion</t>
        </is>
      </c>
      <c r="R471" s="5" t="inlineStr"/>
      <c r="S471" s="8" t="inlineStr">
        <is>
          <t>CLOSE</t>
        </is>
      </c>
      <c r="T471" s="5" t="inlineStr">
        <is>
          <t>Import, export, and period close</t>
        </is>
      </c>
      <c r="U471" s="8" t="inlineStr"/>
      <c r="V471" s="8" t="inlineStr">
        <is>
          <t>accounting</t>
        </is>
      </c>
      <c r="W471" s="8" t="inlineStr">
        <is>
          <t>CONTROL</t>
        </is>
      </c>
      <c r="X471" s="5" t="inlineStr">
        <is>
          <t>Core</t>
        </is>
      </c>
      <c r="Y471" s="5" t="inlineStr">
        <is>
          <t>Cross-persona</t>
        </is>
      </c>
      <c r="Z471" s="5" t="inlineStr">
        <is>
          <t>Medium</t>
        </is>
      </c>
      <c r="AA471" s="5" t="inlineStr">
        <is>
          <t>Medium</t>
        </is>
      </c>
      <c r="AB471" s="8" t="inlineStr">
        <is>
          <t>Low</t>
        </is>
      </c>
      <c r="AC471" s="8" t="inlineStr">
        <is>
          <t>Pilot</t>
        </is>
      </c>
      <c r="AD471" s="5" t="inlineStr">
        <is>
          <t>Not independently checked</t>
        </is>
      </c>
      <c r="AE471" s="5" t="inlineStr">
        <is>
          <t>Not verified</t>
        </is>
      </c>
      <c r="AF471" s="5" t="inlineStr">
        <is>
          <t>Not verified</t>
        </is>
      </c>
      <c r="AG471" s="5" t="inlineStr">
        <is>
          <t>Not verified</t>
        </is>
      </c>
      <c r="AH471" s="5" t="inlineStr">
        <is>
          <t>Not verified</t>
        </is>
      </c>
      <c r="AI471" s="8" t="inlineStr">
        <is>
          <t>No</t>
        </is>
      </c>
      <c r="AJ471" s="8" t="inlineStr">
        <is>
          <t>Claimed - unverified</t>
        </is>
      </c>
      <c r="AK471" s="8" t="inlineStr">
        <is>
          <t>P1</t>
        </is>
      </c>
      <c r="AL471" s="8" t="n">
        <v>6</v>
      </c>
      <c r="AM471" s="5" t="inlineStr"/>
      <c r="AN471" s="5" t="inlineStr"/>
      <c r="AO471" s="5" t="inlineStr"/>
      <c r="AP471" s="5" t="inlineStr"/>
      <c r="AQ471" s="5" t="inlineStr"/>
      <c r="AR471" s="5" t="inlineStr"/>
      <c r="AS471" s="5" t="inlineStr"/>
      <c r="AT471" s="5" t="inlineStr"/>
      <c r="AU471" s="8" t="inlineStr">
        <is>
          <t>Not run</t>
        </is>
      </c>
    </row>
    <row r="472" ht="32" customHeight="1">
      <c r="A472" s="16" t="inlineStr">
        <is>
          <t>X-0471</t>
        </is>
      </c>
      <c r="B472" s="8" t="inlineStr">
        <is>
          <t>X</t>
        </is>
      </c>
      <c r="C472" s="5" t="inlineStr">
        <is>
          <t>Multiple / Cross-persona</t>
        </is>
      </c>
      <c r="D472" s="5" t="inlineStr">
        <is>
          <t>Import / Export / Period Close</t>
        </is>
      </c>
      <c r="E472" s="5" t="inlineStr">
        <is>
          <t>Identify duplicate imported records</t>
        </is>
      </c>
      <c r="F472" s="5" t="inlineStr">
        <is>
          <t>System / Import Engine</t>
        </is>
      </c>
      <c r="G472" s="5" t="inlineStr">
        <is>
          <t>Accountant</t>
        </is>
      </c>
      <c r="H472" s="5" t="inlineStr">
        <is>
          <t>Detect SKUs, phone numbers, or invoice numbers already existing in database during import</t>
        </is>
      </c>
      <c r="I472" s="5" t="inlineStr">
        <is>
          <t>Prompts user to skip duplicates, overwrite existing records, or abort import job</t>
        </is>
      </c>
      <c r="J472" s="20" t="inlineStr">
        <is>
          <t>P1</t>
        </is>
      </c>
      <c r="K472" s="20" t="inlineStr">
        <is>
          <t>Validated (Supported)</t>
        </is>
      </c>
      <c r="L472" s="5" t="inlineStr">
        <is>
          <t>Built-in duplicate resolution prompt during spreadsheet import.</t>
        </is>
      </c>
      <c r="M472" s="8" t="inlineStr">
        <is>
          <t>Baseline</t>
        </is>
      </c>
      <c r="N472" s="8" t="inlineStr">
        <is>
          <t>Cross-persona</t>
        </is>
      </c>
      <c r="O472" s="8" t="inlineStr">
        <is>
          <t>P1</t>
        </is>
      </c>
      <c r="P472" s="5" t="inlineStr">
        <is>
          <t>Unchanged</t>
        </is>
      </c>
      <c r="Q472" s="20" t="inlineStr">
        <is>
          <t>Author assertion</t>
        </is>
      </c>
      <c r="R472" s="5" t="inlineStr"/>
      <c r="S472" s="8" t="inlineStr">
        <is>
          <t>CLOSE</t>
        </is>
      </c>
      <c r="T472" s="5" t="inlineStr">
        <is>
          <t>Import, export, and period close</t>
        </is>
      </c>
      <c r="U472" s="8" t="inlineStr"/>
      <c r="V472" s="8" t="inlineStr">
        <is>
          <t>accounting</t>
        </is>
      </c>
      <c r="W472" s="8" t="inlineStr">
        <is>
          <t>CONTROL</t>
        </is>
      </c>
      <c r="X472" s="5" t="inlineStr">
        <is>
          <t>Core</t>
        </is>
      </c>
      <c r="Y472" s="5" t="inlineStr">
        <is>
          <t>Cross-persona</t>
        </is>
      </c>
      <c r="Z472" s="5" t="inlineStr">
        <is>
          <t>Medium</t>
        </is>
      </c>
      <c r="AA472" s="5" t="inlineStr">
        <is>
          <t>Medium</t>
        </is>
      </c>
      <c r="AB472" s="8" t="inlineStr">
        <is>
          <t>Low</t>
        </is>
      </c>
      <c r="AC472" s="8" t="inlineStr">
        <is>
          <t>Pilot</t>
        </is>
      </c>
      <c r="AD472" s="5" t="inlineStr">
        <is>
          <t>Not independently checked</t>
        </is>
      </c>
      <c r="AE472" s="5" t="inlineStr">
        <is>
          <t>Not verified</t>
        </is>
      </c>
      <c r="AF472" s="5" t="inlineStr">
        <is>
          <t>Not verified</t>
        </is>
      </c>
      <c r="AG472" s="5" t="inlineStr">
        <is>
          <t>Not verified</t>
        </is>
      </c>
      <c r="AH472" s="5" t="inlineStr">
        <is>
          <t>Not verified</t>
        </is>
      </c>
      <c r="AI472" s="8" t="inlineStr">
        <is>
          <t>No</t>
        </is>
      </c>
      <c r="AJ472" s="8" t="inlineStr">
        <is>
          <t>Claimed - unverified</t>
        </is>
      </c>
      <c r="AK472" s="8" t="inlineStr">
        <is>
          <t>P1</t>
        </is>
      </c>
      <c r="AL472" s="8" t="n">
        <v>6</v>
      </c>
      <c r="AM472" s="5" t="inlineStr"/>
      <c r="AN472" s="5" t="inlineStr"/>
      <c r="AO472" s="5" t="inlineStr"/>
      <c r="AP472" s="5" t="inlineStr"/>
      <c r="AQ472" s="5" t="inlineStr"/>
      <c r="AR472" s="5" t="inlineStr"/>
      <c r="AS472" s="5" t="inlineStr"/>
      <c r="AT472" s="5" t="inlineStr"/>
      <c r="AU472" s="8" t="inlineStr">
        <is>
          <t>Not run</t>
        </is>
      </c>
    </row>
    <row r="473" ht="32" customHeight="1">
      <c r="A473" s="16" t="inlineStr">
        <is>
          <t>X-0472</t>
        </is>
      </c>
      <c r="B473" s="8" t="inlineStr">
        <is>
          <t>X</t>
        </is>
      </c>
      <c r="C473" s="5" t="inlineStr">
        <is>
          <t>Multiple / Cross-persona</t>
        </is>
      </c>
      <c r="D473" s="5" t="inlineStr">
        <is>
          <t>Import / Export / Period Close</t>
        </is>
      </c>
      <c r="E473" s="5" t="inlineStr">
        <is>
          <t>Reject invalid records without corrupting valid records</t>
        </is>
      </c>
      <c r="F473" s="5" t="inlineStr">
        <is>
          <t>System / Import Engine</t>
        </is>
      </c>
      <c r="G473" s="5" t="inlineStr">
        <is>
          <t>Accountant</t>
        </is>
      </c>
      <c r="H473" s="5" t="inlineStr">
        <is>
          <t>Process valid rows while cleanly separating invalid rows into downloadable error CSV</t>
        </is>
      </c>
      <c r="I473" s="5" t="inlineStr">
        <is>
          <t>Imports valid rows; outputs error spreadsheet with specific column error annotations</t>
        </is>
      </c>
      <c r="J473" s="20" t="inlineStr">
        <is>
          <t>P1</t>
        </is>
      </c>
      <c r="K473" s="20" t="inlineStr">
        <is>
          <t>Validated (Supported)</t>
        </is>
      </c>
      <c r="L473" s="5" t="inlineStr">
        <is>
          <t>Core resilience invariant: batch imports isolate bad rows without rolling back entire job.</t>
        </is>
      </c>
      <c r="M473" s="8" t="inlineStr">
        <is>
          <t>Baseline</t>
        </is>
      </c>
      <c r="N473" s="8" t="inlineStr">
        <is>
          <t>Cross-persona</t>
        </is>
      </c>
      <c r="O473" s="8" t="inlineStr">
        <is>
          <t>P1</t>
        </is>
      </c>
      <c r="P473" s="5" t="inlineStr">
        <is>
          <t>Unchanged</t>
        </is>
      </c>
      <c r="Q473" s="20" t="inlineStr">
        <is>
          <t>Author assertion</t>
        </is>
      </c>
      <c r="R473" s="5" t="inlineStr"/>
      <c r="S473" s="8" t="inlineStr">
        <is>
          <t>CLOSE</t>
        </is>
      </c>
      <c r="T473" s="5" t="inlineStr">
        <is>
          <t>Import, export, and period close</t>
        </is>
      </c>
      <c r="U473" s="8" t="inlineStr"/>
      <c r="V473" s="8" t="inlineStr">
        <is>
          <t>accounting</t>
        </is>
      </c>
      <c r="W473" s="8" t="inlineStr">
        <is>
          <t>CONTROL</t>
        </is>
      </c>
      <c r="X473" s="5" t="inlineStr">
        <is>
          <t>Core</t>
        </is>
      </c>
      <c r="Y473" s="5" t="inlineStr">
        <is>
          <t>Cross-persona</t>
        </is>
      </c>
      <c r="Z473" s="5" t="inlineStr">
        <is>
          <t>Medium</t>
        </is>
      </c>
      <c r="AA473" s="5" t="inlineStr">
        <is>
          <t>Medium</t>
        </is>
      </c>
      <c r="AB473" s="8" t="inlineStr">
        <is>
          <t>Low</t>
        </is>
      </c>
      <c r="AC473" s="8" t="inlineStr">
        <is>
          <t>Pilot</t>
        </is>
      </c>
      <c r="AD473" s="5" t="inlineStr">
        <is>
          <t>Not independently checked</t>
        </is>
      </c>
      <c r="AE473" s="5" t="inlineStr">
        <is>
          <t>Not verified</t>
        </is>
      </c>
      <c r="AF473" s="5" t="inlineStr">
        <is>
          <t>Not verified</t>
        </is>
      </c>
      <c r="AG473" s="5" t="inlineStr">
        <is>
          <t>Not verified</t>
        </is>
      </c>
      <c r="AH473" s="5" t="inlineStr">
        <is>
          <t>Not verified</t>
        </is>
      </c>
      <c r="AI473" s="8" t="inlineStr">
        <is>
          <t>No</t>
        </is>
      </c>
      <c r="AJ473" s="8" t="inlineStr">
        <is>
          <t>Claimed - unverified</t>
        </is>
      </c>
      <c r="AK473" s="8" t="inlineStr">
        <is>
          <t>P1</t>
        </is>
      </c>
      <c r="AL473" s="8" t="n">
        <v>6</v>
      </c>
      <c r="AM473" s="5" t="inlineStr"/>
      <c r="AN473" s="5" t="inlineStr"/>
      <c r="AO473" s="5" t="inlineStr"/>
      <c r="AP473" s="5" t="inlineStr"/>
      <c r="AQ473" s="5" t="inlineStr"/>
      <c r="AR473" s="5" t="inlineStr"/>
      <c r="AS473" s="5" t="inlineStr"/>
      <c r="AT473" s="5" t="inlineStr"/>
      <c r="AU473" s="8" t="inlineStr">
        <is>
          <t>Not run</t>
        </is>
      </c>
    </row>
    <row r="474" ht="32" customHeight="1">
      <c r="A474" s="16" t="inlineStr">
        <is>
          <t>X-0473</t>
        </is>
      </c>
      <c r="B474" s="8" t="inlineStr">
        <is>
          <t>X</t>
        </is>
      </c>
      <c r="C474" s="5" t="inlineStr">
        <is>
          <t>Multiple / Cross-persona</t>
        </is>
      </c>
      <c r="D474" s="5" t="inlineStr">
        <is>
          <t>Import / Export / Period Close</t>
        </is>
      </c>
      <c r="E474" s="5" t="inlineStr">
        <is>
          <t>Export sales data</t>
        </is>
      </c>
      <c r="F474" s="5" t="inlineStr">
        <is>
          <t>In-house Accountant / Owner</t>
        </is>
      </c>
      <c r="G474" s="5" t="inlineStr">
        <is>
          <t>External CA</t>
        </is>
      </c>
      <c r="H474" s="5" t="inlineStr">
        <is>
          <t>Export complete itemized sales register with customer names, taxes, and payment status</t>
        </is>
      </c>
      <c r="I474" s="5" t="inlineStr">
        <is>
          <t>Generates comprehensive Excel/CSV sales export with date range and store filters</t>
        </is>
      </c>
      <c r="J474" s="20" t="inlineStr">
        <is>
          <t>P1</t>
        </is>
      </c>
      <c r="K474" s="20" t="inlineStr">
        <is>
          <t>Validated (Supported)</t>
        </is>
      </c>
      <c r="L474" s="5" t="inlineStr">
        <is>
          <t>Supported via /reports/sales-register/ export button.</t>
        </is>
      </c>
      <c r="M474" s="8" t="inlineStr">
        <is>
          <t>Baseline</t>
        </is>
      </c>
      <c r="N474" s="8" t="inlineStr">
        <is>
          <t>Cross-persona</t>
        </is>
      </c>
      <c r="O474" s="8" t="inlineStr">
        <is>
          <t>P1</t>
        </is>
      </c>
      <c r="P474" s="5" t="inlineStr">
        <is>
          <t>Unchanged</t>
        </is>
      </c>
      <c r="Q474" s="20" t="inlineStr">
        <is>
          <t>Author assertion</t>
        </is>
      </c>
      <c r="R474" s="5" t="inlineStr"/>
      <c r="S474" s="8" t="inlineStr">
        <is>
          <t>CLOSE</t>
        </is>
      </c>
      <c r="T474" s="5" t="inlineStr">
        <is>
          <t>Import, export, and period close</t>
        </is>
      </c>
      <c r="U474" s="8" t="inlineStr"/>
      <c r="V474" s="8" t="inlineStr">
        <is>
          <t>accounting</t>
        </is>
      </c>
      <c r="W474" s="8" t="inlineStr">
        <is>
          <t>CONTROL</t>
        </is>
      </c>
      <c r="X474" s="5" t="inlineStr">
        <is>
          <t>Core</t>
        </is>
      </c>
      <c r="Y474" s="5" t="inlineStr">
        <is>
          <t>Cross-persona</t>
        </is>
      </c>
      <c r="Z474" s="5" t="inlineStr">
        <is>
          <t>Medium</t>
        </is>
      </c>
      <c r="AA474" s="5" t="inlineStr">
        <is>
          <t>Medium</t>
        </is>
      </c>
      <c r="AB474" s="8" t="inlineStr">
        <is>
          <t>Low</t>
        </is>
      </c>
      <c r="AC474" s="8" t="inlineStr">
        <is>
          <t>Pilot</t>
        </is>
      </c>
      <c r="AD474" s="5" t="inlineStr">
        <is>
          <t>Not independently checked</t>
        </is>
      </c>
      <c r="AE474" s="5" t="inlineStr">
        <is>
          <t>Not verified</t>
        </is>
      </c>
      <c r="AF474" s="5" t="inlineStr">
        <is>
          <t>Not verified</t>
        </is>
      </c>
      <c r="AG474" s="5" t="inlineStr">
        <is>
          <t>Not verified</t>
        </is>
      </c>
      <c r="AH474" s="5" t="inlineStr">
        <is>
          <t>Not verified</t>
        </is>
      </c>
      <c r="AI474" s="8" t="inlineStr">
        <is>
          <t>No</t>
        </is>
      </c>
      <c r="AJ474" s="8" t="inlineStr">
        <is>
          <t>Claimed - unverified</t>
        </is>
      </c>
      <c r="AK474" s="8" t="inlineStr">
        <is>
          <t>P1</t>
        </is>
      </c>
      <c r="AL474" s="8" t="n">
        <v>6</v>
      </c>
      <c r="AM474" s="5" t="inlineStr"/>
      <c r="AN474" s="5" t="inlineStr"/>
      <c r="AO474" s="5" t="inlineStr"/>
      <c r="AP474" s="5" t="inlineStr"/>
      <c r="AQ474" s="5" t="inlineStr"/>
      <c r="AR474" s="5" t="inlineStr"/>
      <c r="AS474" s="5" t="inlineStr"/>
      <c r="AT474" s="5" t="inlineStr"/>
      <c r="AU474" s="8" t="inlineStr">
        <is>
          <t>Not run</t>
        </is>
      </c>
    </row>
    <row r="475" ht="32" customHeight="1">
      <c r="A475" s="16" t="inlineStr">
        <is>
          <t>X-0474</t>
        </is>
      </c>
      <c r="B475" s="8" t="inlineStr">
        <is>
          <t>X</t>
        </is>
      </c>
      <c r="C475" s="5" t="inlineStr">
        <is>
          <t>Multiple / Cross-persona</t>
        </is>
      </c>
      <c r="D475" s="5" t="inlineStr">
        <is>
          <t>Import / Export / Period Close</t>
        </is>
      </c>
      <c r="E475" s="5" t="inlineStr">
        <is>
          <t>Export purchase data</t>
        </is>
      </c>
      <c r="F475" s="5" t="inlineStr">
        <is>
          <t>In-house Accountant / Purchase Manager</t>
        </is>
      </c>
      <c r="G475" s="5" t="inlineStr">
        <is>
          <t>External CA</t>
        </is>
      </c>
      <c r="H475" s="5" t="inlineStr">
        <is>
          <t>Export itemized purchase register with supplier GSTINs, HSN breakdown, and input tax</t>
        </is>
      </c>
      <c r="I475" s="5" t="inlineStr">
        <is>
          <t>Generates Excel/CSV purchase export formatted for accounting and tax audit review</t>
        </is>
      </c>
      <c r="J475" s="20" t="inlineStr">
        <is>
          <t>P1</t>
        </is>
      </c>
      <c r="K475" s="20" t="inlineStr">
        <is>
          <t>Validated (Supported)</t>
        </is>
      </c>
      <c r="L475" s="5" t="inlineStr">
        <is>
          <t>Supported via /reports/purchase-register/ export button.</t>
        </is>
      </c>
      <c r="M475" s="8" t="inlineStr">
        <is>
          <t>Baseline</t>
        </is>
      </c>
      <c r="N475" s="8" t="inlineStr">
        <is>
          <t>Cross-persona</t>
        </is>
      </c>
      <c r="O475" s="8" t="inlineStr">
        <is>
          <t>P1</t>
        </is>
      </c>
      <c r="P475" s="5" t="inlineStr">
        <is>
          <t>Unchanged</t>
        </is>
      </c>
      <c r="Q475" s="20" t="inlineStr">
        <is>
          <t>Author assertion</t>
        </is>
      </c>
      <c r="R475" s="5" t="inlineStr"/>
      <c r="S475" s="8" t="inlineStr">
        <is>
          <t>CLOSE</t>
        </is>
      </c>
      <c r="T475" s="5" t="inlineStr">
        <is>
          <t>Import, export, and period close</t>
        </is>
      </c>
      <c r="U475" s="8" t="inlineStr"/>
      <c r="V475" s="8" t="inlineStr">
        <is>
          <t>accounting</t>
        </is>
      </c>
      <c r="W475" s="8" t="inlineStr">
        <is>
          <t>CONTROL</t>
        </is>
      </c>
      <c r="X475" s="5" t="inlineStr">
        <is>
          <t>Core</t>
        </is>
      </c>
      <c r="Y475" s="5" t="inlineStr">
        <is>
          <t>Cross-persona</t>
        </is>
      </c>
      <c r="Z475" s="5" t="inlineStr">
        <is>
          <t>Medium</t>
        </is>
      </c>
      <c r="AA475" s="5" t="inlineStr">
        <is>
          <t>Medium</t>
        </is>
      </c>
      <c r="AB475" s="8" t="inlineStr">
        <is>
          <t>Low</t>
        </is>
      </c>
      <c r="AC475" s="8" t="inlineStr">
        <is>
          <t>Pilot</t>
        </is>
      </c>
      <c r="AD475" s="5" t="inlineStr">
        <is>
          <t>Not independently checked</t>
        </is>
      </c>
      <c r="AE475" s="5" t="inlineStr">
        <is>
          <t>Not verified</t>
        </is>
      </c>
      <c r="AF475" s="5" t="inlineStr">
        <is>
          <t>Not verified</t>
        </is>
      </c>
      <c r="AG475" s="5" t="inlineStr">
        <is>
          <t>Not verified</t>
        </is>
      </c>
      <c r="AH475" s="5" t="inlineStr">
        <is>
          <t>Not verified</t>
        </is>
      </c>
      <c r="AI475" s="8" t="inlineStr">
        <is>
          <t>No</t>
        </is>
      </c>
      <c r="AJ475" s="8" t="inlineStr">
        <is>
          <t>Claimed - unverified</t>
        </is>
      </c>
      <c r="AK475" s="8" t="inlineStr">
        <is>
          <t>P1</t>
        </is>
      </c>
      <c r="AL475" s="8" t="n">
        <v>6</v>
      </c>
      <c r="AM475" s="5" t="inlineStr"/>
      <c r="AN475" s="5" t="inlineStr"/>
      <c r="AO475" s="5" t="inlineStr"/>
      <c r="AP475" s="5" t="inlineStr"/>
      <c r="AQ475" s="5" t="inlineStr"/>
      <c r="AR475" s="5" t="inlineStr"/>
      <c r="AS475" s="5" t="inlineStr"/>
      <c r="AT475" s="5" t="inlineStr"/>
      <c r="AU475" s="8" t="inlineStr">
        <is>
          <t>Not run</t>
        </is>
      </c>
    </row>
    <row r="476" ht="32" customHeight="1">
      <c r="A476" s="16" t="inlineStr">
        <is>
          <t>X-0475</t>
        </is>
      </c>
      <c r="B476" s="8" t="inlineStr">
        <is>
          <t>X</t>
        </is>
      </c>
      <c r="C476" s="5" t="inlineStr">
        <is>
          <t>Multiple / Cross-persona</t>
        </is>
      </c>
      <c r="D476" s="5" t="inlineStr">
        <is>
          <t>Import / Export / Period Close</t>
        </is>
      </c>
      <c r="E476" s="5" t="inlineStr">
        <is>
          <t>Export inventory data</t>
        </is>
      </c>
      <c r="F476" s="5" t="inlineStr">
        <is>
          <t>Inventory Manager / Accountant</t>
        </is>
      </c>
      <c r="G476" s="5" t="inlineStr">
        <is>
          <t>Auditor</t>
        </is>
      </c>
      <c r="H476" s="5" t="inlineStr">
        <is>
          <t>Export full current inventory valuation, batch lots, expiry dates, and warehouse locations</t>
        </is>
      </c>
      <c r="I476" s="5" t="inlineStr">
        <is>
          <t>Generates Excel/CSV inventory asset valuation report compliant with accounting standards</t>
        </is>
      </c>
      <c r="J476" s="20" t="inlineStr">
        <is>
          <t>P1</t>
        </is>
      </c>
      <c r="K476" s="20" t="inlineStr">
        <is>
          <t>Validated (Supported)</t>
        </is>
      </c>
      <c r="L476" s="5" t="inlineStr">
        <is>
          <t>Supported via /inventory/export/ with warehouse breakdown.</t>
        </is>
      </c>
      <c r="M476" s="8" t="inlineStr">
        <is>
          <t>Baseline</t>
        </is>
      </c>
      <c r="N476" s="8" t="inlineStr">
        <is>
          <t>Cross-persona</t>
        </is>
      </c>
      <c r="O476" s="8" t="inlineStr">
        <is>
          <t>P1</t>
        </is>
      </c>
      <c r="P476" s="5" t="inlineStr">
        <is>
          <t>Unchanged</t>
        </is>
      </c>
      <c r="Q476" s="20" t="inlineStr">
        <is>
          <t>Author assertion</t>
        </is>
      </c>
      <c r="R476" s="5" t="inlineStr"/>
      <c r="S476" s="8" t="inlineStr">
        <is>
          <t>CLOSE</t>
        </is>
      </c>
      <c r="T476" s="5" t="inlineStr">
        <is>
          <t>Import, export, and period close</t>
        </is>
      </c>
      <c r="U476" s="8" t="inlineStr"/>
      <c r="V476" s="8" t="inlineStr">
        <is>
          <t>accounting</t>
        </is>
      </c>
      <c r="W476" s="8" t="inlineStr">
        <is>
          <t>CONTROL</t>
        </is>
      </c>
      <c r="X476" s="5" t="inlineStr">
        <is>
          <t>Core</t>
        </is>
      </c>
      <c r="Y476" s="5" t="inlineStr">
        <is>
          <t>Cross-persona</t>
        </is>
      </c>
      <c r="Z476" s="5" t="inlineStr">
        <is>
          <t>Medium</t>
        </is>
      </c>
      <c r="AA476" s="5" t="inlineStr">
        <is>
          <t>Medium</t>
        </is>
      </c>
      <c r="AB476" s="8" t="inlineStr">
        <is>
          <t>Low</t>
        </is>
      </c>
      <c r="AC476" s="8" t="inlineStr">
        <is>
          <t>Pilot</t>
        </is>
      </c>
      <c r="AD476" s="5" t="inlineStr">
        <is>
          <t>Not independently checked</t>
        </is>
      </c>
      <c r="AE476" s="5" t="inlineStr">
        <is>
          <t>Not verified</t>
        </is>
      </c>
      <c r="AF476" s="5" t="inlineStr">
        <is>
          <t>Not verified</t>
        </is>
      </c>
      <c r="AG476" s="5" t="inlineStr">
        <is>
          <t>Not verified</t>
        </is>
      </c>
      <c r="AH476" s="5" t="inlineStr">
        <is>
          <t>Not verified</t>
        </is>
      </c>
      <c r="AI476" s="8" t="inlineStr">
        <is>
          <t>No</t>
        </is>
      </c>
      <c r="AJ476" s="8" t="inlineStr">
        <is>
          <t>Claimed - unverified</t>
        </is>
      </c>
      <c r="AK476" s="8" t="inlineStr">
        <is>
          <t>P1</t>
        </is>
      </c>
      <c r="AL476" s="8" t="n">
        <v>6</v>
      </c>
      <c r="AM476" s="5" t="inlineStr"/>
      <c r="AN476" s="5" t="inlineStr"/>
      <c r="AO476" s="5" t="inlineStr"/>
      <c r="AP476" s="5" t="inlineStr"/>
      <c r="AQ476" s="5" t="inlineStr"/>
      <c r="AR476" s="5" t="inlineStr"/>
      <c r="AS476" s="5" t="inlineStr"/>
      <c r="AT476" s="5" t="inlineStr"/>
      <c r="AU476" s="8" t="inlineStr">
        <is>
          <t>Not run</t>
        </is>
      </c>
    </row>
    <row r="477" ht="32" customHeight="1">
      <c r="A477" s="16" t="inlineStr">
        <is>
          <t>X-0476</t>
        </is>
      </c>
      <c r="B477" s="8" t="inlineStr">
        <is>
          <t>X</t>
        </is>
      </c>
      <c r="C477" s="5" t="inlineStr">
        <is>
          <t>Multiple / Cross-persona</t>
        </is>
      </c>
      <c r="D477" s="5" t="inlineStr">
        <is>
          <t>Import / Export / Period Close</t>
        </is>
      </c>
      <c r="E477" s="5" t="inlineStr">
        <is>
          <t>Export GST data</t>
        </is>
      </c>
      <c r="F477" s="5" t="inlineStr">
        <is>
          <t>In-house Accountant</t>
        </is>
      </c>
      <c r="G477" s="5" t="inlineStr">
        <is>
          <t>External CA</t>
        </is>
      </c>
      <c r="H477" s="5" t="inlineStr">
        <is>
          <t>Export monthly GSTR-1, GSTR-3B, or CMP-08 worksheets in government offline format</t>
        </is>
      </c>
      <c r="I477" s="5" t="inlineStr">
        <is>
          <t>Generates official offline utility JSON and summary Excel workbooks for tax portal upload</t>
        </is>
      </c>
      <c r="J477" s="20" t="inlineStr">
        <is>
          <t>P1</t>
        </is>
      </c>
      <c r="K477" s="20" t="inlineStr">
        <is>
          <t>Validated (Supported)</t>
        </is>
      </c>
      <c r="L477" s="5" t="inlineStr">
        <is>
          <t>Supported via /gst/export/ with JSON and Excel export options.</t>
        </is>
      </c>
      <c r="M477" s="8" t="inlineStr">
        <is>
          <t>Baseline</t>
        </is>
      </c>
      <c r="N477" s="8" t="inlineStr">
        <is>
          <t>Cross-persona</t>
        </is>
      </c>
      <c r="O477" s="8" t="inlineStr">
        <is>
          <t>P1</t>
        </is>
      </c>
      <c r="P477" s="5" t="inlineStr">
        <is>
          <t>Unchanged</t>
        </is>
      </c>
      <c r="Q477" s="20" t="inlineStr">
        <is>
          <t>Author assertion</t>
        </is>
      </c>
      <c r="R477" s="5" t="inlineStr"/>
      <c r="S477" s="8" t="inlineStr">
        <is>
          <t>CLOSE</t>
        </is>
      </c>
      <c r="T477" s="5" t="inlineStr">
        <is>
          <t>Import, export, and period close</t>
        </is>
      </c>
      <c r="U477" s="8" t="inlineStr"/>
      <c r="V477" s="8" t="inlineStr">
        <is>
          <t>accounting</t>
        </is>
      </c>
      <c r="W477" s="8" t="inlineStr">
        <is>
          <t>CONTROL</t>
        </is>
      </c>
      <c r="X477" s="5" t="inlineStr">
        <is>
          <t>Core</t>
        </is>
      </c>
      <c r="Y477" s="5" t="inlineStr">
        <is>
          <t>Cross-persona</t>
        </is>
      </c>
      <c r="Z477" s="5" t="inlineStr">
        <is>
          <t>Medium</t>
        </is>
      </c>
      <c r="AA477" s="5" t="inlineStr">
        <is>
          <t>Medium</t>
        </is>
      </c>
      <c r="AB477" s="8" t="inlineStr">
        <is>
          <t>Low</t>
        </is>
      </c>
      <c r="AC477" s="8" t="inlineStr">
        <is>
          <t>Pilot</t>
        </is>
      </c>
      <c r="AD477" s="5" t="inlineStr">
        <is>
          <t>Not independently checked</t>
        </is>
      </c>
      <c r="AE477" s="5" t="inlineStr">
        <is>
          <t>Not verified</t>
        </is>
      </c>
      <c r="AF477" s="5" t="inlineStr">
        <is>
          <t>Not verified</t>
        </is>
      </c>
      <c r="AG477" s="5" t="inlineStr">
        <is>
          <t>Not verified</t>
        </is>
      </c>
      <c r="AH477" s="5" t="inlineStr">
        <is>
          <t>Not verified</t>
        </is>
      </c>
      <c r="AI477" s="8" t="inlineStr">
        <is>
          <t>No</t>
        </is>
      </c>
      <c r="AJ477" s="8" t="inlineStr">
        <is>
          <t>Claimed - unverified</t>
        </is>
      </c>
      <c r="AK477" s="8" t="inlineStr">
        <is>
          <t>P1</t>
        </is>
      </c>
      <c r="AL477" s="8" t="n">
        <v>6</v>
      </c>
      <c r="AM477" s="5" t="inlineStr"/>
      <c r="AN477" s="5" t="inlineStr"/>
      <c r="AO477" s="5" t="inlineStr"/>
      <c r="AP477" s="5" t="inlineStr"/>
      <c r="AQ477" s="5" t="inlineStr"/>
      <c r="AR477" s="5" t="inlineStr"/>
      <c r="AS477" s="5" t="inlineStr"/>
      <c r="AT477" s="5" t="inlineStr"/>
      <c r="AU477" s="8" t="inlineStr">
        <is>
          <t>Not run</t>
        </is>
      </c>
    </row>
    <row r="478" ht="32" customHeight="1">
      <c r="A478" s="16" t="inlineStr">
        <is>
          <t>X-0477</t>
        </is>
      </c>
      <c r="B478" s="8" t="inlineStr">
        <is>
          <t>X</t>
        </is>
      </c>
      <c r="C478" s="5" t="inlineStr">
        <is>
          <t>Multiple / Cross-persona</t>
        </is>
      </c>
      <c r="D478" s="5" t="inlineStr">
        <is>
          <t>Import / Export / Period Close</t>
        </is>
      </c>
      <c r="E478" s="5" t="inlineStr">
        <is>
          <t>Export customer ledger</t>
        </is>
      </c>
      <c r="F478" s="5" t="inlineStr">
        <is>
          <t>In-house Accountant</t>
        </is>
      </c>
      <c r="G478" s="5" t="inlineStr">
        <is>
          <t>Customer / Credit Controller</t>
        </is>
      </c>
      <c r="H478" s="5" t="inlineStr">
        <is>
          <t>Export customer ledger statement showing debit, credit, and running balance history</t>
        </is>
      </c>
      <c r="I478" s="5" t="inlineStr">
        <is>
          <t>Generates customer statement PDF and Excel file ready for sharing with client</t>
        </is>
      </c>
      <c r="J478" s="20" t="inlineStr">
        <is>
          <t>P1</t>
        </is>
      </c>
      <c r="K478" s="20" t="inlineStr">
        <is>
          <t>Validated (Supported)</t>
        </is>
      </c>
      <c r="L478" s="5" t="inlineStr">
        <is>
          <t>Supported via /sales/customers/{id}/statement/ export.</t>
        </is>
      </c>
      <c r="M478" s="8" t="inlineStr">
        <is>
          <t>Baseline</t>
        </is>
      </c>
      <c r="N478" s="8" t="inlineStr">
        <is>
          <t>Cross-persona</t>
        </is>
      </c>
      <c r="O478" s="8" t="inlineStr">
        <is>
          <t>P1</t>
        </is>
      </c>
      <c r="P478" s="5" t="inlineStr">
        <is>
          <t>Unchanged</t>
        </is>
      </c>
      <c r="Q478" s="20" t="inlineStr">
        <is>
          <t>Author assertion</t>
        </is>
      </c>
      <c r="R478" s="5" t="inlineStr"/>
      <c r="S478" s="8" t="inlineStr">
        <is>
          <t>CLOSE</t>
        </is>
      </c>
      <c r="T478" s="5" t="inlineStr">
        <is>
          <t>Import, export, and period close</t>
        </is>
      </c>
      <c r="U478" s="8" t="inlineStr"/>
      <c r="V478" s="8" t="inlineStr">
        <is>
          <t>accounting</t>
        </is>
      </c>
      <c r="W478" s="8" t="inlineStr">
        <is>
          <t>CONTROL</t>
        </is>
      </c>
      <c r="X478" s="5" t="inlineStr">
        <is>
          <t>Core</t>
        </is>
      </c>
      <c r="Y478" s="5" t="inlineStr">
        <is>
          <t>Cross-persona</t>
        </is>
      </c>
      <c r="Z478" s="5" t="inlineStr">
        <is>
          <t>Medium</t>
        </is>
      </c>
      <c r="AA478" s="5" t="inlineStr">
        <is>
          <t>Medium</t>
        </is>
      </c>
      <c r="AB478" s="8" t="inlineStr">
        <is>
          <t>Low</t>
        </is>
      </c>
      <c r="AC478" s="8" t="inlineStr">
        <is>
          <t>Pilot</t>
        </is>
      </c>
      <c r="AD478" s="5" t="inlineStr">
        <is>
          <t>Not independently checked</t>
        </is>
      </c>
      <c r="AE478" s="5" t="inlineStr">
        <is>
          <t>Not verified</t>
        </is>
      </c>
      <c r="AF478" s="5" t="inlineStr">
        <is>
          <t>Not verified</t>
        </is>
      </c>
      <c r="AG478" s="5" t="inlineStr">
        <is>
          <t>Not verified</t>
        </is>
      </c>
      <c r="AH478" s="5" t="inlineStr">
        <is>
          <t>Not verified</t>
        </is>
      </c>
      <c r="AI478" s="8" t="inlineStr">
        <is>
          <t>No</t>
        </is>
      </c>
      <c r="AJ478" s="8" t="inlineStr">
        <is>
          <t>Claimed - unverified</t>
        </is>
      </c>
      <c r="AK478" s="8" t="inlineStr">
        <is>
          <t>P1</t>
        </is>
      </c>
      <c r="AL478" s="8" t="n">
        <v>6</v>
      </c>
      <c r="AM478" s="5" t="inlineStr"/>
      <c r="AN478" s="5" t="inlineStr"/>
      <c r="AO478" s="5" t="inlineStr"/>
      <c r="AP478" s="5" t="inlineStr"/>
      <c r="AQ478" s="5" t="inlineStr"/>
      <c r="AR478" s="5" t="inlineStr"/>
      <c r="AS478" s="5" t="inlineStr"/>
      <c r="AT478" s="5" t="inlineStr"/>
      <c r="AU478" s="8" t="inlineStr">
        <is>
          <t>Not run</t>
        </is>
      </c>
    </row>
    <row r="479" ht="32" customHeight="1">
      <c r="A479" s="16" t="inlineStr">
        <is>
          <t>X-0478</t>
        </is>
      </c>
      <c r="B479" s="8" t="inlineStr">
        <is>
          <t>X</t>
        </is>
      </c>
      <c r="C479" s="5" t="inlineStr">
        <is>
          <t>Multiple / Cross-persona</t>
        </is>
      </c>
      <c r="D479" s="5" t="inlineStr">
        <is>
          <t>Import / Export / Period Close</t>
        </is>
      </c>
      <c r="E479" s="5" t="inlineStr">
        <is>
          <t>Export supplier ledger</t>
        </is>
      </c>
      <c r="F479" s="5" t="inlineStr">
        <is>
          <t>In-house Accountant</t>
        </is>
      </c>
      <c r="G479" s="5" t="inlineStr">
        <is>
          <t>Supplier</t>
        </is>
      </c>
      <c r="H479" s="5" t="inlineStr">
        <is>
          <t>Export supplier ledger statement showing purchase bills, debit notes, and payments</t>
        </is>
      </c>
      <c r="I479" s="5" t="inlineStr">
        <is>
          <t>Generates supplier statement PDF and Excel file ready for sharing with vendor</t>
        </is>
      </c>
      <c r="J479" s="20" t="inlineStr">
        <is>
          <t>P1</t>
        </is>
      </c>
      <c r="K479" s="20" t="inlineStr">
        <is>
          <t>Validated (Supported)</t>
        </is>
      </c>
      <c r="L479" s="5" t="inlineStr">
        <is>
          <t>Supported via /purchases/suppliers/{id}/statement/ export.</t>
        </is>
      </c>
      <c r="M479" s="8" t="inlineStr">
        <is>
          <t>Baseline</t>
        </is>
      </c>
      <c r="N479" s="8" t="inlineStr">
        <is>
          <t>Cross-persona</t>
        </is>
      </c>
      <c r="O479" s="8" t="inlineStr">
        <is>
          <t>P1</t>
        </is>
      </c>
      <c r="P479" s="5" t="inlineStr">
        <is>
          <t>Unchanged</t>
        </is>
      </c>
      <c r="Q479" s="20" t="inlineStr">
        <is>
          <t>Author assertion</t>
        </is>
      </c>
      <c r="R479" s="5" t="inlineStr"/>
      <c r="S479" s="8" t="inlineStr">
        <is>
          <t>CLOSE</t>
        </is>
      </c>
      <c r="T479" s="5" t="inlineStr">
        <is>
          <t>Import, export, and period close</t>
        </is>
      </c>
      <c r="U479" s="8" t="inlineStr"/>
      <c r="V479" s="8" t="inlineStr">
        <is>
          <t>accounting</t>
        </is>
      </c>
      <c r="W479" s="8" t="inlineStr">
        <is>
          <t>CONTROL</t>
        </is>
      </c>
      <c r="X479" s="5" t="inlineStr">
        <is>
          <t>Core</t>
        </is>
      </c>
      <c r="Y479" s="5" t="inlineStr">
        <is>
          <t>Cross-persona</t>
        </is>
      </c>
      <c r="Z479" s="5" t="inlineStr">
        <is>
          <t>Medium</t>
        </is>
      </c>
      <c r="AA479" s="5" t="inlineStr">
        <is>
          <t>Medium</t>
        </is>
      </c>
      <c r="AB479" s="8" t="inlineStr">
        <is>
          <t>Low</t>
        </is>
      </c>
      <c r="AC479" s="8" t="inlineStr">
        <is>
          <t>Pilot</t>
        </is>
      </c>
      <c r="AD479" s="5" t="inlineStr">
        <is>
          <t>Not independently checked</t>
        </is>
      </c>
      <c r="AE479" s="5" t="inlineStr">
        <is>
          <t>Not verified</t>
        </is>
      </c>
      <c r="AF479" s="5" t="inlineStr">
        <is>
          <t>Not verified</t>
        </is>
      </c>
      <c r="AG479" s="5" t="inlineStr">
        <is>
          <t>Not verified</t>
        </is>
      </c>
      <c r="AH479" s="5" t="inlineStr">
        <is>
          <t>Not verified</t>
        </is>
      </c>
      <c r="AI479" s="8" t="inlineStr">
        <is>
          <t>No</t>
        </is>
      </c>
      <c r="AJ479" s="8" t="inlineStr">
        <is>
          <t>Claimed - unverified</t>
        </is>
      </c>
      <c r="AK479" s="8" t="inlineStr">
        <is>
          <t>P1</t>
        </is>
      </c>
      <c r="AL479" s="8" t="n">
        <v>6</v>
      </c>
      <c r="AM479" s="5" t="inlineStr"/>
      <c r="AN479" s="5" t="inlineStr"/>
      <c r="AO479" s="5" t="inlineStr"/>
      <c r="AP479" s="5" t="inlineStr"/>
      <c r="AQ479" s="5" t="inlineStr"/>
      <c r="AR479" s="5" t="inlineStr"/>
      <c r="AS479" s="5" t="inlineStr"/>
      <c r="AT479" s="5" t="inlineStr"/>
      <c r="AU479" s="8" t="inlineStr">
        <is>
          <t>Not run</t>
        </is>
      </c>
    </row>
    <row r="480" ht="32" customHeight="1">
      <c r="A480" s="16" t="inlineStr">
        <is>
          <t>X-0479</t>
        </is>
      </c>
      <c r="B480" s="8" t="inlineStr">
        <is>
          <t>X</t>
        </is>
      </c>
      <c r="C480" s="5" t="inlineStr">
        <is>
          <t>Multiple / Cross-persona</t>
        </is>
      </c>
      <c r="D480" s="5" t="inlineStr">
        <is>
          <t>Import / Export / Period Close</t>
        </is>
      </c>
      <c r="E480" s="5" t="inlineStr">
        <is>
          <t>Export accounting data</t>
        </is>
      </c>
      <c r="F480" s="5" t="inlineStr">
        <is>
          <t>In-house Accountant</t>
        </is>
      </c>
      <c r="G480" s="5" t="inlineStr">
        <is>
          <t>External CA (Tally Operator)</t>
        </is>
      </c>
      <c r="H480" s="5" t="inlineStr">
        <is>
          <t>Export full double-entry general ledger, Trial Balance, and voucher entries</t>
        </is>
      </c>
      <c r="I480" s="5" t="inlineStr">
        <is>
          <t>Generates Tally-compatible XML voucher export and comprehensive Excel Trial Balance</t>
        </is>
      </c>
      <c r="J480" s="20" t="inlineStr">
        <is>
          <t>P1</t>
        </is>
      </c>
      <c r="K480" s="20" t="inlineStr">
        <is>
          <t>Validated (Supported)</t>
        </is>
      </c>
      <c r="L480" s="5" t="inlineStr">
        <is>
          <t>Supported via /accounting/export/tally-xml/.</t>
        </is>
      </c>
      <c r="M480" s="8" t="inlineStr">
        <is>
          <t>Baseline</t>
        </is>
      </c>
      <c r="N480" s="8" t="inlineStr">
        <is>
          <t>Cross-persona</t>
        </is>
      </c>
      <c r="O480" s="8" t="inlineStr">
        <is>
          <t>P1</t>
        </is>
      </c>
      <c r="P480" s="5" t="inlineStr">
        <is>
          <t>Unchanged</t>
        </is>
      </c>
      <c r="Q480" s="20" t="inlineStr">
        <is>
          <t>Author assertion</t>
        </is>
      </c>
      <c r="R480" s="5" t="inlineStr"/>
      <c r="S480" s="8" t="inlineStr">
        <is>
          <t>CLOSE</t>
        </is>
      </c>
      <c r="T480" s="5" t="inlineStr">
        <is>
          <t>Import, export, and period close</t>
        </is>
      </c>
      <c r="U480" s="8" t="inlineStr"/>
      <c r="V480" s="8" t="inlineStr">
        <is>
          <t>accounting</t>
        </is>
      </c>
      <c r="W480" s="8" t="inlineStr">
        <is>
          <t>CONTROL</t>
        </is>
      </c>
      <c r="X480" s="5" t="inlineStr">
        <is>
          <t>Core</t>
        </is>
      </c>
      <c r="Y480" s="5" t="inlineStr">
        <is>
          <t>Cross-persona</t>
        </is>
      </c>
      <c r="Z480" s="5" t="inlineStr">
        <is>
          <t>Medium</t>
        </is>
      </c>
      <c r="AA480" s="5" t="inlineStr">
        <is>
          <t>Medium</t>
        </is>
      </c>
      <c r="AB480" s="8" t="inlineStr">
        <is>
          <t>Low</t>
        </is>
      </c>
      <c r="AC480" s="8" t="inlineStr">
        <is>
          <t>Pilot</t>
        </is>
      </c>
      <c r="AD480" s="5" t="inlineStr">
        <is>
          <t>Not independently checked</t>
        </is>
      </c>
      <c r="AE480" s="5" t="inlineStr">
        <is>
          <t>Not verified</t>
        </is>
      </c>
      <c r="AF480" s="5" t="inlineStr">
        <is>
          <t>Not verified</t>
        </is>
      </c>
      <c r="AG480" s="5" t="inlineStr">
        <is>
          <t>Not verified</t>
        </is>
      </c>
      <c r="AH480" s="5" t="inlineStr">
        <is>
          <t>Not verified</t>
        </is>
      </c>
      <c r="AI480" s="8" t="inlineStr">
        <is>
          <t>No</t>
        </is>
      </c>
      <c r="AJ480" s="8" t="inlineStr">
        <is>
          <t>Claimed - unverified</t>
        </is>
      </c>
      <c r="AK480" s="8" t="inlineStr">
        <is>
          <t>P1</t>
        </is>
      </c>
      <c r="AL480" s="8" t="n">
        <v>6</v>
      </c>
      <c r="AM480" s="5" t="inlineStr"/>
      <c r="AN480" s="5" t="inlineStr"/>
      <c r="AO480" s="5" t="inlineStr"/>
      <c r="AP480" s="5" t="inlineStr"/>
      <c r="AQ480" s="5" t="inlineStr"/>
      <c r="AR480" s="5" t="inlineStr"/>
      <c r="AS480" s="5" t="inlineStr"/>
      <c r="AT480" s="5" t="inlineStr"/>
      <c r="AU480" s="8" t="inlineStr">
        <is>
          <t>Not run</t>
        </is>
      </c>
    </row>
    <row r="481" ht="32" customHeight="1">
      <c r="A481" s="16" t="inlineStr">
        <is>
          <t>X-0480</t>
        </is>
      </c>
      <c r="B481" s="8" t="inlineStr">
        <is>
          <t>X</t>
        </is>
      </c>
      <c r="C481" s="5" t="inlineStr">
        <is>
          <t>Multiple / Cross-persona</t>
        </is>
      </c>
      <c r="D481" s="5" t="inlineStr">
        <is>
          <t>Import / Export / Period Close</t>
        </is>
      </c>
      <c r="E481" s="5" t="inlineStr">
        <is>
          <t>Imported data becomes available to downstream modules</t>
        </is>
      </c>
      <c r="F481" s="5" t="inlineStr">
        <is>
          <t>System / Data Engine</t>
        </is>
      </c>
      <c r="G481" s="5" t="inlineStr">
        <is>
          <t>All Users</t>
        </is>
      </c>
      <c r="H481" s="5" t="inlineStr">
        <is>
          <t>Imported customers, products, and balances immediately accessible across billing and stock</t>
        </is>
      </c>
      <c r="I481" s="5" t="inlineStr">
        <is>
          <t>Refreshes search caches; enables newly imported entities across all transactional screens</t>
        </is>
      </c>
      <c r="J481" s="20" t="inlineStr">
        <is>
          <t>P1</t>
        </is>
      </c>
      <c r="K481" s="20" t="inlineStr">
        <is>
          <t>Validated (Supported)</t>
        </is>
      </c>
      <c r="L481" s="5" t="inlineStr">
        <is>
          <t>Core system invariant: imported entities immediately queryable across all application views.</t>
        </is>
      </c>
      <c r="M481" s="8" t="inlineStr">
        <is>
          <t>Baseline</t>
        </is>
      </c>
      <c r="N481" s="8" t="inlineStr">
        <is>
          <t>Cross-persona</t>
        </is>
      </c>
      <c r="O481" s="8" t="inlineStr">
        <is>
          <t>P1</t>
        </is>
      </c>
      <c r="P481" s="5" t="inlineStr">
        <is>
          <t>Unchanged</t>
        </is>
      </c>
      <c r="Q481" s="20" t="inlineStr">
        <is>
          <t>Author assertion</t>
        </is>
      </c>
      <c r="R481" s="5" t="inlineStr"/>
      <c r="S481" s="8" t="inlineStr">
        <is>
          <t>CLOSE</t>
        </is>
      </c>
      <c r="T481" s="5" t="inlineStr">
        <is>
          <t>Import, export, and period close</t>
        </is>
      </c>
      <c r="U481" s="8" t="inlineStr"/>
      <c r="V481" s="8" t="inlineStr">
        <is>
          <t>accounting</t>
        </is>
      </c>
      <c r="W481" s="8" t="inlineStr">
        <is>
          <t>CONTROL</t>
        </is>
      </c>
      <c r="X481" s="5" t="inlineStr">
        <is>
          <t>Core</t>
        </is>
      </c>
      <c r="Y481" s="5" t="inlineStr">
        <is>
          <t>Cross-persona</t>
        </is>
      </c>
      <c r="Z481" s="5" t="inlineStr">
        <is>
          <t>Medium</t>
        </is>
      </c>
      <c r="AA481" s="5" t="inlineStr">
        <is>
          <t>Medium</t>
        </is>
      </c>
      <c r="AB481" s="8" t="inlineStr">
        <is>
          <t>Low</t>
        </is>
      </c>
      <c r="AC481" s="8" t="inlineStr">
        <is>
          <t>Pilot</t>
        </is>
      </c>
      <c r="AD481" s="5" t="inlineStr">
        <is>
          <t>Not independently checked</t>
        </is>
      </c>
      <c r="AE481" s="5" t="inlineStr">
        <is>
          <t>Not verified</t>
        </is>
      </c>
      <c r="AF481" s="5" t="inlineStr">
        <is>
          <t>Not verified</t>
        </is>
      </c>
      <c r="AG481" s="5" t="inlineStr">
        <is>
          <t>Not verified</t>
        </is>
      </c>
      <c r="AH481" s="5" t="inlineStr">
        <is>
          <t>Not verified</t>
        </is>
      </c>
      <c r="AI481" s="8" t="inlineStr">
        <is>
          <t>No</t>
        </is>
      </c>
      <c r="AJ481" s="8" t="inlineStr">
        <is>
          <t>Claimed - unverified</t>
        </is>
      </c>
      <c r="AK481" s="8" t="inlineStr">
        <is>
          <t>P1</t>
        </is>
      </c>
      <c r="AL481" s="8" t="n">
        <v>6</v>
      </c>
      <c r="AM481" s="5" t="inlineStr"/>
      <c r="AN481" s="5" t="inlineStr"/>
      <c r="AO481" s="5" t="inlineStr"/>
      <c r="AP481" s="5" t="inlineStr"/>
      <c r="AQ481" s="5" t="inlineStr"/>
      <c r="AR481" s="5" t="inlineStr"/>
      <c r="AS481" s="5" t="inlineStr"/>
      <c r="AT481" s="5" t="inlineStr"/>
      <c r="AU481" s="8" t="inlineStr">
        <is>
          <t>Not run</t>
        </is>
      </c>
    </row>
    <row r="482" ht="32" customHeight="1">
      <c r="A482" s="16" t="inlineStr">
        <is>
          <t>X-0481</t>
        </is>
      </c>
      <c r="B482" s="8" t="inlineStr">
        <is>
          <t>X</t>
        </is>
      </c>
      <c r="C482" s="5" t="inlineStr">
        <is>
          <t>Multiple / Cross-persona</t>
        </is>
      </c>
      <c r="D482" s="5" t="inlineStr">
        <is>
          <t>Import / Export / Period Close</t>
        </is>
      </c>
      <c r="E482" s="5" t="inlineStr">
        <is>
          <t>Exported data reconciles with on-screen business data</t>
        </is>
      </c>
      <c r="F482" s="5" t="inlineStr">
        <is>
          <t>In-house Accountant</t>
        </is>
      </c>
      <c r="G482" s="5" t="inlineStr">
        <is>
          <t>Auditor</t>
        </is>
      </c>
      <c r="H482" s="5" t="inlineStr">
        <is>
          <t>Exported spreadsheets match figures and balances displayed on dashboard screens to the rupee</t>
        </is>
      </c>
      <c r="I482" s="5" t="inlineStr">
        <is>
          <t>Guarantees exact numerical alignment between on-screen dashboards and exported files</t>
        </is>
      </c>
      <c r="J482" s="20" t="inlineStr">
        <is>
          <t>P1</t>
        </is>
      </c>
      <c r="K482" s="20" t="inlineStr">
        <is>
          <t>Validated (Supported)</t>
        </is>
      </c>
      <c r="L482" s="5" t="inlineStr">
        <is>
          <t>Core reporting invariant: exported datasets generated from identical database queries as UI.</t>
        </is>
      </c>
      <c r="M482" s="8" t="inlineStr">
        <is>
          <t>Baseline</t>
        </is>
      </c>
      <c r="N482" s="8" t="inlineStr">
        <is>
          <t>Cross-persona</t>
        </is>
      </c>
      <c r="O482" s="8" t="inlineStr">
        <is>
          <t>P1</t>
        </is>
      </c>
      <c r="P482" s="5" t="inlineStr">
        <is>
          <t>Unchanged</t>
        </is>
      </c>
      <c r="Q482" s="20" t="inlineStr">
        <is>
          <t>Author assertion</t>
        </is>
      </c>
      <c r="R482" s="5" t="inlineStr"/>
      <c r="S482" s="8" t="inlineStr">
        <is>
          <t>CLOSE</t>
        </is>
      </c>
      <c r="T482" s="5" t="inlineStr">
        <is>
          <t>Import, export, and period close</t>
        </is>
      </c>
      <c r="U482" s="8" t="inlineStr"/>
      <c r="V482" s="8" t="inlineStr">
        <is>
          <t>accounting</t>
        </is>
      </c>
      <c r="W482" s="8" t="inlineStr">
        <is>
          <t>CONTROL</t>
        </is>
      </c>
      <c r="X482" s="5" t="inlineStr">
        <is>
          <t>Core</t>
        </is>
      </c>
      <c r="Y482" s="5" t="inlineStr">
        <is>
          <t>Cross-persona</t>
        </is>
      </c>
      <c r="Z482" s="5" t="inlineStr">
        <is>
          <t>Medium</t>
        </is>
      </c>
      <c r="AA482" s="5" t="inlineStr">
        <is>
          <t>Medium</t>
        </is>
      </c>
      <c r="AB482" s="8" t="inlineStr">
        <is>
          <t>Low</t>
        </is>
      </c>
      <c r="AC482" s="8" t="inlineStr">
        <is>
          <t>Pilot</t>
        </is>
      </c>
      <c r="AD482" s="5" t="inlineStr">
        <is>
          <t>Not independently checked</t>
        </is>
      </c>
      <c r="AE482" s="5" t="inlineStr">
        <is>
          <t>Not verified</t>
        </is>
      </c>
      <c r="AF482" s="5" t="inlineStr">
        <is>
          <t>Not verified</t>
        </is>
      </c>
      <c r="AG482" s="5" t="inlineStr">
        <is>
          <t>Not verified</t>
        </is>
      </c>
      <c r="AH482" s="5" t="inlineStr">
        <is>
          <t>Not verified</t>
        </is>
      </c>
      <c r="AI482" s="8" t="inlineStr">
        <is>
          <t>No</t>
        </is>
      </c>
      <c r="AJ482" s="8" t="inlineStr">
        <is>
          <t>Claimed - unverified</t>
        </is>
      </c>
      <c r="AK482" s="8" t="inlineStr">
        <is>
          <t>P1</t>
        </is>
      </c>
      <c r="AL482" s="8" t="n">
        <v>6</v>
      </c>
      <c r="AM482" s="5" t="inlineStr"/>
      <c r="AN482" s="5" t="inlineStr"/>
      <c r="AO482" s="5" t="inlineStr"/>
      <c r="AP482" s="5" t="inlineStr"/>
      <c r="AQ482" s="5" t="inlineStr"/>
      <c r="AR482" s="5" t="inlineStr"/>
      <c r="AS482" s="5" t="inlineStr"/>
      <c r="AT482" s="5" t="inlineStr"/>
      <c r="AU482" s="8" t="inlineStr">
        <is>
          <t>Not run</t>
        </is>
      </c>
    </row>
    <row r="483" ht="32" customHeight="1">
      <c r="A483" s="16" t="inlineStr">
        <is>
          <t>X-0482</t>
        </is>
      </c>
      <c r="B483" s="8" t="inlineStr">
        <is>
          <t>X</t>
        </is>
      </c>
      <c r="C483" s="5" t="inlineStr">
        <is>
          <t>Multiple / Cross-persona</t>
        </is>
      </c>
      <c r="D483" s="5" t="inlineStr">
        <is>
          <t>Import / Export / Period Close</t>
        </is>
      </c>
      <c r="E483" s="5" t="inlineStr">
        <is>
          <t>Cashier closes day's sales</t>
        </is>
      </c>
      <c r="F483" s="5" t="inlineStr">
        <is>
          <t>Store Cashier</t>
        </is>
      </c>
      <c r="G483" s="5" t="inlineStr">
        <is>
          <t>Store Manager</t>
        </is>
      </c>
      <c r="H483" s="5" t="inlineStr">
        <is>
          <t>Formal end-of-shift register closing locking daily sales and printing cashier shift summary</t>
        </is>
      </c>
      <c r="I483" s="5" t="inlineStr">
        <is>
          <t>Locks daily till shift; prints shift summary slip detailing total sales and payment splits</t>
        </is>
      </c>
      <c r="J483" s="20" t="inlineStr">
        <is>
          <t>P1</t>
        </is>
      </c>
      <c r="K483" s="20" t="inlineStr">
        <is>
          <t>Validated (Supported)</t>
        </is>
      </c>
      <c r="L483" s="5" t="inlineStr">
        <is>
          <t>Supported via /pos/shift-close workflow.</t>
        </is>
      </c>
      <c r="M483" s="8" t="inlineStr">
        <is>
          <t>Baseline</t>
        </is>
      </c>
      <c r="N483" s="8" t="inlineStr">
        <is>
          <t>Cross-persona</t>
        </is>
      </c>
      <c r="O483" s="8" t="inlineStr">
        <is>
          <t>P1</t>
        </is>
      </c>
      <c r="P483" s="5" t="inlineStr">
        <is>
          <t>Unchanged</t>
        </is>
      </c>
      <c r="Q483" s="20" t="inlineStr">
        <is>
          <t>Author assertion</t>
        </is>
      </c>
      <c r="R483" s="5" t="inlineStr"/>
      <c r="S483" s="8" t="inlineStr">
        <is>
          <t>CLOSE</t>
        </is>
      </c>
      <c r="T483" s="5" t="inlineStr">
        <is>
          <t>Import, export, and period close</t>
        </is>
      </c>
      <c r="U483" s="8" t="inlineStr"/>
      <c r="V483" s="8" t="inlineStr">
        <is>
          <t>accounting</t>
        </is>
      </c>
      <c r="W483" s="8" t="inlineStr">
        <is>
          <t>CONTROL</t>
        </is>
      </c>
      <c r="X483" s="5" t="inlineStr">
        <is>
          <t>Core</t>
        </is>
      </c>
      <c r="Y483" s="5" t="inlineStr">
        <is>
          <t>Cross-persona</t>
        </is>
      </c>
      <c r="Z483" s="5" t="inlineStr">
        <is>
          <t>Medium</t>
        </is>
      </c>
      <c r="AA483" s="5" t="inlineStr">
        <is>
          <t>Medium</t>
        </is>
      </c>
      <c r="AB483" s="8" t="inlineStr">
        <is>
          <t>Low</t>
        </is>
      </c>
      <c r="AC483" s="8" t="inlineStr">
        <is>
          <t>Pilot</t>
        </is>
      </c>
      <c r="AD483" s="5" t="inlineStr">
        <is>
          <t>Not independently checked</t>
        </is>
      </c>
      <c r="AE483" s="5" t="inlineStr">
        <is>
          <t>Not verified</t>
        </is>
      </c>
      <c r="AF483" s="5" t="inlineStr">
        <is>
          <t>Not verified</t>
        </is>
      </c>
      <c r="AG483" s="5" t="inlineStr">
        <is>
          <t>Not verified</t>
        </is>
      </c>
      <c r="AH483" s="5" t="inlineStr">
        <is>
          <t>Not verified</t>
        </is>
      </c>
      <c r="AI483" s="8" t="inlineStr">
        <is>
          <t>No</t>
        </is>
      </c>
      <c r="AJ483" s="8" t="inlineStr">
        <is>
          <t>Claimed - unverified</t>
        </is>
      </c>
      <c r="AK483" s="8" t="inlineStr">
        <is>
          <t>P1</t>
        </is>
      </c>
      <c r="AL483" s="8" t="n">
        <v>6</v>
      </c>
      <c r="AM483" s="5" t="inlineStr"/>
      <c r="AN483" s="5" t="inlineStr"/>
      <c r="AO483" s="5" t="inlineStr"/>
      <c r="AP483" s="5" t="inlineStr"/>
      <c r="AQ483" s="5" t="inlineStr"/>
      <c r="AR483" s="5" t="inlineStr"/>
      <c r="AS483" s="5" t="inlineStr"/>
      <c r="AT483" s="5" t="inlineStr"/>
      <c r="AU483" s="8" t="inlineStr">
        <is>
          <t>Not run</t>
        </is>
      </c>
    </row>
    <row r="484" ht="32" customHeight="1">
      <c r="A484" s="16" t="inlineStr">
        <is>
          <t>X-0483</t>
        </is>
      </c>
      <c r="B484" s="8" t="inlineStr">
        <is>
          <t>X</t>
        </is>
      </c>
      <c r="C484" s="5" t="inlineStr">
        <is>
          <t>Multiple / Cross-persona</t>
        </is>
      </c>
      <c r="D484" s="5" t="inlineStr">
        <is>
          <t>Import / Export / Period Close</t>
        </is>
      </c>
      <c r="E484" s="5" t="inlineStr">
        <is>
          <t>Cashier reconciles cash</t>
        </is>
      </c>
      <c r="F484" s="5" t="inlineStr">
        <is>
          <t>Store Cashier</t>
        </is>
      </c>
      <c r="G484" s="5" t="inlineStr">
        <is>
          <t>Store Manager</t>
        </is>
      </c>
      <c r="H484" s="5" t="inlineStr">
        <is>
          <t>Count physical currency denominations in cash drawer and compare against system expected cash</t>
        </is>
      </c>
      <c r="I484" s="5" t="inlineStr">
        <is>
          <t>Records denomination breakdown; calculates cash overage or shortage variance</t>
        </is>
      </c>
      <c r="J484" s="20" t="inlineStr">
        <is>
          <t>P1</t>
        </is>
      </c>
      <c r="K484" s="20" t="inlineStr">
        <is>
          <t>Validated (Supported)</t>
        </is>
      </c>
      <c r="L484" s="5" t="inlineStr">
        <is>
          <t>Supported via Cash Denomination Counter on shift close screen.</t>
        </is>
      </c>
      <c r="M484" s="8" t="inlineStr">
        <is>
          <t>Baseline</t>
        </is>
      </c>
      <c r="N484" s="8" t="inlineStr">
        <is>
          <t>Cross-persona</t>
        </is>
      </c>
      <c r="O484" s="8" t="inlineStr">
        <is>
          <t>P1</t>
        </is>
      </c>
      <c r="P484" s="5" t="inlineStr">
        <is>
          <t>Unchanged</t>
        </is>
      </c>
      <c r="Q484" s="20" t="inlineStr">
        <is>
          <t>Author assertion</t>
        </is>
      </c>
      <c r="R484" s="5" t="inlineStr"/>
      <c r="S484" s="8" t="inlineStr">
        <is>
          <t>CLOSE</t>
        </is>
      </c>
      <c r="T484" s="5" t="inlineStr">
        <is>
          <t>Import, export, and period close</t>
        </is>
      </c>
      <c r="U484" s="8" t="inlineStr"/>
      <c r="V484" s="8" t="inlineStr">
        <is>
          <t>accounting</t>
        </is>
      </c>
      <c r="W484" s="8" t="inlineStr">
        <is>
          <t>CONTROL</t>
        </is>
      </c>
      <c r="X484" s="5" t="inlineStr">
        <is>
          <t>Core</t>
        </is>
      </c>
      <c r="Y484" s="5" t="inlineStr">
        <is>
          <t>Cross-persona</t>
        </is>
      </c>
      <c r="Z484" s="5" t="inlineStr">
        <is>
          <t>Medium</t>
        </is>
      </c>
      <c r="AA484" s="5" t="inlineStr">
        <is>
          <t>Medium</t>
        </is>
      </c>
      <c r="AB484" s="8" t="inlineStr">
        <is>
          <t>Low</t>
        </is>
      </c>
      <c r="AC484" s="8" t="inlineStr">
        <is>
          <t>Pilot</t>
        </is>
      </c>
      <c r="AD484" s="5" t="inlineStr">
        <is>
          <t>Not independently checked</t>
        </is>
      </c>
      <c r="AE484" s="5" t="inlineStr">
        <is>
          <t>Not verified</t>
        </is>
      </c>
      <c r="AF484" s="5" t="inlineStr">
        <is>
          <t>Not verified</t>
        </is>
      </c>
      <c r="AG484" s="5" t="inlineStr">
        <is>
          <t>Not verified</t>
        </is>
      </c>
      <c r="AH484" s="5" t="inlineStr">
        <is>
          <t>Not verified</t>
        </is>
      </c>
      <c r="AI484" s="8" t="inlineStr">
        <is>
          <t>No</t>
        </is>
      </c>
      <c r="AJ484" s="8" t="inlineStr">
        <is>
          <t>Claimed - unverified</t>
        </is>
      </c>
      <c r="AK484" s="8" t="inlineStr">
        <is>
          <t>P1</t>
        </is>
      </c>
      <c r="AL484" s="8" t="n">
        <v>6</v>
      </c>
      <c r="AM484" s="5" t="inlineStr"/>
      <c r="AN484" s="5" t="inlineStr"/>
      <c r="AO484" s="5" t="inlineStr"/>
      <c r="AP484" s="5" t="inlineStr"/>
      <c r="AQ484" s="5" t="inlineStr"/>
      <c r="AR484" s="5" t="inlineStr"/>
      <c r="AS484" s="5" t="inlineStr"/>
      <c r="AT484" s="5" t="inlineStr"/>
      <c r="AU484" s="8" t="inlineStr">
        <is>
          <t>Not run</t>
        </is>
      </c>
    </row>
    <row r="485" ht="32" customHeight="1">
      <c r="A485" s="16" t="inlineStr">
        <is>
          <t>X-0484</t>
        </is>
      </c>
      <c r="B485" s="8" t="inlineStr">
        <is>
          <t>X</t>
        </is>
      </c>
      <c r="C485" s="5" t="inlineStr">
        <is>
          <t>Multiple / Cross-persona</t>
        </is>
      </c>
      <c r="D485" s="5" t="inlineStr">
        <is>
          <t>Import / Export / Period Close</t>
        </is>
      </c>
      <c r="E485" s="5" t="inlineStr">
        <is>
          <t>Digital payments are reconciled</t>
        </is>
      </c>
      <c r="F485" s="5" t="inlineStr">
        <is>
          <t>Store Cashier / Accountant</t>
        </is>
      </c>
      <c r="G485" s="5" t="inlineStr">
        <is>
          <t>Store Manager</t>
        </is>
      </c>
      <c r="H485" s="5" t="inlineStr">
        <is>
          <t>Verify UPI and card terminal settlement slips against POS digital payment totals</t>
        </is>
      </c>
      <c r="I485" s="5" t="inlineStr">
        <is>
          <t>Cross-checks EDC card swipe machine totals and UPI settlement against system payment records</t>
        </is>
      </c>
      <c r="J485" s="20" t="inlineStr">
        <is>
          <t>P1</t>
        </is>
      </c>
      <c r="K485" s="20" t="inlineStr">
        <is>
          <t>Validated (Supported)</t>
        </is>
      </c>
      <c r="L485" s="5" t="inlineStr">
        <is>
          <t>Supported via Digital Settlement Reconciliation step on shift close.</t>
        </is>
      </c>
      <c r="M485" s="8" t="inlineStr">
        <is>
          <t>Baseline</t>
        </is>
      </c>
      <c r="N485" s="8" t="inlineStr">
        <is>
          <t>Cross-persona</t>
        </is>
      </c>
      <c r="O485" s="8" t="inlineStr">
        <is>
          <t>P1</t>
        </is>
      </c>
      <c r="P485" s="5" t="inlineStr">
        <is>
          <t>Unchanged</t>
        </is>
      </c>
      <c r="Q485" s="20" t="inlineStr">
        <is>
          <t>Author assertion</t>
        </is>
      </c>
      <c r="R485" s="5" t="inlineStr"/>
      <c r="S485" s="8" t="inlineStr">
        <is>
          <t>CLOSE</t>
        </is>
      </c>
      <c r="T485" s="5" t="inlineStr">
        <is>
          <t>Import, export, and period close</t>
        </is>
      </c>
      <c r="U485" s="8" t="inlineStr"/>
      <c r="V485" s="8" t="inlineStr">
        <is>
          <t>accounting</t>
        </is>
      </c>
      <c r="W485" s="8" t="inlineStr">
        <is>
          <t>CONTROL</t>
        </is>
      </c>
      <c r="X485" s="5" t="inlineStr">
        <is>
          <t>Core</t>
        </is>
      </c>
      <c r="Y485" s="5" t="inlineStr">
        <is>
          <t>Cross-persona</t>
        </is>
      </c>
      <c r="Z485" s="5" t="inlineStr">
        <is>
          <t>Medium</t>
        </is>
      </c>
      <c r="AA485" s="5" t="inlineStr">
        <is>
          <t>Medium</t>
        </is>
      </c>
      <c r="AB485" s="8" t="inlineStr">
        <is>
          <t>Low</t>
        </is>
      </c>
      <c r="AC485" s="8" t="inlineStr">
        <is>
          <t>Pilot</t>
        </is>
      </c>
      <c r="AD485" s="5" t="inlineStr">
        <is>
          <t>Not independently checked</t>
        </is>
      </c>
      <c r="AE485" s="5" t="inlineStr">
        <is>
          <t>Not verified</t>
        </is>
      </c>
      <c r="AF485" s="5" t="inlineStr">
        <is>
          <t>Not verified</t>
        </is>
      </c>
      <c r="AG485" s="5" t="inlineStr">
        <is>
          <t>Not verified</t>
        </is>
      </c>
      <c r="AH485" s="5" t="inlineStr">
        <is>
          <t>Not verified</t>
        </is>
      </c>
      <c r="AI485" s="8" t="inlineStr">
        <is>
          <t>No</t>
        </is>
      </c>
      <c r="AJ485" s="8" t="inlineStr">
        <is>
          <t>Claimed - unverified</t>
        </is>
      </c>
      <c r="AK485" s="8" t="inlineStr">
        <is>
          <t>P1</t>
        </is>
      </c>
      <c r="AL485" s="8" t="n">
        <v>6</v>
      </c>
      <c r="AM485" s="5" t="inlineStr"/>
      <c r="AN485" s="5" t="inlineStr"/>
      <c r="AO485" s="5" t="inlineStr"/>
      <c r="AP485" s="5" t="inlineStr"/>
      <c r="AQ485" s="5" t="inlineStr"/>
      <c r="AR485" s="5" t="inlineStr"/>
      <c r="AS485" s="5" t="inlineStr"/>
      <c r="AT485" s="5" t="inlineStr"/>
      <c r="AU485" s="8" t="inlineStr">
        <is>
          <t>Not run</t>
        </is>
      </c>
    </row>
    <row r="486" ht="32" customHeight="1">
      <c r="A486" s="16" t="inlineStr">
        <is>
          <t>X-0485</t>
        </is>
      </c>
      <c r="B486" s="8" t="inlineStr">
        <is>
          <t>X</t>
        </is>
      </c>
      <c r="C486" s="5" t="inlineStr">
        <is>
          <t>Multiple / Cross-persona</t>
        </is>
      </c>
      <c r="D486" s="5" t="inlineStr">
        <is>
          <t>Import / Export / Period Close</t>
        </is>
      </c>
      <c r="E486" s="5" t="inlineStr">
        <is>
          <t>Owner reviews daily sales</t>
        </is>
      </c>
      <c r="F486" s="5" t="inlineStr">
        <is>
          <t>Business Owner</t>
        </is>
      </c>
      <c r="G486" s="5" t="inlineStr">
        <is>
          <t>Store Managers</t>
        </is>
      </c>
      <c r="H486" s="5" t="inlineStr">
        <is>
          <t>Review daily store performance, total revenue, bill count, and cash collected at day end</t>
        </is>
      </c>
      <c r="I486" s="5" t="inlineStr">
        <is>
          <t>Displays daily closing executive summary card on mobile app; sends daily WhatsApp digest</t>
        </is>
      </c>
      <c r="J486" s="20" t="inlineStr">
        <is>
          <t>P1</t>
        </is>
      </c>
      <c r="K486" s="20" t="inlineStr">
        <is>
          <t>Validated (Supported)</t>
        </is>
      </c>
      <c r="L486" s="5" t="inlineStr">
        <is>
          <t>Supported via Daily Closing Summary card and automated owner WhatsApp report.</t>
        </is>
      </c>
      <c r="M486" s="8" t="inlineStr">
        <is>
          <t>Baseline</t>
        </is>
      </c>
      <c r="N486" s="8" t="inlineStr">
        <is>
          <t>Cross-persona</t>
        </is>
      </c>
      <c r="O486" s="8" t="inlineStr">
        <is>
          <t>P1</t>
        </is>
      </c>
      <c r="P486" s="5" t="inlineStr">
        <is>
          <t>Unchanged</t>
        </is>
      </c>
      <c r="Q486" s="21" t="inlineStr">
        <is>
          <t>Code symbol found</t>
        </is>
      </c>
      <c r="R486" s="5" t="inlineStr">
        <is>
          <t>Matched WhatsApp in product code. This is not a functional test.</t>
        </is>
      </c>
      <c r="S486" s="8" t="inlineStr">
        <is>
          <t>CLOSE</t>
        </is>
      </c>
      <c r="T486" s="5" t="inlineStr">
        <is>
          <t>Import, export, and period close</t>
        </is>
      </c>
      <c r="U486" s="8" t="inlineStr"/>
      <c r="V486" s="8" t="inlineStr">
        <is>
          <t>accounting</t>
        </is>
      </c>
      <c r="W486" s="8" t="inlineStr">
        <is>
          <t>CONTROL</t>
        </is>
      </c>
      <c r="X486" s="5" t="inlineStr">
        <is>
          <t>Core</t>
        </is>
      </c>
      <c r="Y486" s="5" t="inlineStr">
        <is>
          <t>Cross-persona</t>
        </is>
      </c>
      <c r="Z486" s="5" t="inlineStr">
        <is>
          <t>Medium</t>
        </is>
      </c>
      <c r="AA486" s="5" t="inlineStr">
        <is>
          <t>Medium</t>
        </is>
      </c>
      <c r="AB486" s="8" t="inlineStr">
        <is>
          <t>Low</t>
        </is>
      </c>
      <c r="AC486" s="8" t="inlineStr">
        <is>
          <t>Pilot</t>
        </is>
      </c>
      <c r="AD486" s="5" t="inlineStr">
        <is>
          <t>Cited in code</t>
        </is>
      </c>
      <c r="AE486" s="5" t="inlineStr">
        <is>
          <t>Not verified</t>
        </is>
      </c>
      <c r="AF486" s="5" t="inlineStr">
        <is>
          <t>Not verified</t>
        </is>
      </c>
      <c r="AG486" s="5" t="inlineStr">
        <is>
          <t>Not verified</t>
        </is>
      </c>
      <c r="AH486" s="5" t="inlineStr">
        <is>
          <t>Not verified</t>
        </is>
      </c>
      <c r="AI486" s="8" t="inlineStr">
        <is>
          <t>No</t>
        </is>
      </c>
      <c r="AJ486" s="8" t="inlineStr">
        <is>
          <t>Built - unverified</t>
        </is>
      </c>
      <c r="AK486" s="8" t="inlineStr">
        <is>
          <t>P1</t>
        </is>
      </c>
      <c r="AL486" s="8" t="n">
        <v>6</v>
      </c>
      <c r="AM486" s="5" t="inlineStr"/>
      <c r="AN486" s="5" t="inlineStr"/>
      <c r="AO486" s="5" t="inlineStr"/>
      <c r="AP486" s="5" t="inlineStr"/>
      <c r="AQ486" s="5" t="inlineStr"/>
      <c r="AR486" s="5" t="inlineStr"/>
      <c r="AS486" s="5" t="inlineStr"/>
      <c r="AT486" s="5" t="inlineStr"/>
      <c r="AU486" s="8" t="inlineStr">
        <is>
          <t>Not run</t>
        </is>
      </c>
    </row>
    <row r="487" ht="32" customHeight="1">
      <c r="A487" s="16" t="inlineStr">
        <is>
          <t>X-0486</t>
        </is>
      </c>
      <c r="B487" s="8" t="inlineStr">
        <is>
          <t>X</t>
        </is>
      </c>
      <c r="C487" s="5" t="inlineStr">
        <is>
          <t>Multiple / Cross-persona</t>
        </is>
      </c>
      <c r="D487" s="5" t="inlineStr">
        <is>
          <t>Import / Export / Period Close</t>
        </is>
      </c>
      <c r="E487" s="5" t="inlineStr">
        <is>
          <t>Owner reviews daily gross margin</t>
        </is>
      </c>
      <c r="F487" s="5" t="inlineStr">
        <is>
          <t>Business Owner</t>
        </is>
      </c>
      <c r="G487" s="5" t="inlineStr">
        <is>
          <t>Accountant</t>
        </is>
      </c>
      <c r="H487" s="5" t="inlineStr">
        <is>
          <t>Inspect realized gross margin earned on today's business to verify profitability</t>
        </is>
      </c>
      <c r="I487" s="5" t="inlineStr">
        <is>
          <t>Computes today's realized gross profit = SUM(Line Price - Line FIFO Cost) across all sales</t>
        </is>
      </c>
      <c r="J487" s="20" t="inlineStr">
        <is>
          <t>P1</t>
        </is>
      </c>
      <c r="K487" s="20" t="inlineStr">
        <is>
          <t>Validated (Supported)</t>
        </is>
      </c>
      <c r="L487" s="5" t="inlineStr">
        <is>
          <t>Supported via Daily Margin Snapshot on Owner Executive Dashboard.</t>
        </is>
      </c>
      <c r="M487" s="8" t="inlineStr">
        <is>
          <t>Baseline</t>
        </is>
      </c>
      <c r="N487" s="8" t="inlineStr">
        <is>
          <t>Cross-persona</t>
        </is>
      </c>
      <c r="O487" s="8" t="inlineStr">
        <is>
          <t>P1</t>
        </is>
      </c>
      <c r="P487" s="5" t="inlineStr">
        <is>
          <t>Unchanged</t>
        </is>
      </c>
      <c r="Q487" s="20" t="inlineStr">
        <is>
          <t>Author assertion</t>
        </is>
      </c>
      <c r="R487" s="5" t="inlineStr"/>
      <c r="S487" s="8" t="inlineStr">
        <is>
          <t>CLOSE</t>
        </is>
      </c>
      <c r="T487" s="5" t="inlineStr">
        <is>
          <t>Import, export, and period close</t>
        </is>
      </c>
      <c r="U487" s="8" t="inlineStr"/>
      <c r="V487" s="8" t="inlineStr">
        <is>
          <t>accounting</t>
        </is>
      </c>
      <c r="W487" s="8" t="inlineStr">
        <is>
          <t>CONTROL</t>
        </is>
      </c>
      <c r="X487" s="5" t="inlineStr">
        <is>
          <t>Core</t>
        </is>
      </c>
      <c r="Y487" s="5" t="inlineStr">
        <is>
          <t>Cross-persona</t>
        </is>
      </c>
      <c r="Z487" s="5" t="inlineStr">
        <is>
          <t>Medium</t>
        </is>
      </c>
      <c r="AA487" s="5" t="inlineStr">
        <is>
          <t>Medium</t>
        </is>
      </c>
      <c r="AB487" s="8" t="inlineStr">
        <is>
          <t>Low</t>
        </is>
      </c>
      <c r="AC487" s="8" t="inlineStr">
        <is>
          <t>Pilot</t>
        </is>
      </c>
      <c r="AD487" s="5" t="inlineStr">
        <is>
          <t>Not independently checked</t>
        </is>
      </c>
      <c r="AE487" s="5" t="inlineStr">
        <is>
          <t>Not verified</t>
        </is>
      </c>
      <c r="AF487" s="5" t="inlineStr">
        <is>
          <t>Not verified</t>
        </is>
      </c>
      <c r="AG487" s="5" t="inlineStr">
        <is>
          <t>Not verified</t>
        </is>
      </c>
      <c r="AH487" s="5" t="inlineStr">
        <is>
          <t>Not verified</t>
        </is>
      </c>
      <c r="AI487" s="8" t="inlineStr">
        <is>
          <t>No</t>
        </is>
      </c>
      <c r="AJ487" s="8" t="inlineStr">
        <is>
          <t>Claimed - unverified</t>
        </is>
      </c>
      <c r="AK487" s="8" t="inlineStr">
        <is>
          <t>P1</t>
        </is>
      </c>
      <c r="AL487" s="8" t="n">
        <v>6</v>
      </c>
      <c r="AM487" s="5" t="inlineStr"/>
      <c r="AN487" s="5" t="inlineStr"/>
      <c r="AO487" s="5" t="inlineStr"/>
      <c r="AP487" s="5" t="inlineStr"/>
      <c r="AQ487" s="5" t="inlineStr"/>
      <c r="AR487" s="5" t="inlineStr"/>
      <c r="AS487" s="5" t="inlineStr"/>
      <c r="AT487" s="5" t="inlineStr"/>
      <c r="AU487" s="8" t="inlineStr">
        <is>
          <t>Not run</t>
        </is>
      </c>
    </row>
    <row r="488" ht="32" customHeight="1">
      <c r="A488" s="16" t="inlineStr">
        <is>
          <t>X-0487</t>
        </is>
      </c>
      <c r="B488" s="8" t="inlineStr">
        <is>
          <t>X</t>
        </is>
      </c>
      <c r="C488" s="5" t="inlineStr">
        <is>
          <t>Multiple / Cross-persona</t>
        </is>
      </c>
      <c r="D488" s="5" t="inlineStr">
        <is>
          <t>Import / Export / Period Close</t>
        </is>
      </c>
      <c r="E488" s="5" t="inlineStr">
        <is>
          <t>Owner reviews outstanding collections</t>
        </is>
      </c>
      <c r="F488" s="5" t="inlineStr">
        <is>
          <t>Business Owner</t>
        </is>
      </c>
      <c r="G488" s="5" t="inlineStr">
        <is>
          <t>Credit Controller</t>
        </is>
      </c>
      <c r="H488" s="5" t="inlineStr">
        <is>
          <t>Review debt collections deposited today against overall accounts receivable target</t>
        </is>
      </c>
      <c r="I488" s="5" t="inlineStr">
        <is>
          <t>Summarizes total customer payments collected today; updates month-to-date collection target</t>
        </is>
      </c>
      <c r="J488" s="20" t="inlineStr">
        <is>
          <t>P1</t>
        </is>
      </c>
      <c r="K488" s="20" t="inlineStr">
        <is>
          <t>Validated (Supported)</t>
        </is>
      </c>
      <c r="L488" s="5" t="inlineStr">
        <is>
          <t>Supported via Daily Collections Summary widget.</t>
        </is>
      </c>
      <c r="M488" s="8" t="inlineStr">
        <is>
          <t>Baseline</t>
        </is>
      </c>
      <c r="N488" s="8" t="inlineStr">
        <is>
          <t>Cross-persona</t>
        </is>
      </c>
      <c r="O488" s="8" t="inlineStr">
        <is>
          <t>P1</t>
        </is>
      </c>
      <c r="P488" s="5" t="inlineStr">
        <is>
          <t>Unchanged</t>
        </is>
      </c>
      <c r="Q488" s="20" t="inlineStr">
        <is>
          <t>Author assertion</t>
        </is>
      </c>
      <c r="R488" s="5" t="inlineStr"/>
      <c r="S488" s="8" t="inlineStr">
        <is>
          <t>CLOSE</t>
        </is>
      </c>
      <c r="T488" s="5" t="inlineStr">
        <is>
          <t>Import, export, and period close</t>
        </is>
      </c>
      <c r="U488" s="8" t="inlineStr"/>
      <c r="V488" s="8" t="inlineStr">
        <is>
          <t>accounting</t>
        </is>
      </c>
      <c r="W488" s="8" t="inlineStr">
        <is>
          <t>CONTROL</t>
        </is>
      </c>
      <c r="X488" s="5" t="inlineStr">
        <is>
          <t>Core</t>
        </is>
      </c>
      <c r="Y488" s="5" t="inlineStr">
        <is>
          <t>Cross-persona</t>
        </is>
      </c>
      <c r="Z488" s="5" t="inlineStr">
        <is>
          <t>Medium</t>
        </is>
      </c>
      <c r="AA488" s="5" t="inlineStr">
        <is>
          <t>Medium</t>
        </is>
      </c>
      <c r="AB488" s="8" t="inlineStr">
        <is>
          <t>Low</t>
        </is>
      </c>
      <c r="AC488" s="8" t="inlineStr">
        <is>
          <t>Pilot</t>
        </is>
      </c>
      <c r="AD488" s="5" t="inlineStr">
        <is>
          <t>Not independently checked</t>
        </is>
      </c>
      <c r="AE488" s="5" t="inlineStr">
        <is>
          <t>Not verified</t>
        </is>
      </c>
      <c r="AF488" s="5" t="inlineStr">
        <is>
          <t>Not verified</t>
        </is>
      </c>
      <c r="AG488" s="5" t="inlineStr">
        <is>
          <t>Not verified</t>
        </is>
      </c>
      <c r="AH488" s="5" t="inlineStr">
        <is>
          <t>Not verified</t>
        </is>
      </c>
      <c r="AI488" s="8" t="inlineStr">
        <is>
          <t>No</t>
        </is>
      </c>
      <c r="AJ488" s="8" t="inlineStr">
        <is>
          <t>Claimed - unverified</t>
        </is>
      </c>
      <c r="AK488" s="8" t="inlineStr">
        <is>
          <t>P1</t>
        </is>
      </c>
      <c r="AL488" s="8" t="n">
        <v>6</v>
      </c>
      <c r="AM488" s="5" t="inlineStr"/>
      <c r="AN488" s="5" t="inlineStr"/>
      <c r="AO488" s="5" t="inlineStr"/>
      <c r="AP488" s="5" t="inlineStr"/>
      <c r="AQ488" s="5" t="inlineStr"/>
      <c r="AR488" s="5" t="inlineStr"/>
      <c r="AS488" s="5" t="inlineStr"/>
      <c r="AT488" s="5" t="inlineStr"/>
      <c r="AU488" s="8" t="inlineStr">
        <is>
          <t>Not run</t>
        </is>
      </c>
    </row>
    <row r="489" ht="32" customHeight="1">
      <c r="A489" s="16" t="inlineStr">
        <is>
          <t>X-0488</t>
        </is>
      </c>
      <c r="B489" s="8" t="inlineStr">
        <is>
          <t>X</t>
        </is>
      </c>
      <c r="C489" s="5" t="inlineStr">
        <is>
          <t>Multiple / Cross-persona</t>
        </is>
      </c>
      <c r="D489" s="5" t="inlineStr">
        <is>
          <t>Import / Export / Period Close</t>
        </is>
      </c>
      <c r="E489" s="5" t="inlineStr">
        <is>
          <t>Owner reviews inventory movements</t>
        </is>
      </c>
      <c r="F489" s="5" t="inlineStr">
        <is>
          <t>Business Owner</t>
        </is>
      </c>
      <c r="G489" s="5" t="inlineStr">
        <is>
          <t>Warehouse Custodian</t>
        </is>
      </c>
      <c r="H489" s="5" t="inlineStr">
        <is>
          <t>Inspect daily stock summary: inward supplier receipts, outward sales, and transfer movements</t>
        </is>
      </c>
      <c r="I489" s="5" t="inlineStr">
        <is>
          <t>Renders summary of total units received, units sold, and transfer movements executed today</t>
        </is>
      </c>
      <c r="J489" s="20" t="inlineStr">
        <is>
          <t>P1</t>
        </is>
      </c>
      <c r="K489" s="20" t="inlineStr">
        <is>
          <t>Validated (Supported)</t>
        </is>
      </c>
      <c r="L489" s="5" t="inlineStr">
        <is>
          <t>Supported via Daily Inventory Movement Summary report.</t>
        </is>
      </c>
      <c r="M489" s="8" t="inlineStr">
        <is>
          <t>Baseline</t>
        </is>
      </c>
      <c r="N489" s="8" t="inlineStr">
        <is>
          <t>Cross-persona</t>
        </is>
      </c>
      <c r="O489" s="8" t="inlineStr">
        <is>
          <t>P1</t>
        </is>
      </c>
      <c r="P489" s="5" t="inlineStr">
        <is>
          <t>Unchanged</t>
        </is>
      </c>
      <c r="Q489" s="20" t="inlineStr">
        <is>
          <t>Author assertion</t>
        </is>
      </c>
      <c r="R489" s="5" t="inlineStr"/>
      <c r="S489" s="8" t="inlineStr">
        <is>
          <t>CLOSE</t>
        </is>
      </c>
      <c r="T489" s="5" t="inlineStr">
        <is>
          <t>Import, export, and period close</t>
        </is>
      </c>
      <c r="U489" s="8" t="inlineStr"/>
      <c r="V489" s="8" t="inlineStr">
        <is>
          <t>accounting</t>
        </is>
      </c>
      <c r="W489" s="8" t="inlineStr">
        <is>
          <t>CONTROL</t>
        </is>
      </c>
      <c r="X489" s="5" t="inlineStr">
        <is>
          <t>Core</t>
        </is>
      </c>
      <c r="Y489" s="5" t="inlineStr">
        <is>
          <t>Cross-persona</t>
        </is>
      </c>
      <c r="Z489" s="5" t="inlineStr">
        <is>
          <t>Medium</t>
        </is>
      </c>
      <c r="AA489" s="5" t="inlineStr">
        <is>
          <t>Medium</t>
        </is>
      </c>
      <c r="AB489" s="8" t="inlineStr">
        <is>
          <t>Low</t>
        </is>
      </c>
      <c r="AC489" s="8" t="inlineStr">
        <is>
          <t>Pilot</t>
        </is>
      </c>
      <c r="AD489" s="5" t="inlineStr">
        <is>
          <t>Not independently checked</t>
        </is>
      </c>
      <c r="AE489" s="5" t="inlineStr">
        <is>
          <t>Not verified</t>
        </is>
      </c>
      <c r="AF489" s="5" t="inlineStr">
        <is>
          <t>Not verified</t>
        </is>
      </c>
      <c r="AG489" s="5" t="inlineStr">
        <is>
          <t>Not verified</t>
        </is>
      </c>
      <c r="AH489" s="5" t="inlineStr">
        <is>
          <t>Not verified</t>
        </is>
      </c>
      <c r="AI489" s="8" t="inlineStr">
        <is>
          <t>No</t>
        </is>
      </c>
      <c r="AJ489" s="8" t="inlineStr">
        <is>
          <t>Claimed - unverified</t>
        </is>
      </c>
      <c r="AK489" s="8" t="inlineStr">
        <is>
          <t>P1</t>
        </is>
      </c>
      <c r="AL489" s="8" t="n">
        <v>6</v>
      </c>
      <c r="AM489" s="5" t="inlineStr"/>
      <c r="AN489" s="5" t="inlineStr"/>
      <c r="AO489" s="5" t="inlineStr"/>
      <c r="AP489" s="5" t="inlineStr"/>
      <c r="AQ489" s="5" t="inlineStr"/>
      <c r="AR489" s="5" t="inlineStr"/>
      <c r="AS489" s="5" t="inlineStr"/>
      <c r="AT489" s="5" t="inlineStr"/>
      <c r="AU489" s="8" t="inlineStr">
        <is>
          <t>Not run</t>
        </is>
      </c>
    </row>
    <row r="490" ht="32" customHeight="1">
      <c r="A490" s="16" t="inlineStr">
        <is>
          <t>X-0489</t>
        </is>
      </c>
      <c r="B490" s="8" t="inlineStr">
        <is>
          <t>X</t>
        </is>
      </c>
      <c r="C490" s="5" t="inlineStr">
        <is>
          <t>Multiple / Cross-persona</t>
        </is>
      </c>
      <c r="D490" s="5" t="inlineStr">
        <is>
          <t>Import / Export / Period Close</t>
        </is>
      </c>
      <c r="E490" s="5" t="inlineStr">
        <is>
          <t>Owner reviews exceptions</t>
        </is>
      </c>
      <c r="F490" s="5" t="inlineStr">
        <is>
          <t>Business Owner</t>
        </is>
      </c>
      <c r="G490" s="5" t="inlineStr">
        <is>
          <t>Store Managers</t>
        </is>
      </c>
      <c r="H490" s="5" t="inlineStr">
        <is>
          <t>Review operational anomalies logged during the day: bill cancellations, discounts, shortages</t>
        </is>
      </c>
      <c r="I490" s="5" t="inlineStr">
        <is>
          <t>Displays AttentionRowState exception feed requiring owner review or acknowledgement</t>
        </is>
      </c>
      <c r="J490" s="20" t="inlineStr">
        <is>
          <t>P1</t>
        </is>
      </c>
      <c r="K490" s="20" t="inlineStr">
        <is>
          <t>Validated (Supported)</t>
        </is>
      </c>
      <c r="L490" s="5" t="inlineStr">
        <is>
          <t>Supported via Attention / Exception Feed on Owner Dashboard.</t>
        </is>
      </c>
      <c r="M490" s="8" t="inlineStr">
        <is>
          <t>Baseline</t>
        </is>
      </c>
      <c r="N490" s="8" t="inlineStr">
        <is>
          <t>Cross-persona</t>
        </is>
      </c>
      <c r="O490" s="8" t="inlineStr">
        <is>
          <t>P1</t>
        </is>
      </c>
      <c r="P490" s="5" t="inlineStr">
        <is>
          <t>Unchanged</t>
        </is>
      </c>
      <c r="Q490" s="20" t="inlineStr">
        <is>
          <t>Author assertion</t>
        </is>
      </c>
      <c r="R490" s="5" t="inlineStr"/>
      <c r="S490" s="8" t="inlineStr">
        <is>
          <t>CLOSE</t>
        </is>
      </c>
      <c r="T490" s="5" t="inlineStr">
        <is>
          <t>Import, export, and period close</t>
        </is>
      </c>
      <c r="U490" s="8" t="inlineStr"/>
      <c r="V490" s="8" t="inlineStr">
        <is>
          <t>accounting</t>
        </is>
      </c>
      <c r="W490" s="8" t="inlineStr">
        <is>
          <t>CONTROL</t>
        </is>
      </c>
      <c r="X490" s="5" t="inlineStr">
        <is>
          <t>Core</t>
        </is>
      </c>
      <c r="Y490" s="5" t="inlineStr">
        <is>
          <t>Cross-persona</t>
        </is>
      </c>
      <c r="Z490" s="5" t="inlineStr">
        <is>
          <t>Medium</t>
        </is>
      </c>
      <c r="AA490" s="5" t="inlineStr">
        <is>
          <t>Medium</t>
        </is>
      </c>
      <c r="AB490" s="8" t="inlineStr">
        <is>
          <t>Low</t>
        </is>
      </c>
      <c r="AC490" s="8" t="inlineStr">
        <is>
          <t>Pilot</t>
        </is>
      </c>
      <c r="AD490" s="5" t="inlineStr">
        <is>
          <t>Not independently checked</t>
        </is>
      </c>
      <c r="AE490" s="5" t="inlineStr">
        <is>
          <t>Not verified</t>
        </is>
      </c>
      <c r="AF490" s="5" t="inlineStr">
        <is>
          <t>Not verified</t>
        </is>
      </c>
      <c r="AG490" s="5" t="inlineStr">
        <is>
          <t>Not verified</t>
        </is>
      </c>
      <c r="AH490" s="5" t="inlineStr">
        <is>
          <t>Not verified</t>
        </is>
      </c>
      <c r="AI490" s="8" t="inlineStr">
        <is>
          <t>No</t>
        </is>
      </c>
      <c r="AJ490" s="8" t="inlineStr">
        <is>
          <t>Claimed - unverified</t>
        </is>
      </c>
      <c r="AK490" s="8" t="inlineStr">
        <is>
          <t>P1</t>
        </is>
      </c>
      <c r="AL490" s="8" t="n">
        <v>6</v>
      </c>
      <c r="AM490" s="5" t="inlineStr"/>
      <c r="AN490" s="5" t="inlineStr"/>
      <c r="AO490" s="5" t="inlineStr"/>
      <c r="AP490" s="5" t="inlineStr"/>
      <c r="AQ490" s="5" t="inlineStr"/>
      <c r="AR490" s="5" t="inlineStr"/>
      <c r="AS490" s="5" t="inlineStr"/>
      <c r="AT490" s="5" t="inlineStr"/>
      <c r="AU490" s="8" t="inlineStr">
        <is>
          <t>Not run</t>
        </is>
      </c>
    </row>
    <row r="491" ht="32" customHeight="1">
      <c r="A491" s="16" t="inlineStr">
        <is>
          <t>X-0490</t>
        </is>
      </c>
      <c r="B491" s="8" t="inlineStr">
        <is>
          <t>X</t>
        </is>
      </c>
      <c r="C491" s="5" t="inlineStr">
        <is>
          <t>Multiple / Cross-persona</t>
        </is>
      </c>
      <c r="D491" s="5" t="inlineStr">
        <is>
          <t>Import / Export / Period Close</t>
        </is>
      </c>
      <c r="E491" s="5" t="inlineStr">
        <is>
          <t>Accountant reconciles sales</t>
        </is>
      </c>
      <c r="F491" s="5" t="inlineStr">
        <is>
          <t>In-house Accountant</t>
        </is>
      </c>
      <c r="G491" s="5" t="inlineStr">
        <is>
          <t>Billing Team</t>
        </is>
      </c>
      <c r="H491" s="5" t="inlineStr">
        <is>
          <t>Verify that all completed sales invoices match sales register and general ledger postings</t>
        </is>
      </c>
      <c r="I491" s="5" t="inlineStr">
        <is>
          <t>Cross-checks invoice subtotal, taxes, and round-offs against Sales Revenue GL account</t>
        </is>
      </c>
      <c r="J491" s="20" t="inlineStr">
        <is>
          <t>P1</t>
        </is>
      </c>
      <c r="K491" s="20" t="inlineStr">
        <is>
          <t>Validated (Supported)</t>
        </is>
      </c>
      <c r="L491" s="5" t="inlineStr">
        <is>
          <t>Supported via Sales Reconciliation Report (/accounting/reconcile-sales/).</t>
        </is>
      </c>
      <c r="M491" s="8" t="inlineStr">
        <is>
          <t>Baseline</t>
        </is>
      </c>
      <c r="N491" s="8" t="inlineStr">
        <is>
          <t>Cross-persona</t>
        </is>
      </c>
      <c r="O491" s="8" t="inlineStr">
        <is>
          <t>P1</t>
        </is>
      </c>
      <c r="P491" s="5" t="inlineStr">
        <is>
          <t>Unchanged</t>
        </is>
      </c>
      <c r="Q491" s="20" t="inlineStr">
        <is>
          <t>Author assertion</t>
        </is>
      </c>
      <c r="R491" s="5" t="inlineStr"/>
      <c r="S491" s="8" t="inlineStr">
        <is>
          <t>CLOSE</t>
        </is>
      </c>
      <c r="T491" s="5" t="inlineStr">
        <is>
          <t>Import, export, and period close</t>
        </is>
      </c>
      <c r="U491" s="8" t="inlineStr"/>
      <c r="V491" s="8" t="inlineStr">
        <is>
          <t>accounting</t>
        </is>
      </c>
      <c r="W491" s="8" t="inlineStr">
        <is>
          <t>CONTROL</t>
        </is>
      </c>
      <c r="X491" s="5" t="inlineStr">
        <is>
          <t>Core</t>
        </is>
      </c>
      <c r="Y491" s="5" t="inlineStr">
        <is>
          <t>Cross-persona</t>
        </is>
      </c>
      <c r="Z491" s="5" t="inlineStr">
        <is>
          <t>Medium</t>
        </is>
      </c>
      <c r="AA491" s="5" t="inlineStr">
        <is>
          <t>Medium</t>
        </is>
      </c>
      <c r="AB491" s="8" t="inlineStr">
        <is>
          <t>Low</t>
        </is>
      </c>
      <c r="AC491" s="8" t="inlineStr">
        <is>
          <t>Pilot</t>
        </is>
      </c>
      <c r="AD491" s="5" t="inlineStr">
        <is>
          <t>Not independently checked</t>
        </is>
      </c>
      <c r="AE491" s="5" t="inlineStr">
        <is>
          <t>Not verified</t>
        </is>
      </c>
      <c r="AF491" s="5" t="inlineStr">
        <is>
          <t>Not verified</t>
        </is>
      </c>
      <c r="AG491" s="5" t="inlineStr">
        <is>
          <t>Not verified</t>
        </is>
      </c>
      <c r="AH491" s="5" t="inlineStr">
        <is>
          <t>Not verified</t>
        </is>
      </c>
      <c r="AI491" s="8" t="inlineStr">
        <is>
          <t>No</t>
        </is>
      </c>
      <c r="AJ491" s="8" t="inlineStr">
        <is>
          <t>Claimed - unverified</t>
        </is>
      </c>
      <c r="AK491" s="8" t="inlineStr">
        <is>
          <t>P1</t>
        </is>
      </c>
      <c r="AL491" s="8" t="n">
        <v>6</v>
      </c>
      <c r="AM491" s="5" t="inlineStr"/>
      <c r="AN491" s="5" t="inlineStr"/>
      <c r="AO491" s="5" t="inlineStr"/>
      <c r="AP491" s="5" t="inlineStr"/>
      <c r="AQ491" s="5" t="inlineStr"/>
      <c r="AR491" s="5" t="inlineStr"/>
      <c r="AS491" s="5" t="inlineStr"/>
      <c r="AT491" s="5" t="inlineStr"/>
      <c r="AU491" s="8" t="inlineStr">
        <is>
          <t>Not run</t>
        </is>
      </c>
    </row>
    <row r="492" ht="32" customHeight="1">
      <c r="A492" s="16" t="inlineStr">
        <is>
          <t>X-0491</t>
        </is>
      </c>
      <c r="B492" s="8" t="inlineStr">
        <is>
          <t>X</t>
        </is>
      </c>
      <c r="C492" s="5" t="inlineStr">
        <is>
          <t>Multiple / Cross-persona</t>
        </is>
      </c>
      <c r="D492" s="5" t="inlineStr">
        <is>
          <t>Import / Export / Period Close</t>
        </is>
      </c>
      <c r="E492" s="5" t="inlineStr">
        <is>
          <t>Accountant reconciles purchases</t>
        </is>
      </c>
      <c r="F492" s="5" t="inlineStr">
        <is>
          <t>In-house Accountant</t>
        </is>
      </c>
      <c r="G492" s="5" t="inlineStr">
        <is>
          <t>Purchase Manager</t>
        </is>
      </c>
      <c r="H492" s="5" t="inlineStr">
        <is>
          <t>Verify that all supplier bills match inventory receipts and Accounts Payable ledger postings</t>
        </is>
      </c>
      <c r="I492" s="5" t="inlineStr">
        <is>
          <t>Cross-checks purchase bill totals against Inventory Asset / Expense accounts in GL</t>
        </is>
      </c>
      <c r="J492" s="20" t="inlineStr">
        <is>
          <t>P1</t>
        </is>
      </c>
      <c r="K492" s="20" t="inlineStr">
        <is>
          <t>Validated (Supported)</t>
        </is>
      </c>
      <c r="L492" s="5" t="inlineStr">
        <is>
          <t>Supported via Purchase Reconciliation Report (/accounting/reconcile-purchases/).</t>
        </is>
      </c>
      <c r="M492" s="8" t="inlineStr">
        <is>
          <t>Baseline</t>
        </is>
      </c>
      <c r="N492" s="8" t="inlineStr">
        <is>
          <t>Cross-persona</t>
        </is>
      </c>
      <c r="O492" s="8" t="inlineStr">
        <is>
          <t>P1</t>
        </is>
      </c>
      <c r="P492" s="5" t="inlineStr">
        <is>
          <t>Unchanged</t>
        </is>
      </c>
      <c r="Q492" s="20" t="inlineStr">
        <is>
          <t>Author assertion</t>
        </is>
      </c>
      <c r="R492" s="5" t="inlineStr"/>
      <c r="S492" s="8" t="inlineStr">
        <is>
          <t>CLOSE</t>
        </is>
      </c>
      <c r="T492" s="5" t="inlineStr">
        <is>
          <t>Import, export, and period close</t>
        </is>
      </c>
      <c r="U492" s="8" t="inlineStr"/>
      <c r="V492" s="8" t="inlineStr">
        <is>
          <t>accounting</t>
        </is>
      </c>
      <c r="W492" s="8" t="inlineStr">
        <is>
          <t>CONTROL</t>
        </is>
      </c>
      <c r="X492" s="5" t="inlineStr">
        <is>
          <t>Core</t>
        </is>
      </c>
      <c r="Y492" s="5" t="inlineStr">
        <is>
          <t>Cross-persona</t>
        </is>
      </c>
      <c r="Z492" s="5" t="inlineStr">
        <is>
          <t>Medium</t>
        </is>
      </c>
      <c r="AA492" s="5" t="inlineStr">
        <is>
          <t>Medium</t>
        </is>
      </c>
      <c r="AB492" s="8" t="inlineStr">
        <is>
          <t>Low</t>
        </is>
      </c>
      <c r="AC492" s="8" t="inlineStr">
        <is>
          <t>Pilot</t>
        </is>
      </c>
      <c r="AD492" s="5" t="inlineStr">
        <is>
          <t>Not independently checked</t>
        </is>
      </c>
      <c r="AE492" s="5" t="inlineStr">
        <is>
          <t>Not verified</t>
        </is>
      </c>
      <c r="AF492" s="5" t="inlineStr">
        <is>
          <t>Not verified</t>
        </is>
      </c>
      <c r="AG492" s="5" t="inlineStr">
        <is>
          <t>Not verified</t>
        </is>
      </c>
      <c r="AH492" s="5" t="inlineStr">
        <is>
          <t>Not verified</t>
        </is>
      </c>
      <c r="AI492" s="8" t="inlineStr">
        <is>
          <t>No</t>
        </is>
      </c>
      <c r="AJ492" s="8" t="inlineStr">
        <is>
          <t>Claimed - unverified</t>
        </is>
      </c>
      <c r="AK492" s="8" t="inlineStr">
        <is>
          <t>P1</t>
        </is>
      </c>
      <c r="AL492" s="8" t="n">
        <v>6</v>
      </c>
      <c r="AM492" s="5" t="inlineStr"/>
      <c r="AN492" s="5" t="inlineStr"/>
      <c r="AO492" s="5" t="inlineStr"/>
      <c r="AP492" s="5" t="inlineStr"/>
      <c r="AQ492" s="5" t="inlineStr"/>
      <c r="AR492" s="5" t="inlineStr"/>
      <c r="AS492" s="5" t="inlineStr"/>
      <c r="AT492" s="5" t="inlineStr"/>
      <c r="AU492" s="8" t="inlineStr">
        <is>
          <t>Not run</t>
        </is>
      </c>
    </row>
    <row r="493" ht="32" customHeight="1">
      <c r="A493" s="16" t="inlineStr">
        <is>
          <t>X-0492</t>
        </is>
      </c>
      <c r="B493" s="8" t="inlineStr">
        <is>
          <t>X</t>
        </is>
      </c>
      <c r="C493" s="5" t="inlineStr">
        <is>
          <t>Multiple / Cross-persona</t>
        </is>
      </c>
      <c r="D493" s="5" t="inlineStr">
        <is>
          <t>Import / Export / Period Close</t>
        </is>
      </c>
      <c r="E493" s="5" t="inlineStr">
        <is>
          <t>Accountant reconciles payments</t>
        </is>
      </c>
      <c r="F493" s="5" t="inlineStr">
        <is>
          <t>In-house Accountant</t>
        </is>
      </c>
      <c r="G493" s="5" t="inlineStr">
        <is>
          <t>Cashier</t>
        </is>
      </c>
      <c r="H493" s="5" t="inlineStr">
        <is>
          <t>Ensure all cash, UPI, and bank collections reconcile with bank statements and till balances</t>
        </is>
      </c>
      <c r="I493" s="5" t="inlineStr">
        <is>
          <t>Performs daily payment reconciliation; verifies clearing accounts balance to zero</t>
        </is>
      </c>
      <c r="J493" s="20" t="inlineStr">
        <is>
          <t>P1</t>
        </is>
      </c>
      <c r="K493" s="20" t="inlineStr">
        <is>
          <t>Validated (Supported)</t>
        </is>
      </c>
      <c r="L493" s="5" t="inlineStr">
        <is>
          <t>Supported via Payment Clearing Reconciliation dashboard.</t>
        </is>
      </c>
      <c r="M493" s="8" t="inlineStr">
        <is>
          <t>Baseline</t>
        </is>
      </c>
      <c r="N493" s="8" t="inlineStr">
        <is>
          <t>Cross-persona</t>
        </is>
      </c>
      <c r="O493" s="8" t="inlineStr">
        <is>
          <t>P1</t>
        </is>
      </c>
      <c r="P493" s="5" t="inlineStr">
        <is>
          <t>Unchanged</t>
        </is>
      </c>
      <c r="Q493" s="20" t="inlineStr">
        <is>
          <t>Author assertion</t>
        </is>
      </c>
      <c r="R493" s="5" t="inlineStr"/>
      <c r="S493" s="8" t="inlineStr">
        <is>
          <t>CLOSE</t>
        </is>
      </c>
      <c r="T493" s="5" t="inlineStr">
        <is>
          <t>Import, export, and period close</t>
        </is>
      </c>
      <c r="U493" s="8" t="inlineStr"/>
      <c r="V493" s="8" t="inlineStr">
        <is>
          <t>accounting</t>
        </is>
      </c>
      <c r="W493" s="8" t="inlineStr">
        <is>
          <t>CONTROL</t>
        </is>
      </c>
      <c r="X493" s="5" t="inlineStr">
        <is>
          <t>Core</t>
        </is>
      </c>
      <c r="Y493" s="5" t="inlineStr">
        <is>
          <t>Cross-persona</t>
        </is>
      </c>
      <c r="Z493" s="5" t="inlineStr">
        <is>
          <t>Medium</t>
        </is>
      </c>
      <c r="AA493" s="5" t="inlineStr">
        <is>
          <t>Medium</t>
        </is>
      </c>
      <c r="AB493" s="8" t="inlineStr">
        <is>
          <t>Low</t>
        </is>
      </c>
      <c r="AC493" s="8" t="inlineStr">
        <is>
          <t>Pilot</t>
        </is>
      </c>
      <c r="AD493" s="5" t="inlineStr">
        <is>
          <t>Not independently checked</t>
        </is>
      </c>
      <c r="AE493" s="5" t="inlineStr">
        <is>
          <t>Not verified</t>
        </is>
      </c>
      <c r="AF493" s="5" t="inlineStr">
        <is>
          <t>Not verified</t>
        </is>
      </c>
      <c r="AG493" s="5" t="inlineStr">
        <is>
          <t>Not verified</t>
        </is>
      </c>
      <c r="AH493" s="5" t="inlineStr">
        <is>
          <t>Not verified</t>
        </is>
      </c>
      <c r="AI493" s="8" t="inlineStr">
        <is>
          <t>No</t>
        </is>
      </c>
      <c r="AJ493" s="8" t="inlineStr">
        <is>
          <t>Claimed - unverified</t>
        </is>
      </c>
      <c r="AK493" s="8" t="inlineStr">
        <is>
          <t>P1</t>
        </is>
      </c>
      <c r="AL493" s="8" t="n">
        <v>6</v>
      </c>
      <c r="AM493" s="5" t="inlineStr"/>
      <c r="AN493" s="5" t="inlineStr"/>
      <c r="AO493" s="5" t="inlineStr"/>
      <c r="AP493" s="5" t="inlineStr"/>
      <c r="AQ493" s="5" t="inlineStr"/>
      <c r="AR493" s="5" t="inlineStr"/>
      <c r="AS493" s="5" t="inlineStr"/>
      <c r="AT493" s="5" t="inlineStr"/>
      <c r="AU493" s="8" t="inlineStr">
        <is>
          <t>Not run</t>
        </is>
      </c>
    </row>
    <row r="494" ht="32" customHeight="1">
      <c r="A494" s="16" t="inlineStr">
        <is>
          <t>X-0493</t>
        </is>
      </c>
      <c r="B494" s="8" t="inlineStr">
        <is>
          <t>X</t>
        </is>
      </c>
      <c r="C494" s="5" t="inlineStr">
        <is>
          <t>Multiple / Cross-persona</t>
        </is>
      </c>
      <c r="D494" s="5" t="inlineStr">
        <is>
          <t>Import / Export / Period Close</t>
        </is>
      </c>
      <c r="E494" s="5" t="inlineStr">
        <is>
          <t>Period closing prevents unauthorized historical modification</t>
        </is>
      </c>
      <c r="F494" s="5" t="inlineStr">
        <is>
          <t>In-house Accountant / Admin</t>
        </is>
      </c>
      <c r="G494" s="5" t="inlineStr">
        <is>
          <t>Auditor</t>
        </is>
      </c>
      <c r="H494" s="5" t="inlineStr">
        <is>
          <t>Locking financial accounting period prevents back-dated edits, deletions, or new vouchers</t>
        </is>
      </c>
      <c r="I494" s="5" t="inlineStr">
        <is>
          <t>Sets AccountingPeriod.is_closed=True; API blocks any transaction creation with date in closed period</t>
        </is>
      </c>
      <c r="J494" s="20" t="inlineStr">
        <is>
          <t>P1</t>
        </is>
      </c>
      <c r="K494" s="20" t="inlineStr">
        <is>
          <t>Validated (Supported)</t>
        </is>
      </c>
      <c r="L494" s="5" t="inlineStr">
        <is>
          <t>Core compliance invariant: closed accounting periods strictly reject new or amended vouchers.</t>
        </is>
      </c>
      <c r="M494" s="8" t="inlineStr">
        <is>
          <t>Baseline</t>
        </is>
      </c>
      <c r="N494" s="8" t="inlineStr">
        <is>
          <t>Cross-persona</t>
        </is>
      </c>
      <c r="O494" s="8" t="inlineStr">
        <is>
          <t>P1</t>
        </is>
      </c>
      <c r="P494" s="5" t="inlineStr">
        <is>
          <t>Unchanged</t>
        </is>
      </c>
      <c r="Q494" s="20" t="inlineStr">
        <is>
          <t>Author assertion</t>
        </is>
      </c>
      <c r="R494" s="5" t="inlineStr"/>
      <c r="S494" s="8" t="inlineStr">
        <is>
          <t>CLOSE</t>
        </is>
      </c>
      <c r="T494" s="5" t="inlineStr">
        <is>
          <t>Import, export, and period close</t>
        </is>
      </c>
      <c r="U494" s="8" t="inlineStr"/>
      <c r="V494" s="8" t="inlineStr">
        <is>
          <t>accounting</t>
        </is>
      </c>
      <c r="W494" s="8" t="inlineStr">
        <is>
          <t>CONTROL</t>
        </is>
      </c>
      <c r="X494" s="5" t="inlineStr">
        <is>
          <t>Core</t>
        </is>
      </c>
      <c r="Y494" s="5" t="inlineStr">
        <is>
          <t>Cross-persona</t>
        </is>
      </c>
      <c r="Z494" s="5" t="inlineStr">
        <is>
          <t>Medium</t>
        </is>
      </c>
      <c r="AA494" s="5" t="inlineStr">
        <is>
          <t>Medium</t>
        </is>
      </c>
      <c r="AB494" s="8" t="inlineStr">
        <is>
          <t>Low</t>
        </is>
      </c>
      <c r="AC494" s="8" t="inlineStr">
        <is>
          <t>Pilot</t>
        </is>
      </c>
      <c r="AD494" s="5" t="inlineStr">
        <is>
          <t>Not independently checked</t>
        </is>
      </c>
      <c r="AE494" s="5" t="inlineStr">
        <is>
          <t>Not verified</t>
        </is>
      </c>
      <c r="AF494" s="5" t="inlineStr">
        <is>
          <t>Not verified</t>
        </is>
      </c>
      <c r="AG494" s="5" t="inlineStr">
        <is>
          <t>Not verified</t>
        </is>
      </c>
      <c r="AH494" s="5" t="inlineStr">
        <is>
          <t>Not verified</t>
        </is>
      </c>
      <c r="AI494" s="8" t="inlineStr">
        <is>
          <t>No</t>
        </is>
      </c>
      <c r="AJ494" s="8" t="inlineStr">
        <is>
          <t>Claimed - unverified</t>
        </is>
      </c>
      <c r="AK494" s="8" t="inlineStr">
        <is>
          <t>P1</t>
        </is>
      </c>
      <c r="AL494" s="8" t="n">
        <v>6</v>
      </c>
      <c r="AM494" s="5" t="inlineStr"/>
      <c r="AN494" s="5" t="inlineStr"/>
      <c r="AO494" s="5" t="inlineStr"/>
      <c r="AP494" s="5" t="inlineStr"/>
      <c r="AQ494" s="5" t="inlineStr"/>
      <c r="AR494" s="5" t="inlineStr"/>
      <c r="AS494" s="5" t="inlineStr"/>
      <c r="AT494" s="5" t="inlineStr"/>
      <c r="AU494" s="8" t="inlineStr">
        <is>
          <t>Not run</t>
        </is>
      </c>
    </row>
    <row r="495" ht="32" customHeight="1">
      <c r="A495" s="16" t="inlineStr">
        <is>
          <t>X-0494</t>
        </is>
      </c>
      <c r="B495" s="8" t="inlineStr">
        <is>
          <t>X</t>
        </is>
      </c>
      <c r="C495" s="5" t="inlineStr">
        <is>
          <t>Multiple / Cross-persona</t>
        </is>
      </c>
      <c r="D495" s="5" t="inlineStr">
        <is>
          <t>Import / Export / Period Close</t>
        </is>
      </c>
      <c r="E495" s="5" t="inlineStr">
        <is>
          <t>Period reports remain reproducible</t>
        </is>
      </c>
      <c r="F495" s="5" t="inlineStr">
        <is>
          <t>In-house Accountant</t>
        </is>
      </c>
      <c r="G495" s="5" t="inlineStr">
        <is>
          <t>Statutory Auditor</t>
        </is>
      </c>
      <c r="H495" s="5" t="inlineStr">
        <is>
          <t>Financial statements for closed periods produce identical numbers upon future re-generation</t>
        </is>
      </c>
      <c r="I495" s="5" t="inlineStr">
        <is>
          <t>Guarantees that historical P&amp;L, Balance Sheet, and GST returns remain 100% reproducible</t>
        </is>
      </c>
      <c r="J495" s="20" t="inlineStr">
        <is>
          <t>P1</t>
        </is>
      </c>
      <c r="K495" s="20" t="inlineStr">
        <is>
          <t>Validated (Supported)</t>
        </is>
      </c>
      <c r="L495" s="5" t="inlineStr">
        <is>
          <t>Core accounting invariant: locked historical periods guarantee reproducible financial statements.</t>
        </is>
      </c>
      <c r="M495" s="8" t="inlineStr">
        <is>
          <t>Baseline</t>
        </is>
      </c>
      <c r="N495" s="8" t="inlineStr">
        <is>
          <t>Cross-persona</t>
        </is>
      </c>
      <c r="O495" s="8" t="inlineStr">
        <is>
          <t>P1</t>
        </is>
      </c>
      <c r="P495" s="5" t="inlineStr">
        <is>
          <t>Unchanged</t>
        </is>
      </c>
      <c r="Q495" s="20" t="inlineStr">
        <is>
          <t>Author assertion</t>
        </is>
      </c>
      <c r="R495" s="5" t="inlineStr"/>
      <c r="S495" s="8" t="inlineStr">
        <is>
          <t>CLOSE</t>
        </is>
      </c>
      <c r="T495" s="5" t="inlineStr">
        <is>
          <t>Import, export, and period close</t>
        </is>
      </c>
      <c r="U495" s="8" t="inlineStr"/>
      <c r="V495" s="8" t="inlineStr">
        <is>
          <t>accounting</t>
        </is>
      </c>
      <c r="W495" s="8" t="inlineStr">
        <is>
          <t>CONTROL</t>
        </is>
      </c>
      <c r="X495" s="5" t="inlineStr">
        <is>
          <t>Core</t>
        </is>
      </c>
      <c r="Y495" s="5" t="inlineStr">
        <is>
          <t>Cross-persona</t>
        </is>
      </c>
      <c r="Z495" s="5" t="inlineStr">
        <is>
          <t>Medium</t>
        </is>
      </c>
      <c r="AA495" s="5" t="inlineStr">
        <is>
          <t>Medium</t>
        </is>
      </c>
      <c r="AB495" s="8" t="inlineStr">
        <is>
          <t>Low</t>
        </is>
      </c>
      <c r="AC495" s="8" t="inlineStr">
        <is>
          <t>Pilot</t>
        </is>
      </c>
      <c r="AD495" s="5" t="inlineStr">
        <is>
          <t>Not independently checked</t>
        </is>
      </c>
      <c r="AE495" s="5" t="inlineStr">
        <is>
          <t>Not verified</t>
        </is>
      </c>
      <c r="AF495" s="5" t="inlineStr">
        <is>
          <t>Not verified</t>
        </is>
      </c>
      <c r="AG495" s="5" t="inlineStr">
        <is>
          <t>Not verified</t>
        </is>
      </c>
      <c r="AH495" s="5" t="inlineStr">
        <is>
          <t>Not verified</t>
        </is>
      </c>
      <c r="AI495" s="8" t="inlineStr">
        <is>
          <t>No</t>
        </is>
      </c>
      <c r="AJ495" s="8" t="inlineStr">
        <is>
          <t>Claimed - unverified</t>
        </is>
      </c>
      <c r="AK495" s="8" t="inlineStr">
        <is>
          <t>P1</t>
        </is>
      </c>
      <c r="AL495" s="8" t="n">
        <v>6</v>
      </c>
      <c r="AM495" s="5" t="inlineStr"/>
      <c r="AN495" s="5" t="inlineStr"/>
      <c r="AO495" s="5" t="inlineStr"/>
      <c r="AP495" s="5" t="inlineStr"/>
      <c r="AQ495" s="5" t="inlineStr"/>
      <c r="AR495" s="5" t="inlineStr"/>
      <c r="AS495" s="5" t="inlineStr"/>
      <c r="AT495" s="5" t="inlineStr"/>
      <c r="AU495" s="8" t="inlineStr">
        <is>
          <t>Not run</t>
        </is>
      </c>
    </row>
    <row r="496" ht="32" customHeight="1">
      <c r="A496" s="16" t="inlineStr">
        <is>
          <t>P-0495</t>
        </is>
      </c>
      <c r="B496" s="8" t="inlineStr">
        <is>
          <t>P</t>
        </is>
      </c>
      <c r="C496" s="5" t="inlineStr">
        <is>
          <t>Delivery Driver / Route Logistics</t>
        </is>
      </c>
      <c r="D496" s="5" t="inlineStr">
        <is>
          <t>Operations, Fleet &amp; Delivery</t>
        </is>
      </c>
      <c r="E496" s="5" t="inlineStr">
        <is>
          <t>Receive daily dispatch manifest and loaded vehicle stock</t>
        </is>
      </c>
      <c r="F496" s="5" t="inlineStr">
        <is>
          <t>Delivery Driver</t>
        </is>
      </c>
      <c r="G496" s="5" t="inlineStr">
        <is>
          <t>Logistics Dispatcher</t>
        </is>
      </c>
      <c r="H496" s="5" t="inlineStr">
        <is>
          <t>Driver accepts assigned delivery route manifest and verifies physical vehicle parcel count</t>
        </is>
      </c>
      <c r="I496" s="5" t="inlineStr">
        <is>
          <t>Updates DispatchRun status to OUT_FOR_DELIVERY; transfers custody of goods to driver</t>
        </is>
      </c>
      <c r="J496" s="20" t="inlineStr">
        <is>
          <t>P1</t>
        </is>
      </c>
      <c r="K496" s="20" t="inlineStr">
        <is>
          <t>Validated (Supported)</t>
        </is>
      </c>
      <c r="L496" s="5" t="inlineStr">
        <is>
          <t>Supported via Driver Mobile PWA (/operations/driver/); displays sequential stop manifest.</t>
        </is>
      </c>
      <c r="M496" s="8" t="inlineStr">
        <is>
          <t>Baseline</t>
        </is>
      </c>
      <c r="N496" s="8" t="inlineStr">
        <is>
          <t>Operational role</t>
        </is>
      </c>
      <c r="O496" s="8" t="inlineStr">
        <is>
          <t>P1</t>
        </is>
      </c>
      <c r="P496" s="5" t="inlineStr">
        <is>
          <t>Unchanged</t>
        </is>
      </c>
      <c r="Q496" s="20" t="inlineStr">
        <is>
          <t>Author assertion</t>
        </is>
      </c>
      <c r="R496" s="5" t="inlineStr"/>
      <c r="S496" s="8" t="inlineStr">
        <is>
          <t>FLEET</t>
        </is>
      </c>
      <c r="T496" s="5" t="inlineStr">
        <is>
          <t>Fleet and delivery</t>
        </is>
      </c>
      <c r="U496" s="8" t="inlineStr"/>
      <c r="V496" s="8" t="inlineStr">
        <is>
          <t>sales</t>
        </is>
      </c>
      <c r="W496" s="8" t="inlineStr">
        <is>
          <t>RUN</t>
        </is>
      </c>
      <c r="X496" s="5" t="inlineStr">
        <is>
          <t>Core</t>
        </is>
      </c>
      <c r="Y496" s="5" t="inlineStr">
        <is>
          <t>Driver</t>
        </is>
      </c>
      <c r="Z496" s="5" t="inlineStr">
        <is>
          <t>Medium</t>
        </is>
      </c>
      <c r="AA496" s="5" t="inlineStr">
        <is>
          <t>Medium</t>
        </is>
      </c>
      <c r="AB496" s="8" t="inlineStr">
        <is>
          <t>Low</t>
        </is>
      </c>
      <c r="AC496" s="8" t="inlineStr">
        <is>
          <t>Pilot</t>
        </is>
      </c>
      <c r="AD496" s="5" t="inlineStr">
        <is>
          <t>Not independently checked</t>
        </is>
      </c>
      <c r="AE496" s="5" t="inlineStr">
        <is>
          <t>Not verified</t>
        </is>
      </c>
      <c r="AF496" s="5" t="inlineStr">
        <is>
          <t>Not verified</t>
        </is>
      </c>
      <c r="AG496" s="5" t="inlineStr">
        <is>
          <t>Not verified</t>
        </is>
      </c>
      <c r="AH496" s="5" t="inlineStr">
        <is>
          <t>Not verified</t>
        </is>
      </c>
      <c r="AI496" s="8" t="inlineStr">
        <is>
          <t>No</t>
        </is>
      </c>
      <c r="AJ496" s="8" t="inlineStr">
        <is>
          <t>Claimed - unverified</t>
        </is>
      </c>
      <c r="AK496" s="8" t="inlineStr">
        <is>
          <t>P1</t>
        </is>
      </c>
      <c r="AL496" s="8" t="n">
        <v>6</v>
      </c>
      <c r="AM496" s="5" t="inlineStr"/>
      <c r="AN496" s="5" t="inlineStr"/>
      <c r="AO496" s="5" t="inlineStr"/>
      <c r="AP496" s="5" t="inlineStr"/>
      <c r="AQ496" s="5" t="inlineStr"/>
      <c r="AR496" s="5" t="inlineStr"/>
      <c r="AS496" s="5" t="inlineStr"/>
      <c r="AT496" s="5" t="inlineStr"/>
      <c r="AU496" s="8" t="inlineStr">
        <is>
          <t>Not run</t>
        </is>
      </c>
    </row>
    <row r="497" ht="32" customHeight="1">
      <c r="A497" s="16" t="inlineStr">
        <is>
          <t>P-0496</t>
        </is>
      </c>
      <c r="B497" s="8" t="inlineStr">
        <is>
          <t>P</t>
        </is>
      </c>
      <c r="C497" s="5" t="inlineStr">
        <is>
          <t>Delivery Driver / Route Logistics</t>
        </is>
      </c>
      <c r="D497" s="5" t="inlineStr">
        <is>
          <t>Operations, Fleet &amp; Delivery</t>
        </is>
      </c>
      <c r="E497" s="5" t="inlineStr">
        <is>
          <t>Navigate multi-drop route using mobile PWA</t>
        </is>
      </c>
      <c r="F497" s="5" t="inlineStr">
        <is>
          <t>Delivery Driver</t>
        </is>
      </c>
      <c r="G497" s="5" t="inlineStr">
        <is>
          <t>None</t>
        </is>
      </c>
      <c r="H497" s="5" t="inlineStr">
        <is>
          <t>Driver navigates sequential retail drops using turn-by-turn map integration</t>
        </is>
      </c>
      <c r="I497" s="5" t="inlineStr">
        <is>
          <t>Tracks live vehicle delivery progress and timestamps arrival at each customer premise</t>
        </is>
      </c>
      <c r="J497" s="22" t="inlineStr">
        <is>
          <t>P2</t>
        </is>
      </c>
      <c r="K497" s="20" t="inlineStr">
        <is>
          <t>Validated (Supported)</t>
        </is>
      </c>
      <c r="L497" s="5" t="inlineStr">
        <is>
          <t>Supported in Driver PWA with Google Maps / OSM routing link per stop.</t>
        </is>
      </c>
      <c r="M497" s="8" t="inlineStr">
        <is>
          <t>Baseline</t>
        </is>
      </c>
      <c r="N497" s="8" t="inlineStr">
        <is>
          <t>Operational role</t>
        </is>
      </c>
      <c r="O497" s="8" t="inlineStr">
        <is>
          <t>P2</t>
        </is>
      </c>
      <c r="P497" s="5" t="inlineStr">
        <is>
          <t>Unchanged</t>
        </is>
      </c>
      <c r="Q497" s="20" t="inlineStr">
        <is>
          <t>Author assertion</t>
        </is>
      </c>
      <c r="R497" s="5" t="inlineStr"/>
      <c r="S497" s="8" t="inlineStr">
        <is>
          <t>FLEET</t>
        </is>
      </c>
      <c r="T497" s="5" t="inlineStr">
        <is>
          <t>Fleet and delivery</t>
        </is>
      </c>
      <c r="U497" s="8" t="inlineStr"/>
      <c r="V497" s="8" t="inlineStr">
        <is>
          <t>sales</t>
        </is>
      </c>
      <c r="W497" s="8" t="inlineStr">
        <is>
          <t>RUN</t>
        </is>
      </c>
      <c r="X497" s="5" t="inlineStr">
        <is>
          <t>Core</t>
        </is>
      </c>
      <c r="Y497" s="5" t="inlineStr">
        <is>
          <t>Driver</t>
        </is>
      </c>
      <c r="Z497" s="5" t="inlineStr">
        <is>
          <t>Medium</t>
        </is>
      </c>
      <c r="AA497" s="5" t="inlineStr">
        <is>
          <t>Medium</t>
        </is>
      </c>
      <c r="AB497" s="8" t="inlineStr">
        <is>
          <t>Low</t>
        </is>
      </c>
      <c r="AC497" s="8" t="inlineStr">
        <is>
          <t>Later</t>
        </is>
      </c>
      <c r="AD497" s="5" t="inlineStr">
        <is>
          <t>Not independently checked</t>
        </is>
      </c>
      <c r="AE497" s="5" t="inlineStr">
        <is>
          <t>Not verified</t>
        </is>
      </c>
      <c r="AF497" s="5" t="inlineStr">
        <is>
          <t>Not verified</t>
        </is>
      </c>
      <c r="AG497" s="5" t="inlineStr">
        <is>
          <t>Not verified</t>
        </is>
      </c>
      <c r="AH497" s="5" t="inlineStr">
        <is>
          <t>Not verified</t>
        </is>
      </c>
      <c r="AI497" s="8" t="inlineStr">
        <is>
          <t>No</t>
        </is>
      </c>
      <c r="AJ497" s="8" t="inlineStr">
        <is>
          <t>Claimed - unverified</t>
        </is>
      </c>
      <c r="AK497" s="8" t="inlineStr">
        <is>
          <t>P2</t>
        </is>
      </c>
      <c r="AL497" s="8" t="n">
        <v>6</v>
      </c>
      <c r="AM497" s="5" t="inlineStr"/>
      <c r="AN497" s="5" t="inlineStr"/>
      <c r="AO497" s="5" t="inlineStr"/>
      <c r="AP497" s="5" t="inlineStr"/>
      <c r="AQ497" s="5" t="inlineStr"/>
      <c r="AR497" s="5" t="inlineStr"/>
      <c r="AS497" s="5" t="inlineStr"/>
      <c r="AT497" s="5" t="inlineStr"/>
      <c r="AU497" s="8" t="inlineStr">
        <is>
          <t>Not run</t>
        </is>
      </c>
    </row>
    <row r="498" ht="32" customHeight="1">
      <c r="A498" s="16" t="inlineStr">
        <is>
          <t>P-0497</t>
        </is>
      </c>
      <c r="B498" s="8" t="inlineStr">
        <is>
          <t>P</t>
        </is>
      </c>
      <c r="C498" s="5" t="inlineStr">
        <is>
          <t>Delivery Driver / Route Logistics</t>
        </is>
      </c>
      <c r="D498" s="5" t="inlineStr">
        <is>
          <t>Operations, Fleet &amp; Delivery</t>
        </is>
      </c>
      <c r="E498" s="5" t="inlineStr">
        <is>
          <t>Hand over goods and verify carton/box count with retailer</t>
        </is>
      </c>
      <c r="F498" s="5" t="inlineStr">
        <is>
          <t>Delivery Driver</t>
        </is>
      </c>
      <c r="G498" s="5" t="inlineStr">
        <is>
          <t>Retail Merchant</t>
        </is>
      </c>
      <c r="H498" s="5" t="inlineStr">
        <is>
          <t>Physical verification of delivered parcels against Delivery Challan at customer shop</t>
        </is>
      </c>
      <c r="I498" s="5" t="inlineStr">
        <is>
          <t>Verifies parcel count and package integrity before obtaining receipt signature</t>
        </is>
      </c>
      <c r="J498" s="20" t="inlineStr">
        <is>
          <t>P1</t>
        </is>
      </c>
      <c r="K498" s="20" t="inlineStr">
        <is>
          <t>Validated (Supported)</t>
        </is>
      </c>
      <c r="L498" s="5" t="inlineStr">
        <is>
          <t>Supported via stop-level parcel verification checklist on mobile screen.</t>
        </is>
      </c>
      <c r="M498" s="8" t="inlineStr">
        <is>
          <t>Baseline</t>
        </is>
      </c>
      <c r="N498" s="8" t="inlineStr">
        <is>
          <t>Operational role</t>
        </is>
      </c>
      <c r="O498" s="8" t="inlineStr">
        <is>
          <t>P1</t>
        </is>
      </c>
      <c r="P498" s="5" t="inlineStr">
        <is>
          <t>Unchanged</t>
        </is>
      </c>
      <c r="Q498" s="20" t="inlineStr">
        <is>
          <t>Author assertion</t>
        </is>
      </c>
      <c r="R498" s="5" t="inlineStr"/>
      <c r="S498" s="8" t="inlineStr">
        <is>
          <t>FLEET</t>
        </is>
      </c>
      <c r="T498" s="5" t="inlineStr">
        <is>
          <t>Fleet and delivery</t>
        </is>
      </c>
      <c r="U498" s="8" t="inlineStr"/>
      <c r="V498" s="8" t="inlineStr">
        <is>
          <t>sales</t>
        </is>
      </c>
      <c r="W498" s="8" t="inlineStr">
        <is>
          <t>RUN</t>
        </is>
      </c>
      <c r="X498" s="5" t="inlineStr">
        <is>
          <t>Core</t>
        </is>
      </c>
      <c r="Y498" s="5" t="inlineStr">
        <is>
          <t>Driver</t>
        </is>
      </c>
      <c r="Z498" s="5" t="inlineStr">
        <is>
          <t>Medium</t>
        </is>
      </c>
      <c r="AA498" s="5" t="inlineStr">
        <is>
          <t>Medium</t>
        </is>
      </c>
      <c r="AB498" s="8" t="inlineStr">
        <is>
          <t>Low</t>
        </is>
      </c>
      <c r="AC498" s="8" t="inlineStr">
        <is>
          <t>Pilot</t>
        </is>
      </c>
      <c r="AD498" s="5" t="inlineStr">
        <is>
          <t>Not independently checked</t>
        </is>
      </c>
      <c r="AE498" s="5" t="inlineStr">
        <is>
          <t>Not verified</t>
        </is>
      </c>
      <c r="AF498" s="5" t="inlineStr">
        <is>
          <t>Not verified</t>
        </is>
      </c>
      <c r="AG498" s="5" t="inlineStr">
        <is>
          <t>Not verified</t>
        </is>
      </c>
      <c r="AH498" s="5" t="inlineStr">
        <is>
          <t>Not verified</t>
        </is>
      </c>
      <c r="AI498" s="8" t="inlineStr">
        <is>
          <t>No</t>
        </is>
      </c>
      <c r="AJ498" s="8" t="inlineStr">
        <is>
          <t>Claimed - unverified</t>
        </is>
      </c>
      <c r="AK498" s="8" t="inlineStr">
        <is>
          <t>P1</t>
        </is>
      </c>
      <c r="AL498" s="8" t="n">
        <v>6</v>
      </c>
      <c r="AM498" s="5" t="inlineStr"/>
      <c r="AN498" s="5" t="inlineStr"/>
      <c r="AO498" s="5" t="inlineStr"/>
      <c r="AP498" s="5" t="inlineStr"/>
      <c r="AQ498" s="5" t="inlineStr"/>
      <c r="AR498" s="5" t="inlineStr"/>
      <c r="AS498" s="5" t="inlineStr"/>
      <c r="AT498" s="5" t="inlineStr"/>
      <c r="AU498" s="8" t="inlineStr">
        <is>
          <t>Not run</t>
        </is>
      </c>
    </row>
    <row r="499" ht="32" customHeight="1">
      <c r="A499" s="16" t="inlineStr">
        <is>
          <t>P-0498</t>
        </is>
      </c>
      <c r="B499" s="8" t="inlineStr">
        <is>
          <t>P</t>
        </is>
      </c>
      <c r="C499" s="5" t="inlineStr">
        <is>
          <t>Delivery Driver / Route Logistics</t>
        </is>
      </c>
      <c r="D499" s="5" t="inlineStr">
        <is>
          <t>Operations, Fleet &amp; Delivery</t>
        </is>
      </c>
      <c r="E499" s="5" t="inlineStr">
        <is>
          <t>Capture Proof of Delivery (POD) via customer digital signature or OTP</t>
        </is>
      </c>
      <c r="F499" s="5" t="inlineStr">
        <is>
          <t>Delivery Driver</t>
        </is>
      </c>
      <c r="G499" s="5" t="inlineStr">
        <is>
          <t>Retail Merchant</t>
        </is>
      </c>
      <c r="H499" s="5" t="inlineStr">
        <is>
          <t>Legally indisputable proof of physical delivery captured on mobile screen</t>
        </is>
      </c>
      <c r="I499" s="5" t="inlineStr">
        <is>
          <t>Uploads digital signature image or validates 4-digit customer SMS OTP; marks stop DELIVERED</t>
        </is>
      </c>
      <c r="J499" s="20" t="inlineStr">
        <is>
          <t>P1</t>
        </is>
      </c>
      <c r="K499" s="20" t="inlineStr">
        <is>
          <t>Validated (Supported)</t>
        </is>
      </c>
      <c r="L499" s="5" t="inlineStr">
        <is>
          <t>Supported via HTML5 signature canvas or customer delivery OTP verification.</t>
        </is>
      </c>
      <c r="M499" s="8" t="inlineStr">
        <is>
          <t>Baseline</t>
        </is>
      </c>
      <c r="N499" s="8" t="inlineStr">
        <is>
          <t>Operational role</t>
        </is>
      </c>
      <c r="O499" s="8" t="inlineStr">
        <is>
          <t>P1</t>
        </is>
      </c>
      <c r="P499" s="5" t="inlineStr">
        <is>
          <t>Unchanged</t>
        </is>
      </c>
      <c r="Q499" s="20" t="inlineStr">
        <is>
          <t>Author assertion</t>
        </is>
      </c>
      <c r="R499" s="5" t="inlineStr"/>
      <c r="S499" s="8" t="inlineStr">
        <is>
          <t>FLEET</t>
        </is>
      </c>
      <c r="T499" s="5" t="inlineStr">
        <is>
          <t>Fleet and delivery</t>
        </is>
      </c>
      <c r="U499" s="8" t="inlineStr"/>
      <c r="V499" s="8" t="inlineStr">
        <is>
          <t>sales</t>
        </is>
      </c>
      <c r="W499" s="8" t="inlineStr">
        <is>
          <t>RUN</t>
        </is>
      </c>
      <c r="X499" s="5" t="inlineStr">
        <is>
          <t>Core</t>
        </is>
      </c>
      <c r="Y499" s="5" t="inlineStr">
        <is>
          <t>Driver</t>
        </is>
      </c>
      <c r="Z499" s="5" t="inlineStr">
        <is>
          <t>Medium</t>
        </is>
      </c>
      <c r="AA499" s="5" t="inlineStr">
        <is>
          <t>Medium</t>
        </is>
      </c>
      <c r="AB499" s="8" t="inlineStr">
        <is>
          <t>Low</t>
        </is>
      </c>
      <c r="AC499" s="8" t="inlineStr">
        <is>
          <t>Pilot</t>
        </is>
      </c>
      <c r="AD499" s="5" t="inlineStr">
        <is>
          <t>Not independently checked</t>
        </is>
      </c>
      <c r="AE499" s="5" t="inlineStr">
        <is>
          <t>Not verified</t>
        </is>
      </c>
      <c r="AF499" s="5" t="inlineStr">
        <is>
          <t>Not verified</t>
        </is>
      </c>
      <c r="AG499" s="5" t="inlineStr">
        <is>
          <t>Not verified</t>
        </is>
      </c>
      <c r="AH499" s="5" t="inlineStr">
        <is>
          <t>Not verified</t>
        </is>
      </c>
      <c r="AI499" s="8" t="inlineStr">
        <is>
          <t>No</t>
        </is>
      </c>
      <c r="AJ499" s="8" t="inlineStr">
        <is>
          <t>Claimed - unverified</t>
        </is>
      </c>
      <c r="AK499" s="8" t="inlineStr">
        <is>
          <t>P1</t>
        </is>
      </c>
      <c r="AL499" s="8" t="n">
        <v>6</v>
      </c>
      <c r="AM499" s="5" t="inlineStr"/>
      <c r="AN499" s="5" t="inlineStr"/>
      <c r="AO499" s="5" t="inlineStr"/>
      <c r="AP499" s="5" t="inlineStr"/>
      <c r="AQ499" s="5" t="inlineStr"/>
      <c r="AR499" s="5" t="inlineStr"/>
      <c r="AS499" s="5" t="inlineStr"/>
      <c r="AT499" s="5" t="inlineStr"/>
      <c r="AU499" s="8" t="inlineStr">
        <is>
          <t>Not run</t>
        </is>
      </c>
    </row>
    <row r="500" ht="32" customHeight="1">
      <c r="A500" s="16" t="inlineStr">
        <is>
          <t>P-0499</t>
        </is>
      </c>
      <c r="B500" s="8" t="inlineStr">
        <is>
          <t>P</t>
        </is>
      </c>
      <c r="C500" s="5" t="inlineStr">
        <is>
          <t>Delivery Driver / Route Logistics</t>
        </is>
      </c>
      <c r="D500" s="5" t="inlineStr">
        <is>
          <t>Operations, Fleet &amp; Delivery</t>
        </is>
      </c>
      <c r="E500" s="5" t="inlineStr">
        <is>
          <t>Record partial delivery rejection on-the-spot (damaged/refused boxes)</t>
        </is>
      </c>
      <c r="F500" s="5" t="inlineStr">
        <is>
          <t>Delivery Driver</t>
        </is>
      </c>
      <c r="G500" s="5" t="inlineStr">
        <is>
          <t>Retail Merchant</t>
        </is>
      </c>
      <c r="H500" s="5" t="inlineStr">
        <is>
          <t>Accurate logging of items rejected by customer at doorstep with mandatory photo capture</t>
        </is>
      </c>
      <c r="I500" s="5" t="inlineStr">
        <is>
          <t>Creates partial delivery note; generates return transit movement back to godown</t>
        </is>
      </c>
      <c r="J500" s="20" t="inlineStr">
        <is>
          <t>P1</t>
        </is>
      </c>
      <c r="K500" s="20" t="inlineStr">
        <is>
          <t>Validated (Supported)</t>
        </is>
      </c>
      <c r="L500" s="5" t="inlineStr">
        <is>
          <t>Supported via Delivery Exception workflow with camera photo attachment.</t>
        </is>
      </c>
      <c r="M500" s="8" t="inlineStr">
        <is>
          <t>Baseline</t>
        </is>
      </c>
      <c r="N500" s="8" t="inlineStr">
        <is>
          <t>Operational role</t>
        </is>
      </c>
      <c r="O500" s="8" t="inlineStr">
        <is>
          <t>P1</t>
        </is>
      </c>
      <c r="P500" s="5" t="inlineStr">
        <is>
          <t>Unchanged</t>
        </is>
      </c>
      <c r="Q500" s="20" t="inlineStr">
        <is>
          <t>Author assertion</t>
        </is>
      </c>
      <c r="R500" s="5" t="inlineStr"/>
      <c r="S500" s="8" t="inlineStr">
        <is>
          <t>FLEET</t>
        </is>
      </c>
      <c r="T500" s="5" t="inlineStr">
        <is>
          <t>Fleet and delivery</t>
        </is>
      </c>
      <c r="U500" s="8" t="inlineStr"/>
      <c r="V500" s="8" t="inlineStr">
        <is>
          <t>sales</t>
        </is>
      </c>
      <c r="W500" s="8" t="inlineStr">
        <is>
          <t>RUN</t>
        </is>
      </c>
      <c r="X500" s="5" t="inlineStr">
        <is>
          <t>Core</t>
        </is>
      </c>
      <c r="Y500" s="5" t="inlineStr">
        <is>
          <t>Driver</t>
        </is>
      </c>
      <c r="Z500" s="5" t="inlineStr">
        <is>
          <t>Medium</t>
        </is>
      </c>
      <c r="AA500" s="5" t="inlineStr">
        <is>
          <t>Medium</t>
        </is>
      </c>
      <c r="AB500" s="8" t="inlineStr">
        <is>
          <t>Low</t>
        </is>
      </c>
      <c r="AC500" s="8" t="inlineStr">
        <is>
          <t>Pilot</t>
        </is>
      </c>
      <c r="AD500" s="5" t="inlineStr">
        <is>
          <t>Not independently checked</t>
        </is>
      </c>
      <c r="AE500" s="5" t="inlineStr">
        <is>
          <t>Not verified</t>
        </is>
      </c>
      <c r="AF500" s="5" t="inlineStr">
        <is>
          <t>Not verified</t>
        </is>
      </c>
      <c r="AG500" s="5" t="inlineStr">
        <is>
          <t>Not verified</t>
        </is>
      </c>
      <c r="AH500" s="5" t="inlineStr">
        <is>
          <t>Not verified</t>
        </is>
      </c>
      <c r="AI500" s="8" t="inlineStr">
        <is>
          <t>No</t>
        </is>
      </c>
      <c r="AJ500" s="8" t="inlineStr">
        <is>
          <t>Claimed - unverified</t>
        </is>
      </c>
      <c r="AK500" s="8" t="inlineStr">
        <is>
          <t>P1</t>
        </is>
      </c>
      <c r="AL500" s="8" t="n">
        <v>6</v>
      </c>
      <c r="AM500" s="5" t="inlineStr"/>
      <c r="AN500" s="5" t="inlineStr"/>
      <c r="AO500" s="5" t="inlineStr"/>
      <c r="AP500" s="5" t="inlineStr"/>
      <c r="AQ500" s="5" t="inlineStr"/>
      <c r="AR500" s="5" t="inlineStr"/>
      <c r="AS500" s="5" t="inlineStr"/>
      <c r="AT500" s="5" t="inlineStr"/>
      <c r="AU500" s="8" t="inlineStr">
        <is>
          <t>Not run</t>
        </is>
      </c>
    </row>
    <row r="501" ht="32" customHeight="1">
      <c r="A501" s="16" t="inlineStr">
        <is>
          <t>P-0500</t>
        </is>
      </c>
      <c r="B501" s="8" t="inlineStr">
        <is>
          <t>P</t>
        </is>
      </c>
      <c r="C501" s="5" t="inlineStr">
        <is>
          <t>Delivery Driver / Route Logistics</t>
        </is>
      </c>
      <c r="D501" s="5" t="inlineStr">
        <is>
          <t>Operations, Fleet &amp; Delivery</t>
        </is>
      </c>
      <c r="E501" s="5" t="inlineStr">
        <is>
          <t>Collect Cash-on-Delivery (COD) or UPI payment from customer</t>
        </is>
      </c>
      <c r="F501" s="5" t="inlineStr">
        <is>
          <t>Delivery Driver</t>
        </is>
      </c>
      <c r="G501" s="5" t="inlineStr">
        <is>
          <t>Customer</t>
        </is>
      </c>
      <c r="H501" s="5" t="inlineStr">
        <is>
          <t>Driver collects cash or displays dynamic UPI QR on driver phone to settle invoice</t>
        </is>
      </c>
      <c r="I501" s="5" t="inlineStr">
        <is>
          <t>Creates DriverPaymentReceipt; records driver cash liability; updates invoice payment status</t>
        </is>
      </c>
      <c r="J501" s="20" t="inlineStr">
        <is>
          <t>P1</t>
        </is>
      </c>
      <c r="K501" s="20" t="inlineStr">
        <is>
          <t>Validated (Supported)</t>
        </is>
      </c>
      <c r="L501" s="5" t="inlineStr">
        <is>
          <t>Supported via mobile UPI QR generator and driver cash collection ledger.</t>
        </is>
      </c>
      <c r="M501" s="8" t="inlineStr">
        <is>
          <t>Baseline</t>
        </is>
      </c>
      <c r="N501" s="8" t="inlineStr">
        <is>
          <t>Operational role</t>
        </is>
      </c>
      <c r="O501" s="8" t="inlineStr">
        <is>
          <t>P1</t>
        </is>
      </c>
      <c r="P501" s="5" t="inlineStr">
        <is>
          <t>Unchanged</t>
        </is>
      </c>
      <c r="Q501" s="20" t="inlineStr">
        <is>
          <t>Author assertion</t>
        </is>
      </c>
      <c r="R501" s="5" t="inlineStr"/>
      <c r="S501" s="8" t="inlineStr">
        <is>
          <t>FLEET</t>
        </is>
      </c>
      <c r="T501" s="5" t="inlineStr">
        <is>
          <t>Fleet and delivery</t>
        </is>
      </c>
      <c r="U501" s="8" t="inlineStr"/>
      <c r="V501" s="8" t="inlineStr">
        <is>
          <t>sales</t>
        </is>
      </c>
      <c r="W501" s="8" t="inlineStr">
        <is>
          <t>RUN</t>
        </is>
      </c>
      <c r="X501" s="5" t="inlineStr">
        <is>
          <t>Core</t>
        </is>
      </c>
      <c r="Y501" s="5" t="inlineStr">
        <is>
          <t>Driver</t>
        </is>
      </c>
      <c r="Z501" s="5" t="inlineStr">
        <is>
          <t>Medium</t>
        </is>
      </c>
      <c r="AA501" s="5" t="inlineStr">
        <is>
          <t>Medium</t>
        </is>
      </c>
      <c r="AB501" s="8" t="inlineStr">
        <is>
          <t>Low</t>
        </is>
      </c>
      <c r="AC501" s="8" t="inlineStr">
        <is>
          <t>Pilot</t>
        </is>
      </c>
      <c r="AD501" s="5" t="inlineStr">
        <is>
          <t>Not independently checked</t>
        </is>
      </c>
      <c r="AE501" s="5" t="inlineStr">
        <is>
          <t>Not verified</t>
        </is>
      </c>
      <c r="AF501" s="5" t="inlineStr">
        <is>
          <t>Not verified</t>
        </is>
      </c>
      <c r="AG501" s="5" t="inlineStr">
        <is>
          <t>Not verified</t>
        </is>
      </c>
      <c r="AH501" s="5" t="inlineStr">
        <is>
          <t>Not verified</t>
        </is>
      </c>
      <c r="AI501" s="8" t="inlineStr">
        <is>
          <t>No</t>
        </is>
      </c>
      <c r="AJ501" s="8" t="inlineStr">
        <is>
          <t>Claimed - unverified</t>
        </is>
      </c>
      <c r="AK501" s="8" t="inlineStr">
        <is>
          <t>P1</t>
        </is>
      </c>
      <c r="AL501" s="8" t="n">
        <v>6</v>
      </c>
      <c r="AM501" s="5" t="inlineStr"/>
      <c r="AN501" s="5" t="inlineStr"/>
      <c r="AO501" s="5" t="inlineStr"/>
      <c r="AP501" s="5" t="inlineStr"/>
      <c r="AQ501" s="5" t="inlineStr"/>
      <c r="AR501" s="5" t="inlineStr"/>
      <c r="AS501" s="5" t="inlineStr"/>
      <c r="AT501" s="5" t="inlineStr"/>
      <c r="AU501" s="8" t="inlineStr">
        <is>
          <t>Not run</t>
        </is>
      </c>
    </row>
    <row r="502" ht="32" customHeight="1">
      <c r="A502" s="16" t="inlineStr">
        <is>
          <t>P-0501</t>
        </is>
      </c>
      <c r="B502" s="8" t="inlineStr">
        <is>
          <t>P</t>
        </is>
      </c>
      <c r="C502" s="5" t="inlineStr">
        <is>
          <t>Delivery Driver / Route Logistics</t>
        </is>
      </c>
      <c r="D502" s="5" t="inlineStr">
        <is>
          <t>Operations, Fleet &amp; Delivery</t>
        </is>
      </c>
      <c r="E502" s="5" t="inlineStr">
        <is>
          <t>Reconcile daily route collections and return unsold/rejected stock to godown</t>
        </is>
      </c>
      <c r="F502" s="5" t="inlineStr">
        <is>
          <t>Delivery Driver</t>
        </is>
      </c>
      <c r="G502" s="5" t="inlineStr">
        <is>
          <t>Cashier / Godown Keeper</t>
        </is>
      </c>
      <c r="H502" s="5" t="inlineStr">
        <is>
          <t>Driver hands over collected cash to cashier and returns rejected boxes to warehouse</t>
        </is>
      </c>
      <c r="I502" s="5" t="inlineStr">
        <is>
          <t>Reconciles driver cash envelope against system collections; restores returned stock to bins</t>
        </is>
      </c>
      <c r="J502" s="20" t="inlineStr">
        <is>
          <t>P1</t>
        </is>
      </c>
      <c r="K502" s="20" t="inlineStr">
        <is>
          <t>Validated (Supported)</t>
        </is>
      </c>
      <c r="L502" s="5" t="inlineStr">
        <is>
          <t>Supported via Route Close &amp; Driver Reconciliation screen (/operations/driver-settlement/).</t>
        </is>
      </c>
      <c r="M502" s="8" t="inlineStr">
        <is>
          <t>Baseline</t>
        </is>
      </c>
      <c r="N502" s="8" t="inlineStr">
        <is>
          <t>Operational role</t>
        </is>
      </c>
      <c r="O502" s="8" t="inlineStr">
        <is>
          <t>P1</t>
        </is>
      </c>
      <c r="P502" s="5" t="inlineStr">
        <is>
          <t>Unchanged</t>
        </is>
      </c>
      <c r="Q502" s="20" t="inlineStr">
        <is>
          <t>Author assertion</t>
        </is>
      </c>
      <c r="R502" s="5" t="inlineStr"/>
      <c r="S502" s="8" t="inlineStr">
        <is>
          <t>FLEET</t>
        </is>
      </c>
      <c r="T502" s="5" t="inlineStr">
        <is>
          <t>Fleet and delivery</t>
        </is>
      </c>
      <c r="U502" s="8" t="inlineStr"/>
      <c r="V502" s="8" t="inlineStr">
        <is>
          <t>sales</t>
        </is>
      </c>
      <c r="W502" s="8" t="inlineStr">
        <is>
          <t>RUN</t>
        </is>
      </c>
      <c r="X502" s="5" t="inlineStr">
        <is>
          <t>Core</t>
        </is>
      </c>
      <c r="Y502" s="5" t="inlineStr">
        <is>
          <t>Driver</t>
        </is>
      </c>
      <c r="Z502" s="5" t="inlineStr">
        <is>
          <t>Medium</t>
        </is>
      </c>
      <c r="AA502" s="5" t="inlineStr">
        <is>
          <t>Medium</t>
        </is>
      </c>
      <c r="AB502" s="8" t="inlineStr">
        <is>
          <t>Low</t>
        </is>
      </c>
      <c r="AC502" s="8" t="inlineStr">
        <is>
          <t>Pilot</t>
        </is>
      </c>
      <c r="AD502" s="5" t="inlineStr">
        <is>
          <t>Not independently checked</t>
        </is>
      </c>
      <c r="AE502" s="5" t="inlineStr">
        <is>
          <t>Not verified</t>
        </is>
      </c>
      <c r="AF502" s="5" t="inlineStr">
        <is>
          <t>Not verified</t>
        </is>
      </c>
      <c r="AG502" s="5" t="inlineStr">
        <is>
          <t>Not verified</t>
        </is>
      </c>
      <c r="AH502" s="5" t="inlineStr">
        <is>
          <t>Not verified</t>
        </is>
      </c>
      <c r="AI502" s="8" t="inlineStr">
        <is>
          <t>No</t>
        </is>
      </c>
      <c r="AJ502" s="8" t="inlineStr">
        <is>
          <t>Claimed - unverified</t>
        </is>
      </c>
      <c r="AK502" s="8" t="inlineStr">
        <is>
          <t>P1</t>
        </is>
      </c>
      <c r="AL502" s="8" t="n">
        <v>6</v>
      </c>
      <c r="AM502" s="5" t="inlineStr"/>
      <c r="AN502" s="5" t="inlineStr"/>
      <c r="AO502" s="5" t="inlineStr"/>
      <c r="AP502" s="5" t="inlineStr"/>
      <c r="AQ502" s="5" t="inlineStr"/>
      <c r="AR502" s="5" t="inlineStr"/>
      <c r="AS502" s="5" t="inlineStr"/>
      <c r="AT502" s="5" t="inlineStr"/>
      <c r="AU502" s="8" t="inlineStr">
        <is>
          <t>Not run</t>
        </is>
      </c>
    </row>
    <row r="503" ht="32" customHeight="1">
      <c r="A503" s="16" t="inlineStr">
        <is>
          <t>P-0502</t>
        </is>
      </c>
      <c r="B503" s="8" t="inlineStr">
        <is>
          <t>P</t>
        </is>
      </c>
      <c r="C503" s="5" t="inlineStr">
        <is>
          <t>External CA / Statutory Auditor</t>
        </is>
      </c>
      <c r="D503" s="5" t="inlineStr">
        <is>
          <t>Reporting &amp; Business Intelligence</t>
        </is>
      </c>
      <c r="E503" s="5" t="inlineStr">
        <is>
          <t>Review Trial Balance, P&amp;L, and Balance Sheet in Schedule III format</t>
        </is>
      </c>
      <c r="F503" s="5" t="inlineStr">
        <is>
          <t>External CA / Auditor</t>
        </is>
      </c>
      <c r="G503" s="5" t="inlineStr">
        <is>
          <t>Managing Proprietor</t>
        </is>
      </c>
      <c r="H503" s="5" t="inlineStr">
        <is>
          <t>Statutory review of company financial statements aligned to Indian Accounting Standards</t>
        </is>
      </c>
      <c r="I503" s="5" t="inlineStr">
        <is>
          <t>Generates multi-period comparative Trial Balance, Profit &amp; Loss, and Balance Sheet</t>
        </is>
      </c>
      <c r="J503" s="20" t="inlineStr">
        <is>
          <t>P1</t>
        </is>
      </c>
      <c r="K503" s="20" t="inlineStr">
        <is>
          <t>Validated (Supported)</t>
        </is>
      </c>
      <c r="L503" s="5" t="inlineStr">
        <is>
          <t>Supported via /accounting/reports/ (Trial Balance, P&amp;L, Balance Sheet) with Schedule III grouping.</t>
        </is>
      </c>
      <c r="M503" s="8" t="inlineStr">
        <is>
          <t>Baseline</t>
        </is>
      </c>
      <c r="N503" s="8" t="inlineStr">
        <is>
          <t>Operational role</t>
        </is>
      </c>
      <c r="O503" s="8" t="inlineStr">
        <is>
          <t>P1</t>
        </is>
      </c>
      <c r="P503" s="5" t="inlineStr">
        <is>
          <t>Unchanged</t>
        </is>
      </c>
      <c r="Q503" s="20" t="inlineStr">
        <is>
          <t>Author assertion</t>
        </is>
      </c>
      <c r="R503" s="5" t="inlineStr"/>
      <c r="S503" s="8" t="inlineStr">
        <is>
          <t>RPT</t>
        </is>
      </c>
      <c r="T503" s="5" t="inlineStr">
        <is>
          <t>Reporting and business intelligence</t>
        </is>
      </c>
      <c r="U503" s="8" t="inlineStr"/>
      <c r="V503" s="8" t="inlineStr">
        <is>
          <t>reporting</t>
        </is>
      </c>
      <c r="W503" s="8" t="inlineStr">
        <is>
          <t>CONTROL</t>
        </is>
      </c>
      <c r="X503" s="5" t="inlineStr">
        <is>
          <t>Core</t>
        </is>
      </c>
      <c r="Y503" s="5" t="inlineStr">
        <is>
          <t>Accountant</t>
        </is>
      </c>
      <c r="Z503" s="5" t="inlineStr">
        <is>
          <t>Medium</t>
        </is>
      </c>
      <c r="AA503" s="5" t="inlineStr">
        <is>
          <t>Medium</t>
        </is>
      </c>
      <c r="AB503" s="8" t="inlineStr">
        <is>
          <t>Low</t>
        </is>
      </c>
      <c r="AC503" s="8" t="inlineStr">
        <is>
          <t>Pilot</t>
        </is>
      </c>
      <c r="AD503" s="5" t="inlineStr">
        <is>
          <t>Not independently checked</t>
        </is>
      </c>
      <c r="AE503" s="5" t="inlineStr">
        <is>
          <t>Not verified</t>
        </is>
      </c>
      <c r="AF503" s="5" t="inlineStr">
        <is>
          <t>Not verified</t>
        </is>
      </c>
      <c r="AG503" s="5" t="inlineStr">
        <is>
          <t>Not verified</t>
        </is>
      </c>
      <c r="AH503" s="5" t="inlineStr">
        <is>
          <t>Not verified</t>
        </is>
      </c>
      <c r="AI503" s="8" t="inlineStr">
        <is>
          <t>No</t>
        </is>
      </c>
      <c r="AJ503" s="8" t="inlineStr">
        <is>
          <t>Claimed - unverified</t>
        </is>
      </c>
      <c r="AK503" s="8" t="inlineStr">
        <is>
          <t>P1</t>
        </is>
      </c>
      <c r="AL503" s="8" t="n">
        <v>6</v>
      </c>
      <c r="AM503" s="5" t="inlineStr"/>
      <c r="AN503" s="5" t="inlineStr"/>
      <c r="AO503" s="5" t="inlineStr"/>
      <c r="AP503" s="5" t="inlineStr"/>
      <c r="AQ503" s="5" t="inlineStr"/>
      <c r="AR503" s="5" t="inlineStr"/>
      <c r="AS503" s="5" t="inlineStr"/>
      <c r="AT503" s="5" t="inlineStr"/>
      <c r="AU503" s="8" t="inlineStr">
        <is>
          <t>Not run</t>
        </is>
      </c>
    </row>
    <row r="504" ht="32" customHeight="1">
      <c r="A504" s="16" t="inlineStr">
        <is>
          <t>P-0503</t>
        </is>
      </c>
      <c r="B504" s="8" t="inlineStr">
        <is>
          <t>P</t>
        </is>
      </c>
      <c r="C504" s="5" t="inlineStr">
        <is>
          <t>External CA / Statutory Auditor</t>
        </is>
      </c>
      <c r="D504" s="5" t="inlineStr">
        <is>
          <t>GST / Tax / Compliance</t>
        </is>
      </c>
      <c r="E504" s="5" t="inlineStr">
        <is>
          <t>Audit 2A/2B vs Books reconciliation and verify eligible vs blocked ITC</t>
        </is>
      </c>
      <c r="F504" s="5" t="inlineStr">
        <is>
          <t>External CA / Auditor</t>
        </is>
      </c>
      <c r="G504" s="5" t="inlineStr">
        <is>
          <t>In-house Accountant</t>
        </is>
      </c>
      <c r="H504" s="5" t="inlineStr">
        <is>
          <t>Independent verification of Input Tax Credit claims; segregates Section 17(5) blocked credits</t>
        </is>
      </c>
      <c r="I504" s="5" t="inlineStr">
        <is>
          <t>Validates tax return audit trail; prevents tax demand notices and penalty interest under Sec 50</t>
        </is>
      </c>
      <c r="J504" s="19" t="inlineStr">
        <is>
          <t>P0</t>
        </is>
      </c>
      <c r="K504" s="20" t="inlineStr">
        <is>
          <t>Validated (Supported)</t>
        </is>
      </c>
      <c r="L504" s="5" t="inlineStr">
        <is>
          <t>Supported via GSTR-2B Automated Matcher with Section 17(5) blocked credit classification.</t>
        </is>
      </c>
      <c r="M504" s="8" t="inlineStr">
        <is>
          <t>Baseline</t>
        </is>
      </c>
      <c r="N504" s="8" t="inlineStr">
        <is>
          <t>Operational role</t>
        </is>
      </c>
      <c r="O504" s="8" t="inlineStr">
        <is>
          <t>P0</t>
        </is>
      </c>
      <c r="P504" s="5" t="inlineStr">
        <is>
          <t>Unchanged</t>
        </is>
      </c>
      <c r="Q504" s="20" t="inlineStr">
        <is>
          <t>Author assertion</t>
        </is>
      </c>
      <c r="R504" s="5" t="inlineStr"/>
      <c r="S504" s="8" t="inlineStr">
        <is>
          <t>GST</t>
        </is>
      </c>
      <c r="T504" s="5" t="inlineStr">
        <is>
          <t>GST and tax compliance</t>
        </is>
      </c>
      <c r="U504" s="8" t="inlineStr"/>
      <c r="V504" s="8" t="inlineStr">
        <is>
          <t>accounting</t>
        </is>
      </c>
      <c r="W504" s="8" t="inlineStr">
        <is>
          <t>CONTROL</t>
        </is>
      </c>
      <c r="X504" s="5" t="inlineStr">
        <is>
          <t>Core</t>
        </is>
      </c>
      <c r="Y504" s="5" t="inlineStr">
        <is>
          <t>Accountant</t>
        </is>
      </c>
      <c r="Z504" s="5" t="inlineStr">
        <is>
          <t>Critical</t>
        </is>
      </c>
      <c r="AA504" s="5" t="inlineStr">
        <is>
          <t>High</t>
        </is>
      </c>
      <c r="AB504" s="8" t="inlineStr">
        <is>
          <t>High</t>
        </is>
      </c>
      <c r="AC504" s="8" t="inlineStr">
        <is>
          <t>MVP</t>
        </is>
      </c>
      <c r="AD504" s="5" t="inlineStr">
        <is>
          <t>Not independently checked</t>
        </is>
      </c>
      <c r="AE504" s="5" t="inlineStr">
        <is>
          <t>Not verified</t>
        </is>
      </c>
      <c r="AF504" s="5" t="inlineStr">
        <is>
          <t>Not verified</t>
        </is>
      </c>
      <c r="AG504" s="5" t="inlineStr">
        <is>
          <t>Not verified</t>
        </is>
      </c>
      <c r="AH504" s="5" t="inlineStr">
        <is>
          <t>Not verified</t>
        </is>
      </c>
      <c r="AI504" s="8" t="inlineStr">
        <is>
          <t>No</t>
        </is>
      </c>
      <c r="AJ504" s="8" t="inlineStr">
        <is>
          <t>Claimed - unverified</t>
        </is>
      </c>
      <c r="AK504" s="8" t="inlineStr">
        <is>
          <t>P0</t>
        </is>
      </c>
      <c r="AL504" s="8" t="n">
        <v>27</v>
      </c>
      <c r="AM504" s="5" t="inlineStr"/>
      <c r="AN504" s="5" t="inlineStr"/>
      <c r="AO504" s="5" t="inlineStr"/>
      <c r="AP504" s="5" t="inlineStr"/>
      <c r="AQ504" s="5" t="inlineStr"/>
      <c r="AR504" s="5" t="inlineStr"/>
      <c r="AS504" s="5" t="inlineStr"/>
      <c r="AT504" s="5" t="inlineStr"/>
      <c r="AU504" s="8" t="inlineStr">
        <is>
          <t>Not run</t>
        </is>
      </c>
    </row>
    <row r="505" ht="32" customHeight="1">
      <c r="A505" s="16" t="inlineStr">
        <is>
          <t>P-0504</t>
        </is>
      </c>
      <c r="B505" s="8" t="inlineStr">
        <is>
          <t>P</t>
        </is>
      </c>
      <c r="C505" s="5" t="inlineStr">
        <is>
          <t>External CA / Statutory Auditor</t>
        </is>
      </c>
      <c r="D505" s="5" t="inlineStr">
        <is>
          <t>GST / Tax / Compliance</t>
        </is>
      </c>
      <c r="E505" s="5" t="inlineStr">
        <is>
          <t>Verify TDS Section 194Q and TCS Section 206C(1H) statutory deduction compliance</t>
        </is>
      </c>
      <c r="F505" s="5" t="inlineStr">
        <is>
          <t>External CA / Auditor</t>
        </is>
      </c>
      <c r="G505" s="5" t="inlineStr">
        <is>
          <t>In-house Accountant</t>
        </is>
      </c>
      <c r="H505" s="5" t="inlineStr">
        <is>
          <t>Confirm that cumulative threshold (&gt; ₹50 Lakhs) TDS/TCS withholdings match statutory rates</t>
        </is>
      </c>
      <c r="I505" s="5" t="inlineStr">
        <is>
          <t>Generates TDS/TCS Audit Ledger verifying vendor PAN active status and quarterly challans</t>
        </is>
      </c>
      <c r="J505" s="20" t="inlineStr">
        <is>
          <t>P1</t>
        </is>
      </c>
      <c r="K505" s="20" t="inlineStr">
        <is>
          <t>Validated (Supported)</t>
        </is>
      </c>
      <c r="L505" s="5" t="inlineStr">
        <is>
          <t>Supported via TDS/TCS Withholding Summary Report (/accounting/reports/tds-tcs/).</t>
        </is>
      </c>
      <c r="M505" s="8" t="inlineStr">
        <is>
          <t>Baseline</t>
        </is>
      </c>
      <c r="N505" s="8" t="inlineStr">
        <is>
          <t>Operational role</t>
        </is>
      </c>
      <c r="O505" s="8" t="inlineStr">
        <is>
          <t>P1</t>
        </is>
      </c>
      <c r="P505" s="5" t="inlineStr">
        <is>
          <t>Unchanged</t>
        </is>
      </c>
      <c r="Q505" s="20" t="inlineStr">
        <is>
          <t>Author assertion</t>
        </is>
      </c>
      <c r="R505" s="5" t="inlineStr"/>
      <c r="S505" s="8" t="inlineStr">
        <is>
          <t>GST</t>
        </is>
      </c>
      <c r="T505" s="5" t="inlineStr">
        <is>
          <t>GST and tax compliance</t>
        </is>
      </c>
      <c r="U505" s="8" t="inlineStr"/>
      <c r="V505" s="8" t="inlineStr">
        <is>
          <t>accounting</t>
        </is>
      </c>
      <c r="W505" s="8" t="inlineStr">
        <is>
          <t>CONTROL</t>
        </is>
      </c>
      <c r="X505" s="5" t="inlineStr">
        <is>
          <t>Core</t>
        </is>
      </c>
      <c r="Y505" s="5" t="inlineStr">
        <is>
          <t>Accountant</t>
        </is>
      </c>
      <c r="Z505" s="5" t="inlineStr">
        <is>
          <t>Critical</t>
        </is>
      </c>
      <c r="AA505" s="5" t="inlineStr">
        <is>
          <t>High</t>
        </is>
      </c>
      <c r="AB505" s="8" t="inlineStr">
        <is>
          <t>High</t>
        </is>
      </c>
      <c r="AC505" s="8" t="inlineStr">
        <is>
          <t>Pilot</t>
        </is>
      </c>
      <c r="AD505" s="5" t="inlineStr">
        <is>
          <t>Not independently checked</t>
        </is>
      </c>
      <c r="AE505" s="5" t="inlineStr">
        <is>
          <t>Not verified</t>
        </is>
      </c>
      <c r="AF505" s="5" t="inlineStr">
        <is>
          <t>Not verified</t>
        </is>
      </c>
      <c r="AG505" s="5" t="inlineStr">
        <is>
          <t>Not verified</t>
        </is>
      </c>
      <c r="AH505" s="5" t="inlineStr">
        <is>
          <t>Not verified</t>
        </is>
      </c>
      <c r="AI505" s="8" t="inlineStr">
        <is>
          <t>No</t>
        </is>
      </c>
      <c r="AJ505" s="8" t="inlineStr">
        <is>
          <t>Claimed - unverified</t>
        </is>
      </c>
      <c r="AK505" s="8" t="inlineStr">
        <is>
          <t>P1</t>
        </is>
      </c>
      <c r="AL505" s="8" t="n">
        <v>27</v>
      </c>
      <c r="AM505" s="5" t="inlineStr"/>
      <c r="AN505" s="5" t="inlineStr"/>
      <c r="AO505" s="5" t="inlineStr"/>
      <c r="AP505" s="5" t="inlineStr"/>
      <c r="AQ505" s="5" t="inlineStr"/>
      <c r="AR505" s="5" t="inlineStr"/>
      <c r="AS505" s="5" t="inlineStr"/>
      <c r="AT505" s="5" t="inlineStr"/>
      <c r="AU505" s="8" t="inlineStr">
        <is>
          <t>Not run</t>
        </is>
      </c>
    </row>
    <row r="506" ht="32" customHeight="1">
      <c r="A506" s="16" t="inlineStr">
        <is>
          <t>P-0505</t>
        </is>
      </c>
      <c r="B506" s="8" t="inlineStr">
        <is>
          <t>P</t>
        </is>
      </c>
      <c r="C506" s="5" t="inlineStr">
        <is>
          <t>External CA / Statutory Auditor</t>
        </is>
      </c>
      <c r="D506" s="5" t="inlineStr">
        <is>
          <t>Finance &amp; Fixed Assets</t>
        </is>
      </c>
      <c r="E506" s="5" t="inlineStr">
        <is>
          <t>Inspect Depreciation Schedule and Fixed Assets Register under Income Tax / Companies Act</t>
        </is>
      </c>
      <c r="F506" s="5" t="inlineStr">
        <is>
          <t>External CA / Auditor</t>
        </is>
      </c>
      <c r="G506" s="5" t="inlineStr">
        <is>
          <t>In-house Accountant</t>
        </is>
      </c>
      <c r="H506" s="5" t="inlineStr">
        <is>
          <t>Verify fixed asset capitalization, additions, disposals, and dual-rate depreciation schedules</t>
        </is>
      </c>
      <c r="I506" s="5" t="inlineStr">
        <is>
          <t>Validates WDV and SLM depreciation calculations; matches net block with balance sheet assets</t>
        </is>
      </c>
      <c r="J506" s="20" t="inlineStr">
        <is>
          <t>P1</t>
        </is>
      </c>
      <c r="K506" s="20" t="inlineStr">
        <is>
          <t>Validated (Supported)</t>
        </is>
      </c>
      <c r="L506" s="5" t="inlineStr">
        <is>
          <t>Supported via Fixed Assets Register and Depreciation Engine (/accounting/fixed-assets/).</t>
        </is>
      </c>
      <c r="M506" s="8" t="inlineStr">
        <is>
          <t>Baseline</t>
        </is>
      </c>
      <c r="N506" s="8" t="inlineStr">
        <is>
          <t>Operational role</t>
        </is>
      </c>
      <c r="O506" s="8" t="inlineStr">
        <is>
          <t>P1</t>
        </is>
      </c>
      <c r="P506" s="5" t="inlineStr">
        <is>
          <t>Unchanged</t>
        </is>
      </c>
      <c r="Q506" s="20" t="inlineStr">
        <is>
          <t>Author assertion</t>
        </is>
      </c>
      <c r="R506" s="5" t="inlineStr"/>
      <c r="S506" s="8" t="inlineStr">
        <is>
          <t>FA</t>
        </is>
      </c>
      <c r="T506" s="5" t="inlineStr">
        <is>
          <t>Finance and fixed assets</t>
        </is>
      </c>
      <c r="U506" s="8" t="inlineStr"/>
      <c r="V506" s="8" t="inlineStr">
        <is>
          <t>accounting</t>
        </is>
      </c>
      <c r="W506" s="8" t="inlineStr">
        <is>
          <t>CONTROL</t>
        </is>
      </c>
      <c r="X506" s="5" t="inlineStr">
        <is>
          <t>Core</t>
        </is>
      </c>
      <c r="Y506" s="5" t="inlineStr">
        <is>
          <t>Accountant</t>
        </is>
      </c>
      <c r="Z506" s="5" t="inlineStr">
        <is>
          <t>Critical</t>
        </is>
      </c>
      <c r="AA506" s="5" t="inlineStr">
        <is>
          <t>High</t>
        </is>
      </c>
      <c r="AB506" s="8" t="inlineStr">
        <is>
          <t>High</t>
        </is>
      </c>
      <c r="AC506" s="8" t="inlineStr">
        <is>
          <t>Pilot</t>
        </is>
      </c>
      <c r="AD506" s="5" t="inlineStr">
        <is>
          <t>Not independently checked</t>
        </is>
      </c>
      <c r="AE506" s="5" t="inlineStr">
        <is>
          <t>Not verified</t>
        </is>
      </c>
      <c r="AF506" s="5" t="inlineStr">
        <is>
          <t>Not verified</t>
        </is>
      </c>
      <c r="AG506" s="5" t="inlineStr">
        <is>
          <t>Not verified</t>
        </is>
      </c>
      <c r="AH506" s="5" t="inlineStr">
        <is>
          <t>Not verified</t>
        </is>
      </c>
      <c r="AI506" s="8" t="inlineStr">
        <is>
          <t>No</t>
        </is>
      </c>
      <c r="AJ506" s="8" t="inlineStr">
        <is>
          <t>Claimed - unverified</t>
        </is>
      </c>
      <c r="AK506" s="8" t="inlineStr">
        <is>
          <t>P1</t>
        </is>
      </c>
      <c r="AL506" s="8" t="n">
        <v>27</v>
      </c>
      <c r="AM506" s="5" t="inlineStr"/>
      <c r="AN506" s="5" t="inlineStr"/>
      <c r="AO506" s="5" t="inlineStr"/>
      <c r="AP506" s="5" t="inlineStr"/>
      <c r="AQ506" s="5" t="inlineStr"/>
      <c r="AR506" s="5" t="inlineStr"/>
      <c r="AS506" s="5" t="inlineStr"/>
      <c r="AT506" s="5" t="inlineStr"/>
      <c r="AU506" s="8" t="inlineStr">
        <is>
          <t>Not run</t>
        </is>
      </c>
    </row>
    <row r="507" ht="32" customHeight="1">
      <c r="A507" s="16" t="inlineStr">
        <is>
          <t>P-0506</t>
        </is>
      </c>
      <c r="B507" s="8" t="inlineStr">
        <is>
          <t>P</t>
        </is>
      </c>
      <c r="C507" s="5" t="inlineStr">
        <is>
          <t>External CA / Statutory Auditor</t>
        </is>
      </c>
      <c r="D507" s="5" t="inlineStr">
        <is>
          <t>GST / Tax / Compliance</t>
        </is>
      </c>
      <c r="E507" s="5" t="inlineStr">
        <is>
          <t>Validate GSTR-9 annual return computation and reconciliation with audited financials</t>
        </is>
      </c>
      <c r="F507" s="5" t="inlineStr">
        <is>
          <t>External CA / Auditor</t>
        </is>
      </c>
      <c r="G507" s="5" t="inlineStr">
        <is>
          <t>In-house Accountant</t>
        </is>
      </c>
      <c r="H507" s="5" t="inlineStr">
        <is>
          <t>Compile GSTR-9 Annual Return and GSTR-9C reconciliation statement from source vouchers</t>
        </is>
      </c>
      <c r="I507" s="5" t="inlineStr">
        <is>
          <t>Compares audited P&amp;L turnover with GSTR-1 outward taxable supplies; explains variances</t>
        </is>
      </c>
      <c r="J507" s="20" t="inlineStr">
        <is>
          <t>P1</t>
        </is>
      </c>
      <c r="K507" s="20" t="inlineStr">
        <is>
          <t>Validated (Supported)</t>
        </is>
      </c>
      <c r="L507" s="5" t="inlineStr">
        <is>
          <t>Supported via GSTR-9 Annual Worksheet compiler in gst module.</t>
        </is>
      </c>
      <c r="M507" s="8" t="inlineStr">
        <is>
          <t>Baseline</t>
        </is>
      </c>
      <c r="N507" s="8" t="inlineStr">
        <is>
          <t>Operational role</t>
        </is>
      </c>
      <c r="O507" s="8" t="inlineStr">
        <is>
          <t>P1</t>
        </is>
      </c>
      <c r="P507" s="5" t="inlineStr">
        <is>
          <t>Unchanged</t>
        </is>
      </c>
      <c r="Q507" s="20" t="inlineStr">
        <is>
          <t>Author assertion</t>
        </is>
      </c>
      <c r="R507" s="5" t="inlineStr"/>
      <c r="S507" s="8" t="inlineStr">
        <is>
          <t>GST</t>
        </is>
      </c>
      <c r="T507" s="5" t="inlineStr">
        <is>
          <t>GST and tax compliance</t>
        </is>
      </c>
      <c r="U507" s="8" t="inlineStr"/>
      <c r="V507" s="8" t="inlineStr">
        <is>
          <t>accounting</t>
        </is>
      </c>
      <c r="W507" s="8" t="inlineStr">
        <is>
          <t>CONTROL</t>
        </is>
      </c>
      <c r="X507" s="5" t="inlineStr">
        <is>
          <t>Core</t>
        </is>
      </c>
      <c r="Y507" s="5" t="inlineStr">
        <is>
          <t>Accountant</t>
        </is>
      </c>
      <c r="Z507" s="5" t="inlineStr">
        <is>
          <t>Critical</t>
        </is>
      </c>
      <c r="AA507" s="5" t="inlineStr">
        <is>
          <t>High</t>
        </is>
      </c>
      <c r="AB507" s="8" t="inlineStr">
        <is>
          <t>High</t>
        </is>
      </c>
      <c r="AC507" s="8" t="inlineStr">
        <is>
          <t>Pilot</t>
        </is>
      </c>
      <c r="AD507" s="5" t="inlineStr">
        <is>
          <t>Not independently checked</t>
        </is>
      </c>
      <c r="AE507" s="5" t="inlineStr">
        <is>
          <t>Not verified</t>
        </is>
      </c>
      <c r="AF507" s="5" t="inlineStr">
        <is>
          <t>Not verified</t>
        </is>
      </c>
      <c r="AG507" s="5" t="inlineStr">
        <is>
          <t>Not verified</t>
        </is>
      </c>
      <c r="AH507" s="5" t="inlineStr">
        <is>
          <t>Not verified</t>
        </is>
      </c>
      <c r="AI507" s="8" t="inlineStr">
        <is>
          <t>No</t>
        </is>
      </c>
      <c r="AJ507" s="8" t="inlineStr">
        <is>
          <t>Claimed - unverified</t>
        </is>
      </c>
      <c r="AK507" s="8" t="inlineStr">
        <is>
          <t>P1</t>
        </is>
      </c>
      <c r="AL507" s="8" t="n">
        <v>27</v>
      </c>
      <c r="AM507" s="5" t="inlineStr"/>
      <c r="AN507" s="5" t="inlineStr"/>
      <c r="AO507" s="5" t="inlineStr"/>
      <c r="AP507" s="5" t="inlineStr"/>
      <c r="AQ507" s="5" t="inlineStr"/>
      <c r="AR507" s="5" t="inlineStr"/>
      <c r="AS507" s="5" t="inlineStr"/>
      <c r="AT507" s="5" t="inlineStr"/>
      <c r="AU507" s="8" t="inlineStr">
        <is>
          <t>Not run</t>
        </is>
      </c>
    </row>
    <row r="508" ht="32" customHeight="1">
      <c r="A508" s="16" t="inlineStr">
        <is>
          <t>P-0507</t>
        </is>
      </c>
      <c r="B508" s="8" t="inlineStr">
        <is>
          <t>P</t>
        </is>
      </c>
      <c r="C508" s="5" t="inlineStr">
        <is>
          <t>External CA / Statutory Auditor</t>
        </is>
      </c>
      <c r="D508" s="5" t="inlineStr">
        <is>
          <t>Security / Exception / Recovery</t>
        </is>
      </c>
      <c r="E508" s="5" t="inlineStr">
        <is>
          <t>Audit MCA mandated immutable audit trail (Rule 11(g) Companies Audit Rules)</t>
        </is>
      </c>
      <c r="F508" s="5" t="inlineStr">
        <is>
          <t>Statutory Auditor</t>
        </is>
      </c>
      <c r="G508" s="5" t="inlineStr">
        <is>
          <t>Managing Proprietor</t>
        </is>
      </c>
      <c r="H508" s="5" t="inlineStr">
        <is>
          <t>Verify that accounting software maintains unbroken, tamper-proof edit logs without disabled periods</t>
        </is>
      </c>
      <c r="I508" s="5" t="inlineStr">
        <is>
          <t>Generates Audit Trail Certification Report proving edit logging was active throughout FY</t>
        </is>
      </c>
      <c r="J508" s="19" t="inlineStr">
        <is>
          <t>P0</t>
        </is>
      </c>
      <c r="K508" s="23" t="inlineStr">
        <is>
          <t>Partial</t>
        </is>
      </c>
      <c r="L508" s="5" t="inlineStr">
        <is>
          <t>Core compliance invariant: Django SimpleHistory audit trail strictly conforms to MCA Rule 11(g).</t>
        </is>
      </c>
      <c r="M508" s="8" t="inlineStr">
        <is>
          <t>Baseline</t>
        </is>
      </c>
      <c r="N508" s="8" t="inlineStr">
        <is>
          <t>Operational role</t>
        </is>
      </c>
      <c r="O508" s="8" t="inlineStr">
        <is>
          <t>P0</t>
        </is>
      </c>
      <c r="P508" s="5" t="inlineStr">
        <is>
          <t>Unchanged</t>
        </is>
      </c>
      <c r="Q508" s="23" t="inlineStr">
        <is>
          <t>Partial</t>
        </is>
      </c>
      <c r="R508" s="5" t="inlineStr">
        <is>
          <t>django-simple-history is not a dependency. The note names the wrong audit mechanism.</t>
        </is>
      </c>
      <c r="S508" s="8" t="inlineStr">
        <is>
          <t>OTHER</t>
        </is>
      </c>
      <c r="T508" s="5" t="inlineStr">
        <is>
          <t>Security / Exception / Recovery</t>
        </is>
      </c>
      <c r="U508" s="8" t="inlineStr"/>
      <c r="V508" s="8" t="inlineStr"/>
      <c r="W508" s="8" t="inlineStr">
        <is>
          <t>CONTROL</t>
        </is>
      </c>
      <c r="X508" s="5" t="inlineStr">
        <is>
          <t>Core</t>
        </is>
      </c>
      <c r="Y508" s="5" t="inlineStr">
        <is>
          <t>Accountant</t>
        </is>
      </c>
      <c r="Z508" s="5" t="inlineStr">
        <is>
          <t>High</t>
        </is>
      </c>
      <c r="AA508" s="5" t="inlineStr">
        <is>
          <t>Medium</t>
        </is>
      </c>
      <c r="AB508" s="8" t="inlineStr">
        <is>
          <t>Medium</t>
        </is>
      </c>
      <c r="AC508" s="8" t="inlineStr">
        <is>
          <t>MVP</t>
        </is>
      </c>
      <c r="AD508" s="5" t="inlineStr">
        <is>
          <t>Partial</t>
        </is>
      </c>
      <c r="AE508" s="5" t="inlineStr">
        <is>
          <t>Not verified</t>
        </is>
      </c>
      <c r="AF508" s="5" t="inlineStr">
        <is>
          <t>Not verified</t>
        </is>
      </c>
      <c r="AG508" s="5" t="inlineStr">
        <is>
          <t>Not verified</t>
        </is>
      </c>
      <c r="AH508" s="5" t="inlineStr">
        <is>
          <t>Not verified</t>
        </is>
      </c>
      <c r="AI508" s="8" t="inlineStr">
        <is>
          <t>No</t>
        </is>
      </c>
      <c r="AJ508" s="8" t="inlineStr">
        <is>
          <t>Built - partial</t>
        </is>
      </c>
      <c r="AK508" s="8" t="inlineStr">
        <is>
          <t>P0</t>
        </is>
      </c>
      <c r="AL508" s="8" t="n">
        <v>12</v>
      </c>
      <c r="AM508" s="5" t="inlineStr"/>
      <c r="AN508" s="5" t="inlineStr"/>
      <c r="AO508" s="5" t="inlineStr"/>
      <c r="AP508" s="5" t="inlineStr"/>
      <c r="AQ508" s="5" t="inlineStr"/>
      <c r="AR508" s="5" t="inlineStr"/>
      <c r="AS508" s="5" t="inlineStr"/>
      <c r="AT508" s="5" t="inlineStr"/>
      <c r="AU508" s="8" t="inlineStr">
        <is>
          <t>Not run</t>
        </is>
      </c>
    </row>
    <row r="509" ht="32" customHeight="1">
      <c r="A509" s="16" t="inlineStr">
        <is>
          <t>P-0508</t>
        </is>
      </c>
      <c r="B509" s="8" t="inlineStr">
        <is>
          <t>P</t>
        </is>
      </c>
      <c r="C509" s="5" t="inlineStr">
        <is>
          <t>External CA / Statutory Auditor</t>
        </is>
      </c>
      <c r="D509" s="5" t="inlineStr">
        <is>
          <t>Import / Export / Period Close</t>
        </is>
      </c>
      <c r="E509" s="5" t="inlineStr">
        <is>
          <t>Export audited financial vouchers to external CA software (Tally / Computax / Winman)</t>
        </is>
      </c>
      <c r="F509" s="5" t="inlineStr">
        <is>
          <t>External CA / Auditor</t>
        </is>
      </c>
      <c r="G509" s="5" t="inlineStr">
        <is>
          <t>None</t>
        </is>
      </c>
      <c r="H509" s="5" t="inlineStr">
        <is>
          <t>Seamless export of full year's vouchers into Tally XML format for final tax computation</t>
        </is>
      </c>
      <c r="I509" s="5" t="inlineStr">
        <is>
          <t>Generates clean Tally-compliant XML voucher dataset with ledger masters and inventory items</t>
        </is>
      </c>
      <c r="J509" s="20" t="inlineStr">
        <is>
          <t>P1</t>
        </is>
      </c>
      <c r="K509" s="20" t="inlineStr">
        <is>
          <t>Validated (Supported)</t>
        </is>
      </c>
      <c r="L509" s="5" t="inlineStr">
        <is>
          <t>Supported via /accounting/export/tally-xml/.</t>
        </is>
      </c>
      <c r="M509" s="8" t="inlineStr">
        <is>
          <t>Baseline</t>
        </is>
      </c>
      <c r="N509" s="8" t="inlineStr">
        <is>
          <t>Operational role</t>
        </is>
      </c>
      <c r="O509" s="8" t="inlineStr">
        <is>
          <t>P1</t>
        </is>
      </c>
      <c r="P509" s="5" t="inlineStr">
        <is>
          <t>Unchanged</t>
        </is>
      </c>
      <c r="Q509" s="20" t="inlineStr">
        <is>
          <t>Author assertion</t>
        </is>
      </c>
      <c r="R509" s="5" t="inlineStr"/>
      <c r="S509" s="8" t="inlineStr">
        <is>
          <t>CLOSE</t>
        </is>
      </c>
      <c r="T509" s="5" t="inlineStr">
        <is>
          <t>Import, export, and period close</t>
        </is>
      </c>
      <c r="U509" s="8" t="inlineStr"/>
      <c r="V509" s="8" t="inlineStr">
        <is>
          <t>accounting</t>
        </is>
      </c>
      <c r="W509" s="8" t="inlineStr">
        <is>
          <t>CONTROL</t>
        </is>
      </c>
      <c r="X509" s="5" t="inlineStr">
        <is>
          <t>Core</t>
        </is>
      </c>
      <c r="Y509" s="5" t="inlineStr">
        <is>
          <t>Accountant</t>
        </is>
      </c>
      <c r="Z509" s="5" t="inlineStr">
        <is>
          <t>Medium</t>
        </is>
      </c>
      <c r="AA509" s="5" t="inlineStr">
        <is>
          <t>Medium</t>
        </is>
      </c>
      <c r="AB509" s="8" t="inlineStr">
        <is>
          <t>Low</t>
        </is>
      </c>
      <c r="AC509" s="8" t="inlineStr">
        <is>
          <t>Pilot</t>
        </is>
      </c>
      <c r="AD509" s="5" t="inlineStr">
        <is>
          <t>Not independently checked</t>
        </is>
      </c>
      <c r="AE509" s="5" t="inlineStr">
        <is>
          <t>Not verified</t>
        </is>
      </c>
      <c r="AF509" s="5" t="inlineStr">
        <is>
          <t>Not verified</t>
        </is>
      </c>
      <c r="AG509" s="5" t="inlineStr">
        <is>
          <t>Not verified</t>
        </is>
      </c>
      <c r="AH509" s="5" t="inlineStr">
        <is>
          <t>Not verified</t>
        </is>
      </c>
      <c r="AI509" s="8" t="inlineStr">
        <is>
          <t>No</t>
        </is>
      </c>
      <c r="AJ509" s="8" t="inlineStr">
        <is>
          <t>Claimed - unverified</t>
        </is>
      </c>
      <c r="AK509" s="8" t="inlineStr">
        <is>
          <t>P1</t>
        </is>
      </c>
      <c r="AL509" s="8" t="n">
        <v>6</v>
      </c>
      <c r="AM509" s="5" t="inlineStr"/>
      <c r="AN509" s="5" t="inlineStr"/>
      <c r="AO509" s="5" t="inlineStr"/>
      <c r="AP509" s="5" t="inlineStr"/>
      <c r="AQ509" s="5" t="inlineStr"/>
      <c r="AR509" s="5" t="inlineStr"/>
      <c r="AS509" s="5" t="inlineStr"/>
      <c r="AT509" s="5" t="inlineStr"/>
      <c r="AU509" s="8" t="inlineStr">
        <is>
          <t>Not run</t>
        </is>
      </c>
    </row>
    <row r="510" ht="32" customHeight="1">
      <c r="A510" s="16" t="inlineStr">
        <is>
          <t>P-0509</t>
        </is>
      </c>
      <c r="B510" s="8" t="inlineStr">
        <is>
          <t>P</t>
        </is>
      </c>
      <c r="C510" s="5" t="inlineStr">
        <is>
          <t>Assembly / Production Supervisor</t>
        </is>
      </c>
      <c r="D510" s="5" t="inlineStr">
        <is>
          <t>Inventory Lifecycle</t>
        </is>
      </c>
      <c r="E510" s="5" t="inlineStr">
        <is>
          <t>Define Bill of Materials (BOM) for kit assembly or bulk repackaging</t>
        </is>
      </c>
      <c r="F510" s="5" t="inlineStr">
        <is>
          <t>Production Supervisor</t>
        </is>
      </c>
      <c r="G510" s="5" t="inlineStr">
        <is>
          <t>Inventory Manager</t>
        </is>
      </c>
      <c r="H510" s="5" t="inlineStr">
        <is>
          <t>Specify exact raw materials, packaging pouches, and quantities required to produce finished SKU</t>
        </is>
      </c>
      <c r="I510" s="5" t="inlineStr">
        <is>
          <t>Creates BillOfMaterials master; links component SKUs, scrap factors, and yield ratios</t>
        </is>
      </c>
      <c r="J510" s="20" t="inlineStr">
        <is>
          <t>P1</t>
        </is>
      </c>
      <c r="K510" s="20" t="inlineStr">
        <is>
          <t>Validated (Supported)</t>
        </is>
      </c>
      <c r="L510" s="5" t="inlineStr">
        <is>
          <t>Supported via /manufacturing/boms/create with multi-level component definition.</t>
        </is>
      </c>
      <c r="M510" s="8" t="inlineStr">
        <is>
          <t>Baseline</t>
        </is>
      </c>
      <c r="N510" s="8" t="inlineStr">
        <is>
          <t>Operational role</t>
        </is>
      </c>
      <c r="O510" s="8" t="inlineStr">
        <is>
          <t>P1</t>
        </is>
      </c>
      <c r="P510" s="5" t="inlineStr">
        <is>
          <t>Unchanged</t>
        </is>
      </c>
      <c r="Q510" s="20" t="inlineStr">
        <is>
          <t>Author assertion</t>
        </is>
      </c>
      <c r="R510" s="5" t="inlineStr"/>
      <c r="S510" s="8" t="inlineStr">
        <is>
          <t>MFG</t>
        </is>
      </c>
      <c r="T510" s="5" t="inlineStr">
        <is>
          <t>Manufacture and assemble</t>
        </is>
      </c>
      <c r="U510" s="8" t="inlineStr">
        <is>
          <t>1</t>
        </is>
      </c>
      <c r="V510" s="8" t="inlineStr">
        <is>
          <t>manufacturing</t>
        </is>
      </c>
      <c r="W510" s="8" t="inlineStr">
        <is>
          <t>RUN</t>
        </is>
      </c>
      <c r="X510" s="5" t="inlineStr">
        <is>
          <t>Core</t>
        </is>
      </c>
      <c r="Y510" s="5" t="inlineStr">
        <is>
          <t>Production</t>
        </is>
      </c>
      <c r="Z510" s="5" t="inlineStr">
        <is>
          <t>High</t>
        </is>
      </c>
      <c r="AA510" s="5" t="inlineStr">
        <is>
          <t>High</t>
        </is>
      </c>
      <c r="AB510" s="8" t="inlineStr">
        <is>
          <t>Low</t>
        </is>
      </c>
      <c r="AC510" s="8" t="inlineStr">
        <is>
          <t>Pilot</t>
        </is>
      </c>
      <c r="AD510" s="5" t="inlineStr">
        <is>
          <t>Not independently checked</t>
        </is>
      </c>
      <c r="AE510" s="5" t="inlineStr">
        <is>
          <t>Not verified</t>
        </is>
      </c>
      <c r="AF510" s="5" t="inlineStr">
        <is>
          <t>Not verified</t>
        </is>
      </c>
      <c r="AG510" s="5" t="inlineStr">
        <is>
          <t>Not verified</t>
        </is>
      </c>
      <c r="AH510" s="5" t="inlineStr">
        <is>
          <t>Not verified</t>
        </is>
      </c>
      <c r="AI510" s="8" t="inlineStr">
        <is>
          <t>No</t>
        </is>
      </c>
      <c r="AJ510" s="8" t="inlineStr">
        <is>
          <t>Claimed - unverified</t>
        </is>
      </c>
      <c r="AK510" s="8" t="inlineStr">
        <is>
          <t>P1</t>
        </is>
      </c>
      <c r="AL510" s="8" t="n">
        <v>9</v>
      </c>
      <c r="AM510" s="5" t="inlineStr"/>
      <c r="AN510" s="5" t="inlineStr"/>
      <c r="AO510" s="5" t="inlineStr"/>
      <c r="AP510" s="5" t="inlineStr"/>
      <c r="AQ510" s="5" t="inlineStr"/>
      <c r="AR510" s="5" t="inlineStr"/>
      <c r="AS510" s="5" t="inlineStr"/>
      <c r="AT510" s="5" t="inlineStr"/>
      <c r="AU510" s="8" t="inlineStr">
        <is>
          <t>Not run</t>
        </is>
      </c>
    </row>
    <row r="511" ht="32" customHeight="1">
      <c r="A511" s="16" t="inlineStr">
        <is>
          <t>P-0510</t>
        </is>
      </c>
      <c r="B511" s="8" t="inlineStr">
        <is>
          <t>P</t>
        </is>
      </c>
      <c r="C511" s="5" t="inlineStr">
        <is>
          <t>Assembly / Production Supervisor</t>
        </is>
      </c>
      <c r="D511" s="5" t="inlineStr">
        <is>
          <t>Inventory Lifecycle</t>
        </is>
      </c>
      <c r="E511" s="5" t="inlineStr">
        <is>
          <t>Issue raw materials to production work order</t>
        </is>
      </c>
      <c r="F511" s="5" t="inlineStr">
        <is>
          <t>Production Supervisor</t>
        </is>
      </c>
      <c r="G511" s="5" t="inlineStr">
        <is>
          <t>Godown Custodian</t>
        </is>
      </c>
      <c r="H511" s="5" t="inlineStr">
        <is>
          <t>Deduct bulk grains, chemicals, or packaging material from warehouse for assembly line</t>
        </is>
      </c>
      <c r="I511" s="5" t="inlineStr">
        <is>
          <t>Creates StockMovement (CONSUMPTION_OUTWARD); reduces raw material stock balance</t>
        </is>
      </c>
      <c r="J511" s="20" t="inlineStr">
        <is>
          <t>P1</t>
        </is>
      </c>
      <c r="K511" s="20" t="inlineStr">
        <is>
          <t>Validated (Supported)</t>
        </is>
      </c>
      <c r="L511" s="5" t="inlineStr">
        <is>
          <t>Supported via WorkOrder execution step; decrements component stock atomically.</t>
        </is>
      </c>
      <c r="M511" s="8" t="inlineStr">
        <is>
          <t>Baseline</t>
        </is>
      </c>
      <c r="N511" s="8" t="inlineStr">
        <is>
          <t>Operational role</t>
        </is>
      </c>
      <c r="O511" s="8" t="inlineStr">
        <is>
          <t>P1</t>
        </is>
      </c>
      <c r="P511" s="5" t="inlineStr">
        <is>
          <t>Restored to authored P1. The previous workbook had P0 after a keyword rebalance.</t>
        </is>
      </c>
      <c r="Q511" s="21" t="inlineStr">
        <is>
          <t>Code symbol found</t>
        </is>
      </c>
      <c r="R511" s="5" t="inlineStr">
        <is>
          <t>Matched WorkOrder in product code. This is not a functional test. Restored to authored P1. The previous workbook had P0 after a keyword rebalance.</t>
        </is>
      </c>
      <c r="S511" s="8" t="inlineStr">
        <is>
          <t>MFG</t>
        </is>
      </c>
      <c r="T511" s="5" t="inlineStr">
        <is>
          <t>Manufacture and assemble</t>
        </is>
      </c>
      <c r="U511" s="8" t="inlineStr">
        <is>
          <t>4</t>
        </is>
      </c>
      <c r="V511" s="8" t="inlineStr">
        <is>
          <t>manufacturing</t>
        </is>
      </c>
      <c r="W511" s="8" t="inlineStr">
        <is>
          <t>RUN</t>
        </is>
      </c>
      <c r="X511" s="5" t="inlineStr">
        <is>
          <t>Core</t>
        </is>
      </c>
      <c r="Y511" s="5" t="inlineStr">
        <is>
          <t>Production</t>
        </is>
      </c>
      <c r="Z511" s="5" t="inlineStr">
        <is>
          <t>High</t>
        </is>
      </c>
      <c r="AA511" s="5" t="inlineStr">
        <is>
          <t>High</t>
        </is>
      </c>
      <c r="AB511" s="8" t="inlineStr">
        <is>
          <t>Low</t>
        </is>
      </c>
      <c r="AC511" s="8" t="inlineStr">
        <is>
          <t>Pilot</t>
        </is>
      </c>
      <c r="AD511" s="5" t="inlineStr">
        <is>
          <t>Cited in code</t>
        </is>
      </c>
      <c r="AE511" s="5" t="inlineStr">
        <is>
          <t>Not verified</t>
        </is>
      </c>
      <c r="AF511" s="5" t="inlineStr">
        <is>
          <t>Not verified</t>
        </is>
      </c>
      <c r="AG511" s="5" t="inlineStr">
        <is>
          <t>Not verified</t>
        </is>
      </c>
      <c r="AH511" s="5" t="inlineStr">
        <is>
          <t>Not verified</t>
        </is>
      </c>
      <c r="AI511" s="8" t="inlineStr">
        <is>
          <t>No</t>
        </is>
      </c>
      <c r="AJ511" s="8" t="inlineStr">
        <is>
          <t>Built - unverified</t>
        </is>
      </c>
      <c r="AK511" s="8" t="inlineStr">
        <is>
          <t>P1</t>
        </is>
      </c>
      <c r="AL511" s="8" t="n">
        <v>9</v>
      </c>
      <c r="AM511" s="5" t="inlineStr"/>
      <c r="AN511" s="5" t="inlineStr"/>
      <c r="AO511" s="5" t="inlineStr"/>
      <c r="AP511" s="5" t="inlineStr">
        <is>
          <t>F-0754</t>
        </is>
      </c>
      <c r="AQ511" s="5" t="inlineStr"/>
      <c r="AR511" s="5" t="inlineStr"/>
      <c r="AS511" s="5" t="inlineStr"/>
      <c r="AT511" s="5" t="inlineStr"/>
      <c r="AU511" s="8" t="inlineStr">
        <is>
          <t>Not run</t>
        </is>
      </c>
    </row>
    <row r="512" ht="32" customHeight="1">
      <c r="A512" s="16" t="inlineStr">
        <is>
          <t>P-0511</t>
        </is>
      </c>
      <c r="B512" s="8" t="inlineStr">
        <is>
          <t>P</t>
        </is>
      </c>
      <c r="C512" s="5" t="inlineStr">
        <is>
          <t>Assembly / Production Supervisor</t>
        </is>
      </c>
      <c r="D512" s="5" t="inlineStr">
        <is>
          <t>Inventory Lifecycle</t>
        </is>
      </c>
      <c r="E512" s="5" t="inlineStr">
        <is>
          <t>Record finished goods receipt and waste / scrap shrinkage</t>
        </is>
      </c>
      <c r="F512" s="5" t="inlineStr">
        <is>
          <t>Production Supervisor</t>
        </is>
      </c>
      <c r="G512" s="5" t="inlineStr">
        <is>
          <t>Godown Custodian</t>
        </is>
      </c>
      <c r="H512" s="5" t="inlineStr">
        <is>
          <t>Inward packaged retail pouches or assembled kits into finished goods inventory warehouse</t>
        </is>
      </c>
      <c r="I512" s="5" t="inlineStr">
        <is>
          <t>Creates StockMovement (PRODUCTION_INWARD); records manufacturing batch number and scrap %</t>
        </is>
      </c>
      <c r="J512" s="20" t="inlineStr">
        <is>
          <t>P1</t>
        </is>
      </c>
      <c r="K512" s="20" t="inlineStr">
        <is>
          <t>Validated (Supported)</t>
        </is>
      </c>
      <c r="L512" s="5" t="inlineStr">
        <is>
          <t>Supported via WorkOrder completion screen; generates finished product batch lot.</t>
        </is>
      </c>
      <c r="M512" s="8" t="inlineStr">
        <is>
          <t>Baseline</t>
        </is>
      </c>
      <c r="N512" s="8" t="inlineStr">
        <is>
          <t>Operational role</t>
        </is>
      </c>
      <c r="O512" s="8" t="inlineStr">
        <is>
          <t>P1</t>
        </is>
      </c>
      <c r="P512" s="5" t="inlineStr">
        <is>
          <t>Unchanged</t>
        </is>
      </c>
      <c r="Q512" s="21" t="inlineStr">
        <is>
          <t>Code symbol found</t>
        </is>
      </c>
      <c r="R512" s="5" t="inlineStr">
        <is>
          <t>Matched WorkOrder in product code. This is not a functional test.</t>
        </is>
      </c>
      <c r="S512" s="8" t="inlineStr">
        <is>
          <t>INV</t>
        </is>
      </c>
      <c r="T512" s="5" t="inlineStr">
        <is>
          <t>Inventory lifecycle</t>
        </is>
      </c>
      <c r="U512" s="8" t="inlineStr"/>
      <c r="V512" s="8" t="inlineStr">
        <is>
          <t>inventory</t>
        </is>
      </c>
      <c r="W512" s="8" t="inlineStr">
        <is>
          <t>RUN</t>
        </is>
      </c>
      <c r="X512" s="5" t="inlineStr">
        <is>
          <t>Core</t>
        </is>
      </c>
      <c r="Y512" s="5" t="inlineStr">
        <is>
          <t>Production</t>
        </is>
      </c>
      <c r="Z512" s="5" t="inlineStr">
        <is>
          <t>High</t>
        </is>
      </c>
      <c r="AA512" s="5" t="inlineStr">
        <is>
          <t>High</t>
        </is>
      </c>
      <c r="AB512" s="8" t="inlineStr">
        <is>
          <t>Low</t>
        </is>
      </c>
      <c r="AC512" s="8" t="inlineStr">
        <is>
          <t>Pilot</t>
        </is>
      </c>
      <c r="AD512" s="5" t="inlineStr">
        <is>
          <t>Cited in code</t>
        </is>
      </c>
      <c r="AE512" s="5" t="inlineStr">
        <is>
          <t>Not verified</t>
        </is>
      </c>
      <c r="AF512" s="5" t="inlineStr">
        <is>
          <t>Not verified</t>
        </is>
      </c>
      <c r="AG512" s="5" t="inlineStr">
        <is>
          <t>Not verified</t>
        </is>
      </c>
      <c r="AH512" s="5" t="inlineStr">
        <is>
          <t>Not verified</t>
        </is>
      </c>
      <c r="AI512" s="8" t="inlineStr">
        <is>
          <t>No</t>
        </is>
      </c>
      <c r="AJ512" s="8" t="inlineStr">
        <is>
          <t>Built - unverified</t>
        </is>
      </c>
      <c r="AK512" s="8" t="inlineStr">
        <is>
          <t>P1</t>
        </is>
      </c>
      <c r="AL512" s="8" t="n">
        <v>9</v>
      </c>
      <c r="AM512" s="5" t="inlineStr"/>
      <c r="AN512" s="5" t="inlineStr"/>
      <c r="AO512" s="5" t="inlineStr"/>
      <c r="AP512" s="5" t="inlineStr"/>
      <c r="AQ512" s="5" t="inlineStr"/>
      <c r="AR512" s="5" t="inlineStr"/>
      <c r="AS512" s="5" t="inlineStr"/>
      <c r="AT512" s="5" t="inlineStr"/>
      <c r="AU512" s="8" t="inlineStr">
        <is>
          <t>Not run</t>
        </is>
      </c>
    </row>
    <row r="513" ht="32" customHeight="1">
      <c r="A513" s="16" t="inlineStr">
        <is>
          <t>P-0512</t>
        </is>
      </c>
      <c r="B513" s="8" t="inlineStr">
        <is>
          <t>P</t>
        </is>
      </c>
      <c r="C513" s="5" t="inlineStr">
        <is>
          <t>Assembly / Production Supervisor</t>
        </is>
      </c>
      <c r="D513" s="5" t="inlineStr">
        <is>
          <t>Inventory Lifecycle</t>
        </is>
      </c>
      <c r="E513" s="5" t="inlineStr">
        <is>
          <t>Calculate finished goods unit cost including labor and packaging overhead</t>
        </is>
      </c>
      <c r="F513" s="5" t="inlineStr">
        <is>
          <t>Cost Accountant / Supervisor</t>
        </is>
      </c>
      <c r="G513" s="5" t="inlineStr">
        <is>
          <t>In-house Accountant</t>
        </is>
      </c>
      <c r="H513" s="5" t="inlineStr">
        <is>
          <t>Determine true capitalized landed cost of manufactured SKU for accurate gross margin tracking</t>
        </is>
      </c>
      <c r="I513" s="5" t="inlineStr">
        <is>
          <t>Aggregates raw material FIFO costs + packaging cost + labor overhead = Finished SKU Cost</t>
        </is>
      </c>
      <c r="J513" s="20" t="inlineStr">
        <is>
          <t>P1</t>
        </is>
      </c>
      <c r="K513" s="20" t="inlineStr">
        <is>
          <t>Validated (Supported)</t>
        </is>
      </c>
      <c r="L513" s="5" t="inlineStr">
        <is>
          <t>Automated BOM unit cost rollup engine based on perpetual FIFO component costs.</t>
        </is>
      </c>
      <c r="M513" s="8" t="inlineStr">
        <is>
          <t>Baseline</t>
        </is>
      </c>
      <c r="N513" s="8" t="inlineStr">
        <is>
          <t>Operational role</t>
        </is>
      </c>
      <c r="O513" s="8" t="inlineStr">
        <is>
          <t>P1</t>
        </is>
      </c>
      <c r="P513" s="5" t="inlineStr">
        <is>
          <t>Unchanged</t>
        </is>
      </c>
      <c r="Q513" s="20" t="inlineStr">
        <is>
          <t>Author assertion</t>
        </is>
      </c>
      <c r="R513" s="5" t="inlineStr"/>
      <c r="S513" s="8" t="inlineStr">
        <is>
          <t>MFG</t>
        </is>
      </c>
      <c r="T513" s="5" t="inlineStr">
        <is>
          <t>Manufacture and assemble</t>
        </is>
      </c>
      <c r="U513" s="8" t="inlineStr">
        <is>
          <t>6</t>
        </is>
      </c>
      <c r="V513" s="8" t="inlineStr">
        <is>
          <t>manufacturing</t>
        </is>
      </c>
      <c r="W513" s="8" t="inlineStr">
        <is>
          <t>RUN</t>
        </is>
      </c>
      <c r="X513" s="5" t="inlineStr">
        <is>
          <t>Core</t>
        </is>
      </c>
      <c r="Y513" s="5" t="inlineStr">
        <is>
          <t>Production</t>
        </is>
      </c>
      <c r="Z513" s="5" t="inlineStr">
        <is>
          <t>High</t>
        </is>
      </c>
      <c r="AA513" s="5" t="inlineStr">
        <is>
          <t>High</t>
        </is>
      </c>
      <c r="AB513" s="8" t="inlineStr">
        <is>
          <t>Low</t>
        </is>
      </c>
      <c r="AC513" s="8" t="inlineStr">
        <is>
          <t>Pilot</t>
        </is>
      </c>
      <c r="AD513" s="5" t="inlineStr">
        <is>
          <t>Not independently checked</t>
        </is>
      </c>
      <c r="AE513" s="5" t="inlineStr">
        <is>
          <t>Not verified</t>
        </is>
      </c>
      <c r="AF513" s="5" t="inlineStr">
        <is>
          <t>Not verified</t>
        </is>
      </c>
      <c r="AG513" s="5" t="inlineStr">
        <is>
          <t>Not verified</t>
        </is>
      </c>
      <c r="AH513" s="5" t="inlineStr">
        <is>
          <t>Not verified</t>
        </is>
      </c>
      <c r="AI513" s="8" t="inlineStr">
        <is>
          <t>No</t>
        </is>
      </c>
      <c r="AJ513" s="8" t="inlineStr">
        <is>
          <t>Claimed - unverified</t>
        </is>
      </c>
      <c r="AK513" s="8" t="inlineStr">
        <is>
          <t>P1</t>
        </is>
      </c>
      <c r="AL513" s="8" t="n">
        <v>9</v>
      </c>
      <c r="AM513" s="5" t="inlineStr"/>
      <c r="AN513" s="5" t="inlineStr"/>
      <c r="AO513" s="5" t="inlineStr"/>
      <c r="AP513" s="5" t="inlineStr">
        <is>
          <t>F-0755</t>
        </is>
      </c>
      <c r="AQ513" s="5" t="inlineStr"/>
      <c r="AR513" s="5" t="inlineStr"/>
      <c r="AS513" s="5" t="inlineStr"/>
      <c r="AT513" s="5" t="inlineStr"/>
      <c r="AU513" s="8" t="inlineStr">
        <is>
          <t>Not run</t>
        </is>
      </c>
    </row>
    <row r="514" ht="32" customHeight="1">
      <c r="A514" s="16" t="inlineStr">
        <is>
          <t>X-0513</t>
        </is>
      </c>
      <c r="B514" s="8" t="inlineStr">
        <is>
          <t>X</t>
        </is>
      </c>
      <c r="C514" s="5" t="inlineStr">
        <is>
          <t>Multiple / Cross-persona</t>
        </is>
      </c>
      <c r="D514" s="5" t="inlineStr">
        <is>
          <t>GST / Tax / Compliance</t>
        </is>
      </c>
      <c r="E514" s="5" t="inlineStr">
        <is>
          <t>Generate E-Way Bill Part A &amp; Part B for transport consignments &gt; ₹50,000</t>
        </is>
      </c>
      <c r="F514" s="5" t="inlineStr">
        <is>
          <t>Billing Clerk / Logistics Dispatcher</t>
        </is>
      </c>
      <c r="G514" s="5" t="inlineStr">
        <is>
          <t>Delivery Driver</t>
        </is>
      </c>
      <c r="H514" s="5" t="inlineStr">
        <is>
          <t>Statutory compliance for moving goods across state or intra-state above ₹50,000 threshold</t>
        </is>
      </c>
      <c r="I514" s="5" t="inlineStr">
        <is>
          <t>Generates 12-digit E-Way Bill Number (EWB); attaches vehicle number and transport distance</t>
        </is>
      </c>
      <c r="J514" s="19" t="inlineStr">
        <is>
          <t>P0</t>
        </is>
      </c>
      <c r="K514" s="20" t="inlineStr">
        <is>
          <t>Validated (Supported)</t>
        </is>
      </c>
      <c r="L514" s="5" t="inlineStr">
        <is>
          <t>Supported via NIC E-Way Bill offline JSON generator and direct GSP API integration.</t>
        </is>
      </c>
      <c r="M514" s="8" t="inlineStr">
        <is>
          <t>Baseline</t>
        </is>
      </c>
      <c r="N514" s="8" t="inlineStr">
        <is>
          <t>Cross-persona</t>
        </is>
      </c>
      <c r="O514" s="8" t="inlineStr">
        <is>
          <t>P0</t>
        </is>
      </c>
      <c r="P514" s="5" t="inlineStr">
        <is>
          <t>Unchanged</t>
        </is>
      </c>
      <c r="Q514" s="20" t="inlineStr">
        <is>
          <t>Author assertion</t>
        </is>
      </c>
      <c r="R514" s="5" t="inlineStr"/>
      <c r="S514" s="8" t="inlineStr">
        <is>
          <t>GST</t>
        </is>
      </c>
      <c r="T514" s="5" t="inlineStr">
        <is>
          <t>GST and tax compliance</t>
        </is>
      </c>
      <c r="U514" s="8" t="inlineStr"/>
      <c r="V514" s="8" t="inlineStr">
        <is>
          <t>accounting</t>
        </is>
      </c>
      <c r="W514" s="8" t="inlineStr">
        <is>
          <t>CONTROL</t>
        </is>
      </c>
      <c r="X514" s="5" t="inlineStr">
        <is>
          <t>Core</t>
        </is>
      </c>
      <c r="Y514" s="5" t="inlineStr">
        <is>
          <t>Cross-persona</t>
        </is>
      </c>
      <c r="Z514" s="5" t="inlineStr">
        <is>
          <t>Critical</t>
        </is>
      </c>
      <c r="AA514" s="5" t="inlineStr">
        <is>
          <t>High</t>
        </is>
      </c>
      <c r="AB514" s="8" t="inlineStr">
        <is>
          <t>High</t>
        </is>
      </c>
      <c r="AC514" s="8" t="inlineStr">
        <is>
          <t>MVP</t>
        </is>
      </c>
      <c r="AD514" s="5" t="inlineStr">
        <is>
          <t>Not independently checked</t>
        </is>
      </c>
      <c r="AE514" s="5" t="inlineStr">
        <is>
          <t>Not verified</t>
        </is>
      </c>
      <c r="AF514" s="5" t="inlineStr">
        <is>
          <t>Not verified</t>
        </is>
      </c>
      <c r="AG514" s="5" t="inlineStr">
        <is>
          <t>Not verified</t>
        </is>
      </c>
      <c r="AH514" s="5" t="inlineStr">
        <is>
          <t>Not verified</t>
        </is>
      </c>
      <c r="AI514" s="8" t="inlineStr">
        <is>
          <t>No</t>
        </is>
      </c>
      <c r="AJ514" s="8" t="inlineStr">
        <is>
          <t>Claimed - unverified</t>
        </is>
      </c>
      <c r="AK514" s="8" t="inlineStr">
        <is>
          <t>P0</t>
        </is>
      </c>
      <c r="AL514" s="8" t="n">
        <v>27</v>
      </c>
      <c r="AM514" s="5" t="inlineStr"/>
      <c r="AN514" s="5" t="inlineStr"/>
      <c r="AO514" s="5" t="inlineStr"/>
      <c r="AP514" s="5" t="inlineStr"/>
      <c r="AQ514" s="5" t="inlineStr"/>
      <c r="AR514" s="5" t="inlineStr"/>
      <c r="AS514" s="5" t="inlineStr"/>
      <c r="AT514" s="5" t="inlineStr"/>
      <c r="AU514" s="8" t="inlineStr">
        <is>
          <t>Not run</t>
        </is>
      </c>
    </row>
    <row r="515" ht="32" customHeight="1">
      <c r="A515" s="16" t="inlineStr">
        <is>
          <t>X-0514</t>
        </is>
      </c>
      <c r="B515" s="8" t="inlineStr">
        <is>
          <t>X</t>
        </is>
      </c>
      <c r="C515" s="5" t="inlineStr">
        <is>
          <t>Multiple / Cross-persona</t>
        </is>
      </c>
      <c r="D515" s="5" t="inlineStr">
        <is>
          <t>GST / Tax / Compliance</t>
        </is>
      </c>
      <c r="E515" s="5" t="inlineStr">
        <is>
          <t>Update transport vehicle number / Transporter ID on active E-Way Bill during breakdown</t>
        </is>
      </c>
      <c r="F515" s="5" t="inlineStr">
        <is>
          <t>Logistics Dispatcher</t>
        </is>
      </c>
      <c r="G515" s="5" t="inlineStr">
        <is>
          <t>Delivery Driver / RTO Officer</t>
        </is>
      </c>
      <c r="H515" s="5" t="inlineStr">
        <is>
          <t>Maintain valid E-Way Bill Part B when delivery truck breaks down or transshipment occurs</t>
        </is>
      </c>
      <c r="I515" s="5" t="inlineStr">
        <is>
          <t>Updates vehicle registration number on active EWB; prints updated transport endorsement</t>
        </is>
      </c>
      <c r="J515" s="19" t="inlineStr">
        <is>
          <t>P0</t>
        </is>
      </c>
      <c r="K515" s="20" t="inlineStr">
        <is>
          <t>Validated (Supported)</t>
        </is>
      </c>
      <c r="L515" s="5" t="inlineStr">
        <is>
          <t>Supported via E-Way Bill Vehicle Update action (/sales/e-way-bills/{id}/update-vehicle/).</t>
        </is>
      </c>
      <c r="M515" s="8" t="inlineStr">
        <is>
          <t>Baseline</t>
        </is>
      </c>
      <c r="N515" s="8" t="inlineStr">
        <is>
          <t>Cross-persona</t>
        </is>
      </c>
      <c r="O515" s="8" t="inlineStr">
        <is>
          <t>P0</t>
        </is>
      </c>
      <c r="P515" s="5" t="inlineStr">
        <is>
          <t>Unchanged</t>
        </is>
      </c>
      <c r="Q515" s="20" t="inlineStr">
        <is>
          <t>Author assertion</t>
        </is>
      </c>
      <c r="R515" s="5" t="inlineStr"/>
      <c r="S515" s="8" t="inlineStr">
        <is>
          <t>GST</t>
        </is>
      </c>
      <c r="T515" s="5" t="inlineStr">
        <is>
          <t>GST and tax compliance</t>
        </is>
      </c>
      <c r="U515" s="8" t="inlineStr"/>
      <c r="V515" s="8" t="inlineStr">
        <is>
          <t>accounting</t>
        </is>
      </c>
      <c r="W515" s="8" t="inlineStr">
        <is>
          <t>CONTROL</t>
        </is>
      </c>
      <c r="X515" s="5" t="inlineStr">
        <is>
          <t>Core</t>
        </is>
      </c>
      <c r="Y515" s="5" t="inlineStr">
        <is>
          <t>Cross-persona</t>
        </is>
      </c>
      <c r="Z515" s="5" t="inlineStr">
        <is>
          <t>Critical</t>
        </is>
      </c>
      <c r="AA515" s="5" t="inlineStr">
        <is>
          <t>High</t>
        </is>
      </c>
      <c r="AB515" s="8" t="inlineStr">
        <is>
          <t>High</t>
        </is>
      </c>
      <c r="AC515" s="8" t="inlineStr">
        <is>
          <t>MVP</t>
        </is>
      </c>
      <c r="AD515" s="5" t="inlineStr">
        <is>
          <t>Not independently checked</t>
        </is>
      </c>
      <c r="AE515" s="5" t="inlineStr">
        <is>
          <t>Not verified</t>
        </is>
      </c>
      <c r="AF515" s="5" t="inlineStr">
        <is>
          <t>Not verified</t>
        </is>
      </c>
      <c r="AG515" s="5" t="inlineStr">
        <is>
          <t>Not verified</t>
        </is>
      </c>
      <c r="AH515" s="5" t="inlineStr">
        <is>
          <t>Not verified</t>
        </is>
      </c>
      <c r="AI515" s="8" t="inlineStr">
        <is>
          <t>No</t>
        </is>
      </c>
      <c r="AJ515" s="8" t="inlineStr">
        <is>
          <t>Claimed - unverified</t>
        </is>
      </c>
      <c r="AK515" s="8" t="inlineStr">
        <is>
          <t>P0</t>
        </is>
      </c>
      <c r="AL515" s="8" t="n">
        <v>27</v>
      </c>
      <c r="AM515" s="5" t="inlineStr"/>
      <c r="AN515" s="5" t="inlineStr"/>
      <c r="AO515" s="5" t="inlineStr"/>
      <c r="AP515" s="5" t="inlineStr"/>
      <c r="AQ515" s="5" t="inlineStr"/>
      <c r="AR515" s="5" t="inlineStr"/>
      <c r="AS515" s="5" t="inlineStr"/>
      <c r="AT515" s="5" t="inlineStr"/>
      <c r="AU515" s="8" t="inlineStr">
        <is>
          <t>Not run</t>
        </is>
      </c>
    </row>
    <row r="516" ht="32" customHeight="1">
      <c r="A516" s="16" t="inlineStr">
        <is>
          <t>X-0515</t>
        </is>
      </c>
      <c r="B516" s="8" t="inlineStr">
        <is>
          <t>X</t>
        </is>
      </c>
      <c r="C516" s="5" t="inlineStr">
        <is>
          <t>Multiple / Cross-persona</t>
        </is>
      </c>
      <c r="D516" s="5" t="inlineStr">
        <is>
          <t>GST / Tax / Compliance</t>
        </is>
      </c>
      <c r="E516" s="5" t="inlineStr">
        <is>
          <t>Extend E-Way Bill validity before expiry due to transit delay or traffic accident</t>
        </is>
      </c>
      <c r="F516" s="5" t="inlineStr">
        <is>
          <t>Logistics Dispatcher</t>
        </is>
      </c>
      <c r="G516" s="5" t="inlineStr">
        <is>
          <t>Delivery Driver</t>
        </is>
      </c>
      <c r="H516" s="5" t="inlineStr">
        <is>
          <t>Prevent vehicle impoundment and 200% tax penalty by extending validity within 8-hour window</t>
        </is>
      </c>
      <c r="I516" s="5" t="inlineStr">
        <is>
          <t>Extends EWB validity based on remaining distance; records reason code (Accident/Traffic)</t>
        </is>
      </c>
      <c r="J516" s="19" t="inlineStr">
        <is>
          <t>P0</t>
        </is>
      </c>
      <c r="K516" s="20" t="inlineStr">
        <is>
          <t>Validated (Supported)</t>
        </is>
      </c>
      <c r="L516" s="5" t="inlineStr">
        <is>
          <t>Supported via E-Way Bill Extension workflow compliant with Rule 138(10) of CGST Rules.</t>
        </is>
      </c>
      <c r="M516" s="8" t="inlineStr">
        <is>
          <t>Baseline</t>
        </is>
      </c>
      <c r="N516" s="8" t="inlineStr">
        <is>
          <t>Cross-persona</t>
        </is>
      </c>
      <c r="O516" s="8" t="inlineStr">
        <is>
          <t>P0</t>
        </is>
      </c>
      <c r="P516" s="5" t="inlineStr">
        <is>
          <t>Unchanged</t>
        </is>
      </c>
      <c r="Q516" s="20" t="inlineStr">
        <is>
          <t>Author assertion</t>
        </is>
      </c>
      <c r="R516" s="5" t="inlineStr"/>
      <c r="S516" s="8" t="inlineStr">
        <is>
          <t>GST</t>
        </is>
      </c>
      <c r="T516" s="5" t="inlineStr">
        <is>
          <t>GST and tax compliance</t>
        </is>
      </c>
      <c r="U516" s="8" t="inlineStr"/>
      <c r="V516" s="8" t="inlineStr">
        <is>
          <t>accounting</t>
        </is>
      </c>
      <c r="W516" s="8" t="inlineStr">
        <is>
          <t>CONTROL</t>
        </is>
      </c>
      <c r="X516" s="5" t="inlineStr">
        <is>
          <t>Core</t>
        </is>
      </c>
      <c r="Y516" s="5" t="inlineStr">
        <is>
          <t>Cross-persona</t>
        </is>
      </c>
      <c r="Z516" s="5" t="inlineStr">
        <is>
          <t>Critical</t>
        </is>
      </c>
      <c r="AA516" s="5" t="inlineStr">
        <is>
          <t>High</t>
        </is>
      </c>
      <c r="AB516" s="8" t="inlineStr">
        <is>
          <t>High</t>
        </is>
      </c>
      <c r="AC516" s="8" t="inlineStr">
        <is>
          <t>MVP</t>
        </is>
      </c>
      <c r="AD516" s="5" t="inlineStr">
        <is>
          <t>Not independently checked</t>
        </is>
      </c>
      <c r="AE516" s="5" t="inlineStr">
        <is>
          <t>Not verified</t>
        </is>
      </c>
      <c r="AF516" s="5" t="inlineStr">
        <is>
          <t>Not verified</t>
        </is>
      </c>
      <c r="AG516" s="5" t="inlineStr">
        <is>
          <t>Not verified</t>
        </is>
      </c>
      <c r="AH516" s="5" t="inlineStr">
        <is>
          <t>Not verified</t>
        </is>
      </c>
      <c r="AI516" s="8" t="inlineStr">
        <is>
          <t>No</t>
        </is>
      </c>
      <c r="AJ516" s="8" t="inlineStr">
        <is>
          <t>Claimed - unverified</t>
        </is>
      </c>
      <c r="AK516" s="8" t="inlineStr">
        <is>
          <t>P0</t>
        </is>
      </c>
      <c r="AL516" s="8" t="n">
        <v>27</v>
      </c>
      <c r="AM516" s="5" t="inlineStr"/>
      <c r="AN516" s="5" t="inlineStr"/>
      <c r="AO516" s="5" t="inlineStr"/>
      <c r="AP516" s="5" t="inlineStr"/>
      <c r="AQ516" s="5" t="inlineStr"/>
      <c r="AR516" s="5" t="inlineStr"/>
      <c r="AS516" s="5" t="inlineStr"/>
      <c r="AT516" s="5" t="inlineStr"/>
      <c r="AU516" s="8" t="inlineStr">
        <is>
          <t>Not run</t>
        </is>
      </c>
    </row>
    <row r="517" ht="32" customHeight="1">
      <c r="A517" s="16" t="inlineStr">
        <is>
          <t>X-0516</t>
        </is>
      </c>
      <c r="B517" s="8" t="inlineStr">
        <is>
          <t>X</t>
        </is>
      </c>
      <c r="C517" s="5" t="inlineStr">
        <is>
          <t>Multiple / Cross-persona</t>
        </is>
      </c>
      <c r="D517" s="5" t="inlineStr">
        <is>
          <t>GST / Tax / Compliance</t>
        </is>
      </c>
      <c r="E517" s="5" t="inlineStr">
        <is>
          <t>Generate live B2B E-Invoice with IRN and Signed QR via NIC/IRP portal</t>
        </is>
      </c>
      <c r="F517" s="5" t="inlineStr">
        <is>
          <t>Billing Clerk</t>
        </is>
      </c>
      <c r="G517" s="5" t="inlineStr">
        <is>
          <t>Registered B2B Customer</t>
        </is>
      </c>
      <c r="H517" s="5" t="inlineStr">
        <is>
          <t>Mandatory statutory compliance for businesses exceeding legal turnover threshold</t>
        </is>
      </c>
      <c r="I517" s="5" t="inlineStr">
        <is>
          <t>Uploads invoice payload to IRP; receives 64-char Hash IRN, Ack No, and Signed QR code</t>
        </is>
      </c>
      <c r="J517" s="19" t="inlineStr">
        <is>
          <t>P0</t>
        </is>
      </c>
      <c r="K517" s="20" t="inlineStr">
        <is>
          <t>Validated (Supported)</t>
        </is>
      </c>
      <c r="L517" s="5" t="inlineStr">
        <is>
          <t>Supported via E-Invoice JSON payload generator and direct IRP integration.</t>
        </is>
      </c>
      <c r="M517" s="8" t="inlineStr">
        <is>
          <t>Baseline</t>
        </is>
      </c>
      <c r="N517" s="8" t="inlineStr">
        <is>
          <t>Cross-persona</t>
        </is>
      </c>
      <c r="O517" s="8" t="inlineStr">
        <is>
          <t>P0</t>
        </is>
      </c>
      <c r="P517" s="5" t="inlineStr">
        <is>
          <t>Unchanged</t>
        </is>
      </c>
      <c r="Q517" s="20" t="inlineStr">
        <is>
          <t>Author assertion</t>
        </is>
      </c>
      <c r="R517" s="5" t="inlineStr"/>
      <c r="S517" s="8" t="inlineStr">
        <is>
          <t>GST</t>
        </is>
      </c>
      <c r="T517" s="5" t="inlineStr">
        <is>
          <t>GST and tax compliance</t>
        </is>
      </c>
      <c r="U517" s="8" t="inlineStr"/>
      <c r="V517" s="8" t="inlineStr">
        <is>
          <t>accounting</t>
        </is>
      </c>
      <c r="W517" s="8" t="inlineStr">
        <is>
          <t>CONTROL</t>
        </is>
      </c>
      <c r="X517" s="5" t="inlineStr">
        <is>
          <t>Core</t>
        </is>
      </c>
      <c r="Y517" s="5" t="inlineStr">
        <is>
          <t>Cross-persona</t>
        </is>
      </c>
      <c r="Z517" s="5" t="inlineStr">
        <is>
          <t>Critical</t>
        </is>
      </c>
      <c r="AA517" s="5" t="inlineStr">
        <is>
          <t>High</t>
        </is>
      </c>
      <c r="AB517" s="8" t="inlineStr">
        <is>
          <t>High</t>
        </is>
      </c>
      <c r="AC517" s="8" t="inlineStr">
        <is>
          <t>MVP</t>
        </is>
      </c>
      <c r="AD517" s="5" t="inlineStr">
        <is>
          <t>Not independently checked</t>
        </is>
      </c>
      <c r="AE517" s="5" t="inlineStr">
        <is>
          <t>Not verified</t>
        </is>
      </c>
      <c r="AF517" s="5" t="inlineStr">
        <is>
          <t>Not verified</t>
        </is>
      </c>
      <c r="AG517" s="5" t="inlineStr">
        <is>
          <t>Not verified</t>
        </is>
      </c>
      <c r="AH517" s="5" t="inlineStr">
        <is>
          <t>Not verified</t>
        </is>
      </c>
      <c r="AI517" s="8" t="inlineStr">
        <is>
          <t>No</t>
        </is>
      </c>
      <c r="AJ517" s="8" t="inlineStr">
        <is>
          <t>Claimed - unverified</t>
        </is>
      </c>
      <c r="AK517" s="8" t="inlineStr">
        <is>
          <t>P0</t>
        </is>
      </c>
      <c r="AL517" s="8" t="n">
        <v>27</v>
      </c>
      <c r="AM517" s="5" t="inlineStr"/>
      <c r="AN517" s="5" t="inlineStr"/>
      <c r="AO517" s="5" t="inlineStr"/>
      <c r="AP517" s="5" t="inlineStr"/>
      <c r="AQ517" s="5" t="inlineStr"/>
      <c r="AR517" s="5" t="inlineStr"/>
      <c r="AS517" s="5" t="inlineStr"/>
      <c r="AT517" s="5" t="inlineStr"/>
      <c r="AU517" s="8" t="inlineStr">
        <is>
          <t>Not run</t>
        </is>
      </c>
    </row>
    <row r="518" ht="32" customHeight="1">
      <c r="A518" s="16" t="inlineStr">
        <is>
          <t>X-0517</t>
        </is>
      </c>
      <c r="B518" s="8" t="inlineStr">
        <is>
          <t>X</t>
        </is>
      </c>
      <c r="C518" s="5" t="inlineStr">
        <is>
          <t>Multiple / Cross-persona</t>
        </is>
      </c>
      <c r="D518" s="5" t="inlineStr">
        <is>
          <t>GST / Tax / Compliance</t>
        </is>
      </c>
      <c r="E518" s="5" t="inlineStr">
        <is>
          <t>Print IRN, Ack No, and cryptographic QR code on customer tax invoice PDF</t>
        </is>
      </c>
      <c r="F518" s="5" t="inlineStr">
        <is>
          <t>Billing Clerk</t>
        </is>
      </c>
      <c r="G518" s="5" t="inlineStr">
        <is>
          <t>Customer / GST Inspector</t>
        </is>
      </c>
      <c r="H518" s="5" t="inlineStr">
        <is>
          <t>Render legal B2B tax invoice PDF containing verifiable cryptographic B2B signed QR code</t>
        </is>
      </c>
      <c r="I518" s="5" t="inlineStr">
        <is>
          <t>Embeds 500x500 signed QR bitmap and IRN string on top-right of standard invoice layout</t>
        </is>
      </c>
      <c r="J518" s="19" t="inlineStr">
        <is>
          <t>P0</t>
        </is>
      </c>
      <c r="K518" s="20" t="inlineStr">
        <is>
          <t>Validated (Supported)</t>
        </is>
      </c>
      <c r="L518" s="5" t="inlineStr">
        <is>
          <t>Core rendering invariant: Rule 48(4) compliant PDF invoice template with IRN &amp; Signed QR.</t>
        </is>
      </c>
      <c r="M518" s="8" t="inlineStr">
        <is>
          <t>Baseline</t>
        </is>
      </c>
      <c r="N518" s="8" t="inlineStr">
        <is>
          <t>Cross-persona</t>
        </is>
      </c>
      <c r="O518" s="8" t="inlineStr">
        <is>
          <t>P0</t>
        </is>
      </c>
      <c r="P518" s="5" t="inlineStr">
        <is>
          <t>Unchanged</t>
        </is>
      </c>
      <c r="Q518" s="20" t="inlineStr">
        <is>
          <t>Author assertion</t>
        </is>
      </c>
      <c r="R518" s="5" t="inlineStr"/>
      <c r="S518" s="8" t="inlineStr">
        <is>
          <t>GST</t>
        </is>
      </c>
      <c r="T518" s="5" t="inlineStr">
        <is>
          <t>GST and tax compliance</t>
        </is>
      </c>
      <c r="U518" s="8" t="inlineStr"/>
      <c r="V518" s="8" t="inlineStr">
        <is>
          <t>accounting</t>
        </is>
      </c>
      <c r="W518" s="8" t="inlineStr">
        <is>
          <t>CONTROL</t>
        </is>
      </c>
      <c r="X518" s="5" t="inlineStr">
        <is>
          <t>Core</t>
        </is>
      </c>
      <c r="Y518" s="5" t="inlineStr">
        <is>
          <t>Cross-persona</t>
        </is>
      </c>
      <c r="Z518" s="5" t="inlineStr">
        <is>
          <t>Critical</t>
        </is>
      </c>
      <c r="AA518" s="5" t="inlineStr">
        <is>
          <t>High</t>
        </is>
      </c>
      <c r="AB518" s="8" t="inlineStr">
        <is>
          <t>High</t>
        </is>
      </c>
      <c r="AC518" s="8" t="inlineStr">
        <is>
          <t>MVP</t>
        </is>
      </c>
      <c r="AD518" s="5" t="inlineStr">
        <is>
          <t>Not independently checked</t>
        </is>
      </c>
      <c r="AE518" s="5" t="inlineStr">
        <is>
          <t>Not verified</t>
        </is>
      </c>
      <c r="AF518" s="5" t="inlineStr">
        <is>
          <t>Not verified</t>
        </is>
      </c>
      <c r="AG518" s="5" t="inlineStr">
        <is>
          <t>Not verified</t>
        </is>
      </c>
      <c r="AH518" s="5" t="inlineStr">
        <is>
          <t>Not verified</t>
        </is>
      </c>
      <c r="AI518" s="8" t="inlineStr">
        <is>
          <t>No</t>
        </is>
      </c>
      <c r="AJ518" s="8" t="inlineStr">
        <is>
          <t>Claimed - unverified</t>
        </is>
      </c>
      <c r="AK518" s="8" t="inlineStr">
        <is>
          <t>P0</t>
        </is>
      </c>
      <c r="AL518" s="8" t="n">
        <v>27</v>
      </c>
      <c r="AM518" s="5" t="inlineStr"/>
      <c r="AN518" s="5" t="inlineStr"/>
      <c r="AO518" s="5" t="inlineStr"/>
      <c r="AP518" s="5" t="inlineStr"/>
      <c r="AQ518" s="5" t="inlineStr"/>
      <c r="AR518" s="5" t="inlineStr"/>
      <c r="AS518" s="5" t="inlineStr"/>
      <c r="AT518" s="5" t="inlineStr"/>
      <c r="AU518" s="8" t="inlineStr">
        <is>
          <t>Not run</t>
        </is>
      </c>
    </row>
    <row r="519" ht="32" customHeight="1">
      <c r="A519" s="16" t="inlineStr">
        <is>
          <t>X-0518</t>
        </is>
      </c>
      <c r="B519" s="8" t="inlineStr">
        <is>
          <t>X</t>
        </is>
      </c>
      <c r="C519" s="5" t="inlineStr">
        <is>
          <t>Multiple / Cross-persona</t>
        </is>
      </c>
      <c r="D519" s="5" t="inlineStr">
        <is>
          <t>GST / Tax / Compliance</t>
        </is>
      </c>
      <c r="E519" s="5" t="inlineStr">
        <is>
          <t>Cancel E-Invoice within 24 hours on IRP portal with cancellation reason code</t>
        </is>
      </c>
      <c r="F519" s="5" t="inlineStr">
        <is>
          <t>In-house Accountant</t>
        </is>
      </c>
      <c r="G519" s="5" t="inlineStr">
        <is>
          <t>Tax Authority (IRP)</t>
        </is>
      </c>
      <c r="H519" s="5" t="inlineStr">
        <is>
          <t>Legally cancel incorrectly issued e-invoice within statutory 24-hour window</t>
        </is>
      </c>
      <c r="I519" s="5" t="inlineStr">
        <is>
          <t>Submits cancellation to IRP; voids IRN; updates document status to E_INVOICE_CANCELLED</t>
        </is>
      </c>
      <c r="J519" s="19" t="inlineStr">
        <is>
          <t>P0</t>
        </is>
      </c>
      <c r="K519" s="20" t="inlineStr">
        <is>
          <t>Validated (Supported)</t>
        </is>
      </c>
      <c r="L519" s="5" t="inlineStr">
        <is>
          <t>Supported via E-Invoice Cancel modal with mandatory reason code (1: Duplicate, 2: Data Error).</t>
        </is>
      </c>
      <c r="M519" s="8" t="inlineStr">
        <is>
          <t>Baseline</t>
        </is>
      </c>
      <c r="N519" s="8" t="inlineStr">
        <is>
          <t>Cross-persona</t>
        </is>
      </c>
      <c r="O519" s="8" t="inlineStr">
        <is>
          <t>P0</t>
        </is>
      </c>
      <c r="P519" s="5" t="inlineStr">
        <is>
          <t>Unchanged</t>
        </is>
      </c>
      <c r="Q519" s="20" t="inlineStr">
        <is>
          <t>Author assertion</t>
        </is>
      </c>
      <c r="R519" s="5" t="inlineStr"/>
      <c r="S519" s="8" t="inlineStr">
        <is>
          <t>GST</t>
        </is>
      </c>
      <c r="T519" s="5" t="inlineStr">
        <is>
          <t>GST and tax compliance</t>
        </is>
      </c>
      <c r="U519" s="8" t="inlineStr"/>
      <c r="V519" s="8" t="inlineStr">
        <is>
          <t>accounting</t>
        </is>
      </c>
      <c r="W519" s="8" t="inlineStr">
        <is>
          <t>CONTROL</t>
        </is>
      </c>
      <c r="X519" s="5" t="inlineStr">
        <is>
          <t>Core</t>
        </is>
      </c>
      <c r="Y519" s="5" t="inlineStr">
        <is>
          <t>Cross-persona</t>
        </is>
      </c>
      <c r="Z519" s="5" t="inlineStr">
        <is>
          <t>Critical</t>
        </is>
      </c>
      <c r="AA519" s="5" t="inlineStr">
        <is>
          <t>High</t>
        </is>
      </c>
      <c r="AB519" s="8" t="inlineStr">
        <is>
          <t>High</t>
        </is>
      </c>
      <c r="AC519" s="8" t="inlineStr">
        <is>
          <t>MVP</t>
        </is>
      </c>
      <c r="AD519" s="5" t="inlineStr">
        <is>
          <t>Not independently checked</t>
        </is>
      </c>
      <c r="AE519" s="5" t="inlineStr">
        <is>
          <t>Not verified</t>
        </is>
      </c>
      <c r="AF519" s="5" t="inlineStr">
        <is>
          <t>Not verified</t>
        </is>
      </c>
      <c r="AG519" s="5" t="inlineStr">
        <is>
          <t>Not verified</t>
        </is>
      </c>
      <c r="AH519" s="5" t="inlineStr">
        <is>
          <t>Not verified</t>
        </is>
      </c>
      <c r="AI519" s="8" t="inlineStr">
        <is>
          <t>No</t>
        </is>
      </c>
      <c r="AJ519" s="8" t="inlineStr">
        <is>
          <t>Claimed - unverified</t>
        </is>
      </c>
      <c r="AK519" s="8" t="inlineStr">
        <is>
          <t>P0</t>
        </is>
      </c>
      <c r="AL519" s="8" t="n">
        <v>27</v>
      </c>
      <c r="AM519" s="5" t="inlineStr"/>
      <c r="AN519" s="5" t="inlineStr"/>
      <c r="AO519" s="5" t="inlineStr"/>
      <c r="AP519" s="5" t="inlineStr"/>
      <c r="AQ519" s="5" t="inlineStr"/>
      <c r="AR519" s="5" t="inlineStr"/>
      <c r="AS519" s="5" t="inlineStr"/>
      <c r="AT519" s="5" t="inlineStr"/>
      <c r="AU519" s="8" t="inlineStr">
        <is>
          <t>Not run</t>
        </is>
      </c>
    </row>
    <row r="520" ht="32" customHeight="1">
      <c r="A520" s="16" t="inlineStr">
        <is>
          <t>X-0519</t>
        </is>
      </c>
      <c r="B520" s="8" t="inlineStr">
        <is>
          <t>X</t>
        </is>
      </c>
      <c r="C520" s="5" t="inlineStr">
        <is>
          <t>Multiple / Cross-persona</t>
        </is>
      </c>
      <c r="D520" s="5" t="inlineStr">
        <is>
          <t>GST / Tax / Compliance</t>
        </is>
      </c>
      <c r="E520" s="5" t="inlineStr">
        <is>
          <t>Calculate Section 194Q TDS deduction (0.1%) on supplier purchases exceeding ₹50 Lakhs in FY</t>
        </is>
      </c>
      <c r="F520" s="5" t="inlineStr">
        <is>
          <t>In-house Accountant</t>
        </is>
      </c>
      <c r="G520" s="5" t="inlineStr">
        <is>
          <t>Supplier</t>
        </is>
      </c>
      <c r="H520" s="5" t="inlineStr">
        <is>
          <t>Deduct 0.1% TDS on purchase value exceeding ₹50 Lakhs aggregate turnover threshold</t>
        </is>
      </c>
      <c r="I520" s="5" t="inlineStr">
        <is>
          <t>Credits TDS Payable (Sec 194Q) liability account; reduces net cash payable to vendor</t>
        </is>
      </c>
      <c r="J520" s="20" t="inlineStr">
        <is>
          <t>P1</t>
        </is>
      </c>
      <c r="K520" s="20" t="inlineStr">
        <is>
          <t>Validated (Supported)</t>
        </is>
      </c>
      <c r="L520" s="5" t="inlineStr">
        <is>
          <t>Supported via Section 194Q Withholding Rule Engine tracking cumulative vendor purchases.</t>
        </is>
      </c>
      <c r="M520" s="8" t="inlineStr">
        <is>
          <t>Baseline</t>
        </is>
      </c>
      <c r="N520" s="8" t="inlineStr">
        <is>
          <t>Cross-persona</t>
        </is>
      </c>
      <c r="O520" s="8" t="inlineStr">
        <is>
          <t>P1</t>
        </is>
      </c>
      <c r="P520" s="5" t="inlineStr">
        <is>
          <t>Unchanged</t>
        </is>
      </c>
      <c r="Q520" s="20" t="inlineStr">
        <is>
          <t>Author assertion</t>
        </is>
      </c>
      <c r="R520" s="5" t="inlineStr"/>
      <c r="S520" s="8" t="inlineStr">
        <is>
          <t>GST</t>
        </is>
      </c>
      <c r="T520" s="5" t="inlineStr">
        <is>
          <t>GST and tax compliance</t>
        </is>
      </c>
      <c r="U520" s="8" t="inlineStr"/>
      <c r="V520" s="8" t="inlineStr">
        <is>
          <t>accounting</t>
        </is>
      </c>
      <c r="W520" s="8" t="inlineStr">
        <is>
          <t>CONTROL</t>
        </is>
      </c>
      <c r="X520" s="5" t="inlineStr">
        <is>
          <t>Core</t>
        </is>
      </c>
      <c r="Y520" s="5" t="inlineStr">
        <is>
          <t>Cross-persona</t>
        </is>
      </c>
      <c r="Z520" s="5" t="inlineStr">
        <is>
          <t>Critical</t>
        </is>
      </c>
      <c r="AA520" s="5" t="inlineStr">
        <is>
          <t>High</t>
        </is>
      </c>
      <c r="AB520" s="8" t="inlineStr">
        <is>
          <t>High</t>
        </is>
      </c>
      <c r="AC520" s="8" t="inlineStr">
        <is>
          <t>Pilot</t>
        </is>
      </c>
      <c r="AD520" s="5" t="inlineStr">
        <is>
          <t>Not independently checked</t>
        </is>
      </c>
      <c r="AE520" s="5" t="inlineStr">
        <is>
          <t>Not verified</t>
        </is>
      </c>
      <c r="AF520" s="5" t="inlineStr">
        <is>
          <t>Not verified</t>
        </is>
      </c>
      <c r="AG520" s="5" t="inlineStr">
        <is>
          <t>Not verified</t>
        </is>
      </c>
      <c r="AH520" s="5" t="inlineStr">
        <is>
          <t>Not verified</t>
        </is>
      </c>
      <c r="AI520" s="8" t="inlineStr">
        <is>
          <t>No</t>
        </is>
      </c>
      <c r="AJ520" s="8" t="inlineStr">
        <is>
          <t>Claimed - unverified</t>
        </is>
      </c>
      <c r="AK520" s="8" t="inlineStr">
        <is>
          <t>P1</t>
        </is>
      </c>
      <c r="AL520" s="8" t="n">
        <v>27</v>
      </c>
      <c r="AM520" s="5" t="inlineStr"/>
      <c r="AN520" s="5" t="inlineStr"/>
      <c r="AO520" s="5" t="inlineStr"/>
      <c r="AP520" s="5" t="inlineStr"/>
      <c r="AQ520" s="5" t="inlineStr"/>
      <c r="AR520" s="5" t="inlineStr"/>
      <c r="AS520" s="5" t="inlineStr"/>
      <c r="AT520" s="5" t="inlineStr"/>
      <c r="AU520" s="8" t="inlineStr">
        <is>
          <t>Not run</t>
        </is>
      </c>
    </row>
    <row r="521" ht="32" customHeight="1">
      <c r="A521" s="16" t="inlineStr">
        <is>
          <t>X-0520</t>
        </is>
      </c>
      <c r="B521" s="8" t="inlineStr">
        <is>
          <t>X</t>
        </is>
      </c>
      <c r="C521" s="5" t="inlineStr">
        <is>
          <t>Multiple / Cross-persona</t>
        </is>
      </c>
      <c r="D521" s="5" t="inlineStr">
        <is>
          <t>GST / Tax / Compliance</t>
        </is>
      </c>
      <c r="E521" s="5" t="inlineStr">
        <is>
          <t>Generate Form 26Q quarterly TDS return summary and supplier Form 16A certificates</t>
        </is>
      </c>
      <c r="F521" s="5" t="inlineStr">
        <is>
          <t>In-house Accountant</t>
        </is>
      </c>
      <c r="G521" s="5" t="inlineStr">
        <is>
          <t>External CA / Tax Dept</t>
        </is>
      </c>
      <c r="H521" s="5" t="inlineStr">
        <is>
          <t>Compile quarterly Form 26Q statement of tax deducted at source with BSR code and challan numbers</t>
        </is>
      </c>
      <c r="I521" s="5" t="inlineStr">
        <is>
          <t>Produces clean Form 26Q text file for NSDL e-TDS return upload; prepares Form 16A certificates</t>
        </is>
      </c>
      <c r="J521" s="20" t="inlineStr">
        <is>
          <t>P1</t>
        </is>
      </c>
      <c r="K521" s="20" t="inlineStr">
        <is>
          <t>Validated (Supported)</t>
        </is>
      </c>
      <c r="L521" s="5" t="inlineStr">
        <is>
          <t>Supported via /accounting/reports/tds-26q/ quarterly return generator.</t>
        </is>
      </c>
      <c r="M521" s="8" t="inlineStr">
        <is>
          <t>Baseline</t>
        </is>
      </c>
      <c r="N521" s="8" t="inlineStr">
        <is>
          <t>Cross-persona</t>
        </is>
      </c>
      <c r="O521" s="8" t="inlineStr">
        <is>
          <t>P1</t>
        </is>
      </c>
      <c r="P521" s="5" t="inlineStr">
        <is>
          <t>Unchanged</t>
        </is>
      </c>
      <c r="Q521" s="20" t="inlineStr">
        <is>
          <t>Author assertion</t>
        </is>
      </c>
      <c r="R521" s="5" t="inlineStr"/>
      <c r="S521" s="8" t="inlineStr">
        <is>
          <t>GST</t>
        </is>
      </c>
      <c r="T521" s="5" t="inlineStr">
        <is>
          <t>GST and tax compliance</t>
        </is>
      </c>
      <c r="U521" s="8" t="inlineStr"/>
      <c r="V521" s="8" t="inlineStr">
        <is>
          <t>accounting</t>
        </is>
      </c>
      <c r="W521" s="8" t="inlineStr">
        <is>
          <t>CONTROL</t>
        </is>
      </c>
      <c r="X521" s="5" t="inlineStr">
        <is>
          <t>Core</t>
        </is>
      </c>
      <c r="Y521" s="5" t="inlineStr">
        <is>
          <t>Cross-persona</t>
        </is>
      </c>
      <c r="Z521" s="5" t="inlineStr">
        <is>
          <t>Critical</t>
        </is>
      </c>
      <c r="AA521" s="5" t="inlineStr">
        <is>
          <t>High</t>
        </is>
      </c>
      <c r="AB521" s="8" t="inlineStr">
        <is>
          <t>High</t>
        </is>
      </c>
      <c r="AC521" s="8" t="inlineStr">
        <is>
          <t>Pilot</t>
        </is>
      </c>
      <c r="AD521" s="5" t="inlineStr">
        <is>
          <t>Not independently checked</t>
        </is>
      </c>
      <c r="AE521" s="5" t="inlineStr">
        <is>
          <t>Not verified</t>
        </is>
      </c>
      <c r="AF521" s="5" t="inlineStr">
        <is>
          <t>Not verified</t>
        </is>
      </c>
      <c r="AG521" s="5" t="inlineStr">
        <is>
          <t>Not verified</t>
        </is>
      </c>
      <c r="AH521" s="5" t="inlineStr">
        <is>
          <t>Not verified</t>
        </is>
      </c>
      <c r="AI521" s="8" t="inlineStr">
        <is>
          <t>No</t>
        </is>
      </c>
      <c r="AJ521" s="8" t="inlineStr">
        <is>
          <t>Claimed - unverified</t>
        </is>
      </c>
      <c r="AK521" s="8" t="inlineStr">
        <is>
          <t>P1</t>
        </is>
      </c>
      <c r="AL521" s="8" t="n">
        <v>27</v>
      </c>
      <c r="AM521" s="5" t="inlineStr"/>
      <c r="AN521" s="5" t="inlineStr"/>
      <c r="AO521" s="5" t="inlineStr"/>
      <c r="AP521" s="5" t="inlineStr"/>
      <c r="AQ521" s="5" t="inlineStr"/>
      <c r="AR521" s="5" t="inlineStr"/>
      <c r="AS521" s="5" t="inlineStr"/>
      <c r="AT521" s="5" t="inlineStr"/>
      <c r="AU521" s="8" t="inlineStr">
        <is>
          <t>Not run</t>
        </is>
      </c>
    </row>
    <row r="522" ht="32" customHeight="1">
      <c r="A522" s="16" t="inlineStr">
        <is>
          <t>X-0521</t>
        </is>
      </c>
      <c r="B522" s="8" t="inlineStr">
        <is>
          <t>X</t>
        </is>
      </c>
      <c r="C522" s="5" t="inlineStr">
        <is>
          <t>Multiple / Cross-persona</t>
        </is>
      </c>
      <c r="D522" s="5" t="inlineStr">
        <is>
          <t>GST / Tax / Compliance</t>
        </is>
      </c>
      <c r="E522" s="5" t="inlineStr">
        <is>
          <t>Calculate Section 206C(1H) TCS collection (0.1%) on receipts exceeding ₹50 Lakhs from customer</t>
        </is>
      </c>
      <c r="F522" s="5" t="inlineStr">
        <is>
          <t>In-house Accountant</t>
        </is>
      </c>
      <c r="G522" s="5" t="inlineStr">
        <is>
          <t>Customer</t>
        </is>
      </c>
      <c r="H522" s="5" t="inlineStr">
        <is>
          <t>Collect 0.1% TCS on customer receipts crossing ₹50 Lakhs in current financial year</t>
        </is>
      </c>
      <c r="I522" s="5" t="inlineStr">
        <is>
          <t>Debits Customer AR ledger; credits TCS Payable (Sec 206C) statutory liability account</t>
        </is>
      </c>
      <c r="J522" s="20" t="inlineStr">
        <is>
          <t>P1</t>
        </is>
      </c>
      <c r="K522" s="20" t="inlineStr">
        <is>
          <t>Validated (Supported)</t>
        </is>
      </c>
      <c r="L522" s="5" t="inlineStr">
        <is>
          <t>Supported via Section 206C(1H) Receipt Tax Engine with cumulative customer receipt tracking.</t>
        </is>
      </c>
      <c r="M522" s="8" t="inlineStr">
        <is>
          <t>Baseline</t>
        </is>
      </c>
      <c r="N522" s="8" t="inlineStr">
        <is>
          <t>Cross-persona</t>
        </is>
      </c>
      <c r="O522" s="8" t="inlineStr">
        <is>
          <t>P1</t>
        </is>
      </c>
      <c r="P522" s="5" t="inlineStr">
        <is>
          <t>Unchanged</t>
        </is>
      </c>
      <c r="Q522" s="20" t="inlineStr">
        <is>
          <t>Author assertion</t>
        </is>
      </c>
      <c r="R522" s="5" t="inlineStr"/>
      <c r="S522" s="8" t="inlineStr">
        <is>
          <t>GST</t>
        </is>
      </c>
      <c r="T522" s="5" t="inlineStr">
        <is>
          <t>GST and tax compliance</t>
        </is>
      </c>
      <c r="U522" s="8" t="inlineStr"/>
      <c r="V522" s="8" t="inlineStr">
        <is>
          <t>accounting</t>
        </is>
      </c>
      <c r="W522" s="8" t="inlineStr">
        <is>
          <t>CONTROL</t>
        </is>
      </c>
      <c r="X522" s="5" t="inlineStr">
        <is>
          <t>Core</t>
        </is>
      </c>
      <c r="Y522" s="5" t="inlineStr">
        <is>
          <t>Cross-persona</t>
        </is>
      </c>
      <c r="Z522" s="5" t="inlineStr">
        <is>
          <t>Critical</t>
        </is>
      </c>
      <c r="AA522" s="5" t="inlineStr">
        <is>
          <t>High</t>
        </is>
      </c>
      <c r="AB522" s="8" t="inlineStr">
        <is>
          <t>High</t>
        </is>
      </c>
      <c r="AC522" s="8" t="inlineStr">
        <is>
          <t>Pilot</t>
        </is>
      </c>
      <c r="AD522" s="5" t="inlineStr">
        <is>
          <t>Not independently checked</t>
        </is>
      </c>
      <c r="AE522" s="5" t="inlineStr">
        <is>
          <t>Not verified</t>
        </is>
      </c>
      <c r="AF522" s="5" t="inlineStr">
        <is>
          <t>Not verified</t>
        </is>
      </c>
      <c r="AG522" s="5" t="inlineStr">
        <is>
          <t>Not verified</t>
        </is>
      </c>
      <c r="AH522" s="5" t="inlineStr">
        <is>
          <t>Not verified</t>
        </is>
      </c>
      <c r="AI522" s="8" t="inlineStr">
        <is>
          <t>No</t>
        </is>
      </c>
      <c r="AJ522" s="8" t="inlineStr">
        <is>
          <t>Claimed - unverified</t>
        </is>
      </c>
      <c r="AK522" s="8" t="inlineStr">
        <is>
          <t>P1</t>
        </is>
      </c>
      <c r="AL522" s="8" t="n">
        <v>27</v>
      </c>
      <c r="AM522" s="5" t="inlineStr"/>
      <c r="AN522" s="5" t="inlineStr"/>
      <c r="AO522" s="5" t="inlineStr"/>
      <c r="AP522" s="5" t="inlineStr"/>
      <c r="AQ522" s="5" t="inlineStr"/>
      <c r="AR522" s="5" t="inlineStr"/>
      <c r="AS522" s="5" t="inlineStr"/>
      <c r="AT522" s="5" t="inlineStr"/>
      <c r="AU522" s="8" t="inlineStr">
        <is>
          <t>Not run</t>
        </is>
      </c>
    </row>
    <row r="523" ht="32" customHeight="1">
      <c r="A523" s="16" t="inlineStr">
        <is>
          <t>X-0522</t>
        </is>
      </c>
      <c r="B523" s="8" t="inlineStr">
        <is>
          <t>X</t>
        </is>
      </c>
      <c r="C523" s="5" t="inlineStr">
        <is>
          <t>Multiple / Cross-persona</t>
        </is>
      </c>
      <c r="D523" s="5" t="inlineStr">
        <is>
          <t>GST / Tax / Compliance</t>
        </is>
      </c>
      <c r="E523" s="5" t="inlineStr">
        <is>
          <t>Apply higher TDS/TCS penalty rates (5%) for non-filers under Section 206AB / Section 206CCA</t>
        </is>
      </c>
      <c r="F523" s="5" t="inlineStr">
        <is>
          <t>In-house Accountant</t>
        </is>
      </c>
      <c r="G523" s="5" t="inlineStr">
        <is>
          <t>Non-compliant Party</t>
        </is>
      </c>
      <c r="H523" s="5" t="inlineStr">
        <is>
          <t>Enforce 5% higher statutory tax withholding if vendor/customer failed to file ITR in previous year</t>
        </is>
      </c>
      <c r="I523" s="5" t="inlineStr">
        <is>
          <t>Applies 5% penalty rate on invoice; flags party as Specified Person under Section 206AB</t>
        </is>
      </c>
      <c r="J523" s="20" t="inlineStr">
        <is>
          <t>P1</t>
        </is>
      </c>
      <c r="K523" s="19" t="inlineStr">
        <is>
          <t>Mechanism not found</t>
        </is>
      </c>
      <c r="L523" s="5" t="inlineStr">
        <is>
          <t>Supported via 206AB non-filer compliance flag on Customer/Supplier master.</t>
        </is>
      </c>
      <c r="M523" s="8" t="inlineStr">
        <is>
          <t>Baseline</t>
        </is>
      </c>
      <c r="N523" s="8" t="inlineStr">
        <is>
          <t>Cross-persona</t>
        </is>
      </c>
      <c r="O523" s="8" t="inlineStr">
        <is>
          <t>P1</t>
        </is>
      </c>
      <c r="P523" s="5" t="inlineStr">
        <is>
          <t>Unchanged</t>
        </is>
      </c>
      <c r="Q523" s="19" t="inlineStr">
        <is>
          <t>Mechanism not found</t>
        </is>
      </c>
      <c r="R523" s="5" t="inlineStr">
        <is>
          <t>No Section 206AB PAN check was found.</t>
        </is>
      </c>
      <c r="S523" s="8" t="inlineStr">
        <is>
          <t>GST</t>
        </is>
      </c>
      <c r="T523" s="5" t="inlineStr">
        <is>
          <t>GST and tax compliance</t>
        </is>
      </c>
      <c r="U523" s="8" t="inlineStr"/>
      <c r="V523" s="8" t="inlineStr">
        <is>
          <t>accounting</t>
        </is>
      </c>
      <c r="W523" s="8" t="inlineStr">
        <is>
          <t>CONTROL</t>
        </is>
      </c>
      <c r="X523" s="5" t="inlineStr">
        <is>
          <t>Core</t>
        </is>
      </c>
      <c r="Y523" s="5" t="inlineStr">
        <is>
          <t>Cross-persona</t>
        </is>
      </c>
      <c r="Z523" s="5" t="inlineStr">
        <is>
          <t>Critical</t>
        </is>
      </c>
      <c r="AA523" s="5" t="inlineStr">
        <is>
          <t>High</t>
        </is>
      </c>
      <c r="AB523" s="8" t="inlineStr">
        <is>
          <t>High</t>
        </is>
      </c>
      <c r="AC523" s="8" t="inlineStr">
        <is>
          <t>Pilot</t>
        </is>
      </c>
      <c r="AD523" s="5" t="inlineStr">
        <is>
          <t>Not in code</t>
        </is>
      </c>
      <c r="AE523" s="5" t="inlineStr">
        <is>
          <t>Not verified</t>
        </is>
      </c>
      <c r="AF523" s="5" t="inlineStr">
        <is>
          <t>Not verified</t>
        </is>
      </c>
      <c r="AG523" s="5" t="inlineStr">
        <is>
          <t>Not verified</t>
        </is>
      </c>
      <c r="AH523" s="5" t="inlineStr">
        <is>
          <t>Not verified</t>
        </is>
      </c>
      <c r="AI523" s="8" t="inlineStr">
        <is>
          <t>No</t>
        </is>
      </c>
      <c r="AJ523" s="8" t="inlineStr">
        <is>
          <t>Gap</t>
        </is>
      </c>
      <c r="AK523" s="8" t="inlineStr">
        <is>
          <t>P1</t>
        </is>
      </c>
      <c r="AL523" s="8" t="n">
        <v>27</v>
      </c>
      <c r="AM523" s="5" t="inlineStr"/>
      <c r="AN523" s="5" t="inlineStr"/>
      <c r="AO523" s="5" t="inlineStr"/>
      <c r="AP523" s="5" t="inlineStr"/>
      <c r="AQ523" s="5" t="inlineStr"/>
      <c r="AR523" s="5" t="inlineStr"/>
      <c r="AS523" s="5" t="inlineStr"/>
      <c r="AT523" s="5" t="inlineStr"/>
      <c r="AU523" s="8" t="inlineStr">
        <is>
          <t>Not run</t>
        </is>
      </c>
    </row>
    <row r="524" ht="32" customHeight="1">
      <c r="A524" s="16" t="inlineStr">
        <is>
          <t>X-0523</t>
        </is>
      </c>
      <c r="B524" s="8" t="inlineStr">
        <is>
          <t>X</t>
        </is>
      </c>
      <c r="C524" s="5" t="inlineStr">
        <is>
          <t>Multiple / Cross-persona</t>
        </is>
      </c>
      <c r="D524" s="5" t="inlineStr">
        <is>
          <t>Receivables &amp; Payables</t>
        </is>
      </c>
      <c r="E524" s="5" t="inlineStr">
        <is>
          <t>Automated escalating collection cadence (T+3 reminder → T+7 statement → T+15 notice)</t>
        </is>
      </c>
      <c r="F524" s="5" t="inlineStr">
        <is>
          <t>Collections Autopilot Engine</t>
        </is>
      </c>
      <c r="G524" s="5" t="inlineStr">
        <is>
          <t>Debtor / Credit Controller</t>
        </is>
      </c>
      <c r="H524" s="5" t="inlineStr">
        <is>
          <t>Systematic automated payment chasing minimizing bad debt and debtor days</t>
        </is>
      </c>
      <c r="I524" s="5" t="inlineStr">
        <is>
          <t>Dispatches automated WhatsApp/SMS notifications with increasing urgency and payment links</t>
        </is>
      </c>
      <c r="J524" s="20" t="inlineStr">
        <is>
          <t>P1</t>
        </is>
      </c>
      <c r="K524" s="20" t="inlineStr">
        <is>
          <t>Validated (Supported)</t>
        </is>
      </c>
      <c r="L524" s="5" t="inlineStr">
        <is>
          <t>Supported via Collections Autopilot Cadence Engine (/sales/collections/autopilot/).</t>
        </is>
      </c>
      <c r="M524" s="8" t="inlineStr">
        <is>
          <t>Baseline</t>
        </is>
      </c>
      <c r="N524" s="8" t="inlineStr">
        <is>
          <t>Cross-persona</t>
        </is>
      </c>
      <c r="O524" s="8" t="inlineStr">
        <is>
          <t>P1</t>
        </is>
      </c>
      <c r="P524" s="5" t="inlineStr">
        <is>
          <t>Unchanged</t>
        </is>
      </c>
      <c r="Q524" s="20" t="inlineStr">
        <is>
          <t>Author assertion</t>
        </is>
      </c>
      <c r="R524" s="5" t="inlineStr"/>
      <c r="S524" s="8" t="inlineStr">
        <is>
          <t>ARAP</t>
        </is>
      </c>
      <c r="T524" s="5" t="inlineStr">
        <is>
          <t>Receivables and payables</t>
        </is>
      </c>
      <c r="U524" s="8" t="inlineStr"/>
      <c r="V524" s="8" t="inlineStr">
        <is>
          <t>ledgers</t>
        </is>
      </c>
      <c r="W524" s="8" t="inlineStr">
        <is>
          <t>CONTROL</t>
        </is>
      </c>
      <c r="X524" s="5" t="inlineStr">
        <is>
          <t>Core</t>
        </is>
      </c>
      <c r="Y524" s="5" t="inlineStr">
        <is>
          <t>Cross-persona</t>
        </is>
      </c>
      <c r="Z524" s="5" t="inlineStr">
        <is>
          <t>Critical</t>
        </is>
      </c>
      <c r="AA524" s="5" t="inlineStr">
        <is>
          <t>High</t>
        </is>
      </c>
      <c r="AB524" s="8" t="inlineStr">
        <is>
          <t>Medium</t>
        </is>
      </c>
      <c r="AC524" s="8" t="inlineStr">
        <is>
          <t>Pilot</t>
        </is>
      </c>
      <c r="AD524" s="5" t="inlineStr">
        <is>
          <t>Not independently checked</t>
        </is>
      </c>
      <c r="AE524" s="5" t="inlineStr">
        <is>
          <t>Not verified</t>
        </is>
      </c>
      <c r="AF524" s="5" t="inlineStr">
        <is>
          <t>Not verified</t>
        </is>
      </c>
      <c r="AG524" s="5" t="inlineStr">
        <is>
          <t>Not verified</t>
        </is>
      </c>
      <c r="AH524" s="5" t="inlineStr">
        <is>
          <t>Not verified</t>
        </is>
      </c>
      <c r="AI524" s="8" t="inlineStr">
        <is>
          <t>No</t>
        </is>
      </c>
      <c r="AJ524" s="8" t="inlineStr">
        <is>
          <t>Claimed - unverified</t>
        </is>
      </c>
      <c r="AK524" s="8" t="inlineStr">
        <is>
          <t>P1</t>
        </is>
      </c>
      <c r="AL524" s="8" t="n">
        <v>18</v>
      </c>
      <c r="AM524" s="5" t="inlineStr"/>
      <c r="AN524" s="5" t="inlineStr"/>
      <c r="AO524" s="5" t="inlineStr"/>
      <c r="AP524" s="5" t="inlineStr"/>
      <c r="AQ524" s="5" t="inlineStr"/>
      <c r="AR524" s="5" t="inlineStr"/>
      <c r="AS524" s="5" t="inlineStr"/>
      <c r="AT524" s="5" t="inlineStr"/>
      <c r="AU524" s="8" t="inlineStr">
        <is>
          <t>Not run</t>
        </is>
      </c>
    </row>
    <row r="525" ht="32" customHeight="1">
      <c r="A525" s="16" t="inlineStr">
        <is>
          <t>X-0524</t>
        </is>
      </c>
      <c r="B525" s="8" t="inlineStr">
        <is>
          <t>X</t>
        </is>
      </c>
      <c r="C525" s="5" t="inlineStr">
        <is>
          <t>Multiple / Cross-persona</t>
        </is>
      </c>
      <c r="D525" s="5" t="inlineStr">
        <is>
          <t>Receivables &amp; Payables</t>
        </is>
      </c>
      <c r="E525" s="5" t="inlineStr">
        <is>
          <t>Record Promise-to-Pay (PTP) commitment date and follow-up alerts</t>
        </is>
      </c>
      <c r="F525" s="5" t="inlineStr">
        <is>
          <t>Credit Controller / Salesperson</t>
        </is>
      </c>
      <c r="G525" s="5" t="inlineStr">
        <is>
          <t>Customer</t>
        </is>
      </c>
      <c r="H525" s="5" t="inlineStr">
        <is>
          <t>Capture customer verbal promise to pay specific amount by date X to pause automated chasing</t>
        </is>
      </c>
      <c r="I525" s="5" t="inlineStr">
        <is>
          <t>Creates PromiseToPay record; suppresses automated reminders until committed date; alerts if broken</t>
        </is>
      </c>
      <c r="J525" s="20" t="inlineStr">
        <is>
          <t>P1</t>
        </is>
      </c>
      <c r="K525" s="20" t="inlineStr">
        <is>
          <t>Validated (Supported)</t>
        </is>
      </c>
      <c r="L525" s="5" t="inlineStr">
        <is>
          <t>Supported via PTP logging drawer on Customer profile and receivables ledger.</t>
        </is>
      </c>
      <c r="M525" s="8" t="inlineStr">
        <is>
          <t>Baseline</t>
        </is>
      </c>
      <c r="N525" s="8" t="inlineStr">
        <is>
          <t>Cross-persona</t>
        </is>
      </c>
      <c r="O525" s="8" t="inlineStr">
        <is>
          <t>P1</t>
        </is>
      </c>
      <c r="P525" s="5" t="inlineStr">
        <is>
          <t>Unchanged</t>
        </is>
      </c>
      <c r="Q525" s="20" t="inlineStr">
        <is>
          <t>Author assertion</t>
        </is>
      </c>
      <c r="R525" s="5" t="inlineStr"/>
      <c r="S525" s="8" t="inlineStr">
        <is>
          <t>ARAP</t>
        </is>
      </c>
      <c r="T525" s="5" t="inlineStr">
        <is>
          <t>Receivables and payables</t>
        </is>
      </c>
      <c r="U525" s="8" t="inlineStr"/>
      <c r="V525" s="8" t="inlineStr">
        <is>
          <t>ledgers</t>
        </is>
      </c>
      <c r="W525" s="8" t="inlineStr">
        <is>
          <t>CONTROL</t>
        </is>
      </c>
      <c r="X525" s="5" t="inlineStr">
        <is>
          <t>Core</t>
        </is>
      </c>
      <c r="Y525" s="5" t="inlineStr">
        <is>
          <t>Cross-persona</t>
        </is>
      </c>
      <c r="Z525" s="5" t="inlineStr">
        <is>
          <t>Critical</t>
        </is>
      </c>
      <c r="AA525" s="5" t="inlineStr">
        <is>
          <t>High</t>
        </is>
      </c>
      <c r="AB525" s="8" t="inlineStr">
        <is>
          <t>Medium</t>
        </is>
      </c>
      <c r="AC525" s="8" t="inlineStr">
        <is>
          <t>Pilot</t>
        </is>
      </c>
      <c r="AD525" s="5" t="inlineStr">
        <is>
          <t>Not independently checked</t>
        </is>
      </c>
      <c r="AE525" s="5" t="inlineStr">
        <is>
          <t>Not verified</t>
        </is>
      </c>
      <c r="AF525" s="5" t="inlineStr">
        <is>
          <t>Not verified</t>
        </is>
      </c>
      <c r="AG525" s="5" t="inlineStr">
        <is>
          <t>Not verified</t>
        </is>
      </c>
      <c r="AH525" s="5" t="inlineStr">
        <is>
          <t>Not verified</t>
        </is>
      </c>
      <c r="AI525" s="8" t="inlineStr">
        <is>
          <t>No</t>
        </is>
      </c>
      <c r="AJ525" s="8" t="inlineStr">
        <is>
          <t>Claimed - unverified</t>
        </is>
      </c>
      <c r="AK525" s="8" t="inlineStr">
        <is>
          <t>P1</t>
        </is>
      </c>
      <c r="AL525" s="8" t="n">
        <v>18</v>
      </c>
      <c r="AM525" s="5" t="inlineStr"/>
      <c r="AN525" s="5" t="inlineStr"/>
      <c r="AO525" s="5" t="inlineStr"/>
      <c r="AP525" s="5" t="inlineStr"/>
      <c r="AQ525" s="5" t="inlineStr"/>
      <c r="AR525" s="5" t="inlineStr"/>
      <c r="AS525" s="5" t="inlineStr"/>
      <c r="AT525" s="5" t="inlineStr"/>
      <c r="AU525" s="8" t="inlineStr">
        <is>
          <t>Not run</t>
        </is>
      </c>
    </row>
    <row r="526" ht="32" customHeight="1">
      <c r="A526" s="16" t="inlineStr">
        <is>
          <t>X-0525</t>
        </is>
      </c>
      <c r="B526" s="8" t="inlineStr">
        <is>
          <t>X</t>
        </is>
      </c>
      <c r="C526" s="5" t="inlineStr">
        <is>
          <t>Multiple / Cross-persona</t>
        </is>
      </c>
      <c r="D526" s="5" t="inlineStr">
        <is>
          <t>Receivables &amp; Payables</t>
        </is>
      </c>
      <c r="E526" s="5" t="inlineStr">
        <is>
          <t>Isolate disputed invoice lines while collecting undisputed remaining balance</t>
        </is>
      </c>
      <c r="F526" s="5" t="inlineStr">
        <is>
          <t>Credit Controller</t>
        </is>
      </c>
      <c r="G526" s="5" t="inlineStr">
        <is>
          <t>Customer / Salesperson</t>
        </is>
      </c>
      <c r="H526" s="5" t="inlineStr">
        <is>
          <t>Separate contested charge (e.g. ₹500 damaged box) so customer immediately settles ₹49,500 balance</t>
        </is>
      </c>
      <c r="I526" s="5" t="inlineStr">
        <is>
          <t>Marks specific line as DISPUTED; adjusts collection target; routes dispute to manager resolution</t>
        </is>
      </c>
      <c r="J526" s="20" t="inlineStr">
        <is>
          <t>P1</t>
        </is>
      </c>
      <c r="K526" s="20" t="inlineStr">
        <is>
          <t>Validated (Supported)</t>
        </is>
      </c>
      <c r="L526" s="5" t="inlineStr">
        <is>
          <t>Supported via Invoice Line-Item Dispute mechanism in receivables module.</t>
        </is>
      </c>
      <c r="M526" s="8" t="inlineStr">
        <is>
          <t>Baseline</t>
        </is>
      </c>
      <c r="N526" s="8" t="inlineStr">
        <is>
          <t>Cross-persona</t>
        </is>
      </c>
      <c r="O526" s="8" t="inlineStr">
        <is>
          <t>P1</t>
        </is>
      </c>
      <c r="P526" s="5" t="inlineStr">
        <is>
          <t>Unchanged</t>
        </is>
      </c>
      <c r="Q526" s="20" t="inlineStr">
        <is>
          <t>Author assertion</t>
        </is>
      </c>
      <c r="R526" s="5" t="inlineStr"/>
      <c r="S526" s="8" t="inlineStr">
        <is>
          <t>ARAP</t>
        </is>
      </c>
      <c r="T526" s="5" t="inlineStr">
        <is>
          <t>Receivables and payables</t>
        </is>
      </c>
      <c r="U526" s="8" t="inlineStr"/>
      <c r="V526" s="8" t="inlineStr">
        <is>
          <t>ledgers</t>
        </is>
      </c>
      <c r="W526" s="8" t="inlineStr">
        <is>
          <t>CONTROL</t>
        </is>
      </c>
      <c r="X526" s="5" t="inlineStr">
        <is>
          <t>Core</t>
        </is>
      </c>
      <c r="Y526" s="5" t="inlineStr">
        <is>
          <t>Cross-persona</t>
        </is>
      </c>
      <c r="Z526" s="5" t="inlineStr">
        <is>
          <t>Critical</t>
        </is>
      </c>
      <c r="AA526" s="5" t="inlineStr">
        <is>
          <t>High</t>
        </is>
      </c>
      <c r="AB526" s="8" t="inlineStr">
        <is>
          <t>Medium</t>
        </is>
      </c>
      <c r="AC526" s="8" t="inlineStr">
        <is>
          <t>Pilot</t>
        </is>
      </c>
      <c r="AD526" s="5" t="inlineStr">
        <is>
          <t>Not independently checked</t>
        </is>
      </c>
      <c r="AE526" s="5" t="inlineStr">
        <is>
          <t>Not verified</t>
        </is>
      </c>
      <c r="AF526" s="5" t="inlineStr">
        <is>
          <t>Not verified</t>
        </is>
      </c>
      <c r="AG526" s="5" t="inlineStr">
        <is>
          <t>Not verified</t>
        </is>
      </c>
      <c r="AH526" s="5" t="inlineStr">
        <is>
          <t>Not verified</t>
        </is>
      </c>
      <c r="AI526" s="8" t="inlineStr">
        <is>
          <t>No</t>
        </is>
      </c>
      <c r="AJ526" s="8" t="inlineStr">
        <is>
          <t>Claimed - unverified</t>
        </is>
      </c>
      <c r="AK526" s="8" t="inlineStr">
        <is>
          <t>P1</t>
        </is>
      </c>
      <c r="AL526" s="8" t="n">
        <v>18</v>
      </c>
      <c r="AM526" s="5" t="inlineStr"/>
      <c r="AN526" s="5" t="inlineStr"/>
      <c r="AO526" s="5" t="inlineStr"/>
      <c r="AP526" s="5" t="inlineStr"/>
      <c r="AQ526" s="5" t="inlineStr"/>
      <c r="AR526" s="5" t="inlineStr"/>
      <c r="AS526" s="5" t="inlineStr"/>
      <c r="AT526" s="5" t="inlineStr"/>
      <c r="AU526" s="8" t="inlineStr">
        <is>
          <t>Not run</t>
        </is>
      </c>
    </row>
    <row r="527" ht="32" customHeight="1">
      <c r="A527" s="16" t="inlineStr">
        <is>
          <t>X-0526</t>
        </is>
      </c>
      <c r="B527" s="8" t="inlineStr">
        <is>
          <t>X</t>
        </is>
      </c>
      <c r="C527" s="5" t="inlineStr">
        <is>
          <t>Multiple / Cross-persona</t>
        </is>
      </c>
      <c r="D527" s="5" t="inlineStr">
        <is>
          <t>Receivables &amp; Payables</t>
        </is>
      </c>
      <c r="E527" s="5" t="inlineStr">
        <is>
          <t>Calculate overdue interest penalty charges on delayed customer payments</t>
        </is>
      </c>
      <c r="F527" s="5" t="inlineStr">
        <is>
          <t>In-house Accountant</t>
        </is>
      </c>
      <c r="G527" s="5" t="inlineStr">
        <is>
          <t>Customer</t>
        </is>
      </c>
      <c r="H527" s="5" t="inlineStr">
        <is>
          <t>Apply agreed commercial interest (e.g. 18% p.a.) on invoices unpaid beyond credit terms</t>
        </is>
      </c>
      <c r="I527" s="5" t="inlineStr">
        <is>
          <t>Calculates penal interest; generates commercial Debit Note for interest; posts to Interest Income</t>
        </is>
      </c>
      <c r="J527" s="22" t="inlineStr">
        <is>
          <t>P2</t>
        </is>
      </c>
      <c r="K527" s="20" t="inlineStr">
        <is>
          <t>Validated (Supported)</t>
        </is>
      </c>
      <c r="L527" s="5" t="inlineStr">
        <is>
          <t>Supported via Overdue Interest Calculator with one-click Debit Note generation.</t>
        </is>
      </c>
      <c r="M527" s="8" t="inlineStr">
        <is>
          <t>Baseline</t>
        </is>
      </c>
      <c r="N527" s="8" t="inlineStr">
        <is>
          <t>Cross-persona</t>
        </is>
      </c>
      <c r="O527" s="8" t="inlineStr">
        <is>
          <t>P2</t>
        </is>
      </c>
      <c r="P527" s="5" t="inlineStr">
        <is>
          <t>Restored to authored P2. The previous workbook had P3 after a keyword rebalance.</t>
        </is>
      </c>
      <c r="Q527" s="20" t="inlineStr">
        <is>
          <t>Author assertion</t>
        </is>
      </c>
      <c r="R527" s="5" t="inlineStr">
        <is>
          <t>Restored to authored P2. The previous workbook had P3 after a keyword rebalance.</t>
        </is>
      </c>
      <c r="S527" s="8" t="inlineStr">
        <is>
          <t>ARAP</t>
        </is>
      </c>
      <c r="T527" s="5" t="inlineStr">
        <is>
          <t>Receivables and payables</t>
        </is>
      </c>
      <c r="U527" s="8" t="inlineStr"/>
      <c r="V527" s="8" t="inlineStr">
        <is>
          <t>ledgers</t>
        </is>
      </c>
      <c r="W527" s="8" t="inlineStr">
        <is>
          <t>CONTROL</t>
        </is>
      </c>
      <c r="X527" s="5" t="inlineStr">
        <is>
          <t>Core</t>
        </is>
      </c>
      <c r="Y527" s="5" t="inlineStr">
        <is>
          <t>Cross-persona</t>
        </is>
      </c>
      <c r="Z527" s="5" t="inlineStr">
        <is>
          <t>Critical</t>
        </is>
      </c>
      <c r="AA527" s="5" t="inlineStr">
        <is>
          <t>High</t>
        </is>
      </c>
      <c r="AB527" s="8" t="inlineStr">
        <is>
          <t>Medium</t>
        </is>
      </c>
      <c r="AC527" s="8" t="inlineStr">
        <is>
          <t>Later</t>
        </is>
      </c>
      <c r="AD527" s="5" t="inlineStr">
        <is>
          <t>Not independently checked</t>
        </is>
      </c>
      <c r="AE527" s="5" t="inlineStr">
        <is>
          <t>Not verified</t>
        </is>
      </c>
      <c r="AF527" s="5" t="inlineStr">
        <is>
          <t>Not verified</t>
        </is>
      </c>
      <c r="AG527" s="5" t="inlineStr">
        <is>
          <t>Not verified</t>
        </is>
      </c>
      <c r="AH527" s="5" t="inlineStr">
        <is>
          <t>Not verified</t>
        </is>
      </c>
      <c r="AI527" s="8" t="inlineStr">
        <is>
          <t>No</t>
        </is>
      </c>
      <c r="AJ527" s="8" t="inlineStr">
        <is>
          <t>Claimed - unverified</t>
        </is>
      </c>
      <c r="AK527" s="8" t="inlineStr">
        <is>
          <t>P2</t>
        </is>
      </c>
      <c r="AL527" s="8" t="n">
        <v>18</v>
      </c>
      <c r="AM527" s="5" t="inlineStr"/>
      <c r="AN527" s="5" t="inlineStr"/>
      <c r="AO527" s="5" t="inlineStr"/>
      <c r="AP527" s="5" t="inlineStr"/>
      <c r="AQ527" s="5" t="inlineStr"/>
      <c r="AR527" s="5" t="inlineStr"/>
      <c r="AS527" s="5" t="inlineStr"/>
      <c r="AT527" s="5" t="inlineStr"/>
      <c r="AU527" s="8" t="inlineStr">
        <is>
          <t>Not run</t>
        </is>
      </c>
    </row>
    <row r="528" ht="32" customHeight="1">
      <c r="A528" s="16" t="inlineStr">
        <is>
          <t>X-0527</t>
        </is>
      </c>
      <c r="B528" s="8" t="inlineStr">
        <is>
          <t>X</t>
        </is>
      </c>
      <c r="C528" s="5" t="inlineStr">
        <is>
          <t>Multiple / Cross-persona</t>
        </is>
      </c>
      <c r="D528" s="5" t="inlineStr">
        <is>
          <t>Receivables &amp; Payables</t>
        </is>
      </c>
      <c r="E528" s="5" t="inlineStr">
        <is>
          <t>Automatic debtor account freeze and delivery block on chronic overdue accounts</t>
        </is>
      </c>
      <c r="F528" s="5" t="inlineStr">
        <is>
          <t>Credit Guard Engine</t>
        </is>
      </c>
      <c r="G528" s="5" t="inlineStr">
        <is>
          <t>Billing Clerk / Salesperson</t>
        </is>
      </c>
      <c r="H528" s="5" t="inlineStr">
        <is>
          <t>Hard system block preventing sales or dispatches to customers with invoices overdue &gt; 60 days</t>
        </is>
      </c>
      <c r="I528" s="5" t="inlineStr">
        <is>
          <t>Locks customer account; disables billing button; requires Business Owner unlock PIN</t>
        </is>
      </c>
      <c r="J528" s="19" t="inlineStr">
        <is>
          <t>P0</t>
        </is>
      </c>
      <c r="K528" s="20" t="inlineStr">
        <is>
          <t>Validated (Supported)</t>
        </is>
      </c>
      <c r="L528" s="5" t="inlineStr">
        <is>
          <t>Core credit invariant: chronic overdue lock strictly blocks invoice and dispatch completion.</t>
        </is>
      </c>
      <c r="M528" s="8" t="inlineStr">
        <is>
          <t>Baseline</t>
        </is>
      </c>
      <c r="N528" s="8" t="inlineStr">
        <is>
          <t>Cross-persona</t>
        </is>
      </c>
      <c r="O528" s="8" t="inlineStr">
        <is>
          <t>P0</t>
        </is>
      </c>
      <c r="P528" s="5" t="inlineStr">
        <is>
          <t>Unchanged</t>
        </is>
      </c>
      <c r="Q528" s="20" t="inlineStr">
        <is>
          <t>Author assertion</t>
        </is>
      </c>
      <c r="R528" s="5" t="inlineStr"/>
      <c r="S528" s="8" t="inlineStr">
        <is>
          <t>ARAP</t>
        </is>
      </c>
      <c r="T528" s="5" t="inlineStr">
        <is>
          <t>Receivables and payables</t>
        </is>
      </c>
      <c r="U528" s="8" t="inlineStr"/>
      <c r="V528" s="8" t="inlineStr">
        <is>
          <t>ledgers</t>
        </is>
      </c>
      <c r="W528" s="8" t="inlineStr">
        <is>
          <t>CONTROL</t>
        </is>
      </c>
      <c r="X528" s="5" t="inlineStr">
        <is>
          <t>Core</t>
        </is>
      </c>
      <c r="Y528" s="5" t="inlineStr">
        <is>
          <t>Cross-persona</t>
        </is>
      </c>
      <c r="Z528" s="5" t="inlineStr">
        <is>
          <t>Critical</t>
        </is>
      </c>
      <c r="AA528" s="5" t="inlineStr">
        <is>
          <t>High</t>
        </is>
      </c>
      <c r="AB528" s="8" t="inlineStr">
        <is>
          <t>Medium</t>
        </is>
      </c>
      <c r="AC528" s="8" t="inlineStr">
        <is>
          <t>MVP</t>
        </is>
      </c>
      <c r="AD528" s="5" t="inlineStr">
        <is>
          <t>Not independently checked</t>
        </is>
      </c>
      <c r="AE528" s="5" t="inlineStr">
        <is>
          <t>Not verified</t>
        </is>
      </c>
      <c r="AF528" s="5" t="inlineStr">
        <is>
          <t>Not verified</t>
        </is>
      </c>
      <c r="AG528" s="5" t="inlineStr">
        <is>
          <t>Not verified</t>
        </is>
      </c>
      <c r="AH528" s="5" t="inlineStr">
        <is>
          <t>Not verified</t>
        </is>
      </c>
      <c r="AI528" s="8" t="inlineStr">
        <is>
          <t>No</t>
        </is>
      </c>
      <c r="AJ528" s="8" t="inlineStr">
        <is>
          <t>Claimed - unverified</t>
        </is>
      </c>
      <c r="AK528" s="8" t="inlineStr">
        <is>
          <t>P0</t>
        </is>
      </c>
      <c r="AL528" s="8" t="n">
        <v>18</v>
      </c>
      <c r="AM528" s="5" t="inlineStr"/>
      <c r="AN528" s="5" t="inlineStr"/>
      <c r="AO528" s="5" t="inlineStr"/>
      <c r="AP528" s="5" t="inlineStr"/>
      <c r="AQ528" s="5" t="inlineStr"/>
      <c r="AR528" s="5" t="inlineStr"/>
      <c r="AS528" s="5" t="inlineStr"/>
      <c r="AT528" s="5" t="inlineStr"/>
      <c r="AU528" s="8" t="inlineStr">
        <is>
          <t>Not run</t>
        </is>
      </c>
    </row>
    <row r="529" ht="32" customHeight="1">
      <c r="A529" s="16" t="inlineStr">
        <is>
          <t>X-0528</t>
        </is>
      </c>
      <c r="B529" s="8" t="inlineStr">
        <is>
          <t>X</t>
        </is>
      </c>
      <c r="C529" s="5" t="inlineStr">
        <is>
          <t>Multiple / Cross-persona</t>
        </is>
      </c>
      <c r="D529" s="5" t="inlineStr">
        <is>
          <t>Payments &amp; Reconciliation</t>
        </is>
      </c>
      <c r="E529" s="5" t="inlineStr">
        <is>
          <t>Record PDC (Post-Dated Cheque) received from customer and track presentation due date</t>
        </is>
      </c>
      <c r="F529" s="5" t="inlineStr">
        <is>
          <t>Accounts Cashier</t>
        </is>
      </c>
      <c r="G529" s="5" t="inlineStr">
        <is>
          <t>Customer</t>
        </is>
      </c>
      <c r="H529" s="5" t="inlineStr">
        <is>
          <t>Safely register future-dated physical cheques received from B2B clients</t>
        </is>
      </c>
      <c r="I529" s="5" t="inlineStr">
        <is>
          <t>Creates ChequeRecord in PDC_HOLDING status; surfaces cheque on daily bank deposit schedule</t>
        </is>
      </c>
      <c r="J529" s="20" t="inlineStr">
        <is>
          <t>P1</t>
        </is>
      </c>
      <c r="K529" s="20" t="inlineStr">
        <is>
          <t>Validated (Supported)</t>
        </is>
      </c>
      <c r="L529" s="5" t="inlineStr">
        <is>
          <t>Supported via /payments/cheques/ with maturity calendar and bank presentation alerts.</t>
        </is>
      </c>
      <c r="M529" s="8" t="inlineStr">
        <is>
          <t>Baseline</t>
        </is>
      </c>
      <c r="N529" s="8" t="inlineStr">
        <is>
          <t>Cross-persona</t>
        </is>
      </c>
      <c r="O529" s="8" t="inlineStr">
        <is>
          <t>P1</t>
        </is>
      </c>
      <c r="P529" s="5" t="inlineStr">
        <is>
          <t>Unchanged</t>
        </is>
      </c>
      <c r="Q529" s="20" t="inlineStr">
        <is>
          <t>Author assertion</t>
        </is>
      </c>
      <c r="R529" s="5" t="inlineStr"/>
      <c r="S529" s="8" t="inlineStr">
        <is>
          <t>PAYREC</t>
        </is>
      </c>
      <c r="T529" s="5" t="inlineStr">
        <is>
          <t>Payments and reconciliation</t>
        </is>
      </c>
      <c r="U529" s="8" t="inlineStr"/>
      <c r="V529" s="8" t="inlineStr">
        <is>
          <t>payments</t>
        </is>
      </c>
      <c r="W529" s="8" t="inlineStr">
        <is>
          <t>RUN</t>
        </is>
      </c>
      <c r="X529" s="5" t="inlineStr">
        <is>
          <t>Core</t>
        </is>
      </c>
      <c r="Y529" s="5" t="inlineStr">
        <is>
          <t>Cross-persona</t>
        </is>
      </c>
      <c r="Z529" s="5" t="inlineStr">
        <is>
          <t>High</t>
        </is>
      </c>
      <c r="AA529" s="5" t="inlineStr">
        <is>
          <t>High</t>
        </is>
      </c>
      <c r="AB529" s="8" t="inlineStr">
        <is>
          <t>Low</t>
        </is>
      </c>
      <c r="AC529" s="8" t="inlineStr">
        <is>
          <t>Pilot</t>
        </is>
      </c>
      <c r="AD529" s="5" t="inlineStr">
        <is>
          <t>Not independently checked</t>
        </is>
      </c>
      <c r="AE529" s="5" t="inlineStr">
        <is>
          <t>Not verified</t>
        </is>
      </c>
      <c r="AF529" s="5" t="inlineStr">
        <is>
          <t>Not verified</t>
        </is>
      </c>
      <c r="AG529" s="5" t="inlineStr">
        <is>
          <t>Not verified</t>
        </is>
      </c>
      <c r="AH529" s="5" t="inlineStr">
        <is>
          <t>Not verified</t>
        </is>
      </c>
      <c r="AI529" s="8" t="inlineStr">
        <is>
          <t>No</t>
        </is>
      </c>
      <c r="AJ529" s="8" t="inlineStr">
        <is>
          <t>Claimed - unverified</t>
        </is>
      </c>
      <c r="AK529" s="8" t="inlineStr">
        <is>
          <t>P1</t>
        </is>
      </c>
      <c r="AL529" s="8" t="n">
        <v>9</v>
      </c>
      <c r="AM529" s="5" t="inlineStr"/>
      <c r="AN529" s="5" t="inlineStr"/>
      <c r="AO529" s="5" t="inlineStr"/>
      <c r="AP529" s="5" t="inlineStr"/>
      <c r="AQ529" s="5" t="inlineStr"/>
      <c r="AR529" s="5" t="inlineStr"/>
      <c r="AS529" s="5" t="inlineStr"/>
      <c r="AT529" s="5" t="inlineStr"/>
      <c r="AU529" s="8" t="inlineStr">
        <is>
          <t>Not run</t>
        </is>
      </c>
    </row>
    <row r="530" ht="32" customHeight="1">
      <c r="A530" s="16" t="inlineStr">
        <is>
          <t>X-0529</t>
        </is>
      </c>
      <c r="B530" s="8" t="inlineStr">
        <is>
          <t>X</t>
        </is>
      </c>
      <c r="C530" s="5" t="inlineStr">
        <is>
          <t>Multiple / Cross-persona</t>
        </is>
      </c>
      <c r="D530" s="5" t="inlineStr">
        <is>
          <t>Payments &amp; Reconciliation</t>
        </is>
      </c>
      <c r="E530" s="5" t="inlineStr">
        <is>
          <t>Deposit cheque into bank clearing account and monitor realization</t>
        </is>
      </c>
      <c r="F530" s="5" t="inlineStr">
        <is>
          <t>Accounts Cashier</t>
        </is>
      </c>
      <c r="G530" s="5" t="inlineStr">
        <is>
          <t>Bank</t>
        </is>
      </c>
      <c r="H530" s="5" t="inlineStr">
        <is>
          <t>Record physical deposit of customer cheques into bank clearing account</t>
        </is>
      </c>
      <c r="I530" s="5" t="inlineStr">
        <is>
          <t>Debits Bank Cheques-in-Clearing account; marks cheque as DEPOSITED</t>
        </is>
      </c>
      <c r="J530" s="20" t="inlineStr">
        <is>
          <t>P1</t>
        </is>
      </c>
      <c r="K530" s="20" t="inlineStr">
        <is>
          <t>Validated (Supported)</t>
        </is>
      </c>
      <c r="L530" s="5" t="inlineStr">
        <is>
          <t>Supported via Bank Deposit Slip generator and cheque clearing tracker.</t>
        </is>
      </c>
      <c r="M530" s="8" t="inlineStr">
        <is>
          <t>Baseline</t>
        </is>
      </c>
      <c r="N530" s="8" t="inlineStr">
        <is>
          <t>Cross-persona</t>
        </is>
      </c>
      <c r="O530" s="8" t="inlineStr">
        <is>
          <t>P1</t>
        </is>
      </c>
      <c r="P530" s="5" t="inlineStr">
        <is>
          <t>Unchanged</t>
        </is>
      </c>
      <c r="Q530" s="20" t="inlineStr">
        <is>
          <t>Author assertion</t>
        </is>
      </c>
      <c r="R530" s="5" t="inlineStr"/>
      <c r="S530" s="8" t="inlineStr">
        <is>
          <t>PAYREC</t>
        </is>
      </c>
      <c r="T530" s="5" t="inlineStr">
        <is>
          <t>Payments and reconciliation</t>
        </is>
      </c>
      <c r="U530" s="8" t="inlineStr"/>
      <c r="V530" s="8" t="inlineStr">
        <is>
          <t>payments</t>
        </is>
      </c>
      <c r="W530" s="8" t="inlineStr">
        <is>
          <t>RUN</t>
        </is>
      </c>
      <c r="X530" s="5" t="inlineStr">
        <is>
          <t>Core</t>
        </is>
      </c>
      <c r="Y530" s="5" t="inlineStr">
        <is>
          <t>Cross-persona</t>
        </is>
      </c>
      <c r="Z530" s="5" t="inlineStr">
        <is>
          <t>High</t>
        </is>
      </c>
      <c r="AA530" s="5" t="inlineStr">
        <is>
          <t>High</t>
        </is>
      </c>
      <c r="AB530" s="8" t="inlineStr">
        <is>
          <t>Low</t>
        </is>
      </c>
      <c r="AC530" s="8" t="inlineStr">
        <is>
          <t>Pilot</t>
        </is>
      </c>
      <c r="AD530" s="5" t="inlineStr">
        <is>
          <t>Not independently checked</t>
        </is>
      </c>
      <c r="AE530" s="5" t="inlineStr">
        <is>
          <t>Not verified</t>
        </is>
      </c>
      <c r="AF530" s="5" t="inlineStr">
        <is>
          <t>Not verified</t>
        </is>
      </c>
      <c r="AG530" s="5" t="inlineStr">
        <is>
          <t>Not verified</t>
        </is>
      </c>
      <c r="AH530" s="5" t="inlineStr">
        <is>
          <t>Not verified</t>
        </is>
      </c>
      <c r="AI530" s="8" t="inlineStr">
        <is>
          <t>No</t>
        </is>
      </c>
      <c r="AJ530" s="8" t="inlineStr">
        <is>
          <t>Claimed - unverified</t>
        </is>
      </c>
      <c r="AK530" s="8" t="inlineStr">
        <is>
          <t>P1</t>
        </is>
      </c>
      <c r="AL530" s="8" t="n">
        <v>9</v>
      </c>
      <c r="AM530" s="5" t="inlineStr"/>
      <c r="AN530" s="5" t="inlineStr"/>
      <c r="AO530" s="5" t="inlineStr"/>
      <c r="AP530" s="5" t="inlineStr"/>
      <c r="AQ530" s="5" t="inlineStr"/>
      <c r="AR530" s="5" t="inlineStr"/>
      <c r="AS530" s="5" t="inlineStr"/>
      <c r="AT530" s="5" t="inlineStr"/>
      <c r="AU530" s="8" t="inlineStr">
        <is>
          <t>Not run</t>
        </is>
      </c>
    </row>
    <row r="531" ht="32" customHeight="1">
      <c r="A531" s="16" t="inlineStr">
        <is>
          <t>X-0530</t>
        </is>
      </c>
      <c r="B531" s="8" t="inlineStr">
        <is>
          <t>X</t>
        </is>
      </c>
      <c r="C531" s="5" t="inlineStr">
        <is>
          <t>Multiple / Cross-persona</t>
        </is>
      </c>
      <c r="D531" s="5" t="inlineStr">
        <is>
          <t>Payments &amp; Reconciliation</t>
        </is>
      </c>
      <c r="E531" s="5" t="inlineStr">
        <is>
          <t>Handle bounced / dishonoured cheque: reverse invoice settlement, add bank fee, alert owner</t>
        </is>
      </c>
      <c r="F531" s="5" t="inlineStr">
        <is>
          <t>In-house Accountant</t>
        </is>
      </c>
      <c r="G531" s="5" t="inlineStr">
        <is>
          <t>Customer / Bank</t>
        </is>
      </c>
      <c r="H531" s="5" t="inlineStr">
        <is>
          <t>Immediate accounting reversal when bank rejects cheque due to insufficient customer funds</t>
        </is>
      </c>
      <c r="I531" s="5" t="inlineStr">
        <is>
          <t>Restores original invoice UNPAID status; debits bank dishonour charges to customer account; alerts owner</t>
        </is>
      </c>
      <c r="J531" s="19" t="inlineStr">
        <is>
          <t>P0</t>
        </is>
      </c>
      <c r="K531" s="20" t="inlineStr">
        <is>
          <t>Validated (Supported)</t>
        </is>
      </c>
      <c r="L531" s="5" t="inlineStr">
        <is>
          <t>Supported via Cheque Dishonour action with automated ledger reversal and notice letter.</t>
        </is>
      </c>
      <c r="M531" s="8" t="inlineStr">
        <is>
          <t>Baseline</t>
        </is>
      </c>
      <c r="N531" s="8" t="inlineStr">
        <is>
          <t>Cross-persona</t>
        </is>
      </c>
      <c r="O531" s="8" t="inlineStr">
        <is>
          <t>P0</t>
        </is>
      </c>
      <c r="P531" s="5" t="inlineStr">
        <is>
          <t>Unchanged</t>
        </is>
      </c>
      <c r="Q531" s="20" t="inlineStr">
        <is>
          <t>Author assertion</t>
        </is>
      </c>
      <c r="R531" s="5" t="inlineStr"/>
      <c r="S531" s="8" t="inlineStr">
        <is>
          <t>PAYREC</t>
        </is>
      </c>
      <c r="T531" s="5" t="inlineStr">
        <is>
          <t>Payments and reconciliation</t>
        </is>
      </c>
      <c r="U531" s="8" t="inlineStr"/>
      <c r="V531" s="8" t="inlineStr">
        <is>
          <t>payments</t>
        </is>
      </c>
      <c r="W531" s="8" t="inlineStr">
        <is>
          <t>RUN</t>
        </is>
      </c>
      <c r="X531" s="5" t="inlineStr">
        <is>
          <t>Core</t>
        </is>
      </c>
      <c r="Y531" s="5" t="inlineStr">
        <is>
          <t>Cross-persona</t>
        </is>
      </c>
      <c r="Z531" s="5" t="inlineStr">
        <is>
          <t>High</t>
        </is>
      </c>
      <c r="AA531" s="5" t="inlineStr">
        <is>
          <t>High</t>
        </is>
      </c>
      <c r="AB531" s="8" t="inlineStr">
        <is>
          <t>Low</t>
        </is>
      </c>
      <c r="AC531" s="8" t="inlineStr">
        <is>
          <t>MVP</t>
        </is>
      </c>
      <c r="AD531" s="5" t="inlineStr">
        <is>
          <t>Not independently checked</t>
        </is>
      </c>
      <c r="AE531" s="5" t="inlineStr">
        <is>
          <t>Not verified</t>
        </is>
      </c>
      <c r="AF531" s="5" t="inlineStr">
        <is>
          <t>Not verified</t>
        </is>
      </c>
      <c r="AG531" s="5" t="inlineStr">
        <is>
          <t>Not verified</t>
        </is>
      </c>
      <c r="AH531" s="5" t="inlineStr">
        <is>
          <t>Not verified</t>
        </is>
      </c>
      <c r="AI531" s="8" t="inlineStr">
        <is>
          <t>No</t>
        </is>
      </c>
      <c r="AJ531" s="8" t="inlineStr">
        <is>
          <t>Claimed - unverified</t>
        </is>
      </c>
      <c r="AK531" s="8" t="inlineStr">
        <is>
          <t>P0</t>
        </is>
      </c>
      <c r="AL531" s="8" t="n">
        <v>9</v>
      </c>
      <c r="AM531" s="5" t="inlineStr"/>
      <c r="AN531" s="5" t="inlineStr"/>
      <c r="AO531" s="5" t="inlineStr"/>
      <c r="AP531" s="5" t="inlineStr"/>
      <c r="AQ531" s="5" t="inlineStr"/>
      <c r="AR531" s="5" t="inlineStr"/>
      <c r="AS531" s="5" t="inlineStr"/>
      <c r="AT531" s="5" t="inlineStr"/>
      <c r="AU531" s="8" t="inlineStr">
        <is>
          <t>Not run</t>
        </is>
      </c>
    </row>
    <row r="532" ht="32" customHeight="1">
      <c r="A532" s="16" t="inlineStr">
        <is>
          <t>X-0531</t>
        </is>
      </c>
      <c r="B532" s="8" t="inlineStr">
        <is>
          <t>X</t>
        </is>
      </c>
      <c r="C532" s="5" t="inlineStr">
        <is>
          <t>Multiple / Cross-persona</t>
        </is>
      </c>
      <c r="D532" s="5" t="inlineStr">
        <is>
          <t>Payments &amp; Reconciliation</t>
        </is>
      </c>
      <c r="E532" s="5" t="inlineStr">
        <is>
          <t>Apply early settlement cash discount (e.g. 2% in 7 days) and book discount expense</t>
        </is>
      </c>
      <c r="F532" s="5" t="inlineStr">
        <is>
          <t>Accounts Cashier</t>
        </is>
      </c>
      <c r="G532" s="5" t="inlineStr">
        <is>
          <t>Customer</t>
        </is>
      </c>
      <c r="H532" s="5" t="inlineStr">
        <is>
          <t>Incentivize prompt customer payment by offering dynamic early settlement discounts</t>
        </is>
      </c>
      <c r="I532" s="5" t="inlineStr">
        <is>
          <t>Calculates discount amount; debits Cash Discount Allowed expense account in GL; settles full bill</t>
        </is>
      </c>
      <c r="J532" s="20" t="inlineStr">
        <is>
          <t>P1</t>
        </is>
      </c>
      <c r="K532" s="20" t="inlineStr">
        <is>
          <t>Validated (Supported)</t>
        </is>
      </c>
      <c r="L532" s="5" t="inlineStr">
        <is>
          <t>Supported via Settlement Discount selector on payment receipt screen.</t>
        </is>
      </c>
      <c r="M532" s="8" t="inlineStr">
        <is>
          <t>Baseline</t>
        </is>
      </c>
      <c r="N532" s="8" t="inlineStr">
        <is>
          <t>Cross-persona</t>
        </is>
      </c>
      <c r="O532" s="8" t="inlineStr">
        <is>
          <t>P1</t>
        </is>
      </c>
      <c r="P532" s="5" t="inlineStr">
        <is>
          <t>Unchanged</t>
        </is>
      </c>
      <c r="Q532" s="20" t="inlineStr">
        <is>
          <t>Author assertion</t>
        </is>
      </c>
      <c r="R532" s="5" t="inlineStr"/>
      <c r="S532" s="8" t="inlineStr">
        <is>
          <t>PAYREC</t>
        </is>
      </c>
      <c r="T532" s="5" t="inlineStr">
        <is>
          <t>Payments and reconciliation</t>
        </is>
      </c>
      <c r="U532" s="8" t="inlineStr"/>
      <c r="V532" s="8" t="inlineStr">
        <is>
          <t>payments</t>
        </is>
      </c>
      <c r="W532" s="8" t="inlineStr">
        <is>
          <t>RUN</t>
        </is>
      </c>
      <c r="X532" s="5" t="inlineStr">
        <is>
          <t>Core</t>
        </is>
      </c>
      <c r="Y532" s="5" t="inlineStr">
        <is>
          <t>Cross-persona</t>
        </is>
      </c>
      <c r="Z532" s="5" t="inlineStr">
        <is>
          <t>High</t>
        </is>
      </c>
      <c r="AA532" s="5" t="inlineStr">
        <is>
          <t>High</t>
        </is>
      </c>
      <c r="AB532" s="8" t="inlineStr">
        <is>
          <t>Low</t>
        </is>
      </c>
      <c r="AC532" s="8" t="inlineStr">
        <is>
          <t>Pilot</t>
        </is>
      </c>
      <c r="AD532" s="5" t="inlineStr">
        <is>
          <t>Not independently checked</t>
        </is>
      </c>
      <c r="AE532" s="5" t="inlineStr">
        <is>
          <t>Not verified</t>
        </is>
      </c>
      <c r="AF532" s="5" t="inlineStr">
        <is>
          <t>Not verified</t>
        </is>
      </c>
      <c r="AG532" s="5" t="inlineStr">
        <is>
          <t>Not verified</t>
        </is>
      </c>
      <c r="AH532" s="5" t="inlineStr">
        <is>
          <t>Not verified</t>
        </is>
      </c>
      <c r="AI532" s="8" t="inlineStr">
        <is>
          <t>No</t>
        </is>
      </c>
      <c r="AJ532" s="8" t="inlineStr">
        <is>
          <t>Claimed - unverified</t>
        </is>
      </c>
      <c r="AK532" s="8" t="inlineStr">
        <is>
          <t>P1</t>
        </is>
      </c>
      <c r="AL532" s="8" t="n">
        <v>9</v>
      </c>
      <c r="AM532" s="5" t="inlineStr"/>
      <c r="AN532" s="5" t="inlineStr"/>
      <c r="AO532" s="5" t="inlineStr"/>
      <c r="AP532" s="5" t="inlineStr"/>
      <c r="AQ532" s="5" t="inlineStr"/>
      <c r="AR532" s="5" t="inlineStr"/>
      <c r="AS532" s="5" t="inlineStr"/>
      <c r="AT532" s="5" t="inlineStr"/>
      <c r="AU532" s="8" t="inlineStr">
        <is>
          <t>Not run</t>
        </is>
      </c>
    </row>
    <row r="533" ht="32" customHeight="1">
      <c r="A533" s="16" t="inlineStr">
        <is>
          <t>X-0532</t>
        </is>
      </c>
      <c r="B533" s="8" t="inlineStr">
        <is>
          <t>X</t>
        </is>
      </c>
      <c r="C533" s="5" t="inlineStr">
        <is>
          <t>Multiple / Cross-persona</t>
        </is>
      </c>
      <c r="D533" s="5" t="inlineStr">
        <is>
          <t>Payments &amp; Reconciliation</t>
        </is>
      </c>
      <c r="E533" s="5" t="inlineStr">
        <is>
          <t>Connected banking live feed integration (Account Aggregator / Bank API)</t>
        </is>
      </c>
      <c r="F533" s="5" t="inlineStr">
        <is>
          <t>In-house Accountant</t>
        </is>
      </c>
      <c r="G533" s="5" t="inlineStr">
        <is>
          <t>Bank (ICICI/HDFC/Axis)</t>
        </is>
      </c>
      <c r="H533" s="5" t="inlineStr">
        <is>
          <t>Automated live synchronization of bank account statements and RTGS/NEFT inflows</t>
        </is>
      </c>
      <c r="I533" s="5" t="inlineStr">
        <is>
          <t>Fetches live bank statement lines via secure API; matches UTRs against open customer receivables</t>
        </is>
      </c>
      <c r="J533" s="20" t="inlineStr">
        <is>
          <t>P1</t>
        </is>
      </c>
      <c r="K533" s="20" t="inlineStr">
        <is>
          <t>Validated (Supported)</t>
        </is>
      </c>
      <c r="L533" s="5" t="inlineStr">
        <is>
          <t>Supported via Connected Banking module with Account Aggregator / Bank Open API hooks.</t>
        </is>
      </c>
      <c r="M533" s="8" t="inlineStr">
        <is>
          <t>Baseline</t>
        </is>
      </c>
      <c r="N533" s="8" t="inlineStr">
        <is>
          <t>Cross-persona</t>
        </is>
      </c>
      <c r="O533" s="8" t="inlineStr">
        <is>
          <t>P1</t>
        </is>
      </c>
      <c r="P533" s="5" t="inlineStr">
        <is>
          <t>Unchanged</t>
        </is>
      </c>
      <c r="Q533" s="20" t="inlineStr">
        <is>
          <t>Author assertion</t>
        </is>
      </c>
      <c r="R533" s="5" t="inlineStr"/>
      <c r="S533" s="8" t="inlineStr">
        <is>
          <t>PAYREC</t>
        </is>
      </c>
      <c r="T533" s="5" t="inlineStr">
        <is>
          <t>Payments and reconciliation</t>
        </is>
      </c>
      <c r="U533" s="8" t="inlineStr"/>
      <c r="V533" s="8" t="inlineStr">
        <is>
          <t>payments</t>
        </is>
      </c>
      <c r="W533" s="8" t="inlineStr">
        <is>
          <t>RUN</t>
        </is>
      </c>
      <c r="X533" s="5" t="inlineStr">
        <is>
          <t>Core</t>
        </is>
      </c>
      <c r="Y533" s="5" t="inlineStr">
        <is>
          <t>Cross-persona</t>
        </is>
      </c>
      <c r="Z533" s="5" t="inlineStr">
        <is>
          <t>High</t>
        </is>
      </c>
      <c r="AA533" s="5" t="inlineStr">
        <is>
          <t>High</t>
        </is>
      </c>
      <c r="AB533" s="8" t="inlineStr">
        <is>
          <t>Low</t>
        </is>
      </c>
      <c r="AC533" s="8" t="inlineStr">
        <is>
          <t>Pilot</t>
        </is>
      </c>
      <c r="AD533" s="5" t="inlineStr">
        <is>
          <t>Not independently checked</t>
        </is>
      </c>
      <c r="AE533" s="5" t="inlineStr">
        <is>
          <t>Not verified</t>
        </is>
      </c>
      <c r="AF533" s="5" t="inlineStr">
        <is>
          <t>Not verified</t>
        </is>
      </c>
      <c r="AG533" s="5" t="inlineStr">
        <is>
          <t>Not verified</t>
        </is>
      </c>
      <c r="AH533" s="5" t="inlineStr">
        <is>
          <t>Not verified</t>
        </is>
      </c>
      <c r="AI533" s="8" t="inlineStr">
        <is>
          <t>No</t>
        </is>
      </c>
      <c r="AJ533" s="8" t="inlineStr">
        <is>
          <t>Claimed - unverified</t>
        </is>
      </c>
      <c r="AK533" s="8" t="inlineStr">
        <is>
          <t>P1</t>
        </is>
      </c>
      <c r="AL533" s="8" t="n">
        <v>9</v>
      </c>
      <c r="AM533" s="5" t="inlineStr"/>
      <c r="AN533" s="5" t="inlineStr"/>
      <c r="AO533" s="5" t="inlineStr"/>
      <c r="AP533" s="5" t="inlineStr"/>
      <c r="AQ533" s="5" t="inlineStr"/>
      <c r="AR533" s="5" t="inlineStr"/>
      <c r="AS533" s="5" t="inlineStr"/>
      <c r="AT533" s="5" t="inlineStr"/>
      <c r="AU533" s="8" t="inlineStr">
        <is>
          <t>Not run</t>
        </is>
      </c>
    </row>
    <row r="534" ht="32" customHeight="1">
      <c r="A534" s="16" t="inlineStr">
        <is>
          <t>X-0533</t>
        </is>
      </c>
      <c r="B534" s="8" t="inlineStr">
        <is>
          <t>X</t>
        </is>
      </c>
      <c r="C534" s="5" t="inlineStr">
        <is>
          <t>Multiple / Cross-persona</t>
        </is>
      </c>
      <c r="D534" s="5" t="inlineStr">
        <is>
          <t>Procure-to-Pay</t>
        </is>
      </c>
      <c r="E534" s="5" t="inlineStr">
        <is>
          <t>Upload photo/PDF of supplier bill → AI/LLM extracts vendor GSTIN, invoice no, lines, taxes into draft bill</t>
        </is>
      </c>
      <c r="F534" s="5" t="inlineStr">
        <is>
          <t>Purchase Staff / Accountant</t>
        </is>
      </c>
      <c r="G534" s="5" t="inlineStr">
        <is>
          <t>Supplier</t>
        </is>
      </c>
      <c r="H534" s="5" t="inlineStr">
        <is>
          <t>Zero-manual-typing inward bill entry from scanned physical supplier tax bills</t>
        </is>
      </c>
      <c r="I534" s="5" t="inlineStr">
        <is>
          <t>Extracts header, items, HSN, rates, and tax split via OCR+LLM; pre-fills Purchase Invoice draft</t>
        </is>
      </c>
      <c r="J534" s="20" t="inlineStr">
        <is>
          <t>P1</t>
        </is>
      </c>
      <c r="K534" s="20" t="inlineStr">
        <is>
          <t>Validated (Supported)</t>
        </is>
      </c>
      <c r="L534" s="5" t="inlineStr">
        <is>
          <t>Supported via Deterministic LLM Bill Extractor (/purchases/upload-bill/).</t>
        </is>
      </c>
      <c r="M534" s="8" t="inlineStr">
        <is>
          <t>Baseline</t>
        </is>
      </c>
      <c r="N534" s="8" t="inlineStr">
        <is>
          <t>Cross-persona</t>
        </is>
      </c>
      <c r="O534" s="8" t="inlineStr">
        <is>
          <t>P1</t>
        </is>
      </c>
      <c r="P534" s="5" t="inlineStr">
        <is>
          <t>Unchanged</t>
        </is>
      </c>
      <c r="Q534" s="20" t="inlineStr">
        <is>
          <t>Author assertion</t>
        </is>
      </c>
      <c r="R534" s="5" t="inlineStr"/>
      <c r="S534" s="8" t="inlineStr">
        <is>
          <t>P2P</t>
        </is>
      </c>
      <c r="T534" s="5" t="inlineStr">
        <is>
          <t>Procure to pay</t>
        </is>
      </c>
      <c r="U534" s="8" t="inlineStr"/>
      <c r="V534" s="8" t="inlineStr">
        <is>
          <t>purchases</t>
        </is>
      </c>
      <c r="W534" s="8" t="inlineStr">
        <is>
          <t>RUN</t>
        </is>
      </c>
      <c r="X534" s="5" t="inlineStr">
        <is>
          <t>Core</t>
        </is>
      </c>
      <c r="Y534" s="5" t="inlineStr">
        <is>
          <t>Cross-persona</t>
        </is>
      </c>
      <c r="Z534" s="5" t="inlineStr">
        <is>
          <t>Medium</t>
        </is>
      </c>
      <c r="AA534" s="5" t="inlineStr">
        <is>
          <t>Medium</t>
        </is>
      </c>
      <c r="AB534" s="8" t="inlineStr">
        <is>
          <t>Low</t>
        </is>
      </c>
      <c r="AC534" s="8" t="inlineStr">
        <is>
          <t>Pilot</t>
        </is>
      </c>
      <c r="AD534" s="5" t="inlineStr">
        <is>
          <t>Not independently checked</t>
        </is>
      </c>
      <c r="AE534" s="5" t="inlineStr">
        <is>
          <t>Not verified</t>
        </is>
      </c>
      <c r="AF534" s="5" t="inlineStr">
        <is>
          <t>Not verified</t>
        </is>
      </c>
      <c r="AG534" s="5" t="inlineStr">
        <is>
          <t>Not verified</t>
        </is>
      </c>
      <c r="AH534" s="5" t="inlineStr">
        <is>
          <t>Not verified</t>
        </is>
      </c>
      <c r="AI534" s="8" t="inlineStr">
        <is>
          <t>No</t>
        </is>
      </c>
      <c r="AJ534" s="8" t="inlineStr">
        <is>
          <t>Claimed - unverified</t>
        </is>
      </c>
      <c r="AK534" s="8" t="inlineStr">
        <is>
          <t>P1</t>
        </is>
      </c>
      <c r="AL534" s="8" t="n">
        <v>6</v>
      </c>
      <c r="AM534" s="5" t="inlineStr"/>
      <c r="AN534" s="5" t="inlineStr"/>
      <c r="AO534" s="5" t="inlineStr"/>
      <c r="AP534" s="5" t="inlineStr"/>
      <c r="AQ534" s="5" t="inlineStr"/>
      <c r="AR534" s="5" t="inlineStr"/>
      <c r="AS534" s="5" t="inlineStr"/>
      <c r="AT534" s="5" t="inlineStr"/>
      <c r="AU534" s="8" t="inlineStr">
        <is>
          <t>Not run</t>
        </is>
      </c>
    </row>
    <row r="535" ht="32" customHeight="1">
      <c r="A535" s="16" t="inlineStr">
        <is>
          <t>X-0534</t>
        </is>
      </c>
      <c r="B535" s="8" t="inlineStr">
        <is>
          <t>X</t>
        </is>
      </c>
      <c r="C535" s="5" t="inlineStr">
        <is>
          <t>Multiple / Cross-persona</t>
        </is>
      </c>
      <c r="D535" s="5" t="inlineStr">
        <is>
          <t>Inventory Lifecycle</t>
        </is>
      </c>
      <c r="E535" s="5" t="inlineStr">
        <is>
          <t>Inventory Run-Rate Autopilot: predict stockout dates based on 30-day velocity and auto-generate PO draft</t>
        </is>
      </c>
      <c r="F535" s="5" t="inlineStr">
        <is>
          <t>Inventory Autopilot Engine</t>
        </is>
      </c>
      <c r="G535" s="5" t="inlineStr">
        <is>
          <t>Purchase Manager</t>
        </is>
      </c>
      <c r="H535" s="5" t="inlineStr">
        <is>
          <t>Prevent stockouts of high-velocity goods by analyzing historical daily sales burn rate</t>
        </is>
      </c>
      <c r="I535" s="5" t="inlineStr">
        <is>
          <t>Calculates Days of Stock Cover = On-Hand Stock / Daily Burn Rate; drafts supplier PO before stockout</t>
        </is>
      </c>
      <c r="J535" s="20" t="inlineStr">
        <is>
          <t>P1</t>
        </is>
      </c>
      <c r="K535" s="20" t="inlineStr">
        <is>
          <t>Validated (Supported)</t>
        </is>
      </c>
      <c r="L535" s="5" t="inlineStr">
        <is>
          <t>Supported via Inventory Autopilot run-rate forecasting engine.</t>
        </is>
      </c>
      <c r="M535" s="8" t="inlineStr">
        <is>
          <t>Baseline</t>
        </is>
      </c>
      <c r="N535" s="8" t="inlineStr">
        <is>
          <t>Cross-persona</t>
        </is>
      </c>
      <c r="O535" s="8" t="inlineStr">
        <is>
          <t>P1</t>
        </is>
      </c>
      <c r="P535" s="5" t="inlineStr">
        <is>
          <t>Unchanged</t>
        </is>
      </c>
      <c r="Q535" s="20" t="inlineStr">
        <is>
          <t>Author assertion</t>
        </is>
      </c>
      <c r="R535" s="5" t="inlineStr"/>
      <c r="S535" s="8" t="inlineStr">
        <is>
          <t>INV</t>
        </is>
      </c>
      <c r="T535" s="5" t="inlineStr">
        <is>
          <t>Inventory lifecycle</t>
        </is>
      </c>
      <c r="U535" s="8" t="inlineStr"/>
      <c r="V535" s="8" t="inlineStr">
        <is>
          <t>inventory</t>
        </is>
      </c>
      <c r="W535" s="8" t="inlineStr">
        <is>
          <t>RUN</t>
        </is>
      </c>
      <c r="X535" s="5" t="inlineStr">
        <is>
          <t>Core</t>
        </is>
      </c>
      <c r="Y535" s="5" t="inlineStr">
        <is>
          <t>Cross-persona</t>
        </is>
      </c>
      <c r="Z535" s="5" t="inlineStr">
        <is>
          <t>High</t>
        </is>
      </c>
      <c r="AA535" s="5" t="inlineStr">
        <is>
          <t>High</t>
        </is>
      </c>
      <c r="AB535" s="8" t="inlineStr">
        <is>
          <t>Low</t>
        </is>
      </c>
      <c r="AC535" s="8" t="inlineStr">
        <is>
          <t>Pilot</t>
        </is>
      </c>
      <c r="AD535" s="5" t="inlineStr">
        <is>
          <t>Not independently checked</t>
        </is>
      </c>
      <c r="AE535" s="5" t="inlineStr">
        <is>
          <t>Not verified</t>
        </is>
      </c>
      <c r="AF535" s="5" t="inlineStr">
        <is>
          <t>Not verified</t>
        </is>
      </c>
      <c r="AG535" s="5" t="inlineStr">
        <is>
          <t>Not verified</t>
        </is>
      </c>
      <c r="AH535" s="5" t="inlineStr">
        <is>
          <t>Not verified</t>
        </is>
      </c>
      <c r="AI535" s="8" t="inlineStr">
        <is>
          <t>No</t>
        </is>
      </c>
      <c r="AJ535" s="8" t="inlineStr">
        <is>
          <t>Claimed - unverified</t>
        </is>
      </c>
      <c r="AK535" s="8" t="inlineStr">
        <is>
          <t>P1</t>
        </is>
      </c>
      <c r="AL535" s="8" t="n">
        <v>9</v>
      </c>
      <c r="AM535" s="5" t="inlineStr"/>
      <c r="AN535" s="5" t="inlineStr"/>
      <c r="AO535" s="5" t="inlineStr"/>
      <c r="AP535" s="5" t="inlineStr"/>
      <c r="AQ535" s="5" t="inlineStr"/>
      <c r="AR535" s="5" t="inlineStr"/>
      <c r="AS535" s="5" t="inlineStr"/>
      <c r="AT535" s="5" t="inlineStr"/>
      <c r="AU535" s="8" t="inlineStr">
        <is>
          <t>Not run</t>
        </is>
      </c>
    </row>
    <row r="536" ht="32" customHeight="1">
      <c r="A536" s="16" t="inlineStr">
        <is>
          <t>X-0535</t>
        </is>
      </c>
      <c r="B536" s="8" t="inlineStr">
        <is>
          <t>X</t>
        </is>
      </c>
      <c r="C536" s="5" t="inlineStr">
        <is>
          <t>Multiple / Cross-persona</t>
        </is>
      </c>
      <c r="D536" s="5" t="inlineStr">
        <is>
          <t>Reporting &amp; Business Intelligence</t>
        </is>
      </c>
      <c r="E536" s="5" t="inlineStr">
        <is>
          <t>Predictive Cash-Flow Forecaster: simulate 30/60/90-day cash balance factoring debtor payment delays</t>
        </is>
      </c>
      <c r="F536" s="5" t="inlineStr">
        <is>
          <t>Cashflow Forecast Engine</t>
        </is>
      </c>
      <c r="G536" s="5" t="inlineStr">
        <is>
          <t>Business Owner</t>
        </is>
      </c>
      <c r="H536" s="5" t="inlineStr">
        <is>
          <t>Realistic cashflow runway simulation modeling actual historical debtor payment delay behavior</t>
        </is>
      </c>
      <c r="I536" s="5" t="inlineStr">
        <is>
          <t>Projects daily liquid bank balance combining projected collections, payroll, rent, and vendor dues</t>
        </is>
      </c>
      <c r="J536" s="20" t="inlineStr">
        <is>
          <t>P1</t>
        </is>
      </c>
      <c r="K536" s="20" t="inlineStr">
        <is>
          <t>Validated (Supported)</t>
        </is>
      </c>
      <c r="L536" s="5" t="inlineStr">
        <is>
          <t>Supported via CashflowForecastRun in insights app (/insights/cashflow/).</t>
        </is>
      </c>
      <c r="M536" s="8" t="inlineStr">
        <is>
          <t>Baseline</t>
        </is>
      </c>
      <c r="N536" s="8" t="inlineStr">
        <is>
          <t>Cross-persona</t>
        </is>
      </c>
      <c r="O536" s="8" t="inlineStr">
        <is>
          <t>P1</t>
        </is>
      </c>
      <c r="P536" s="5" t="inlineStr">
        <is>
          <t>Unchanged</t>
        </is>
      </c>
      <c r="Q536" s="21" t="inlineStr">
        <is>
          <t>Code symbol found</t>
        </is>
      </c>
      <c r="R536" s="5" t="inlineStr">
        <is>
          <t>Matched CashflowForecastRun in product code. This is not a functional test.</t>
        </is>
      </c>
      <c r="S536" s="8" t="inlineStr">
        <is>
          <t>RPT</t>
        </is>
      </c>
      <c r="T536" s="5" t="inlineStr">
        <is>
          <t>Reporting and business intelligence</t>
        </is>
      </c>
      <c r="U536" s="8" t="inlineStr"/>
      <c r="V536" s="8" t="inlineStr">
        <is>
          <t>reporting</t>
        </is>
      </c>
      <c r="W536" s="8" t="inlineStr">
        <is>
          <t>CONTROL</t>
        </is>
      </c>
      <c r="X536" s="5" t="inlineStr">
        <is>
          <t>Core</t>
        </is>
      </c>
      <c r="Y536" s="5" t="inlineStr">
        <is>
          <t>Cross-persona</t>
        </is>
      </c>
      <c r="Z536" s="5" t="inlineStr">
        <is>
          <t>Medium</t>
        </is>
      </c>
      <c r="AA536" s="5" t="inlineStr">
        <is>
          <t>Medium</t>
        </is>
      </c>
      <c r="AB536" s="8" t="inlineStr">
        <is>
          <t>Low</t>
        </is>
      </c>
      <c r="AC536" s="8" t="inlineStr">
        <is>
          <t>Pilot</t>
        </is>
      </c>
      <c r="AD536" s="5" t="inlineStr">
        <is>
          <t>Cited in code</t>
        </is>
      </c>
      <c r="AE536" s="5" t="inlineStr">
        <is>
          <t>Not verified</t>
        </is>
      </c>
      <c r="AF536" s="5" t="inlineStr">
        <is>
          <t>Not verified</t>
        </is>
      </c>
      <c r="AG536" s="5" t="inlineStr">
        <is>
          <t>Not verified</t>
        </is>
      </c>
      <c r="AH536" s="5" t="inlineStr">
        <is>
          <t>Not verified</t>
        </is>
      </c>
      <c r="AI536" s="8" t="inlineStr">
        <is>
          <t>No</t>
        </is>
      </c>
      <c r="AJ536" s="8" t="inlineStr">
        <is>
          <t>Built - unverified</t>
        </is>
      </c>
      <c r="AK536" s="8" t="inlineStr">
        <is>
          <t>P1</t>
        </is>
      </c>
      <c r="AL536" s="8" t="n">
        <v>6</v>
      </c>
      <c r="AM536" s="5" t="inlineStr"/>
      <c r="AN536" s="5" t="inlineStr"/>
      <c r="AO536" s="5" t="inlineStr"/>
      <c r="AP536" s="5" t="inlineStr"/>
      <c r="AQ536" s="5" t="inlineStr"/>
      <c r="AR536" s="5" t="inlineStr"/>
      <c r="AS536" s="5" t="inlineStr"/>
      <c r="AT536" s="5" t="inlineStr"/>
      <c r="AU536" s="8" t="inlineStr">
        <is>
          <t>Not run</t>
        </is>
      </c>
    </row>
    <row r="537" ht="32" customHeight="1">
      <c r="A537" s="16" t="inlineStr">
        <is>
          <t>X-0536</t>
        </is>
      </c>
      <c r="B537" s="8" t="inlineStr">
        <is>
          <t>X</t>
        </is>
      </c>
      <c r="C537" s="5" t="inlineStr">
        <is>
          <t>Multiple / Cross-persona</t>
        </is>
      </c>
      <c r="D537" s="5" t="inlineStr">
        <is>
          <t>Reporting &amp; Business Intelligence</t>
        </is>
      </c>
      <c r="E537" s="5" t="inlineStr">
        <is>
          <t>Natural Language Business Query Assistant: answer owner queries via conversational interface</t>
        </is>
      </c>
      <c r="F537" s="5" t="inlineStr">
        <is>
          <t>Conversational AI Assistant</t>
        </is>
      </c>
      <c r="G537" s="5" t="inlineStr">
        <is>
          <t>Business Owner</t>
        </is>
      </c>
      <c r="H537" s="5" t="inlineStr">
        <is>
          <t>Owner asks natural language questions ('Who owes me more than 50k?') and receives instant figures</t>
        </is>
      </c>
      <c r="I537" s="5" t="inlineStr">
        <is>
          <t>Translates natural language into deterministic read-only database queries; returns charts and tables</t>
        </is>
      </c>
      <c r="J537" s="22" t="inlineStr">
        <is>
          <t>P2</t>
        </is>
      </c>
      <c r="K537" s="20" t="inlineStr">
        <is>
          <t>Validated (Supported)</t>
        </is>
      </c>
      <c r="L537" s="5" t="inlineStr">
        <is>
          <t>Supported via /insights/assistant/ conversational query agent.</t>
        </is>
      </c>
      <c r="M537" s="8" t="inlineStr">
        <is>
          <t>Baseline</t>
        </is>
      </c>
      <c r="N537" s="8" t="inlineStr">
        <is>
          <t>Cross-persona</t>
        </is>
      </c>
      <c r="O537" s="8" t="inlineStr">
        <is>
          <t>P2</t>
        </is>
      </c>
      <c r="P537" s="5" t="inlineStr">
        <is>
          <t>Unchanged</t>
        </is>
      </c>
      <c r="Q537" s="20" t="inlineStr">
        <is>
          <t>Author assertion</t>
        </is>
      </c>
      <c r="R537" s="5" t="inlineStr"/>
      <c r="S537" s="8" t="inlineStr">
        <is>
          <t>RPT</t>
        </is>
      </c>
      <c r="T537" s="5" t="inlineStr">
        <is>
          <t>Reporting and business intelligence</t>
        </is>
      </c>
      <c r="U537" s="8" t="inlineStr"/>
      <c r="V537" s="8" t="inlineStr">
        <is>
          <t>reporting</t>
        </is>
      </c>
      <c r="W537" s="8" t="inlineStr">
        <is>
          <t>CONTROL</t>
        </is>
      </c>
      <c r="X537" s="5" t="inlineStr">
        <is>
          <t>Core</t>
        </is>
      </c>
      <c r="Y537" s="5" t="inlineStr">
        <is>
          <t>Cross-persona</t>
        </is>
      </c>
      <c r="Z537" s="5" t="inlineStr">
        <is>
          <t>Medium</t>
        </is>
      </c>
      <c r="AA537" s="5" t="inlineStr">
        <is>
          <t>Medium</t>
        </is>
      </c>
      <c r="AB537" s="8" t="inlineStr">
        <is>
          <t>Low</t>
        </is>
      </c>
      <c r="AC537" s="8" t="inlineStr">
        <is>
          <t>Later</t>
        </is>
      </c>
      <c r="AD537" s="5" t="inlineStr">
        <is>
          <t>Not independently checked</t>
        </is>
      </c>
      <c r="AE537" s="5" t="inlineStr">
        <is>
          <t>Not verified</t>
        </is>
      </c>
      <c r="AF537" s="5" t="inlineStr">
        <is>
          <t>Not verified</t>
        </is>
      </c>
      <c r="AG537" s="5" t="inlineStr">
        <is>
          <t>Not verified</t>
        </is>
      </c>
      <c r="AH537" s="5" t="inlineStr">
        <is>
          <t>Not verified</t>
        </is>
      </c>
      <c r="AI537" s="8" t="inlineStr">
        <is>
          <t>No</t>
        </is>
      </c>
      <c r="AJ537" s="8" t="inlineStr">
        <is>
          <t>Claimed - unverified</t>
        </is>
      </c>
      <c r="AK537" s="8" t="inlineStr">
        <is>
          <t>P2</t>
        </is>
      </c>
      <c r="AL537" s="8" t="n">
        <v>6</v>
      </c>
      <c r="AM537" s="5" t="inlineStr"/>
      <c r="AN537" s="5" t="inlineStr"/>
      <c r="AO537" s="5" t="inlineStr"/>
      <c r="AP537" s="5" t="inlineStr"/>
      <c r="AQ537" s="5" t="inlineStr"/>
      <c r="AR537" s="5" t="inlineStr"/>
      <c r="AS537" s="5" t="inlineStr"/>
      <c r="AT537" s="5" t="inlineStr"/>
      <c r="AU537" s="8" t="inlineStr">
        <is>
          <t>Not run</t>
        </is>
      </c>
    </row>
    <row r="538" ht="32" customHeight="1">
      <c r="A538" s="16" t="inlineStr">
        <is>
          <t>X-0537</t>
        </is>
      </c>
      <c r="B538" s="8" t="inlineStr">
        <is>
          <t>X</t>
        </is>
      </c>
      <c r="C538" s="5" t="inlineStr">
        <is>
          <t>Multiple / Cross-persona</t>
        </is>
      </c>
      <c r="D538" s="5" t="inlineStr">
        <is>
          <t>Procure-to-Pay</t>
        </is>
      </c>
      <c r="E538" s="5" t="inlineStr">
        <is>
          <t>Automated Supplier Risk Scorecard based on delivery delays, price spikes, and GST filing failures</t>
        </is>
      </c>
      <c r="F538" s="5" t="inlineStr">
        <is>
          <t>Vendor Intelligence Engine</t>
        </is>
      </c>
      <c r="G538" s="5" t="inlineStr">
        <is>
          <t>Purchase Manager</t>
        </is>
      </c>
      <c r="H538" s="5" t="inlineStr">
        <is>
          <t>Continuously evaluate vendor reliability across delivery punctuality, price inflation, and tax compliance</t>
        </is>
      </c>
      <c r="I538" s="5" t="inlineStr">
        <is>
          <t>Computes multi-factor supplier health index (0-100); flags high-risk vendors before issuing repeat POs</t>
        </is>
      </c>
      <c r="J538" s="22" t="inlineStr">
        <is>
          <t>P2</t>
        </is>
      </c>
      <c r="K538" s="20" t="inlineStr">
        <is>
          <t>Validated (Supported)</t>
        </is>
      </c>
      <c r="L538" s="5" t="inlineStr">
        <is>
          <t>Supported via Supplier Scorecard in purchases module.</t>
        </is>
      </c>
      <c r="M538" s="8" t="inlineStr">
        <is>
          <t>Baseline</t>
        </is>
      </c>
      <c r="N538" s="8" t="inlineStr">
        <is>
          <t>Cross-persona</t>
        </is>
      </c>
      <c r="O538" s="8" t="inlineStr">
        <is>
          <t>P2</t>
        </is>
      </c>
      <c r="P538" s="5" t="inlineStr">
        <is>
          <t>Unchanged</t>
        </is>
      </c>
      <c r="Q538" s="20" t="inlineStr">
        <is>
          <t>Author assertion</t>
        </is>
      </c>
      <c r="R538" s="5" t="inlineStr"/>
      <c r="S538" s="8" t="inlineStr">
        <is>
          <t>P2P</t>
        </is>
      </c>
      <c r="T538" s="5" t="inlineStr">
        <is>
          <t>Procure to pay</t>
        </is>
      </c>
      <c r="U538" s="8" t="inlineStr"/>
      <c r="V538" s="8" t="inlineStr">
        <is>
          <t>purchases</t>
        </is>
      </c>
      <c r="W538" s="8" t="inlineStr">
        <is>
          <t>RUN</t>
        </is>
      </c>
      <c r="X538" s="5" t="inlineStr">
        <is>
          <t>Core</t>
        </is>
      </c>
      <c r="Y538" s="5" t="inlineStr">
        <is>
          <t>Cross-persona</t>
        </is>
      </c>
      <c r="Z538" s="5" t="inlineStr">
        <is>
          <t>Medium</t>
        </is>
      </c>
      <c r="AA538" s="5" t="inlineStr">
        <is>
          <t>Medium</t>
        </is>
      </c>
      <c r="AB538" s="8" t="inlineStr">
        <is>
          <t>Low</t>
        </is>
      </c>
      <c r="AC538" s="8" t="inlineStr">
        <is>
          <t>Later</t>
        </is>
      </c>
      <c r="AD538" s="5" t="inlineStr">
        <is>
          <t>Not independently checked</t>
        </is>
      </c>
      <c r="AE538" s="5" t="inlineStr">
        <is>
          <t>Not verified</t>
        </is>
      </c>
      <c r="AF538" s="5" t="inlineStr">
        <is>
          <t>Not verified</t>
        </is>
      </c>
      <c r="AG538" s="5" t="inlineStr">
        <is>
          <t>Not verified</t>
        </is>
      </c>
      <c r="AH538" s="5" t="inlineStr">
        <is>
          <t>Not verified</t>
        </is>
      </c>
      <c r="AI538" s="8" t="inlineStr">
        <is>
          <t>No</t>
        </is>
      </c>
      <c r="AJ538" s="8" t="inlineStr">
        <is>
          <t>Claimed - unverified</t>
        </is>
      </c>
      <c r="AK538" s="8" t="inlineStr">
        <is>
          <t>P2</t>
        </is>
      </c>
      <c r="AL538" s="8" t="n">
        <v>6</v>
      </c>
      <c r="AM538" s="5" t="inlineStr"/>
      <c r="AN538" s="5" t="inlineStr"/>
      <c r="AO538" s="5" t="inlineStr"/>
      <c r="AP538" s="5" t="inlineStr"/>
      <c r="AQ538" s="5" t="inlineStr"/>
      <c r="AR538" s="5" t="inlineStr"/>
      <c r="AS538" s="5" t="inlineStr"/>
      <c r="AT538" s="5" t="inlineStr"/>
      <c r="AU538" s="8" t="inlineStr">
        <is>
          <t>Not run</t>
        </is>
      </c>
    </row>
    <row r="539" ht="32" customHeight="1">
      <c r="A539" s="16" t="inlineStr">
        <is>
          <t>X-0538</t>
        </is>
      </c>
      <c r="B539" s="8" t="inlineStr">
        <is>
          <t>X</t>
        </is>
      </c>
      <c r="C539" s="5" t="inlineStr">
        <is>
          <t>Multiple / Cross-persona</t>
        </is>
      </c>
      <c r="D539" s="5" t="inlineStr">
        <is>
          <t>Operations, Fleet &amp; Delivery</t>
        </is>
      </c>
      <c r="E539" s="5" t="inlineStr">
        <is>
          <t>Staged fulfillment: group pending customer delivery orders by geographic transport route</t>
        </is>
      </c>
      <c r="F539" s="5" t="inlineStr">
        <is>
          <t>Logistics Dispatcher</t>
        </is>
      </c>
      <c r="G539" s="5" t="inlineStr">
        <is>
          <t>Warehouse Custodian</t>
        </is>
      </c>
      <c r="H539" s="5" t="inlineStr">
        <is>
          <t>Consolidate individual sales orders destined for the same market or delivery sector into single run</t>
        </is>
      </c>
      <c r="I539" s="5" t="inlineStr">
        <is>
          <t>Creates DispatchRun; groups orders by geographic pin code and route sector</t>
        </is>
      </c>
      <c r="J539" s="20" t="inlineStr">
        <is>
          <t>P1</t>
        </is>
      </c>
      <c r="K539" s="20" t="inlineStr">
        <is>
          <t>Validated (Supported)</t>
        </is>
      </c>
      <c r="L539" s="5" t="inlineStr">
        <is>
          <t>Supported via /operations/dispatch-staging/ with route clustering.</t>
        </is>
      </c>
      <c r="M539" s="8" t="inlineStr">
        <is>
          <t>Baseline</t>
        </is>
      </c>
      <c r="N539" s="8" t="inlineStr">
        <is>
          <t>Cross-persona</t>
        </is>
      </c>
      <c r="O539" s="8" t="inlineStr">
        <is>
          <t>P1</t>
        </is>
      </c>
      <c r="P539" s="5" t="inlineStr">
        <is>
          <t>Unchanged</t>
        </is>
      </c>
      <c r="Q539" s="20" t="inlineStr">
        <is>
          <t>Author assertion</t>
        </is>
      </c>
      <c r="R539" s="5" t="inlineStr"/>
      <c r="S539" s="8" t="inlineStr">
        <is>
          <t>FLEET</t>
        </is>
      </c>
      <c r="T539" s="5" t="inlineStr">
        <is>
          <t>Fleet and delivery</t>
        </is>
      </c>
      <c r="U539" s="8" t="inlineStr"/>
      <c r="V539" s="8" t="inlineStr">
        <is>
          <t>sales</t>
        </is>
      </c>
      <c r="W539" s="8" t="inlineStr">
        <is>
          <t>RUN</t>
        </is>
      </c>
      <c r="X539" s="5" t="inlineStr">
        <is>
          <t>Core</t>
        </is>
      </c>
      <c r="Y539" s="5" t="inlineStr">
        <is>
          <t>Cross-persona</t>
        </is>
      </c>
      <c r="Z539" s="5" t="inlineStr">
        <is>
          <t>Medium</t>
        </is>
      </c>
      <c r="AA539" s="5" t="inlineStr">
        <is>
          <t>Medium</t>
        </is>
      </c>
      <c r="AB539" s="8" t="inlineStr">
        <is>
          <t>Low</t>
        </is>
      </c>
      <c r="AC539" s="8" t="inlineStr">
        <is>
          <t>Pilot</t>
        </is>
      </c>
      <c r="AD539" s="5" t="inlineStr">
        <is>
          <t>Not independently checked</t>
        </is>
      </c>
      <c r="AE539" s="5" t="inlineStr">
        <is>
          <t>Not verified</t>
        </is>
      </c>
      <c r="AF539" s="5" t="inlineStr">
        <is>
          <t>Not verified</t>
        </is>
      </c>
      <c r="AG539" s="5" t="inlineStr">
        <is>
          <t>Not verified</t>
        </is>
      </c>
      <c r="AH539" s="5" t="inlineStr">
        <is>
          <t>Not verified</t>
        </is>
      </c>
      <c r="AI539" s="8" t="inlineStr">
        <is>
          <t>No</t>
        </is>
      </c>
      <c r="AJ539" s="8" t="inlineStr">
        <is>
          <t>Claimed - unverified</t>
        </is>
      </c>
      <c r="AK539" s="8" t="inlineStr">
        <is>
          <t>P1</t>
        </is>
      </c>
      <c r="AL539" s="8" t="n">
        <v>6</v>
      </c>
      <c r="AM539" s="5" t="inlineStr"/>
      <c r="AN539" s="5" t="inlineStr"/>
      <c r="AO539" s="5" t="inlineStr"/>
      <c r="AP539" s="5" t="inlineStr"/>
      <c r="AQ539" s="5" t="inlineStr"/>
      <c r="AR539" s="5" t="inlineStr"/>
      <c r="AS539" s="5" t="inlineStr"/>
      <c r="AT539" s="5" t="inlineStr"/>
      <c r="AU539" s="8" t="inlineStr">
        <is>
          <t>Not run</t>
        </is>
      </c>
    </row>
    <row r="540" ht="32" customHeight="1">
      <c r="A540" s="16" t="inlineStr">
        <is>
          <t>X-0539</t>
        </is>
      </c>
      <c r="B540" s="8" t="inlineStr">
        <is>
          <t>X</t>
        </is>
      </c>
      <c r="C540" s="5" t="inlineStr">
        <is>
          <t>Multiple / Cross-persona</t>
        </is>
      </c>
      <c r="D540" s="5" t="inlineStr">
        <is>
          <t>Operations, Fleet &amp; Delivery</t>
        </is>
      </c>
      <c r="E540" s="5" t="inlineStr">
        <is>
          <t>Vehicle load optimization: verify total consignment weight/volume against vehicle payload capacity</t>
        </is>
      </c>
      <c r="F540" s="5" t="inlineStr">
        <is>
          <t>Logistics Dispatcher</t>
        </is>
      </c>
      <c r="G540" s="5" t="inlineStr">
        <is>
          <t>Delivery Driver</t>
        </is>
      </c>
      <c r="H540" s="5" t="inlineStr">
        <is>
          <t>Prevent dangerous vehicle overloading and optimize delivery tempo payload capacity</t>
        </is>
      </c>
      <c r="I540" s="5" t="inlineStr">
        <is>
          <t>Sums order gross weights and cubic volumes; validates against vehicle.max_payload_kg</t>
        </is>
      </c>
      <c r="J540" s="20" t="inlineStr">
        <is>
          <t>P1</t>
        </is>
      </c>
      <c r="K540" s="20" t="inlineStr">
        <is>
          <t>Validated (Supported)</t>
        </is>
      </c>
      <c r="L540" s="5" t="inlineStr">
        <is>
          <t>Supported via Vehicle Capacity &amp; Load Planner in operations module.</t>
        </is>
      </c>
      <c r="M540" s="8" t="inlineStr">
        <is>
          <t>Baseline</t>
        </is>
      </c>
      <c r="N540" s="8" t="inlineStr">
        <is>
          <t>Cross-persona</t>
        </is>
      </c>
      <c r="O540" s="8" t="inlineStr">
        <is>
          <t>P1</t>
        </is>
      </c>
      <c r="P540" s="5" t="inlineStr">
        <is>
          <t>Unchanged</t>
        </is>
      </c>
      <c r="Q540" s="20" t="inlineStr">
        <is>
          <t>Author assertion</t>
        </is>
      </c>
      <c r="R540" s="5" t="inlineStr"/>
      <c r="S540" s="8" t="inlineStr">
        <is>
          <t>FLEET</t>
        </is>
      </c>
      <c r="T540" s="5" t="inlineStr">
        <is>
          <t>Fleet and delivery</t>
        </is>
      </c>
      <c r="U540" s="8" t="inlineStr"/>
      <c r="V540" s="8" t="inlineStr">
        <is>
          <t>sales</t>
        </is>
      </c>
      <c r="W540" s="8" t="inlineStr">
        <is>
          <t>RUN</t>
        </is>
      </c>
      <c r="X540" s="5" t="inlineStr">
        <is>
          <t>Core</t>
        </is>
      </c>
      <c r="Y540" s="5" t="inlineStr">
        <is>
          <t>Cross-persona</t>
        </is>
      </c>
      <c r="Z540" s="5" t="inlineStr">
        <is>
          <t>Medium</t>
        </is>
      </c>
      <c r="AA540" s="5" t="inlineStr">
        <is>
          <t>Medium</t>
        </is>
      </c>
      <c r="AB540" s="8" t="inlineStr">
        <is>
          <t>Low</t>
        </is>
      </c>
      <c r="AC540" s="8" t="inlineStr">
        <is>
          <t>Pilot</t>
        </is>
      </c>
      <c r="AD540" s="5" t="inlineStr">
        <is>
          <t>Not independently checked</t>
        </is>
      </c>
      <c r="AE540" s="5" t="inlineStr">
        <is>
          <t>Not verified</t>
        </is>
      </c>
      <c r="AF540" s="5" t="inlineStr">
        <is>
          <t>Not verified</t>
        </is>
      </c>
      <c r="AG540" s="5" t="inlineStr">
        <is>
          <t>Not verified</t>
        </is>
      </c>
      <c r="AH540" s="5" t="inlineStr">
        <is>
          <t>Not verified</t>
        </is>
      </c>
      <c r="AI540" s="8" t="inlineStr">
        <is>
          <t>No</t>
        </is>
      </c>
      <c r="AJ540" s="8" t="inlineStr">
        <is>
          <t>Claimed - unverified</t>
        </is>
      </c>
      <c r="AK540" s="8" t="inlineStr">
        <is>
          <t>P1</t>
        </is>
      </c>
      <c r="AL540" s="8" t="n">
        <v>6</v>
      </c>
      <c r="AM540" s="5" t="inlineStr"/>
      <c r="AN540" s="5" t="inlineStr"/>
      <c r="AO540" s="5" t="inlineStr"/>
      <c r="AP540" s="5" t="inlineStr"/>
      <c r="AQ540" s="5" t="inlineStr"/>
      <c r="AR540" s="5" t="inlineStr"/>
      <c r="AS540" s="5" t="inlineStr"/>
      <c r="AT540" s="5" t="inlineStr"/>
      <c r="AU540" s="8" t="inlineStr">
        <is>
          <t>Not run</t>
        </is>
      </c>
    </row>
    <row r="541" ht="32" customHeight="1">
      <c r="A541" s="16" t="inlineStr">
        <is>
          <t>X-0540</t>
        </is>
      </c>
      <c r="B541" s="8" t="inlineStr">
        <is>
          <t>X</t>
        </is>
      </c>
      <c r="C541" s="5" t="inlineStr">
        <is>
          <t>Multiple / Cross-persona</t>
        </is>
      </c>
      <c r="D541" s="5" t="inlineStr">
        <is>
          <t>Operations, Fleet &amp; Delivery</t>
        </is>
      </c>
      <c r="E541" s="5" t="inlineStr">
        <is>
          <t>Multi-drop sequential route planning for delivery driver</t>
        </is>
      </c>
      <c r="F541" s="5" t="inlineStr">
        <is>
          <t>Logistics Dispatcher</t>
        </is>
      </c>
      <c r="G541" s="5" t="inlineStr">
        <is>
          <t>Delivery Driver</t>
        </is>
      </c>
      <c r="H541" s="5" t="inlineStr">
        <is>
          <t>Sequence retail customer delivery stops in optimal geographic order to minimize fuel and transit time</t>
        </is>
      </c>
      <c r="I541" s="5" t="inlineStr">
        <is>
          <t>Generates sequenced stop sequence (Drop 1 -&gt; Drop 2 -&gt; Drop N) with estimated arrival windows</t>
        </is>
      </c>
      <c r="J541" s="20" t="inlineStr">
        <is>
          <t>P1</t>
        </is>
      </c>
      <c r="K541" s="20" t="inlineStr">
        <is>
          <t>Validated (Supported)</t>
        </is>
      </c>
      <c r="L541" s="5" t="inlineStr">
        <is>
          <t>Supported via Route Sequencer in operations fleet management.</t>
        </is>
      </c>
      <c r="M541" s="8" t="inlineStr">
        <is>
          <t>Baseline</t>
        </is>
      </c>
      <c r="N541" s="8" t="inlineStr">
        <is>
          <t>Cross-persona</t>
        </is>
      </c>
      <c r="O541" s="8" t="inlineStr">
        <is>
          <t>P1</t>
        </is>
      </c>
      <c r="P541" s="5" t="inlineStr">
        <is>
          <t>Unchanged</t>
        </is>
      </c>
      <c r="Q541" s="20" t="inlineStr">
        <is>
          <t>Author assertion</t>
        </is>
      </c>
      <c r="R541" s="5" t="inlineStr"/>
      <c r="S541" s="8" t="inlineStr">
        <is>
          <t>FLEET</t>
        </is>
      </c>
      <c r="T541" s="5" t="inlineStr">
        <is>
          <t>Fleet and delivery</t>
        </is>
      </c>
      <c r="U541" s="8" t="inlineStr"/>
      <c r="V541" s="8" t="inlineStr">
        <is>
          <t>sales</t>
        </is>
      </c>
      <c r="W541" s="8" t="inlineStr">
        <is>
          <t>RUN</t>
        </is>
      </c>
      <c r="X541" s="5" t="inlineStr">
        <is>
          <t>Core</t>
        </is>
      </c>
      <c r="Y541" s="5" t="inlineStr">
        <is>
          <t>Cross-persona</t>
        </is>
      </c>
      <c r="Z541" s="5" t="inlineStr">
        <is>
          <t>Medium</t>
        </is>
      </c>
      <c r="AA541" s="5" t="inlineStr">
        <is>
          <t>Medium</t>
        </is>
      </c>
      <c r="AB541" s="8" t="inlineStr">
        <is>
          <t>Low</t>
        </is>
      </c>
      <c r="AC541" s="8" t="inlineStr">
        <is>
          <t>Pilot</t>
        </is>
      </c>
      <c r="AD541" s="5" t="inlineStr">
        <is>
          <t>Not independently checked</t>
        </is>
      </c>
      <c r="AE541" s="5" t="inlineStr">
        <is>
          <t>Not verified</t>
        </is>
      </c>
      <c r="AF541" s="5" t="inlineStr">
        <is>
          <t>Not verified</t>
        </is>
      </c>
      <c r="AG541" s="5" t="inlineStr">
        <is>
          <t>Not verified</t>
        </is>
      </c>
      <c r="AH541" s="5" t="inlineStr">
        <is>
          <t>Not verified</t>
        </is>
      </c>
      <c r="AI541" s="8" t="inlineStr">
        <is>
          <t>No</t>
        </is>
      </c>
      <c r="AJ541" s="8" t="inlineStr">
        <is>
          <t>Claimed - unverified</t>
        </is>
      </c>
      <c r="AK541" s="8" t="inlineStr">
        <is>
          <t>P1</t>
        </is>
      </c>
      <c r="AL541" s="8" t="n">
        <v>6</v>
      </c>
      <c r="AM541" s="5" t="inlineStr"/>
      <c r="AN541" s="5" t="inlineStr"/>
      <c r="AO541" s="5" t="inlineStr"/>
      <c r="AP541" s="5" t="inlineStr"/>
      <c r="AQ541" s="5" t="inlineStr"/>
      <c r="AR541" s="5" t="inlineStr"/>
      <c r="AS541" s="5" t="inlineStr"/>
      <c r="AT541" s="5" t="inlineStr"/>
      <c r="AU541" s="8" t="inlineStr">
        <is>
          <t>Not run</t>
        </is>
      </c>
    </row>
    <row r="542" ht="32" customHeight="1">
      <c r="A542" s="16" t="inlineStr">
        <is>
          <t>X-0541</t>
        </is>
      </c>
      <c r="B542" s="8" t="inlineStr">
        <is>
          <t>X</t>
        </is>
      </c>
      <c r="C542" s="5" t="inlineStr">
        <is>
          <t>Multiple / Cross-persona</t>
        </is>
      </c>
      <c r="D542" s="5" t="inlineStr">
        <is>
          <t>Operations, Fleet &amp; Delivery</t>
        </is>
      </c>
      <c r="E542" s="5" t="inlineStr">
        <is>
          <t>Digital Proof of Delivery (POD) capture with customer signature, timestamp, and geo-location</t>
        </is>
      </c>
      <c r="F542" s="5" t="inlineStr">
        <is>
          <t>Delivery Driver</t>
        </is>
      </c>
      <c r="G542" s="5" t="inlineStr">
        <is>
          <t>Retail Merchant</t>
        </is>
      </c>
      <c r="H542" s="5" t="inlineStr">
        <is>
          <t>Capture tamper-evident digital proof of delivery at retail counter on mobile device</t>
        </is>
      </c>
      <c r="I542" s="5" t="inlineStr">
        <is>
          <t>Attaches signed bitmap, GPS latitude/longitude, and server timestamp to DeliveryChallan</t>
        </is>
      </c>
      <c r="J542" s="20" t="inlineStr">
        <is>
          <t>P1</t>
        </is>
      </c>
      <c r="K542" s="20" t="inlineStr">
        <is>
          <t>Validated (Supported)</t>
        </is>
      </c>
      <c r="L542" s="5" t="inlineStr">
        <is>
          <t>Supported via Driver Mobile PWA POD module.</t>
        </is>
      </c>
      <c r="M542" s="8" t="inlineStr">
        <is>
          <t>Baseline</t>
        </is>
      </c>
      <c r="N542" s="8" t="inlineStr">
        <is>
          <t>Cross-persona</t>
        </is>
      </c>
      <c r="O542" s="8" t="inlineStr">
        <is>
          <t>P1</t>
        </is>
      </c>
      <c r="P542" s="5" t="inlineStr">
        <is>
          <t>Unchanged</t>
        </is>
      </c>
      <c r="Q542" s="20" t="inlineStr">
        <is>
          <t>Author assertion</t>
        </is>
      </c>
      <c r="R542" s="5" t="inlineStr"/>
      <c r="S542" s="8" t="inlineStr">
        <is>
          <t>FLEET</t>
        </is>
      </c>
      <c r="T542" s="5" t="inlineStr">
        <is>
          <t>Fleet and delivery</t>
        </is>
      </c>
      <c r="U542" s="8" t="inlineStr"/>
      <c r="V542" s="8" t="inlineStr">
        <is>
          <t>sales</t>
        </is>
      </c>
      <c r="W542" s="8" t="inlineStr">
        <is>
          <t>RUN</t>
        </is>
      </c>
      <c r="X542" s="5" t="inlineStr">
        <is>
          <t>Core</t>
        </is>
      </c>
      <c r="Y542" s="5" t="inlineStr">
        <is>
          <t>Cross-persona</t>
        </is>
      </c>
      <c r="Z542" s="5" t="inlineStr">
        <is>
          <t>Medium</t>
        </is>
      </c>
      <c r="AA542" s="5" t="inlineStr">
        <is>
          <t>Medium</t>
        </is>
      </c>
      <c r="AB542" s="8" t="inlineStr">
        <is>
          <t>Low</t>
        </is>
      </c>
      <c r="AC542" s="8" t="inlineStr">
        <is>
          <t>Pilot</t>
        </is>
      </c>
      <c r="AD542" s="5" t="inlineStr">
        <is>
          <t>Not independently checked</t>
        </is>
      </c>
      <c r="AE542" s="5" t="inlineStr">
        <is>
          <t>Not verified</t>
        </is>
      </c>
      <c r="AF542" s="5" t="inlineStr">
        <is>
          <t>Not verified</t>
        </is>
      </c>
      <c r="AG542" s="5" t="inlineStr">
        <is>
          <t>Not verified</t>
        </is>
      </c>
      <c r="AH542" s="5" t="inlineStr">
        <is>
          <t>Not verified</t>
        </is>
      </c>
      <c r="AI542" s="8" t="inlineStr">
        <is>
          <t>No</t>
        </is>
      </c>
      <c r="AJ542" s="8" t="inlineStr">
        <is>
          <t>Claimed - unverified</t>
        </is>
      </c>
      <c r="AK542" s="8" t="inlineStr">
        <is>
          <t>P1</t>
        </is>
      </c>
      <c r="AL542" s="8" t="n">
        <v>6</v>
      </c>
      <c r="AM542" s="5" t="inlineStr"/>
      <c r="AN542" s="5" t="inlineStr"/>
      <c r="AO542" s="5" t="inlineStr"/>
      <c r="AP542" s="5" t="inlineStr"/>
      <c r="AQ542" s="5" t="inlineStr"/>
      <c r="AR542" s="5" t="inlineStr"/>
      <c r="AS542" s="5" t="inlineStr"/>
      <c r="AT542" s="5" t="inlineStr"/>
      <c r="AU542" s="8" t="inlineStr">
        <is>
          <t>Not run</t>
        </is>
      </c>
    </row>
    <row r="543" ht="32" customHeight="1">
      <c r="A543" s="16" t="inlineStr">
        <is>
          <t>X-0542</t>
        </is>
      </c>
      <c r="B543" s="8" t="inlineStr">
        <is>
          <t>X</t>
        </is>
      </c>
      <c r="C543" s="5" t="inlineStr">
        <is>
          <t>Multiple / Cross-persona</t>
        </is>
      </c>
      <c r="D543" s="5" t="inlineStr">
        <is>
          <t>Operations, Fleet &amp; Delivery</t>
        </is>
      </c>
      <c r="E543" s="5" t="inlineStr">
        <is>
          <t>Mobile Cash-on-Delivery (COD) capture by driver with instant payment receipt</t>
        </is>
      </c>
      <c r="F543" s="5" t="inlineStr">
        <is>
          <t>Delivery Driver</t>
        </is>
      </c>
      <c r="G543" s="5" t="inlineStr">
        <is>
          <t>Customer</t>
        </is>
      </c>
      <c r="H543" s="5" t="inlineStr">
        <is>
          <t>Collect cash or UPI payment at customer doorstep upon delivery and issue instant digital receipt</t>
        </is>
      </c>
      <c r="I543" s="5" t="inlineStr">
        <is>
          <t>Creates Payment record linked to driver custody; triggers WhatsApp payment confirmation to customer</t>
        </is>
      </c>
      <c r="J543" s="20" t="inlineStr">
        <is>
          <t>P1</t>
        </is>
      </c>
      <c r="K543" s="20" t="inlineStr">
        <is>
          <t>Validated (Supported)</t>
        </is>
      </c>
      <c r="L543" s="5" t="inlineStr">
        <is>
          <t>Supported via Mobile Driver Checkout with dynamic QR.</t>
        </is>
      </c>
      <c r="M543" s="8" t="inlineStr">
        <is>
          <t>Baseline</t>
        </is>
      </c>
      <c r="N543" s="8" t="inlineStr">
        <is>
          <t>Cross-persona</t>
        </is>
      </c>
      <c r="O543" s="8" t="inlineStr">
        <is>
          <t>P1</t>
        </is>
      </c>
      <c r="P543" s="5" t="inlineStr">
        <is>
          <t>Unchanged</t>
        </is>
      </c>
      <c r="Q543" s="20" t="inlineStr">
        <is>
          <t>Author assertion</t>
        </is>
      </c>
      <c r="R543" s="5" t="inlineStr"/>
      <c r="S543" s="8" t="inlineStr">
        <is>
          <t>FLEET</t>
        </is>
      </c>
      <c r="T543" s="5" t="inlineStr">
        <is>
          <t>Fleet and delivery</t>
        </is>
      </c>
      <c r="U543" s="8" t="inlineStr"/>
      <c r="V543" s="8" t="inlineStr">
        <is>
          <t>sales</t>
        </is>
      </c>
      <c r="W543" s="8" t="inlineStr">
        <is>
          <t>RUN</t>
        </is>
      </c>
      <c r="X543" s="5" t="inlineStr">
        <is>
          <t>Core</t>
        </is>
      </c>
      <c r="Y543" s="5" t="inlineStr">
        <is>
          <t>Cross-persona</t>
        </is>
      </c>
      <c r="Z543" s="5" t="inlineStr">
        <is>
          <t>Medium</t>
        </is>
      </c>
      <c r="AA543" s="5" t="inlineStr">
        <is>
          <t>Medium</t>
        </is>
      </c>
      <c r="AB543" s="8" t="inlineStr">
        <is>
          <t>Low</t>
        </is>
      </c>
      <c r="AC543" s="8" t="inlineStr">
        <is>
          <t>Pilot</t>
        </is>
      </c>
      <c r="AD543" s="5" t="inlineStr">
        <is>
          <t>Not independently checked</t>
        </is>
      </c>
      <c r="AE543" s="5" t="inlineStr">
        <is>
          <t>Not verified</t>
        </is>
      </c>
      <c r="AF543" s="5" t="inlineStr">
        <is>
          <t>Not verified</t>
        </is>
      </c>
      <c r="AG543" s="5" t="inlineStr">
        <is>
          <t>Not verified</t>
        </is>
      </c>
      <c r="AH543" s="5" t="inlineStr">
        <is>
          <t>Not verified</t>
        </is>
      </c>
      <c r="AI543" s="8" t="inlineStr">
        <is>
          <t>No</t>
        </is>
      </c>
      <c r="AJ543" s="8" t="inlineStr">
        <is>
          <t>Claimed - unverified</t>
        </is>
      </c>
      <c r="AK543" s="8" t="inlineStr">
        <is>
          <t>P1</t>
        </is>
      </c>
      <c r="AL543" s="8" t="n">
        <v>6</v>
      </c>
      <c r="AM543" s="5" t="inlineStr"/>
      <c r="AN543" s="5" t="inlineStr"/>
      <c r="AO543" s="5" t="inlineStr"/>
      <c r="AP543" s="5" t="inlineStr"/>
      <c r="AQ543" s="5" t="inlineStr"/>
      <c r="AR543" s="5" t="inlineStr"/>
      <c r="AS543" s="5" t="inlineStr"/>
      <c r="AT543" s="5" t="inlineStr"/>
      <c r="AU543" s="8" t="inlineStr">
        <is>
          <t>Not run</t>
        </is>
      </c>
    </row>
    <row r="544" ht="32" customHeight="1">
      <c r="A544" s="16" t="inlineStr">
        <is>
          <t>X-0543</t>
        </is>
      </c>
      <c r="B544" s="8" t="inlineStr">
        <is>
          <t>X</t>
        </is>
      </c>
      <c r="C544" s="5" t="inlineStr">
        <is>
          <t>Multiple / Cross-persona</t>
        </is>
      </c>
      <c r="D544" s="5" t="inlineStr">
        <is>
          <t>Operations, Fleet &amp; Delivery</t>
        </is>
      </c>
      <c r="E544" s="5" t="inlineStr">
        <is>
          <t>Driver route reconciliation: cashier matches delivered consignments, collected cash, and returns</t>
        </is>
      </c>
      <c r="F544" s="5" t="inlineStr">
        <is>
          <t>Accounts Cashier / Dispatcher</t>
        </is>
      </c>
      <c r="G544" s="5" t="inlineStr">
        <is>
          <t>Delivery Driver</t>
        </is>
      </c>
      <c r="H544" s="5" t="inlineStr">
        <is>
          <t>Evening driver debrief verifying all delivered orders, cash handed over, and rejected packages</t>
        </is>
      </c>
      <c r="I544" s="5" t="inlineStr">
        <is>
          <t>Closes DispatchRun; settles driver cash till; returns rejected items to godown inventory</t>
        </is>
      </c>
      <c r="J544" s="20" t="inlineStr">
        <is>
          <t>P1</t>
        </is>
      </c>
      <c r="K544" s="20" t="inlineStr">
        <is>
          <t>Validated (Supported)</t>
        </is>
      </c>
      <c r="L544" s="5" t="inlineStr">
        <is>
          <t>Supported via /operations/driver-settlement/ reconciliation interface.</t>
        </is>
      </c>
      <c r="M544" s="8" t="inlineStr">
        <is>
          <t>Baseline</t>
        </is>
      </c>
      <c r="N544" s="8" t="inlineStr">
        <is>
          <t>Cross-persona</t>
        </is>
      </c>
      <c r="O544" s="8" t="inlineStr">
        <is>
          <t>P1</t>
        </is>
      </c>
      <c r="P544" s="5" t="inlineStr">
        <is>
          <t>Unchanged</t>
        </is>
      </c>
      <c r="Q544" s="20" t="inlineStr">
        <is>
          <t>Author assertion</t>
        </is>
      </c>
      <c r="R544" s="5" t="inlineStr"/>
      <c r="S544" s="8" t="inlineStr">
        <is>
          <t>FLEET</t>
        </is>
      </c>
      <c r="T544" s="5" t="inlineStr">
        <is>
          <t>Fleet and delivery</t>
        </is>
      </c>
      <c r="U544" s="8" t="inlineStr"/>
      <c r="V544" s="8" t="inlineStr">
        <is>
          <t>sales</t>
        </is>
      </c>
      <c r="W544" s="8" t="inlineStr">
        <is>
          <t>RUN</t>
        </is>
      </c>
      <c r="X544" s="5" t="inlineStr">
        <is>
          <t>Core</t>
        </is>
      </c>
      <c r="Y544" s="5" t="inlineStr">
        <is>
          <t>Cross-persona</t>
        </is>
      </c>
      <c r="Z544" s="5" t="inlineStr">
        <is>
          <t>Medium</t>
        </is>
      </c>
      <c r="AA544" s="5" t="inlineStr">
        <is>
          <t>Medium</t>
        </is>
      </c>
      <c r="AB544" s="8" t="inlineStr">
        <is>
          <t>Low</t>
        </is>
      </c>
      <c r="AC544" s="8" t="inlineStr">
        <is>
          <t>Pilot</t>
        </is>
      </c>
      <c r="AD544" s="5" t="inlineStr">
        <is>
          <t>Not independently checked</t>
        </is>
      </c>
      <c r="AE544" s="5" t="inlineStr">
        <is>
          <t>Not verified</t>
        </is>
      </c>
      <c r="AF544" s="5" t="inlineStr">
        <is>
          <t>Not verified</t>
        </is>
      </c>
      <c r="AG544" s="5" t="inlineStr">
        <is>
          <t>Not verified</t>
        </is>
      </c>
      <c r="AH544" s="5" t="inlineStr">
        <is>
          <t>Not verified</t>
        </is>
      </c>
      <c r="AI544" s="8" t="inlineStr">
        <is>
          <t>No</t>
        </is>
      </c>
      <c r="AJ544" s="8" t="inlineStr">
        <is>
          <t>Claimed - unverified</t>
        </is>
      </c>
      <c r="AK544" s="8" t="inlineStr">
        <is>
          <t>P1</t>
        </is>
      </c>
      <c r="AL544" s="8" t="n">
        <v>6</v>
      </c>
      <c r="AM544" s="5" t="inlineStr"/>
      <c r="AN544" s="5" t="inlineStr"/>
      <c r="AO544" s="5" t="inlineStr"/>
      <c r="AP544" s="5" t="inlineStr"/>
      <c r="AQ544" s="5" t="inlineStr"/>
      <c r="AR544" s="5" t="inlineStr"/>
      <c r="AS544" s="5" t="inlineStr"/>
      <c r="AT544" s="5" t="inlineStr"/>
      <c r="AU544" s="8" t="inlineStr">
        <is>
          <t>Not run</t>
        </is>
      </c>
    </row>
    <row r="545" ht="32" customHeight="1">
      <c r="A545" s="16" t="inlineStr">
        <is>
          <t>X-0544</t>
        </is>
      </c>
      <c r="B545" s="8" t="inlineStr">
        <is>
          <t>X</t>
        </is>
      </c>
      <c r="C545" s="5" t="inlineStr">
        <is>
          <t>Multiple / Cross-persona</t>
        </is>
      </c>
      <c r="D545" s="5" t="inlineStr">
        <is>
          <t>Operations, Fleet &amp; Delivery</t>
        </is>
      </c>
      <c r="E545" s="5" t="inlineStr">
        <is>
          <t>Route economics analysis: evaluate delivery freight cost per order vs order gross margin</t>
        </is>
      </c>
      <c r="F545" s="5" t="inlineStr">
        <is>
          <t>Logistics Manager / Owner</t>
        </is>
      </c>
      <c r="G545" s="5" t="inlineStr">
        <is>
          <t>None</t>
        </is>
      </c>
      <c r="H545" s="5" t="inlineStr">
        <is>
          <t>Evaluate route profitability factoring vehicle fuel, driver wages, and consignment gross margins</t>
        </is>
      </c>
      <c r="I545" s="5" t="inlineStr">
        <is>
          <t>Computes Net Route Contribution = Route Sales Margin - (Fuel Cost + Vehicle Depreciation)</t>
        </is>
      </c>
      <c r="J545" s="22" t="inlineStr">
        <is>
          <t>P2</t>
        </is>
      </c>
      <c r="K545" s="20" t="inlineStr">
        <is>
          <t>Validated (Supported)</t>
        </is>
      </c>
      <c r="L545" s="5" t="inlineStr">
        <is>
          <t>Supported via Route Economics &amp; Delivery Profitability Report (/reports/route-profitability/).</t>
        </is>
      </c>
      <c r="M545" s="8" t="inlineStr">
        <is>
          <t>Baseline</t>
        </is>
      </c>
      <c r="N545" s="8" t="inlineStr">
        <is>
          <t>Cross-persona</t>
        </is>
      </c>
      <c r="O545" s="8" t="inlineStr">
        <is>
          <t>P2</t>
        </is>
      </c>
      <c r="P545" s="5" t="inlineStr">
        <is>
          <t>Restored to authored P2. The previous workbook had P3 after a keyword rebalance.</t>
        </is>
      </c>
      <c r="Q545" s="20" t="inlineStr">
        <is>
          <t>Author assertion</t>
        </is>
      </c>
      <c r="R545" s="5" t="inlineStr">
        <is>
          <t>Restored to authored P2. The previous workbook had P3 after a keyword rebalance.</t>
        </is>
      </c>
      <c r="S545" s="8" t="inlineStr">
        <is>
          <t>FLEET</t>
        </is>
      </c>
      <c r="T545" s="5" t="inlineStr">
        <is>
          <t>Fleet and delivery</t>
        </is>
      </c>
      <c r="U545" s="8" t="inlineStr"/>
      <c r="V545" s="8" t="inlineStr">
        <is>
          <t>sales</t>
        </is>
      </c>
      <c r="W545" s="8" t="inlineStr">
        <is>
          <t>RUN</t>
        </is>
      </c>
      <c r="X545" s="5" t="inlineStr">
        <is>
          <t>Core</t>
        </is>
      </c>
      <c r="Y545" s="5" t="inlineStr">
        <is>
          <t>Cross-persona</t>
        </is>
      </c>
      <c r="Z545" s="5" t="inlineStr">
        <is>
          <t>Medium</t>
        </is>
      </c>
      <c r="AA545" s="5" t="inlineStr">
        <is>
          <t>Medium</t>
        </is>
      </c>
      <c r="AB545" s="8" t="inlineStr">
        <is>
          <t>Low</t>
        </is>
      </c>
      <c r="AC545" s="8" t="inlineStr">
        <is>
          <t>Later</t>
        </is>
      </c>
      <c r="AD545" s="5" t="inlineStr">
        <is>
          <t>Not independently checked</t>
        </is>
      </c>
      <c r="AE545" s="5" t="inlineStr">
        <is>
          <t>Not verified</t>
        </is>
      </c>
      <c r="AF545" s="5" t="inlineStr">
        <is>
          <t>Not verified</t>
        </is>
      </c>
      <c r="AG545" s="5" t="inlineStr">
        <is>
          <t>Not verified</t>
        </is>
      </c>
      <c r="AH545" s="5" t="inlineStr">
        <is>
          <t>Not verified</t>
        </is>
      </c>
      <c r="AI545" s="8" t="inlineStr">
        <is>
          <t>No</t>
        </is>
      </c>
      <c r="AJ545" s="8" t="inlineStr">
        <is>
          <t>Claimed - unverified</t>
        </is>
      </c>
      <c r="AK545" s="8" t="inlineStr">
        <is>
          <t>P2</t>
        </is>
      </c>
      <c r="AL545" s="8" t="n">
        <v>6</v>
      </c>
      <c r="AM545" s="5" t="inlineStr"/>
      <c r="AN545" s="5" t="inlineStr"/>
      <c r="AO545" s="5" t="inlineStr"/>
      <c r="AP545" s="5" t="inlineStr"/>
      <c r="AQ545" s="5" t="inlineStr"/>
      <c r="AR545" s="5" t="inlineStr"/>
      <c r="AS545" s="5" t="inlineStr"/>
      <c r="AT545" s="5" t="inlineStr"/>
      <c r="AU545" s="8" t="inlineStr">
        <is>
          <t>Not run</t>
        </is>
      </c>
    </row>
    <row r="546" ht="32" customHeight="1">
      <c r="A546" s="16" t="inlineStr">
        <is>
          <t>X-0545</t>
        </is>
      </c>
      <c r="B546" s="8" t="inlineStr">
        <is>
          <t>X</t>
        </is>
      </c>
      <c r="C546" s="5" t="inlineStr">
        <is>
          <t>Multiple / Cross-persona</t>
        </is>
      </c>
      <c r="D546" s="5" t="inlineStr">
        <is>
          <t>Security / Exception / Recovery</t>
        </is>
      </c>
      <c r="E546" s="5" t="inlineStr">
        <is>
          <t>Configure fiscal year document numbering series with custom prefix (e.g. INV/26-27/0001)</t>
        </is>
      </c>
      <c r="F546" s="5" t="inlineStr">
        <is>
          <t>System Administrator</t>
        </is>
      </c>
      <c r="G546" s="5" t="inlineStr">
        <is>
          <t>In-house Accountant</t>
        </is>
      </c>
      <c r="H546" s="5" t="inlineStr">
        <is>
          <t>Maintain statutory consecutive invoice numbering unique across each financial year per GST Rule 46</t>
        </is>
      </c>
      <c r="I546" s="5" t="inlineStr">
        <is>
          <t>Creates DocumentSequence record; enforces sequential numbers without gaps across FY</t>
        </is>
      </c>
      <c r="J546" s="19" t="inlineStr">
        <is>
          <t>P0</t>
        </is>
      </c>
      <c r="K546" s="20" t="inlineStr">
        <is>
          <t>Validated (Supported)</t>
        </is>
      </c>
      <c r="L546" s="5" t="inlineStr">
        <is>
          <t>Supported via /settings/document-series/ with financial year variable tokens ({FY}, {BRANCH}).</t>
        </is>
      </c>
      <c r="M546" s="8" t="inlineStr">
        <is>
          <t>Baseline</t>
        </is>
      </c>
      <c r="N546" s="8" t="inlineStr">
        <is>
          <t>Cross-persona</t>
        </is>
      </c>
      <c r="O546" s="8" t="inlineStr">
        <is>
          <t>P0</t>
        </is>
      </c>
      <c r="P546" s="5" t="inlineStr">
        <is>
          <t>Unchanged</t>
        </is>
      </c>
      <c r="Q546" s="20" t="inlineStr">
        <is>
          <t>Author assertion</t>
        </is>
      </c>
      <c r="R546" s="5" t="inlineStr"/>
      <c r="S546" s="8" t="inlineStr">
        <is>
          <t>OTHER</t>
        </is>
      </c>
      <c r="T546" s="5" t="inlineStr">
        <is>
          <t>Security / Exception / Recovery</t>
        </is>
      </c>
      <c r="U546" s="8" t="inlineStr"/>
      <c r="V546" s="8" t="inlineStr"/>
      <c r="W546" s="8" t="inlineStr">
        <is>
          <t>CONTROL</t>
        </is>
      </c>
      <c r="X546" s="5" t="inlineStr">
        <is>
          <t>Core</t>
        </is>
      </c>
      <c r="Y546" s="5" t="inlineStr">
        <is>
          <t>Cross-persona</t>
        </is>
      </c>
      <c r="Z546" s="5" t="inlineStr">
        <is>
          <t>High</t>
        </is>
      </c>
      <c r="AA546" s="5" t="inlineStr">
        <is>
          <t>Medium</t>
        </is>
      </c>
      <c r="AB546" s="8" t="inlineStr">
        <is>
          <t>Medium</t>
        </is>
      </c>
      <c r="AC546" s="8" t="inlineStr">
        <is>
          <t>MVP</t>
        </is>
      </c>
      <c r="AD546" s="5" t="inlineStr">
        <is>
          <t>Not independently checked</t>
        </is>
      </c>
      <c r="AE546" s="5" t="inlineStr">
        <is>
          <t>Not verified</t>
        </is>
      </c>
      <c r="AF546" s="5" t="inlineStr">
        <is>
          <t>Not verified</t>
        </is>
      </c>
      <c r="AG546" s="5" t="inlineStr">
        <is>
          <t>Not verified</t>
        </is>
      </c>
      <c r="AH546" s="5" t="inlineStr">
        <is>
          <t>Not verified</t>
        </is>
      </c>
      <c r="AI546" s="8" t="inlineStr">
        <is>
          <t>No</t>
        </is>
      </c>
      <c r="AJ546" s="8" t="inlineStr">
        <is>
          <t>Claimed - unverified</t>
        </is>
      </c>
      <c r="AK546" s="8" t="inlineStr">
        <is>
          <t>P0</t>
        </is>
      </c>
      <c r="AL546" s="8" t="n">
        <v>12</v>
      </c>
      <c r="AM546" s="5" t="inlineStr"/>
      <c r="AN546" s="5" t="inlineStr"/>
      <c r="AO546" s="5" t="inlineStr"/>
      <c r="AP546" s="5" t="inlineStr"/>
      <c r="AQ546" s="5" t="inlineStr"/>
      <c r="AR546" s="5" t="inlineStr"/>
      <c r="AS546" s="5" t="inlineStr"/>
      <c r="AT546" s="5" t="inlineStr"/>
      <c r="AU546" s="8" t="inlineStr">
        <is>
          <t>Not run</t>
        </is>
      </c>
    </row>
    <row r="547" ht="32" customHeight="1">
      <c r="A547" s="16" t="inlineStr">
        <is>
          <t>X-0546</t>
        </is>
      </c>
      <c r="B547" s="8" t="inlineStr">
        <is>
          <t>X</t>
        </is>
      </c>
      <c r="C547" s="5" t="inlineStr">
        <is>
          <t>Multiple / Cross-persona</t>
        </is>
      </c>
      <c r="D547" s="5" t="inlineStr">
        <is>
          <t>Security / Exception / Recovery</t>
        </is>
      </c>
      <c r="E547" s="5" t="inlineStr">
        <is>
          <t>Multi-branch document numbering isolation (Branch A 'DEL/INV/001' vs Branch B 'MUM/INV/001')</t>
        </is>
      </c>
      <c r="F547" s="5" t="inlineStr">
        <is>
          <t>System Administrator</t>
        </is>
      </c>
      <c r="G547" s="5" t="inlineStr">
        <is>
          <t>Branch Managers</t>
        </is>
      </c>
      <c r="H547" s="5" t="inlineStr">
        <is>
          <t>Distinct consecutive numbering series per retail store or warehouse to comply with state GST rules</t>
        </is>
      </c>
      <c r="I547" s="5" t="inlineStr">
        <is>
          <t>Enforces branch-prefixed sequences; prevents document numbering collisions across locations</t>
        </is>
      </c>
      <c r="J547" s="20" t="inlineStr">
        <is>
          <t>P1</t>
        </is>
      </c>
      <c r="K547" s="20" t="inlineStr">
        <is>
          <t>Validated (Supported)</t>
        </is>
      </c>
      <c r="L547" s="5" t="inlineStr">
        <is>
          <t>Supported via branch-scoped document sequence configuration.</t>
        </is>
      </c>
      <c r="M547" s="8" t="inlineStr">
        <is>
          <t>Baseline</t>
        </is>
      </c>
      <c r="N547" s="8" t="inlineStr">
        <is>
          <t>Cross-persona</t>
        </is>
      </c>
      <c r="O547" s="8" t="inlineStr">
        <is>
          <t>P1</t>
        </is>
      </c>
      <c r="P547" s="5" t="inlineStr">
        <is>
          <t>Unchanged</t>
        </is>
      </c>
      <c r="Q547" s="20" t="inlineStr">
        <is>
          <t>Author assertion</t>
        </is>
      </c>
      <c r="R547" s="5" t="inlineStr"/>
      <c r="S547" s="8" t="inlineStr">
        <is>
          <t>OTHER</t>
        </is>
      </c>
      <c r="T547" s="5" t="inlineStr">
        <is>
          <t>Security / Exception / Recovery</t>
        </is>
      </c>
      <c r="U547" s="8" t="inlineStr"/>
      <c r="V547" s="8" t="inlineStr"/>
      <c r="W547" s="8" t="inlineStr">
        <is>
          <t>CONTROL</t>
        </is>
      </c>
      <c r="X547" s="5" t="inlineStr">
        <is>
          <t>Core</t>
        </is>
      </c>
      <c r="Y547" s="5" t="inlineStr">
        <is>
          <t>Cross-persona</t>
        </is>
      </c>
      <c r="Z547" s="5" t="inlineStr">
        <is>
          <t>High</t>
        </is>
      </c>
      <c r="AA547" s="5" t="inlineStr">
        <is>
          <t>Medium</t>
        </is>
      </c>
      <c r="AB547" s="8" t="inlineStr">
        <is>
          <t>Medium</t>
        </is>
      </c>
      <c r="AC547" s="8" t="inlineStr">
        <is>
          <t>Pilot</t>
        </is>
      </c>
      <c r="AD547" s="5" t="inlineStr">
        <is>
          <t>Not independently checked</t>
        </is>
      </c>
      <c r="AE547" s="5" t="inlineStr">
        <is>
          <t>Not verified</t>
        </is>
      </c>
      <c r="AF547" s="5" t="inlineStr">
        <is>
          <t>Not verified</t>
        </is>
      </c>
      <c r="AG547" s="5" t="inlineStr">
        <is>
          <t>Not verified</t>
        </is>
      </c>
      <c r="AH547" s="5" t="inlineStr">
        <is>
          <t>Not verified</t>
        </is>
      </c>
      <c r="AI547" s="8" t="inlineStr">
        <is>
          <t>No</t>
        </is>
      </c>
      <c r="AJ547" s="8" t="inlineStr">
        <is>
          <t>Claimed - unverified</t>
        </is>
      </c>
      <c r="AK547" s="8" t="inlineStr">
        <is>
          <t>P1</t>
        </is>
      </c>
      <c r="AL547" s="8" t="n">
        <v>12</v>
      </c>
      <c r="AM547" s="5" t="inlineStr"/>
      <c r="AN547" s="5" t="inlineStr"/>
      <c r="AO547" s="5" t="inlineStr"/>
      <c r="AP547" s="5" t="inlineStr"/>
      <c r="AQ547" s="5" t="inlineStr"/>
      <c r="AR547" s="5" t="inlineStr"/>
      <c r="AS547" s="5" t="inlineStr"/>
      <c r="AT547" s="5" t="inlineStr"/>
      <c r="AU547" s="8" t="inlineStr">
        <is>
          <t>Not run</t>
        </is>
      </c>
    </row>
    <row r="548" ht="32" customHeight="1">
      <c r="A548" s="16" t="inlineStr">
        <is>
          <t>X-0547</t>
        </is>
      </c>
      <c r="B548" s="8" t="inlineStr">
        <is>
          <t>X</t>
        </is>
      </c>
      <c r="C548" s="5" t="inlineStr">
        <is>
          <t>Multiple / Cross-persona</t>
        </is>
      </c>
      <c r="D548" s="5" t="inlineStr">
        <is>
          <t>Master Data &amp; Authorization</t>
        </is>
      </c>
      <c r="E548" s="5" t="inlineStr">
        <is>
          <t>Customer &amp; Vendor Self-Onboarding Portal: send magic link for party to input GSTIN, bank, and KYC</t>
        </is>
      </c>
      <c r="F548" s="5" t="inlineStr">
        <is>
          <t>Sales / Procurement Staff</t>
        </is>
      </c>
      <c r="G548" s="5" t="inlineStr">
        <is>
          <t>New Customer / Supplier</t>
        </is>
      </c>
      <c r="H548" s="5" t="inlineStr">
        <is>
          <t>Eliminate data entry errors by allowing new B2B clients and suppliers to submit their own masters</t>
        </is>
      </c>
      <c r="I548" s="5" t="inlineStr">
        <is>
          <t>Generates secure tokenized portal link; auto-validates GSTIN and populates master upon approval</t>
        </is>
      </c>
      <c r="J548" s="20" t="inlineStr">
        <is>
          <t>P1</t>
        </is>
      </c>
      <c r="K548" s="20" t="inlineStr">
        <is>
          <t>Validated (Supported)</t>
        </is>
      </c>
      <c r="L548" s="5" t="inlineStr">
        <is>
          <t>Supported via Self-Onboarding Magic Link generator (/onboarding/invite/).</t>
        </is>
      </c>
      <c r="M548" s="8" t="inlineStr">
        <is>
          <t>Baseline</t>
        </is>
      </c>
      <c r="N548" s="8" t="inlineStr">
        <is>
          <t>Cross-persona</t>
        </is>
      </c>
      <c r="O548" s="8" t="inlineStr">
        <is>
          <t>P1</t>
        </is>
      </c>
      <c r="P548" s="5" t="inlineStr">
        <is>
          <t>Unchanged</t>
        </is>
      </c>
      <c r="Q548" s="20" t="inlineStr">
        <is>
          <t>Author assertion</t>
        </is>
      </c>
      <c r="R548" s="5" t="inlineStr"/>
      <c r="S548" s="8" t="inlineStr">
        <is>
          <t>MASTER</t>
        </is>
      </c>
      <c r="T548" s="5" t="inlineStr">
        <is>
          <t>Master data and authorization</t>
        </is>
      </c>
      <c r="U548" s="8" t="inlineStr"/>
      <c r="V548" s="8" t="inlineStr">
        <is>
          <t>masters</t>
        </is>
      </c>
      <c r="W548" s="8" t="inlineStr">
        <is>
          <t>KERNEL</t>
        </is>
      </c>
      <c r="X548" s="5" t="inlineStr">
        <is>
          <t>Core</t>
        </is>
      </c>
      <c r="Y548" s="5" t="inlineStr">
        <is>
          <t>Cross-persona</t>
        </is>
      </c>
      <c r="Z548" s="5" t="inlineStr">
        <is>
          <t>Medium</t>
        </is>
      </c>
      <c r="AA548" s="5" t="inlineStr">
        <is>
          <t>Medium</t>
        </is>
      </c>
      <c r="AB548" s="8" t="inlineStr">
        <is>
          <t>Low</t>
        </is>
      </c>
      <c r="AC548" s="8" t="inlineStr">
        <is>
          <t>Later</t>
        </is>
      </c>
      <c r="AD548" s="5" t="inlineStr">
        <is>
          <t>Not independently checked</t>
        </is>
      </c>
      <c r="AE548" s="5" t="inlineStr">
        <is>
          <t>Not verified</t>
        </is>
      </c>
      <c r="AF548" s="5" t="inlineStr">
        <is>
          <t>Not verified</t>
        </is>
      </c>
      <c r="AG548" s="5" t="inlineStr">
        <is>
          <t>Not verified</t>
        </is>
      </c>
      <c r="AH548" s="5" t="inlineStr">
        <is>
          <t>Not verified</t>
        </is>
      </c>
      <c r="AI548" s="8" t="inlineStr">
        <is>
          <t>No</t>
        </is>
      </c>
      <c r="AJ548" s="8" t="inlineStr">
        <is>
          <t>Claimed - unverified</t>
        </is>
      </c>
      <c r="AK548" s="8" t="inlineStr">
        <is>
          <t>P1</t>
        </is>
      </c>
      <c r="AL548" s="8" t="n">
        <v>6</v>
      </c>
      <c r="AM548" s="5" t="inlineStr"/>
      <c r="AN548" s="5" t="inlineStr"/>
      <c r="AO548" s="5" t="inlineStr"/>
      <c r="AP548" s="5" t="inlineStr"/>
      <c r="AQ548" s="5" t="inlineStr"/>
      <c r="AR548" s="5" t="inlineStr"/>
      <c r="AS548" s="5" t="inlineStr"/>
      <c r="AT548" s="5" t="inlineStr"/>
      <c r="AU548" s="8" t="inlineStr">
        <is>
          <t>Not run</t>
        </is>
      </c>
    </row>
    <row r="549" ht="32" customHeight="1">
      <c r="A549" s="16" t="inlineStr">
        <is>
          <t>X-0548</t>
        </is>
      </c>
      <c r="B549" s="8" t="inlineStr">
        <is>
          <t>X</t>
        </is>
      </c>
      <c r="C549" s="5" t="inlineStr">
        <is>
          <t>Multiple / Cross-persona</t>
        </is>
      </c>
      <c r="D549" s="5" t="inlineStr">
        <is>
          <t>Master Data &amp; Authorization</t>
        </is>
      </c>
      <c r="E549" s="5" t="inlineStr">
        <is>
          <t>Vernacular language switching (Hindi, Gujarati, Tamil, Marathi, etc.) on POS and mobile app</t>
        </is>
      </c>
      <c r="F549" s="5" t="inlineStr">
        <is>
          <t>Counter Clerk / Driver</t>
        </is>
      </c>
      <c r="G549" s="5" t="inlineStr">
        <is>
          <t>None</t>
        </is>
      </c>
      <c r="H549" s="5" t="inlineStr">
        <is>
          <t>Enable non-English speaking billing clerks and godown staff to operate software in regional language</t>
        </is>
      </c>
      <c r="I549" s="5" t="inlineStr">
        <is>
          <t>Toggles UI language string translation across product catalog, buttons, and receipts</t>
        </is>
      </c>
      <c r="J549" s="22" t="inlineStr">
        <is>
          <t>P2</t>
        </is>
      </c>
      <c r="K549" s="20" t="inlineStr">
        <is>
          <t>Validated (Supported)</t>
        </is>
      </c>
      <c r="L549" s="5" t="inlineStr">
        <is>
          <t>Supported via i18n localization engine supporting major Indian regional languages.</t>
        </is>
      </c>
      <c r="M549" s="8" t="inlineStr">
        <is>
          <t>Baseline</t>
        </is>
      </c>
      <c r="N549" s="8" t="inlineStr">
        <is>
          <t>Cross-persona</t>
        </is>
      </c>
      <c r="O549" s="8" t="inlineStr">
        <is>
          <t>P2</t>
        </is>
      </c>
      <c r="P549" s="5" t="inlineStr">
        <is>
          <t>Unchanged</t>
        </is>
      </c>
      <c r="Q549" s="20" t="inlineStr">
        <is>
          <t>Author assertion</t>
        </is>
      </c>
      <c r="R549" s="5" t="inlineStr"/>
      <c r="S549" s="8" t="inlineStr">
        <is>
          <t>MASTER</t>
        </is>
      </c>
      <c r="T549" s="5" t="inlineStr">
        <is>
          <t>Master data and authorization</t>
        </is>
      </c>
      <c r="U549" s="8" t="inlineStr"/>
      <c r="V549" s="8" t="inlineStr">
        <is>
          <t>masters</t>
        </is>
      </c>
      <c r="W549" s="8" t="inlineStr">
        <is>
          <t>KERNEL</t>
        </is>
      </c>
      <c r="X549" s="5" t="inlineStr">
        <is>
          <t>Core</t>
        </is>
      </c>
      <c r="Y549" s="5" t="inlineStr">
        <is>
          <t>Cross-persona</t>
        </is>
      </c>
      <c r="Z549" s="5" t="inlineStr">
        <is>
          <t>Medium</t>
        </is>
      </c>
      <c r="AA549" s="5" t="inlineStr">
        <is>
          <t>Medium</t>
        </is>
      </c>
      <c r="AB549" s="8" t="inlineStr">
        <is>
          <t>Low</t>
        </is>
      </c>
      <c r="AC549" s="8" t="inlineStr">
        <is>
          <t>Later</t>
        </is>
      </c>
      <c r="AD549" s="5" t="inlineStr">
        <is>
          <t>Not independently checked</t>
        </is>
      </c>
      <c r="AE549" s="5" t="inlineStr">
        <is>
          <t>Not verified</t>
        </is>
      </c>
      <c r="AF549" s="5" t="inlineStr">
        <is>
          <t>Not verified</t>
        </is>
      </c>
      <c r="AG549" s="5" t="inlineStr">
        <is>
          <t>Not verified</t>
        </is>
      </c>
      <c r="AH549" s="5" t="inlineStr">
        <is>
          <t>Not verified</t>
        </is>
      </c>
      <c r="AI549" s="8" t="inlineStr">
        <is>
          <t>No</t>
        </is>
      </c>
      <c r="AJ549" s="8" t="inlineStr">
        <is>
          <t>Claimed - unverified</t>
        </is>
      </c>
      <c r="AK549" s="8" t="inlineStr">
        <is>
          <t>P2</t>
        </is>
      </c>
      <c r="AL549" s="8" t="n">
        <v>6</v>
      </c>
      <c r="AM549" s="5" t="inlineStr"/>
      <c r="AN549" s="5" t="inlineStr"/>
      <c r="AO549" s="5" t="inlineStr"/>
      <c r="AP549" s="5" t="inlineStr"/>
      <c r="AQ549" s="5" t="inlineStr"/>
      <c r="AR549" s="5" t="inlineStr"/>
      <c r="AS549" s="5" t="inlineStr"/>
      <c r="AT549" s="5" t="inlineStr"/>
      <c r="AU549" s="8" t="inlineStr">
        <is>
          <t>Not run</t>
        </is>
      </c>
    </row>
    <row r="550" ht="32" customHeight="1">
      <c r="A550" s="16" t="inlineStr">
        <is>
          <t>X-0549</t>
        </is>
      </c>
      <c r="B550" s="8" t="inlineStr">
        <is>
          <t>X</t>
        </is>
      </c>
      <c r="C550" s="5" t="inlineStr">
        <is>
          <t>Multiple / Cross-persona</t>
        </is>
      </c>
      <c r="D550" s="5" t="inlineStr">
        <is>
          <t>Security / Exception / Recovery</t>
        </is>
      </c>
      <c r="E550" s="5" t="inlineStr">
        <is>
          <t>Automated Right-to-Erasure &amp; Data Anonymization under Digital Personal Data Protection (DPDP) Act</t>
        </is>
      </c>
      <c r="F550" s="5" t="inlineStr">
        <is>
          <t>Data Protection Officer / Admin</t>
        </is>
      </c>
      <c r="G550" s="5" t="inlineStr">
        <is>
          <t>Customer</t>
        </is>
      </c>
      <c r="H550" s="5" t="inlineStr">
        <is>
          <t>Fulfill customer personal data deletion requests while preserving statutory accounting records</t>
        </is>
      </c>
      <c r="I550" s="5" t="inlineStr">
        <is>
          <t>Anonymizes personal identifying data (name, mobile, address) while retaining financial invoice amounts</t>
        </is>
      </c>
      <c r="J550" s="20" t="inlineStr">
        <is>
          <t>P1</t>
        </is>
      </c>
      <c r="K550" s="20" t="inlineStr">
        <is>
          <t>Validated (Supported)</t>
        </is>
      </c>
      <c r="L550" s="5" t="inlineStr">
        <is>
          <t>Supported via DPDP Right-to-Erasure Engine (/settings/privacy/erasure/).</t>
        </is>
      </c>
      <c r="M550" s="8" t="inlineStr">
        <is>
          <t>Baseline</t>
        </is>
      </c>
      <c r="N550" s="8" t="inlineStr">
        <is>
          <t>Cross-persona</t>
        </is>
      </c>
      <c r="O550" s="8" t="inlineStr">
        <is>
          <t>P1</t>
        </is>
      </c>
      <c r="P550" s="5" t="inlineStr">
        <is>
          <t>Unchanged</t>
        </is>
      </c>
      <c r="Q550" s="20" t="inlineStr">
        <is>
          <t>Author assertion</t>
        </is>
      </c>
      <c r="R550" s="5" t="inlineStr"/>
      <c r="S550" s="8" t="inlineStr">
        <is>
          <t>OTHER</t>
        </is>
      </c>
      <c r="T550" s="5" t="inlineStr">
        <is>
          <t>Security / Exception / Recovery</t>
        </is>
      </c>
      <c r="U550" s="8" t="inlineStr"/>
      <c r="V550" s="8" t="inlineStr"/>
      <c r="W550" s="8" t="inlineStr">
        <is>
          <t>CONTROL</t>
        </is>
      </c>
      <c r="X550" s="5" t="inlineStr">
        <is>
          <t>Core</t>
        </is>
      </c>
      <c r="Y550" s="5" t="inlineStr">
        <is>
          <t>Cross-persona</t>
        </is>
      </c>
      <c r="Z550" s="5" t="inlineStr">
        <is>
          <t>High</t>
        </is>
      </c>
      <c r="AA550" s="5" t="inlineStr">
        <is>
          <t>Medium</t>
        </is>
      </c>
      <c r="AB550" s="8" t="inlineStr">
        <is>
          <t>Medium</t>
        </is>
      </c>
      <c r="AC550" s="8" t="inlineStr">
        <is>
          <t>Pilot</t>
        </is>
      </c>
      <c r="AD550" s="5" t="inlineStr">
        <is>
          <t>Not independently checked</t>
        </is>
      </c>
      <c r="AE550" s="5" t="inlineStr">
        <is>
          <t>Not verified</t>
        </is>
      </c>
      <c r="AF550" s="5" t="inlineStr">
        <is>
          <t>Not verified</t>
        </is>
      </c>
      <c r="AG550" s="5" t="inlineStr">
        <is>
          <t>Not verified</t>
        </is>
      </c>
      <c r="AH550" s="5" t="inlineStr">
        <is>
          <t>Not verified</t>
        </is>
      </c>
      <c r="AI550" s="8" t="inlineStr">
        <is>
          <t>No</t>
        </is>
      </c>
      <c r="AJ550" s="8" t="inlineStr">
        <is>
          <t>Claimed - unverified</t>
        </is>
      </c>
      <c r="AK550" s="8" t="inlineStr">
        <is>
          <t>P1</t>
        </is>
      </c>
      <c r="AL550" s="8" t="n">
        <v>12</v>
      </c>
      <c r="AM550" s="5" t="inlineStr"/>
      <c r="AN550" s="5" t="inlineStr"/>
      <c r="AO550" s="5" t="inlineStr"/>
      <c r="AP550" s="5" t="inlineStr"/>
      <c r="AQ550" s="5" t="inlineStr"/>
      <c r="AR550" s="5" t="inlineStr"/>
      <c r="AS550" s="5" t="inlineStr"/>
      <c r="AT550" s="5" t="inlineStr"/>
      <c r="AU550" s="8" t="inlineStr">
        <is>
          <t>Not run</t>
        </is>
      </c>
    </row>
    <row r="551" ht="32" customHeight="1">
      <c r="A551" s="16" t="inlineStr">
        <is>
          <t>X-0550</t>
        </is>
      </c>
      <c r="B551" s="8" t="inlineStr">
        <is>
          <t>X</t>
        </is>
      </c>
      <c r="C551" s="5" t="inlineStr">
        <is>
          <t>Multiple / Cross-persona</t>
        </is>
      </c>
      <c r="D551" s="5" t="inlineStr">
        <is>
          <t>Import / Export / Period Close</t>
        </is>
      </c>
      <c r="E551" s="5" t="inlineStr">
        <is>
          <t>Year-end financial closing: carry forward ledger balances and initialize new financial year</t>
        </is>
      </c>
      <c r="F551" s="5" t="inlineStr">
        <is>
          <t>In-house Accountant</t>
        </is>
      </c>
      <c r="G551" s="5" t="inlineStr">
        <is>
          <t>External CA / Owner</t>
        </is>
      </c>
      <c r="H551" s="5" t="inlineStr">
        <is>
          <t>Formal financial year-end closing transferring P&amp;L net profit to Reserves and initializing opening TB</t>
        </is>
      </c>
      <c r="I551" s="5" t="inlineStr">
        <is>
          <t>Closes 31st March financial books; rolls forward asset and liability balances into 1st April opening</t>
        </is>
      </c>
      <c r="J551" s="19" t="inlineStr">
        <is>
          <t>P0</t>
        </is>
      </c>
      <c r="K551" s="20" t="inlineStr">
        <is>
          <t>Validated (Supported)</t>
        </is>
      </c>
      <c r="L551" s="5" t="inlineStr">
        <is>
          <t>Supported via Year-End Financial Close Wizard (/accounting/year-end-close/).</t>
        </is>
      </c>
      <c r="M551" s="8" t="inlineStr">
        <is>
          <t>Baseline</t>
        </is>
      </c>
      <c r="N551" s="8" t="inlineStr">
        <is>
          <t>Cross-persona</t>
        </is>
      </c>
      <c r="O551" s="8" t="inlineStr">
        <is>
          <t>P0</t>
        </is>
      </c>
      <c r="P551" s="5" t="inlineStr">
        <is>
          <t>Unchanged</t>
        </is>
      </c>
      <c r="Q551" s="20" t="inlineStr">
        <is>
          <t>Author assertion</t>
        </is>
      </c>
      <c r="R551" s="5" t="inlineStr"/>
      <c r="S551" s="8" t="inlineStr">
        <is>
          <t>CLOSE</t>
        </is>
      </c>
      <c r="T551" s="5" t="inlineStr">
        <is>
          <t>Import, export, and period close</t>
        </is>
      </c>
      <c r="U551" s="8" t="inlineStr"/>
      <c r="V551" s="8" t="inlineStr">
        <is>
          <t>accounting</t>
        </is>
      </c>
      <c r="W551" s="8" t="inlineStr">
        <is>
          <t>CONTROL</t>
        </is>
      </c>
      <c r="X551" s="5" t="inlineStr">
        <is>
          <t>Core</t>
        </is>
      </c>
      <c r="Y551" s="5" t="inlineStr">
        <is>
          <t>Cross-persona</t>
        </is>
      </c>
      <c r="Z551" s="5" t="inlineStr">
        <is>
          <t>Medium</t>
        </is>
      </c>
      <c r="AA551" s="5" t="inlineStr">
        <is>
          <t>Medium</t>
        </is>
      </c>
      <c r="AB551" s="8" t="inlineStr">
        <is>
          <t>Low</t>
        </is>
      </c>
      <c r="AC551" s="8" t="inlineStr">
        <is>
          <t>MVP</t>
        </is>
      </c>
      <c r="AD551" s="5" t="inlineStr">
        <is>
          <t>Not independently checked</t>
        </is>
      </c>
      <c r="AE551" s="5" t="inlineStr">
        <is>
          <t>Not verified</t>
        </is>
      </c>
      <c r="AF551" s="5" t="inlineStr">
        <is>
          <t>Not verified</t>
        </is>
      </c>
      <c r="AG551" s="5" t="inlineStr">
        <is>
          <t>Not verified</t>
        </is>
      </c>
      <c r="AH551" s="5" t="inlineStr">
        <is>
          <t>Not verified</t>
        </is>
      </c>
      <c r="AI551" s="8" t="inlineStr">
        <is>
          <t>No</t>
        </is>
      </c>
      <c r="AJ551" s="8" t="inlineStr">
        <is>
          <t>Claimed - unverified</t>
        </is>
      </c>
      <c r="AK551" s="8" t="inlineStr">
        <is>
          <t>P0</t>
        </is>
      </c>
      <c r="AL551" s="8" t="n">
        <v>6</v>
      </c>
      <c r="AM551" s="5" t="inlineStr"/>
      <c r="AN551" s="5" t="inlineStr"/>
      <c r="AO551" s="5" t="inlineStr"/>
      <c r="AP551" s="5" t="inlineStr"/>
      <c r="AQ551" s="5" t="inlineStr"/>
      <c r="AR551" s="5" t="inlineStr"/>
      <c r="AS551" s="5" t="inlineStr"/>
      <c r="AT551" s="5" t="inlineStr"/>
      <c r="AU551" s="8" t="inlineStr">
        <is>
          <t>Not run</t>
        </is>
      </c>
    </row>
    <row r="552" ht="32" customHeight="1">
      <c r="A552" s="16" t="inlineStr">
        <is>
          <t>X-0551</t>
        </is>
      </c>
      <c r="B552" s="8" t="inlineStr">
        <is>
          <t>X</t>
        </is>
      </c>
      <c r="C552" s="5" t="inlineStr">
        <is>
          <t>Multiple / Cross-persona</t>
        </is>
      </c>
      <c r="D552" s="5" t="inlineStr">
        <is>
          <t>Finance &amp; Fixed Assets</t>
        </is>
      </c>
      <c r="E552" s="5" t="inlineStr">
        <is>
          <t>Register company fixed assets (delivery vans, cold storage, billing machines, computers)</t>
        </is>
      </c>
      <c r="F552" s="5" t="inlineStr">
        <is>
          <t>In-house Accountant</t>
        </is>
      </c>
      <c r="G552" s="5" t="inlineStr">
        <is>
          <t>Business Owner</t>
        </is>
      </c>
      <c r="H552" s="5" t="inlineStr">
        <is>
          <t>Maintain fixed asset register recording asset tag, purchase invoice, serial, and location</t>
        </is>
      </c>
      <c r="I552" s="5" t="inlineStr">
        <is>
          <t>Creates FixedAsset record; capitalizes purchase cost to Fixed Asset balance sheet ledger</t>
        </is>
      </c>
      <c r="J552" s="20" t="inlineStr">
        <is>
          <t>P1</t>
        </is>
      </c>
      <c r="K552" s="20" t="inlineStr">
        <is>
          <t>Validated (Supported)</t>
        </is>
      </c>
      <c r="L552" s="5" t="inlineStr">
        <is>
          <t>Supported via /accounting/fixed-assets/create with asset tagging.</t>
        </is>
      </c>
      <c r="M552" s="8" t="inlineStr">
        <is>
          <t>Baseline</t>
        </is>
      </c>
      <c r="N552" s="8" t="inlineStr">
        <is>
          <t>Cross-persona</t>
        </is>
      </c>
      <c r="O552" s="8" t="inlineStr">
        <is>
          <t>P1</t>
        </is>
      </c>
      <c r="P552" s="5" t="inlineStr">
        <is>
          <t>Unchanged</t>
        </is>
      </c>
      <c r="Q552" s="20" t="inlineStr">
        <is>
          <t>Author assertion</t>
        </is>
      </c>
      <c r="R552" s="5" t="inlineStr"/>
      <c r="S552" s="8" t="inlineStr">
        <is>
          <t>FA</t>
        </is>
      </c>
      <c r="T552" s="5" t="inlineStr">
        <is>
          <t>Finance and fixed assets</t>
        </is>
      </c>
      <c r="U552" s="8" t="inlineStr"/>
      <c r="V552" s="8" t="inlineStr">
        <is>
          <t>accounting</t>
        </is>
      </c>
      <c r="W552" s="8" t="inlineStr">
        <is>
          <t>CONTROL</t>
        </is>
      </c>
      <c r="X552" s="5" t="inlineStr">
        <is>
          <t>Core</t>
        </is>
      </c>
      <c r="Y552" s="5" t="inlineStr">
        <is>
          <t>Cross-persona</t>
        </is>
      </c>
      <c r="Z552" s="5" t="inlineStr">
        <is>
          <t>Critical</t>
        </is>
      </c>
      <c r="AA552" s="5" t="inlineStr">
        <is>
          <t>High</t>
        </is>
      </c>
      <c r="AB552" s="8" t="inlineStr">
        <is>
          <t>High</t>
        </is>
      </c>
      <c r="AC552" s="8" t="inlineStr">
        <is>
          <t>Pilot</t>
        </is>
      </c>
      <c r="AD552" s="5" t="inlineStr">
        <is>
          <t>Not independently checked</t>
        </is>
      </c>
      <c r="AE552" s="5" t="inlineStr">
        <is>
          <t>Not verified</t>
        </is>
      </c>
      <c r="AF552" s="5" t="inlineStr">
        <is>
          <t>Not verified</t>
        </is>
      </c>
      <c r="AG552" s="5" t="inlineStr">
        <is>
          <t>Not verified</t>
        </is>
      </c>
      <c r="AH552" s="5" t="inlineStr">
        <is>
          <t>Not verified</t>
        </is>
      </c>
      <c r="AI552" s="8" t="inlineStr">
        <is>
          <t>No</t>
        </is>
      </c>
      <c r="AJ552" s="8" t="inlineStr">
        <is>
          <t>Claimed - unverified</t>
        </is>
      </c>
      <c r="AK552" s="8" t="inlineStr">
        <is>
          <t>P1</t>
        </is>
      </c>
      <c r="AL552" s="8" t="n">
        <v>27</v>
      </c>
      <c r="AM552" s="5" t="inlineStr"/>
      <c r="AN552" s="5" t="inlineStr"/>
      <c r="AO552" s="5" t="inlineStr"/>
      <c r="AP552" s="5" t="inlineStr"/>
      <c r="AQ552" s="5" t="inlineStr"/>
      <c r="AR552" s="5" t="inlineStr"/>
      <c r="AS552" s="5" t="inlineStr"/>
      <c r="AT552" s="5" t="inlineStr"/>
      <c r="AU552" s="8" t="inlineStr">
        <is>
          <t>Not run</t>
        </is>
      </c>
    </row>
    <row r="553" ht="32" customHeight="1">
      <c r="A553" s="16" t="inlineStr">
        <is>
          <t>X-0552</t>
        </is>
      </c>
      <c r="B553" s="8" t="inlineStr">
        <is>
          <t>X</t>
        </is>
      </c>
      <c r="C553" s="5" t="inlineStr">
        <is>
          <t>Multiple / Cross-persona</t>
        </is>
      </c>
      <c r="D553" s="5" t="inlineStr">
        <is>
          <t>Finance &amp; Fixed Assets</t>
        </is>
      </c>
      <c r="E553" s="5" t="inlineStr">
        <is>
          <t>Calculate monthly/annual depreciation under WDV and SLM methods per Companies Act &amp; IT Act</t>
        </is>
      </c>
      <c r="F553" s="5" t="inlineStr">
        <is>
          <t>In-house Accountant</t>
        </is>
      </c>
      <c r="G553" s="5" t="inlineStr">
        <is>
          <t>External CA</t>
        </is>
      </c>
      <c r="H553" s="5" t="inlineStr">
        <is>
          <t>Accurate depreciation computation for statutory tax filing and book profit reporting</t>
        </is>
      </c>
      <c r="I553" s="5" t="inlineStr">
        <is>
          <t>Calculates depreciation expense based on useful life and method; updates asset net book value</t>
        </is>
      </c>
      <c r="J553" s="20" t="inlineStr">
        <is>
          <t>P1</t>
        </is>
      </c>
      <c r="K553" s="20" t="inlineStr">
        <is>
          <t>Validated (Supported)</t>
        </is>
      </c>
      <c r="L553" s="5" t="inlineStr">
        <is>
          <t>Supported via Automated Depreciation Engine with dual-book (IT Act &amp; Companies Act) rates.</t>
        </is>
      </c>
      <c r="M553" s="8" t="inlineStr">
        <is>
          <t>Baseline</t>
        </is>
      </c>
      <c r="N553" s="8" t="inlineStr">
        <is>
          <t>Cross-persona</t>
        </is>
      </c>
      <c r="O553" s="8" t="inlineStr">
        <is>
          <t>P1</t>
        </is>
      </c>
      <c r="P553" s="5" t="inlineStr">
        <is>
          <t>Unchanged</t>
        </is>
      </c>
      <c r="Q553" s="20" t="inlineStr">
        <is>
          <t>Author assertion</t>
        </is>
      </c>
      <c r="R553" s="5" t="inlineStr"/>
      <c r="S553" s="8" t="inlineStr">
        <is>
          <t>FA</t>
        </is>
      </c>
      <c r="T553" s="5" t="inlineStr">
        <is>
          <t>Finance and fixed assets</t>
        </is>
      </c>
      <c r="U553" s="8" t="inlineStr"/>
      <c r="V553" s="8" t="inlineStr">
        <is>
          <t>accounting</t>
        </is>
      </c>
      <c r="W553" s="8" t="inlineStr">
        <is>
          <t>CONTROL</t>
        </is>
      </c>
      <c r="X553" s="5" t="inlineStr">
        <is>
          <t>Core</t>
        </is>
      </c>
      <c r="Y553" s="5" t="inlineStr">
        <is>
          <t>Cross-persona</t>
        </is>
      </c>
      <c r="Z553" s="5" t="inlineStr">
        <is>
          <t>Critical</t>
        </is>
      </c>
      <c r="AA553" s="5" t="inlineStr">
        <is>
          <t>High</t>
        </is>
      </c>
      <c r="AB553" s="8" t="inlineStr">
        <is>
          <t>High</t>
        </is>
      </c>
      <c r="AC553" s="8" t="inlineStr">
        <is>
          <t>Pilot</t>
        </is>
      </c>
      <c r="AD553" s="5" t="inlineStr">
        <is>
          <t>Not independently checked</t>
        </is>
      </c>
      <c r="AE553" s="5" t="inlineStr">
        <is>
          <t>Not verified</t>
        </is>
      </c>
      <c r="AF553" s="5" t="inlineStr">
        <is>
          <t>Not verified</t>
        </is>
      </c>
      <c r="AG553" s="5" t="inlineStr">
        <is>
          <t>Not verified</t>
        </is>
      </c>
      <c r="AH553" s="5" t="inlineStr">
        <is>
          <t>Not verified</t>
        </is>
      </c>
      <c r="AI553" s="8" t="inlineStr">
        <is>
          <t>No</t>
        </is>
      </c>
      <c r="AJ553" s="8" t="inlineStr">
        <is>
          <t>Claimed - unverified</t>
        </is>
      </c>
      <c r="AK553" s="8" t="inlineStr">
        <is>
          <t>P1</t>
        </is>
      </c>
      <c r="AL553" s="8" t="n">
        <v>27</v>
      </c>
      <c r="AM553" s="5" t="inlineStr"/>
      <c r="AN553" s="5" t="inlineStr"/>
      <c r="AO553" s="5" t="inlineStr"/>
      <c r="AP553" s="5" t="inlineStr"/>
      <c r="AQ553" s="5" t="inlineStr"/>
      <c r="AR553" s="5" t="inlineStr"/>
      <c r="AS553" s="5" t="inlineStr"/>
      <c r="AT553" s="5" t="inlineStr"/>
      <c r="AU553" s="8" t="inlineStr">
        <is>
          <t>Not run</t>
        </is>
      </c>
    </row>
    <row r="554" ht="32" customHeight="1">
      <c r="A554" s="16" t="inlineStr">
        <is>
          <t>X-0553</t>
        </is>
      </c>
      <c r="B554" s="8" t="inlineStr">
        <is>
          <t>X</t>
        </is>
      </c>
      <c r="C554" s="5" t="inlineStr">
        <is>
          <t>Multiple / Cross-persona</t>
        </is>
      </c>
      <c r="D554" s="5" t="inlineStr">
        <is>
          <t>Finance &amp; Fixed Assets</t>
        </is>
      </c>
      <c r="E554" s="5" t="inlineStr">
        <is>
          <t>Post automated depreciation journal voucher to general ledger</t>
        </is>
      </c>
      <c r="F554" s="5" t="inlineStr">
        <is>
          <t>In-house Accountant</t>
        </is>
      </c>
      <c r="G554" s="5" t="inlineStr">
        <is>
          <t>Auditor</t>
        </is>
      </c>
      <c r="H554" s="5" t="inlineStr">
        <is>
          <t>Automatic posting of periodic depreciation expense without manual journal entry errors</t>
        </is>
      </c>
      <c r="I554" s="5" t="inlineStr">
        <is>
          <t>Debits Depreciation Expense account in P&amp;L; credits Accumulated Depreciation on Balance Sheet</t>
        </is>
      </c>
      <c r="J554" s="20" t="inlineStr">
        <is>
          <t>P1</t>
        </is>
      </c>
      <c r="K554" s="20" t="inlineStr">
        <is>
          <t>Validated (Supported)</t>
        </is>
      </c>
      <c r="L554" s="5" t="inlineStr">
        <is>
          <t>Supported via one-click 'Post Depreciation' batch action.</t>
        </is>
      </c>
      <c r="M554" s="8" t="inlineStr">
        <is>
          <t>Baseline</t>
        </is>
      </c>
      <c r="N554" s="8" t="inlineStr">
        <is>
          <t>Cross-persona</t>
        </is>
      </c>
      <c r="O554" s="8" t="inlineStr">
        <is>
          <t>P1</t>
        </is>
      </c>
      <c r="P554" s="5" t="inlineStr">
        <is>
          <t>Unchanged</t>
        </is>
      </c>
      <c r="Q554" s="20" t="inlineStr">
        <is>
          <t>Author assertion</t>
        </is>
      </c>
      <c r="R554" s="5" t="inlineStr"/>
      <c r="S554" s="8" t="inlineStr">
        <is>
          <t>FA</t>
        </is>
      </c>
      <c r="T554" s="5" t="inlineStr">
        <is>
          <t>Finance and fixed assets</t>
        </is>
      </c>
      <c r="U554" s="8" t="inlineStr"/>
      <c r="V554" s="8" t="inlineStr">
        <is>
          <t>accounting</t>
        </is>
      </c>
      <c r="W554" s="8" t="inlineStr">
        <is>
          <t>CONTROL</t>
        </is>
      </c>
      <c r="X554" s="5" t="inlineStr">
        <is>
          <t>Core</t>
        </is>
      </c>
      <c r="Y554" s="5" t="inlineStr">
        <is>
          <t>Cross-persona</t>
        </is>
      </c>
      <c r="Z554" s="5" t="inlineStr">
        <is>
          <t>Critical</t>
        </is>
      </c>
      <c r="AA554" s="5" t="inlineStr">
        <is>
          <t>High</t>
        </is>
      </c>
      <c r="AB554" s="8" t="inlineStr">
        <is>
          <t>High</t>
        </is>
      </c>
      <c r="AC554" s="8" t="inlineStr">
        <is>
          <t>Pilot</t>
        </is>
      </c>
      <c r="AD554" s="5" t="inlineStr">
        <is>
          <t>Not independently checked</t>
        </is>
      </c>
      <c r="AE554" s="5" t="inlineStr">
        <is>
          <t>Not verified</t>
        </is>
      </c>
      <c r="AF554" s="5" t="inlineStr">
        <is>
          <t>Not verified</t>
        </is>
      </c>
      <c r="AG554" s="5" t="inlineStr">
        <is>
          <t>Not verified</t>
        </is>
      </c>
      <c r="AH554" s="5" t="inlineStr">
        <is>
          <t>Not verified</t>
        </is>
      </c>
      <c r="AI554" s="8" t="inlineStr">
        <is>
          <t>No</t>
        </is>
      </c>
      <c r="AJ554" s="8" t="inlineStr">
        <is>
          <t>Claimed - unverified</t>
        </is>
      </c>
      <c r="AK554" s="8" t="inlineStr">
        <is>
          <t>P1</t>
        </is>
      </c>
      <c r="AL554" s="8" t="n">
        <v>27</v>
      </c>
      <c r="AM554" s="5" t="inlineStr"/>
      <c r="AN554" s="5" t="inlineStr"/>
      <c r="AO554" s="5" t="inlineStr"/>
      <c r="AP554" s="5" t="inlineStr"/>
      <c r="AQ554" s="5" t="inlineStr"/>
      <c r="AR554" s="5" t="inlineStr"/>
      <c r="AS554" s="5" t="inlineStr"/>
      <c r="AT554" s="5" t="inlineStr"/>
      <c r="AU554" s="8" t="inlineStr">
        <is>
          <t>Not run</t>
        </is>
      </c>
    </row>
    <row r="555" ht="32" customHeight="1">
      <c r="A555" s="16" t="inlineStr">
        <is>
          <t>X-0554</t>
        </is>
      </c>
      <c r="B555" s="8" t="inlineStr">
        <is>
          <t>X</t>
        </is>
      </c>
      <c r="C555" s="5" t="inlineStr">
        <is>
          <t>Multiple / Cross-persona</t>
        </is>
      </c>
      <c r="D555" s="5" t="inlineStr">
        <is>
          <t>Finance &amp; Fixed Assets</t>
        </is>
      </c>
      <c r="E555" s="5" t="inlineStr">
        <is>
          <t>Record fixed asset disposal or scrap write-off and calculate capital gain/loss</t>
        </is>
      </c>
      <c r="F555" s="5" t="inlineStr">
        <is>
          <t>In-house Accountant</t>
        </is>
      </c>
      <c r="G555" s="5" t="inlineStr">
        <is>
          <t>External CA</t>
        </is>
      </c>
      <c r="H555" s="5" t="inlineStr">
        <is>
          <t>Accurate accounting entry when old vehicle or computer is sold or scrapped</t>
        </is>
      </c>
      <c r="I555" s="5" t="inlineStr">
        <is>
          <t>Removes asset cost and accumulated depreciation; computes and posts Net Gain/Loss on Sale of Assets</t>
        </is>
      </c>
      <c r="J555" s="20" t="inlineStr">
        <is>
          <t>P1</t>
        </is>
      </c>
      <c r="K555" s="20" t="inlineStr">
        <is>
          <t>Validated (Supported)</t>
        </is>
      </c>
      <c r="L555" s="5" t="inlineStr">
        <is>
          <t>Supported via Asset Disposal modal with gain/loss computation.</t>
        </is>
      </c>
      <c r="M555" s="8" t="inlineStr">
        <is>
          <t>Baseline</t>
        </is>
      </c>
      <c r="N555" s="8" t="inlineStr">
        <is>
          <t>Cross-persona</t>
        </is>
      </c>
      <c r="O555" s="8" t="inlineStr">
        <is>
          <t>P1</t>
        </is>
      </c>
      <c r="P555" s="5" t="inlineStr">
        <is>
          <t>Unchanged</t>
        </is>
      </c>
      <c r="Q555" s="20" t="inlineStr">
        <is>
          <t>Author assertion</t>
        </is>
      </c>
      <c r="R555" s="5" t="inlineStr"/>
      <c r="S555" s="8" t="inlineStr">
        <is>
          <t>FA</t>
        </is>
      </c>
      <c r="T555" s="5" t="inlineStr">
        <is>
          <t>Finance and fixed assets</t>
        </is>
      </c>
      <c r="U555" s="8" t="inlineStr"/>
      <c r="V555" s="8" t="inlineStr">
        <is>
          <t>accounting</t>
        </is>
      </c>
      <c r="W555" s="8" t="inlineStr">
        <is>
          <t>CONTROL</t>
        </is>
      </c>
      <c r="X555" s="5" t="inlineStr">
        <is>
          <t>Core</t>
        </is>
      </c>
      <c r="Y555" s="5" t="inlineStr">
        <is>
          <t>Cross-persona</t>
        </is>
      </c>
      <c r="Z555" s="5" t="inlineStr">
        <is>
          <t>Critical</t>
        </is>
      </c>
      <c r="AA555" s="5" t="inlineStr">
        <is>
          <t>High</t>
        </is>
      </c>
      <c r="AB555" s="8" t="inlineStr">
        <is>
          <t>High</t>
        </is>
      </c>
      <c r="AC555" s="8" t="inlineStr">
        <is>
          <t>Pilot</t>
        </is>
      </c>
      <c r="AD555" s="5" t="inlineStr">
        <is>
          <t>Not independently checked</t>
        </is>
      </c>
      <c r="AE555" s="5" t="inlineStr">
        <is>
          <t>Not verified</t>
        </is>
      </c>
      <c r="AF555" s="5" t="inlineStr">
        <is>
          <t>Not verified</t>
        </is>
      </c>
      <c r="AG555" s="5" t="inlineStr">
        <is>
          <t>Not verified</t>
        </is>
      </c>
      <c r="AH555" s="5" t="inlineStr">
        <is>
          <t>Not verified</t>
        </is>
      </c>
      <c r="AI555" s="8" t="inlineStr">
        <is>
          <t>No</t>
        </is>
      </c>
      <c r="AJ555" s="8" t="inlineStr">
        <is>
          <t>Claimed - unverified</t>
        </is>
      </c>
      <c r="AK555" s="8" t="inlineStr">
        <is>
          <t>P1</t>
        </is>
      </c>
      <c r="AL555" s="8" t="n">
        <v>27</v>
      </c>
      <c r="AM555" s="5" t="inlineStr"/>
      <c r="AN555" s="5" t="inlineStr"/>
      <c r="AO555" s="5" t="inlineStr"/>
      <c r="AP555" s="5" t="inlineStr"/>
      <c r="AQ555" s="5" t="inlineStr"/>
      <c r="AR555" s="5" t="inlineStr"/>
      <c r="AS555" s="5" t="inlineStr"/>
      <c r="AT555" s="5" t="inlineStr"/>
      <c r="AU555" s="8" t="inlineStr">
        <is>
          <t>Not run</t>
        </is>
      </c>
    </row>
    <row r="556" ht="32" customHeight="1">
      <c r="A556" s="16" t="inlineStr">
        <is>
          <t>X-0555</t>
        </is>
      </c>
      <c r="B556" s="8" t="inlineStr">
        <is>
          <t>X</t>
        </is>
      </c>
      <c r="C556" s="5" t="inlineStr">
        <is>
          <t>Multiple / Cross-persona</t>
        </is>
      </c>
      <c r="D556" s="5" t="inlineStr">
        <is>
          <t>GST / Tax / Compliance</t>
        </is>
      </c>
      <c r="E556" s="5" t="inlineStr">
        <is>
          <t>Record inward supply subject to Reverse Charge Mechanism (RCM) from Goods Transport Agency (GTA)</t>
        </is>
      </c>
      <c r="F556" s="5" t="inlineStr">
        <is>
          <t>In-house Accountant</t>
        </is>
      </c>
      <c r="G556" s="5" t="inlineStr">
        <is>
          <t>Goods Transport Agency (GTA)</t>
        </is>
      </c>
      <c r="H556" s="5" t="inlineStr">
        <is>
          <t>Identify and flag transport freight charges and legal fees where recipient is liable to pay GST</t>
        </is>
      </c>
      <c r="I556" s="5" t="inlineStr">
        <is>
          <t>Flags purchase invoice line as RCM; computes applicable CGST/SGST or IGST reverse tax liability</t>
        </is>
      </c>
      <c r="J556" s="20" t="inlineStr">
        <is>
          <t>P1</t>
        </is>
      </c>
      <c r="K556" s="20" t="inlineStr">
        <is>
          <t>Validated (Supported)</t>
        </is>
      </c>
      <c r="L556" s="5" t="inlineStr">
        <is>
          <t>Supported via Reverse Charge (RCM) toggle on purchase invoice line items.</t>
        </is>
      </c>
      <c r="M556" s="8" t="inlineStr">
        <is>
          <t>Baseline</t>
        </is>
      </c>
      <c r="N556" s="8" t="inlineStr">
        <is>
          <t>Cross-persona</t>
        </is>
      </c>
      <c r="O556" s="8" t="inlineStr">
        <is>
          <t>P1</t>
        </is>
      </c>
      <c r="P556" s="5" t="inlineStr">
        <is>
          <t>Unchanged</t>
        </is>
      </c>
      <c r="Q556" s="20" t="inlineStr">
        <is>
          <t>Author assertion</t>
        </is>
      </c>
      <c r="R556" s="5" t="inlineStr"/>
      <c r="S556" s="8" t="inlineStr">
        <is>
          <t>GST</t>
        </is>
      </c>
      <c r="T556" s="5" t="inlineStr">
        <is>
          <t>GST and tax compliance</t>
        </is>
      </c>
      <c r="U556" s="8" t="inlineStr"/>
      <c r="V556" s="8" t="inlineStr">
        <is>
          <t>accounting</t>
        </is>
      </c>
      <c r="W556" s="8" t="inlineStr">
        <is>
          <t>CONTROL</t>
        </is>
      </c>
      <c r="X556" s="5" t="inlineStr">
        <is>
          <t>Core</t>
        </is>
      </c>
      <c r="Y556" s="5" t="inlineStr">
        <is>
          <t>Cross-persona</t>
        </is>
      </c>
      <c r="Z556" s="5" t="inlineStr">
        <is>
          <t>Critical</t>
        </is>
      </c>
      <c r="AA556" s="5" t="inlineStr">
        <is>
          <t>High</t>
        </is>
      </c>
      <c r="AB556" s="8" t="inlineStr">
        <is>
          <t>High</t>
        </is>
      </c>
      <c r="AC556" s="8" t="inlineStr">
        <is>
          <t>Pilot</t>
        </is>
      </c>
      <c r="AD556" s="5" t="inlineStr">
        <is>
          <t>Not independently checked</t>
        </is>
      </c>
      <c r="AE556" s="5" t="inlineStr">
        <is>
          <t>Not verified</t>
        </is>
      </c>
      <c r="AF556" s="5" t="inlineStr">
        <is>
          <t>Not verified</t>
        </is>
      </c>
      <c r="AG556" s="5" t="inlineStr">
        <is>
          <t>Not verified</t>
        </is>
      </c>
      <c r="AH556" s="5" t="inlineStr">
        <is>
          <t>Not verified</t>
        </is>
      </c>
      <c r="AI556" s="8" t="inlineStr">
        <is>
          <t>No</t>
        </is>
      </c>
      <c r="AJ556" s="8" t="inlineStr">
        <is>
          <t>Claimed - unverified</t>
        </is>
      </c>
      <c r="AK556" s="8" t="inlineStr">
        <is>
          <t>P1</t>
        </is>
      </c>
      <c r="AL556" s="8" t="n">
        <v>27</v>
      </c>
      <c r="AM556" s="5" t="inlineStr"/>
      <c r="AN556" s="5" t="inlineStr"/>
      <c r="AO556" s="5" t="inlineStr"/>
      <c r="AP556" s="5" t="inlineStr"/>
      <c r="AQ556" s="5" t="inlineStr"/>
      <c r="AR556" s="5" t="inlineStr"/>
      <c r="AS556" s="5" t="inlineStr"/>
      <c r="AT556" s="5" t="inlineStr"/>
      <c r="AU556" s="8" t="inlineStr">
        <is>
          <t>Not run</t>
        </is>
      </c>
    </row>
    <row r="557" ht="32" customHeight="1">
      <c r="A557" s="16" t="inlineStr">
        <is>
          <t>X-0556</t>
        </is>
      </c>
      <c r="B557" s="8" t="inlineStr">
        <is>
          <t>X</t>
        </is>
      </c>
      <c r="C557" s="5" t="inlineStr">
        <is>
          <t>Multiple / Cross-persona</t>
        </is>
      </c>
      <c r="D557" s="5" t="inlineStr">
        <is>
          <t>GST / Tax / Compliance</t>
        </is>
      </c>
      <c r="E557" s="5" t="inlineStr">
        <is>
          <t>Generate self-invoice for RCM inward supplies and calculate reverse tax liability</t>
        </is>
      </c>
      <c r="F557" s="5" t="inlineStr">
        <is>
          <t>In-house Accountant</t>
        </is>
      </c>
      <c r="G557" s="5" t="inlineStr">
        <is>
          <t>Tax Authority</t>
        </is>
      </c>
      <c r="H557" s="5" t="inlineStr">
        <is>
          <t>Statutory compliance under Section 31(3)(f) of CGST Act requiring self-invoice on RCM purchases</t>
        </is>
      </c>
      <c r="I557" s="5" t="inlineStr">
        <is>
          <t>Generates official Self-Invoice document; records reverse tax liability in GSTR-3B Table 3.1(d)</t>
        </is>
      </c>
      <c r="J557" s="20" t="inlineStr">
        <is>
          <t>P1</t>
        </is>
      </c>
      <c r="K557" s="20" t="inlineStr">
        <is>
          <t>Validated (Supported)</t>
        </is>
      </c>
      <c r="L557" s="5" t="inlineStr">
        <is>
          <t>Supported via Self-Invoice generator for unregistered RCM purchases.</t>
        </is>
      </c>
      <c r="M557" s="8" t="inlineStr">
        <is>
          <t>Baseline</t>
        </is>
      </c>
      <c r="N557" s="8" t="inlineStr">
        <is>
          <t>Cross-persona</t>
        </is>
      </c>
      <c r="O557" s="8" t="inlineStr">
        <is>
          <t>P1</t>
        </is>
      </c>
      <c r="P557" s="5" t="inlineStr">
        <is>
          <t>Unchanged</t>
        </is>
      </c>
      <c r="Q557" s="20" t="inlineStr">
        <is>
          <t>Author assertion</t>
        </is>
      </c>
      <c r="R557" s="5" t="inlineStr"/>
      <c r="S557" s="8" t="inlineStr">
        <is>
          <t>GST</t>
        </is>
      </c>
      <c r="T557" s="5" t="inlineStr">
        <is>
          <t>GST and tax compliance</t>
        </is>
      </c>
      <c r="U557" s="8" t="inlineStr"/>
      <c r="V557" s="8" t="inlineStr">
        <is>
          <t>accounting</t>
        </is>
      </c>
      <c r="W557" s="8" t="inlineStr">
        <is>
          <t>CONTROL</t>
        </is>
      </c>
      <c r="X557" s="5" t="inlineStr">
        <is>
          <t>Core</t>
        </is>
      </c>
      <c r="Y557" s="5" t="inlineStr">
        <is>
          <t>Cross-persona</t>
        </is>
      </c>
      <c r="Z557" s="5" t="inlineStr">
        <is>
          <t>Critical</t>
        </is>
      </c>
      <c r="AA557" s="5" t="inlineStr">
        <is>
          <t>High</t>
        </is>
      </c>
      <c r="AB557" s="8" t="inlineStr">
        <is>
          <t>High</t>
        </is>
      </c>
      <c r="AC557" s="8" t="inlineStr">
        <is>
          <t>Pilot</t>
        </is>
      </c>
      <c r="AD557" s="5" t="inlineStr">
        <is>
          <t>Not independently checked</t>
        </is>
      </c>
      <c r="AE557" s="5" t="inlineStr">
        <is>
          <t>Not verified</t>
        </is>
      </c>
      <c r="AF557" s="5" t="inlineStr">
        <is>
          <t>Not verified</t>
        </is>
      </c>
      <c r="AG557" s="5" t="inlineStr">
        <is>
          <t>Not verified</t>
        </is>
      </c>
      <c r="AH557" s="5" t="inlineStr">
        <is>
          <t>Not verified</t>
        </is>
      </c>
      <c r="AI557" s="8" t="inlineStr">
        <is>
          <t>No</t>
        </is>
      </c>
      <c r="AJ557" s="8" t="inlineStr">
        <is>
          <t>Claimed - unverified</t>
        </is>
      </c>
      <c r="AK557" s="8" t="inlineStr">
        <is>
          <t>P1</t>
        </is>
      </c>
      <c r="AL557" s="8" t="n">
        <v>27</v>
      </c>
      <c r="AM557" s="5" t="inlineStr"/>
      <c r="AN557" s="5" t="inlineStr"/>
      <c r="AO557" s="5" t="inlineStr"/>
      <c r="AP557" s="5" t="inlineStr"/>
      <c r="AQ557" s="5" t="inlineStr"/>
      <c r="AR557" s="5" t="inlineStr"/>
      <c r="AS557" s="5" t="inlineStr"/>
      <c r="AT557" s="5" t="inlineStr"/>
      <c r="AU557" s="8" t="inlineStr">
        <is>
          <t>Not run</t>
        </is>
      </c>
    </row>
    <row r="558" ht="32" customHeight="1">
      <c r="A558" s="16" t="inlineStr">
        <is>
          <t>X-0557</t>
        </is>
      </c>
      <c r="B558" s="8" t="inlineStr">
        <is>
          <t>X</t>
        </is>
      </c>
      <c r="C558" s="5" t="inlineStr">
        <is>
          <t>Multiple / Cross-persona</t>
        </is>
      </c>
      <c r="D558" s="5" t="inlineStr">
        <is>
          <t>GST / Tax / Compliance</t>
        </is>
      </c>
      <c r="E558" s="5" t="inlineStr">
        <is>
          <t>Claim Input Tax Credit on RCM tax paid in cash in subsequent GSTR-3B return</t>
        </is>
      </c>
      <c r="F558" s="5" t="inlineStr">
        <is>
          <t>In-house Accountant</t>
        </is>
      </c>
      <c r="G558" s="5" t="inlineStr">
        <is>
          <t>External CA</t>
        </is>
      </c>
      <c r="H558" s="5" t="inlineStr">
        <is>
          <t>Avail eligible Input Tax Credit for RCM tax paid to government in cash ledger</t>
        </is>
      </c>
      <c r="I558" s="5" t="inlineStr">
        <is>
          <t>Credits eligible ITC in GSTR-3B Table 4(A)(3) after confirming cash payment in Table 6.1</t>
        </is>
      </c>
      <c r="J558" s="20" t="inlineStr">
        <is>
          <t>P1</t>
        </is>
      </c>
      <c r="K558" s="20" t="inlineStr">
        <is>
          <t>Validated (Supported)</t>
        </is>
      </c>
      <c r="L558" s="5" t="inlineStr">
        <is>
          <t>Supported via RCM ITC Reconciliation worksheet.</t>
        </is>
      </c>
      <c r="M558" s="8" t="inlineStr">
        <is>
          <t>Baseline</t>
        </is>
      </c>
      <c r="N558" s="8" t="inlineStr">
        <is>
          <t>Cross-persona</t>
        </is>
      </c>
      <c r="O558" s="8" t="inlineStr">
        <is>
          <t>P1</t>
        </is>
      </c>
      <c r="P558" s="5" t="inlineStr">
        <is>
          <t>Unchanged</t>
        </is>
      </c>
      <c r="Q558" s="20" t="inlineStr">
        <is>
          <t>Author assertion</t>
        </is>
      </c>
      <c r="R558" s="5" t="inlineStr"/>
      <c r="S558" s="8" t="inlineStr">
        <is>
          <t>GST</t>
        </is>
      </c>
      <c r="T558" s="5" t="inlineStr">
        <is>
          <t>GST and tax compliance</t>
        </is>
      </c>
      <c r="U558" s="8" t="inlineStr"/>
      <c r="V558" s="8" t="inlineStr">
        <is>
          <t>accounting</t>
        </is>
      </c>
      <c r="W558" s="8" t="inlineStr">
        <is>
          <t>CONTROL</t>
        </is>
      </c>
      <c r="X558" s="5" t="inlineStr">
        <is>
          <t>Core</t>
        </is>
      </c>
      <c r="Y558" s="5" t="inlineStr">
        <is>
          <t>Cross-persona</t>
        </is>
      </c>
      <c r="Z558" s="5" t="inlineStr">
        <is>
          <t>Critical</t>
        </is>
      </c>
      <c r="AA558" s="5" t="inlineStr">
        <is>
          <t>High</t>
        </is>
      </c>
      <c r="AB558" s="8" t="inlineStr">
        <is>
          <t>High</t>
        </is>
      </c>
      <c r="AC558" s="8" t="inlineStr">
        <is>
          <t>Pilot</t>
        </is>
      </c>
      <c r="AD558" s="5" t="inlineStr">
        <is>
          <t>Not independently checked</t>
        </is>
      </c>
      <c r="AE558" s="5" t="inlineStr">
        <is>
          <t>Not verified</t>
        </is>
      </c>
      <c r="AF558" s="5" t="inlineStr">
        <is>
          <t>Not verified</t>
        </is>
      </c>
      <c r="AG558" s="5" t="inlineStr">
        <is>
          <t>Not verified</t>
        </is>
      </c>
      <c r="AH558" s="5" t="inlineStr">
        <is>
          <t>Not verified</t>
        </is>
      </c>
      <c r="AI558" s="8" t="inlineStr">
        <is>
          <t>No</t>
        </is>
      </c>
      <c r="AJ558" s="8" t="inlineStr">
        <is>
          <t>Claimed - unverified</t>
        </is>
      </c>
      <c r="AK558" s="8" t="inlineStr">
        <is>
          <t>P1</t>
        </is>
      </c>
      <c r="AL558" s="8" t="n">
        <v>27</v>
      </c>
      <c r="AM558" s="5" t="inlineStr"/>
      <c r="AN558" s="5" t="inlineStr"/>
      <c r="AO558" s="5" t="inlineStr"/>
      <c r="AP558" s="5" t="inlineStr"/>
      <c r="AQ558" s="5" t="inlineStr"/>
      <c r="AR558" s="5" t="inlineStr"/>
      <c r="AS558" s="5" t="inlineStr"/>
      <c r="AT558" s="5" t="inlineStr"/>
      <c r="AU558" s="8" t="inlineStr">
        <is>
          <t>Not run</t>
        </is>
      </c>
    </row>
    <row r="559" ht="32" customHeight="1">
      <c r="A559" s="16" t="inlineStr">
        <is>
          <t>X-0558</t>
        </is>
      </c>
      <c r="B559" s="8" t="inlineStr">
        <is>
          <t>X</t>
        </is>
      </c>
      <c r="C559" s="5" t="inlineStr">
        <is>
          <t>Multiple / Cross-persona</t>
        </is>
      </c>
      <c r="D559" s="5" t="inlineStr">
        <is>
          <t>GST / Tax / Compliance</t>
        </is>
      </c>
      <c r="E559" s="5" t="inlineStr">
        <is>
          <t>Composition Scheme merchant calculates quarterly flat turnover tax via CMP-08 without ITC</t>
        </is>
      </c>
      <c r="F559" s="5" t="inlineStr">
        <is>
          <t>Kirana Shop Owner / Accountant</t>
        </is>
      </c>
      <c r="G559" s="5" t="inlineStr">
        <is>
          <t>Tax Authority</t>
        </is>
      </c>
      <c r="H559" s="5" t="inlineStr">
        <is>
          <t>Simplified quarterly flat tax payment (1% for traders/manufacturers) under GST Composition Scheme</t>
        </is>
      </c>
      <c r="I559" s="5" t="inlineStr">
        <is>
          <t>Computes flat turnover tax; prepares official Statement for Payment of Self-Assessed Tax (CMP-08)</t>
        </is>
      </c>
      <c r="J559" s="20" t="inlineStr">
        <is>
          <t>P1</t>
        </is>
      </c>
      <c r="K559" s="20" t="inlineStr">
        <is>
          <t>Validated (Supported)</t>
        </is>
      </c>
      <c r="L559" s="5" t="inlineStr">
        <is>
          <t>Supported via /gst/cmp08/ quarterly return worksheet for composition taxpayers.</t>
        </is>
      </c>
      <c r="M559" s="8" t="inlineStr">
        <is>
          <t>Baseline</t>
        </is>
      </c>
      <c r="N559" s="8" t="inlineStr">
        <is>
          <t>Cross-persona</t>
        </is>
      </c>
      <c r="O559" s="8" t="inlineStr">
        <is>
          <t>P1</t>
        </is>
      </c>
      <c r="P559" s="5" t="inlineStr">
        <is>
          <t>Unchanged</t>
        </is>
      </c>
      <c r="Q559" s="20" t="inlineStr">
        <is>
          <t>Author assertion</t>
        </is>
      </c>
      <c r="R559" s="5" t="inlineStr"/>
      <c r="S559" s="8" t="inlineStr">
        <is>
          <t>GST</t>
        </is>
      </c>
      <c r="T559" s="5" t="inlineStr">
        <is>
          <t>GST and tax compliance</t>
        </is>
      </c>
      <c r="U559" s="8" t="inlineStr"/>
      <c r="V559" s="8" t="inlineStr">
        <is>
          <t>accounting</t>
        </is>
      </c>
      <c r="W559" s="8" t="inlineStr">
        <is>
          <t>CONTROL</t>
        </is>
      </c>
      <c r="X559" s="5" t="inlineStr">
        <is>
          <t>Core</t>
        </is>
      </c>
      <c r="Y559" s="5" t="inlineStr">
        <is>
          <t>Cross-persona</t>
        </is>
      </c>
      <c r="Z559" s="5" t="inlineStr">
        <is>
          <t>Critical</t>
        </is>
      </c>
      <c r="AA559" s="5" t="inlineStr">
        <is>
          <t>High</t>
        </is>
      </c>
      <c r="AB559" s="8" t="inlineStr">
        <is>
          <t>High</t>
        </is>
      </c>
      <c r="AC559" s="8" t="inlineStr">
        <is>
          <t>Pilot</t>
        </is>
      </c>
      <c r="AD559" s="5" t="inlineStr">
        <is>
          <t>Not independently checked</t>
        </is>
      </c>
      <c r="AE559" s="5" t="inlineStr">
        <is>
          <t>Not verified</t>
        </is>
      </c>
      <c r="AF559" s="5" t="inlineStr">
        <is>
          <t>Not verified</t>
        </is>
      </c>
      <c r="AG559" s="5" t="inlineStr">
        <is>
          <t>Not verified</t>
        </is>
      </c>
      <c r="AH559" s="5" t="inlineStr">
        <is>
          <t>Not verified</t>
        </is>
      </c>
      <c r="AI559" s="8" t="inlineStr">
        <is>
          <t>No</t>
        </is>
      </c>
      <c r="AJ559" s="8" t="inlineStr">
        <is>
          <t>Claimed - unverified</t>
        </is>
      </c>
      <c r="AK559" s="8" t="inlineStr">
        <is>
          <t>P1</t>
        </is>
      </c>
      <c r="AL559" s="8" t="n">
        <v>27</v>
      </c>
      <c r="AM559" s="5" t="inlineStr"/>
      <c r="AN559" s="5" t="inlineStr"/>
      <c r="AO559" s="5" t="inlineStr"/>
      <c r="AP559" s="5" t="inlineStr"/>
      <c r="AQ559" s="5" t="inlineStr"/>
      <c r="AR559" s="5" t="inlineStr"/>
      <c r="AS559" s="5" t="inlineStr"/>
      <c r="AT559" s="5" t="inlineStr"/>
      <c r="AU559" s="8" t="inlineStr">
        <is>
          <t>Not run</t>
        </is>
      </c>
    </row>
    <row r="560" ht="32" customHeight="1">
      <c r="A560" s="16" t="inlineStr">
        <is>
          <t>X-0559</t>
        </is>
      </c>
      <c r="B560" s="8" t="inlineStr">
        <is>
          <t>X</t>
        </is>
      </c>
      <c r="C560" s="5" t="inlineStr">
        <is>
          <t>Multiple / Cross-persona</t>
        </is>
      </c>
      <c r="D560" s="5" t="inlineStr">
        <is>
          <t>GST / Tax / Compliance</t>
        </is>
      </c>
      <c r="E560" s="5" t="inlineStr">
        <is>
          <t>Transition from Composition Scheme to Regular GST Scheme (stock credit under Section 18(1)(c))</t>
        </is>
      </c>
      <c r="F560" s="5" t="inlineStr">
        <is>
          <t>In-house Accountant</t>
        </is>
      </c>
      <c r="G560" s="5" t="inlineStr">
        <is>
          <t>External CA</t>
        </is>
      </c>
      <c r="H560" s="5" t="inlineStr">
        <is>
          <t>Claim statutory input tax credit on inputs held in stock when turnover crosses composition limit</t>
        </is>
      </c>
      <c r="I560" s="5" t="inlineStr">
        <is>
          <t>Compiles stock inventory on transition date; calculates eligible ITC on inputs via Form ITC-01</t>
        </is>
      </c>
      <c r="J560" s="22" t="inlineStr">
        <is>
          <t>P2</t>
        </is>
      </c>
      <c r="K560" s="20" t="inlineStr">
        <is>
          <t>Validated (Supported)</t>
        </is>
      </c>
      <c r="L560" s="5" t="inlineStr">
        <is>
          <t>Supported via Composition-to-Regular Transition Assistant.</t>
        </is>
      </c>
      <c r="M560" s="8" t="inlineStr">
        <is>
          <t>Baseline</t>
        </is>
      </c>
      <c r="N560" s="8" t="inlineStr">
        <is>
          <t>Cross-persona</t>
        </is>
      </c>
      <c r="O560" s="8" t="inlineStr">
        <is>
          <t>P2</t>
        </is>
      </c>
      <c r="P560" s="5" t="inlineStr">
        <is>
          <t>Unchanged</t>
        </is>
      </c>
      <c r="Q560" s="20" t="inlineStr">
        <is>
          <t>Author assertion</t>
        </is>
      </c>
      <c r="R560" s="5" t="inlineStr"/>
      <c r="S560" s="8" t="inlineStr">
        <is>
          <t>GST</t>
        </is>
      </c>
      <c r="T560" s="5" t="inlineStr">
        <is>
          <t>GST and tax compliance</t>
        </is>
      </c>
      <c r="U560" s="8" t="inlineStr"/>
      <c r="V560" s="8" t="inlineStr">
        <is>
          <t>accounting</t>
        </is>
      </c>
      <c r="W560" s="8" t="inlineStr">
        <is>
          <t>CONTROL</t>
        </is>
      </c>
      <c r="X560" s="5" t="inlineStr">
        <is>
          <t>Core</t>
        </is>
      </c>
      <c r="Y560" s="5" t="inlineStr">
        <is>
          <t>Cross-persona</t>
        </is>
      </c>
      <c r="Z560" s="5" t="inlineStr">
        <is>
          <t>Critical</t>
        </is>
      </c>
      <c r="AA560" s="5" t="inlineStr">
        <is>
          <t>High</t>
        </is>
      </c>
      <c r="AB560" s="8" t="inlineStr">
        <is>
          <t>High</t>
        </is>
      </c>
      <c r="AC560" s="8" t="inlineStr">
        <is>
          <t>Later</t>
        </is>
      </c>
      <c r="AD560" s="5" t="inlineStr">
        <is>
          <t>Not independently checked</t>
        </is>
      </c>
      <c r="AE560" s="5" t="inlineStr">
        <is>
          <t>Not verified</t>
        </is>
      </c>
      <c r="AF560" s="5" t="inlineStr">
        <is>
          <t>Not verified</t>
        </is>
      </c>
      <c r="AG560" s="5" t="inlineStr">
        <is>
          <t>Not verified</t>
        </is>
      </c>
      <c r="AH560" s="5" t="inlineStr">
        <is>
          <t>Not verified</t>
        </is>
      </c>
      <c r="AI560" s="8" t="inlineStr">
        <is>
          <t>No</t>
        </is>
      </c>
      <c r="AJ560" s="8" t="inlineStr">
        <is>
          <t>Claimed - unverified</t>
        </is>
      </c>
      <c r="AK560" s="8" t="inlineStr">
        <is>
          <t>P2</t>
        </is>
      </c>
      <c r="AL560" s="8" t="n">
        <v>27</v>
      </c>
      <c r="AM560" s="5" t="inlineStr"/>
      <c r="AN560" s="5" t="inlineStr"/>
      <c r="AO560" s="5" t="inlineStr"/>
      <c r="AP560" s="5" t="inlineStr"/>
      <c r="AQ560" s="5" t="inlineStr"/>
      <c r="AR560" s="5" t="inlineStr"/>
      <c r="AS560" s="5" t="inlineStr"/>
      <c r="AT560" s="5" t="inlineStr"/>
      <c r="AU560" s="8" t="inlineStr">
        <is>
          <t>Not run</t>
        </is>
      </c>
    </row>
    <row r="561" ht="32" customHeight="1">
      <c r="A561" s="16" t="inlineStr">
        <is>
          <t>X-0560</t>
        </is>
      </c>
      <c r="B561" s="8" t="inlineStr">
        <is>
          <t>X</t>
        </is>
      </c>
      <c r="C561" s="5" t="inlineStr">
        <is>
          <t>Multiple / Cross-persona</t>
        </is>
      </c>
      <c r="D561" s="5" t="inlineStr">
        <is>
          <t>GST / Tax / Compliance</t>
        </is>
      </c>
      <c r="E561" s="5" t="inlineStr">
        <is>
          <t>Issue non-GST / Bill of Supply for nil-rated, exempted, or non-taxable goods</t>
        </is>
      </c>
      <c r="F561" s="5" t="inlineStr">
        <is>
          <t>Counter Billing Clerk</t>
        </is>
      </c>
      <c r="G561" s="5" t="inlineStr">
        <is>
          <t>Customer</t>
        </is>
      </c>
      <c r="H561" s="5" t="inlineStr">
        <is>
          <t>Issue legally compliant Bill of Supply (without tax charges) for fresh fruits, milk, unbranded grains</t>
        </is>
      </c>
      <c r="I561" s="5" t="inlineStr">
        <is>
          <t>Renders Bill of Supply per Rule 49; separates exempt turnover from taxable supplies in GSTR-1 Table 8</t>
        </is>
      </c>
      <c r="J561" s="20" t="inlineStr">
        <is>
          <t>P1</t>
        </is>
      </c>
      <c r="K561" s="20" t="inlineStr">
        <is>
          <t>Validated (Supported)</t>
        </is>
      </c>
      <c r="L561" s="5" t="inlineStr">
        <is>
          <t>Supported via Bill of Supply document template for exempt and nil-rated sales.</t>
        </is>
      </c>
      <c r="M561" s="8" t="inlineStr">
        <is>
          <t>Baseline</t>
        </is>
      </c>
      <c r="N561" s="8" t="inlineStr">
        <is>
          <t>Cross-persona</t>
        </is>
      </c>
      <c r="O561" s="8" t="inlineStr">
        <is>
          <t>P1</t>
        </is>
      </c>
      <c r="P561" s="5" t="inlineStr">
        <is>
          <t>Unchanged</t>
        </is>
      </c>
      <c r="Q561" s="20" t="inlineStr">
        <is>
          <t>Author assertion</t>
        </is>
      </c>
      <c r="R561" s="5" t="inlineStr"/>
      <c r="S561" s="8" t="inlineStr">
        <is>
          <t>GST</t>
        </is>
      </c>
      <c r="T561" s="5" t="inlineStr">
        <is>
          <t>GST and tax compliance</t>
        </is>
      </c>
      <c r="U561" s="8" t="inlineStr"/>
      <c r="V561" s="8" t="inlineStr">
        <is>
          <t>accounting</t>
        </is>
      </c>
      <c r="W561" s="8" t="inlineStr">
        <is>
          <t>CONTROL</t>
        </is>
      </c>
      <c r="X561" s="5" t="inlineStr">
        <is>
          <t>Core</t>
        </is>
      </c>
      <c r="Y561" s="5" t="inlineStr">
        <is>
          <t>Cross-persona</t>
        </is>
      </c>
      <c r="Z561" s="5" t="inlineStr">
        <is>
          <t>Critical</t>
        </is>
      </c>
      <c r="AA561" s="5" t="inlineStr">
        <is>
          <t>High</t>
        </is>
      </c>
      <c r="AB561" s="8" t="inlineStr">
        <is>
          <t>High</t>
        </is>
      </c>
      <c r="AC561" s="8" t="inlineStr">
        <is>
          <t>Pilot</t>
        </is>
      </c>
      <c r="AD561" s="5" t="inlineStr">
        <is>
          <t>Not independently checked</t>
        </is>
      </c>
      <c r="AE561" s="5" t="inlineStr">
        <is>
          <t>Not verified</t>
        </is>
      </c>
      <c r="AF561" s="5" t="inlineStr">
        <is>
          <t>Not verified</t>
        </is>
      </c>
      <c r="AG561" s="5" t="inlineStr">
        <is>
          <t>Not verified</t>
        </is>
      </c>
      <c r="AH561" s="5" t="inlineStr">
        <is>
          <t>Not verified</t>
        </is>
      </c>
      <c r="AI561" s="8" t="inlineStr">
        <is>
          <t>No</t>
        </is>
      </c>
      <c r="AJ561" s="8" t="inlineStr">
        <is>
          <t>Claimed - unverified</t>
        </is>
      </c>
      <c r="AK561" s="8" t="inlineStr">
        <is>
          <t>P1</t>
        </is>
      </c>
      <c r="AL561" s="8" t="n">
        <v>27</v>
      </c>
      <c r="AM561" s="5" t="inlineStr"/>
      <c r="AN561" s="5" t="inlineStr"/>
      <c r="AO561" s="5" t="inlineStr"/>
      <c r="AP561" s="5" t="inlineStr"/>
      <c r="AQ561" s="5" t="inlineStr"/>
      <c r="AR561" s="5" t="inlineStr"/>
      <c r="AS561" s="5" t="inlineStr"/>
      <c r="AT561" s="5" t="inlineStr"/>
      <c r="AU561" s="8" t="inlineStr">
        <is>
          <t>Not run</t>
        </is>
      </c>
    </row>
    <row r="562" ht="32" customHeight="1">
      <c r="A562" s="16" t="inlineStr">
        <is>
          <t>S-0561</t>
        </is>
      </c>
      <c r="B562" s="8" t="inlineStr">
        <is>
          <t>S</t>
        </is>
      </c>
      <c r="C562" s="5" t="inlineStr">
        <is>
          <t>System / Ledger Engine</t>
        </is>
      </c>
      <c r="D562" s="5" t="inlineStr">
        <is>
          <t>Reporting &amp; Business Intelligence</t>
        </is>
      </c>
      <c r="E562" s="5" t="inlineStr">
        <is>
          <t>Automated background trial balance zero-sum verification worker</t>
        </is>
      </c>
      <c r="F562" s="5" t="inlineStr">
        <is>
          <t>System / Reconciliation Worker</t>
        </is>
      </c>
      <c r="G562" s="5" t="inlineStr">
        <is>
          <t>In-house Accountant</t>
        </is>
      </c>
      <c r="H562" s="5" t="inlineStr">
        <is>
          <t>Continuous verification that sum of all debits equals sum of all credits across the entire company GL</t>
        </is>
      </c>
      <c r="I562" s="5" t="inlineStr">
        <is>
          <t>Triggers high-priority alert if debit-credit discrepancy != 0; quarantines corrupted ledger batches</t>
        </is>
      </c>
      <c r="J562" s="19" t="inlineStr">
        <is>
          <t>P0</t>
        </is>
      </c>
      <c r="K562" s="23" t="inlineStr">
        <is>
          <t>Partial</t>
        </is>
      </c>
      <c r="L562" s="5" t="inlineStr">
        <is>
          <t>Trial-balance reporting exists in accounting.reports.trial_balance, and books health exposes trial_balance_balanced. No hourly Celery beat task that quarantines unbalanced batches was found.</t>
        </is>
      </c>
      <c r="M562" s="8" t="inlineStr">
        <is>
          <t>Strategic expansion</t>
        </is>
      </c>
      <c r="N562" s="8" t="inlineStr">
        <is>
          <t>System engine</t>
        </is>
      </c>
      <c r="O562" s="8" t="inlineStr">
        <is>
          <t>P0</t>
        </is>
      </c>
      <c r="P562" s="5" t="inlineStr">
        <is>
          <t>Unchanged</t>
        </is>
      </c>
      <c r="Q562" s="23" t="inlineStr">
        <is>
          <t>Partial</t>
        </is>
      </c>
      <c r="R562" s="5" t="inlineStr">
        <is>
          <t>Category moved off Payments &amp; Reconciliation. The previous note claimed an hourly Celery quarantine worker.</t>
        </is>
      </c>
      <c r="S562" s="8" t="inlineStr">
        <is>
          <t>RPT</t>
        </is>
      </c>
      <c r="T562" s="5" t="inlineStr">
        <is>
          <t>Reporting and business intelligence</t>
        </is>
      </c>
      <c r="U562" s="8" t="inlineStr"/>
      <c r="V562" s="8" t="inlineStr">
        <is>
          <t>reporting</t>
        </is>
      </c>
      <c r="W562" s="8" t="inlineStr">
        <is>
          <t>CONTROL</t>
        </is>
      </c>
      <c r="X562" s="5" t="inlineStr">
        <is>
          <t>Core</t>
        </is>
      </c>
      <c r="Y562" s="5" t="inlineStr">
        <is>
          <t>System</t>
        </is>
      </c>
      <c r="Z562" s="5" t="inlineStr">
        <is>
          <t>Medium</t>
        </is>
      </c>
      <c r="AA562" s="5" t="inlineStr">
        <is>
          <t>Medium</t>
        </is>
      </c>
      <c r="AB562" s="8" t="inlineStr">
        <is>
          <t>Low</t>
        </is>
      </c>
      <c r="AC562" s="8" t="inlineStr">
        <is>
          <t>MVP</t>
        </is>
      </c>
      <c r="AD562" s="5" t="inlineStr">
        <is>
          <t>Partial</t>
        </is>
      </c>
      <c r="AE562" s="5" t="inlineStr">
        <is>
          <t>Not verified</t>
        </is>
      </c>
      <c r="AF562" s="5" t="inlineStr">
        <is>
          <t>Not verified</t>
        </is>
      </c>
      <c r="AG562" s="5" t="inlineStr">
        <is>
          <t>Not verified</t>
        </is>
      </c>
      <c r="AH562" s="5" t="inlineStr">
        <is>
          <t>Not verified</t>
        </is>
      </c>
      <c r="AI562" s="8" t="inlineStr">
        <is>
          <t>No</t>
        </is>
      </c>
      <c r="AJ562" s="8" t="inlineStr">
        <is>
          <t>Built - partial</t>
        </is>
      </c>
      <c r="AK562" s="8" t="inlineStr">
        <is>
          <t>P0</t>
        </is>
      </c>
      <c r="AL562" s="8" t="n">
        <v>6</v>
      </c>
      <c r="AM562" s="5" t="inlineStr"/>
      <c r="AN562" s="5" t="inlineStr"/>
      <c r="AO562" s="5" t="inlineStr"/>
      <c r="AP562" s="5" t="inlineStr"/>
      <c r="AQ562" s="5" t="inlineStr"/>
      <c r="AR562" s="5" t="inlineStr"/>
      <c r="AS562" s="5" t="inlineStr"/>
      <c r="AT562" s="5" t="inlineStr"/>
      <c r="AU562" s="8" t="inlineStr">
        <is>
          <t>Not run</t>
        </is>
      </c>
    </row>
    <row r="563" ht="32" customHeight="1">
      <c r="A563" s="16" t="inlineStr">
        <is>
          <t>S-0562</t>
        </is>
      </c>
      <c r="B563" s="8" t="inlineStr">
        <is>
          <t>S</t>
        </is>
      </c>
      <c r="C563" s="5" t="inlineStr">
        <is>
          <t>System / Inventory Engine</t>
        </is>
      </c>
      <c r="D563" s="5" t="inlineStr">
        <is>
          <t>Inventory Lifecycle</t>
        </is>
      </c>
      <c r="E563" s="5" t="inlineStr">
        <is>
          <t>Orphaned inventory allocation release worker on expired cart sessions</t>
        </is>
      </c>
      <c r="F563" s="5" t="inlineStr">
        <is>
          <t>System / Inventory Worker</t>
        </is>
      </c>
      <c r="G563" s="5" t="inlineStr">
        <is>
          <t>Store Cashier</t>
        </is>
      </c>
      <c r="H563" s="5" t="inlineStr">
        <is>
          <t>Automatically release reserved stock back to available pool when uncompleted POS/web cart expires</t>
        </is>
      </c>
      <c r="I563" s="5" t="inlineStr">
        <is>
          <t>Decrements reserved_quantity and increments available_quantity on StockBalance after 30-min timeout</t>
        </is>
      </c>
      <c r="J563" s="20" t="inlineStr">
        <is>
          <t>P1</t>
        </is>
      </c>
      <c r="K563" s="23" t="inlineStr">
        <is>
          <t>Partial</t>
        </is>
      </c>
      <c r="L563" s="5" t="inlineStr">
        <is>
          <t>No CartSession model and no 30-minute cart-expiry release worker were found. Do not treat that timeout as implemented.</t>
        </is>
      </c>
      <c r="M563" s="8" t="inlineStr">
        <is>
          <t>Strategic expansion</t>
        </is>
      </c>
      <c r="N563" s="8" t="inlineStr">
        <is>
          <t>System engine</t>
        </is>
      </c>
      <c r="O563" s="8" t="inlineStr">
        <is>
          <t>P1</t>
        </is>
      </c>
      <c r="P563" s="5" t="inlineStr">
        <is>
          <t>Unchanged</t>
        </is>
      </c>
      <c r="Q563" s="23" t="inlineStr">
        <is>
          <t>Partial</t>
        </is>
      </c>
      <c r="R563" s="5" t="inlineStr">
        <is>
          <t>Previous note cited CartSession.updated_at. That model does not exist.</t>
        </is>
      </c>
      <c r="S563" s="8" t="inlineStr">
        <is>
          <t>INV</t>
        </is>
      </c>
      <c r="T563" s="5" t="inlineStr">
        <is>
          <t>Inventory lifecycle</t>
        </is>
      </c>
      <c r="U563" s="8" t="inlineStr"/>
      <c r="V563" s="8" t="inlineStr">
        <is>
          <t>inventory</t>
        </is>
      </c>
      <c r="W563" s="8" t="inlineStr">
        <is>
          <t>RUN</t>
        </is>
      </c>
      <c r="X563" s="5" t="inlineStr">
        <is>
          <t>Core</t>
        </is>
      </c>
      <c r="Y563" s="5" t="inlineStr">
        <is>
          <t>System</t>
        </is>
      </c>
      <c r="Z563" s="5" t="inlineStr">
        <is>
          <t>High</t>
        </is>
      </c>
      <c r="AA563" s="5" t="inlineStr">
        <is>
          <t>High</t>
        </is>
      </c>
      <c r="AB563" s="8" t="inlineStr">
        <is>
          <t>Low</t>
        </is>
      </c>
      <c r="AC563" s="8" t="inlineStr">
        <is>
          <t>Pilot</t>
        </is>
      </c>
      <c r="AD563" s="5" t="inlineStr">
        <is>
          <t>Partial</t>
        </is>
      </c>
      <c r="AE563" s="5" t="inlineStr">
        <is>
          <t>Not verified</t>
        </is>
      </c>
      <c r="AF563" s="5" t="inlineStr">
        <is>
          <t>Not verified</t>
        </is>
      </c>
      <c r="AG563" s="5" t="inlineStr">
        <is>
          <t>Not verified</t>
        </is>
      </c>
      <c r="AH563" s="5" t="inlineStr">
        <is>
          <t>Not verified</t>
        </is>
      </c>
      <c r="AI563" s="8" t="inlineStr">
        <is>
          <t>No</t>
        </is>
      </c>
      <c r="AJ563" s="8" t="inlineStr">
        <is>
          <t>Built - partial</t>
        </is>
      </c>
      <c r="AK563" s="8" t="inlineStr">
        <is>
          <t>P1</t>
        </is>
      </c>
      <c r="AL563" s="8" t="n">
        <v>9</v>
      </c>
      <c r="AM563" s="5" t="inlineStr"/>
      <c r="AN563" s="5" t="inlineStr"/>
      <c r="AO563" s="5" t="inlineStr"/>
      <c r="AP563" s="5" t="inlineStr"/>
      <c r="AQ563" s="5" t="inlineStr"/>
      <c r="AR563" s="5" t="inlineStr"/>
      <c r="AS563" s="5" t="inlineStr"/>
      <c r="AT563" s="5" t="inlineStr"/>
      <c r="AU563" s="8" t="inlineStr">
        <is>
          <t>Not run</t>
        </is>
      </c>
    </row>
    <row r="564" ht="32" customHeight="1">
      <c r="A564" s="16" t="inlineStr">
        <is>
          <t>S-0563</t>
        </is>
      </c>
      <c r="B564" s="8" t="inlineStr">
        <is>
          <t>S</t>
        </is>
      </c>
      <c r="C564" s="5" t="inlineStr">
        <is>
          <t>System / Cache Engine</t>
        </is>
      </c>
      <c r="D564" s="5" t="inlineStr">
        <is>
          <t>Master Data &amp; Authorization</t>
        </is>
      </c>
      <c r="E564" s="5" t="inlineStr">
        <is>
          <t>Event-driven product catalog cache invalidation across distributed POS nodes</t>
        </is>
      </c>
      <c r="F564" s="5" t="inlineStr">
        <is>
          <t>System / Redis Cache</t>
        </is>
      </c>
      <c r="G564" s="5" t="inlineStr">
        <is>
          <t>Billing Clerk</t>
        </is>
      </c>
      <c r="H564" s="5" t="inlineStr">
        <is>
          <t>Price or tax changes made on central server instantly purge local Redis/memory caches on POS terminals</t>
        </is>
      </c>
      <c r="I564" s="5" t="inlineStr">
        <is>
          <t>Broadcasts WebSocket invalidation message; forces POS client-side indexedDB cache refresh within 500ms</t>
        </is>
      </c>
      <c r="J564" s="20" t="inlineStr">
        <is>
          <t>P1</t>
        </is>
      </c>
      <c r="K564" s="20" t="inlineStr">
        <is>
          <t>Validated (Supported)</t>
        </is>
      </c>
      <c r="L564" s="5" t="inlineStr">
        <is>
          <t>Django post_save signal on Product master triggers Redis pub/sub cache purge event.</t>
        </is>
      </c>
      <c r="M564" s="8" t="inlineStr">
        <is>
          <t>Strategic expansion</t>
        </is>
      </c>
      <c r="N564" s="8" t="inlineStr">
        <is>
          <t>System engine</t>
        </is>
      </c>
      <c r="O564" s="8" t="inlineStr">
        <is>
          <t>P1</t>
        </is>
      </c>
      <c r="P564" s="5" t="inlineStr">
        <is>
          <t>Unchanged</t>
        </is>
      </c>
      <c r="Q564" s="20" t="inlineStr">
        <is>
          <t>Author assertion</t>
        </is>
      </c>
      <c r="R564" s="5" t="inlineStr"/>
      <c r="S564" s="8" t="inlineStr">
        <is>
          <t>MASTER</t>
        </is>
      </c>
      <c r="T564" s="5" t="inlineStr">
        <is>
          <t>Master data and authorization</t>
        </is>
      </c>
      <c r="U564" s="8" t="inlineStr"/>
      <c r="V564" s="8" t="inlineStr">
        <is>
          <t>masters</t>
        </is>
      </c>
      <c r="W564" s="8" t="inlineStr">
        <is>
          <t>KERNEL</t>
        </is>
      </c>
      <c r="X564" s="5" t="inlineStr">
        <is>
          <t>Core</t>
        </is>
      </c>
      <c r="Y564" s="5" t="inlineStr">
        <is>
          <t>System</t>
        </is>
      </c>
      <c r="Z564" s="5" t="inlineStr">
        <is>
          <t>Medium</t>
        </is>
      </c>
      <c r="AA564" s="5" t="inlineStr">
        <is>
          <t>Medium</t>
        </is>
      </c>
      <c r="AB564" s="8" t="inlineStr">
        <is>
          <t>Low</t>
        </is>
      </c>
      <c r="AC564" s="8" t="inlineStr">
        <is>
          <t>Later</t>
        </is>
      </c>
      <c r="AD564" s="5" t="inlineStr">
        <is>
          <t>Not independently checked</t>
        </is>
      </c>
      <c r="AE564" s="5" t="inlineStr">
        <is>
          <t>Not verified</t>
        </is>
      </c>
      <c r="AF564" s="5" t="inlineStr">
        <is>
          <t>Not verified</t>
        </is>
      </c>
      <c r="AG564" s="5" t="inlineStr">
        <is>
          <t>Not verified</t>
        </is>
      </c>
      <c r="AH564" s="5" t="inlineStr">
        <is>
          <t>Not verified</t>
        </is>
      </c>
      <c r="AI564" s="8" t="inlineStr">
        <is>
          <t>No</t>
        </is>
      </c>
      <c r="AJ564" s="8" t="inlineStr">
        <is>
          <t>Claimed - unverified</t>
        </is>
      </c>
      <c r="AK564" s="8" t="inlineStr">
        <is>
          <t>P1</t>
        </is>
      </c>
      <c r="AL564" s="8" t="n">
        <v>6</v>
      </c>
      <c r="AM564" s="5" t="inlineStr"/>
      <c r="AN564" s="5" t="inlineStr"/>
      <c r="AO564" s="5" t="inlineStr"/>
      <c r="AP564" s="5" t="inlineStr"/>
      <c r="AQ564" s="5" t="inlineStr"/>
      <c r="AR564" s="5" t="inlineStr"/>
      <c r="AS564" s="5" t="inlineStr"/>
      <c r="AT564" s="5" t="inlineStr"/>
      <c r="AU564" s="8" t="inlineStr">
        <is>
          <t>Not run</t>
        </is>
      </c>
    </row>
    <row r="565" ht="32" customHeight="1">
      <c r="A565" s="16" t="inlineStr">
        <is>
          <t>S-0564</t>
        </is>
      </c>
      <c r="B565" s="8" t="inlineStr">
        <is>
          <t>S</t>
        </is>
      </c>
      <c r="C565" s="5" t="inlineStr">
        <is>
          <t>System / Document Engine</t>
        </is>
      </c>
      <c r="D565" s="5" t="inlineStr">
        <is>
          <t>Security / Exception / Recovery</t>
        </is>
      </c>
      <c r="E565" s="5" t="inlineStr">
        <is>
          <t>Asynchronous PDF document generation queue for high-volume invoice printing</t>
        </is>
      </c>
      <c r="F565" s="5" t="inlineStr">
        <is>
          <t>System / Celery Worker</t>
        </is>
      </c>
      <c r="G565" s="5" t="inlineStr">
        <is>
          <t>Billing Clerk</t>
        </is>
      </c>
      <c r="H565" s="5" t="inlineStr">
        <is>
          <t>Sub-second checkout response by offloading heavy WeasyPrint/PDF generation to background worker pool</t>
        </is>
      </c>
      <c r="I565" s="5" t="inlineStr">
        <is>
          <t>Returns instant HTTP 201 Created with JSON; queues PDF render job; pushes download URL via WebSocket</t>
        </is>
      </c>
      <c r="J565" s="20" t="inlineStr">
        <is>
          <t>P1</t>
        </is>
      </c>
      <c r="K565" s="20" t="inlineStr">
        <is>
          <t>Validated (Supported)</t>
        </is>
      </c>
      <c r="L565" s="5" t="inlineStr">
        <is>
          <t>Offloads PDF rendering to dedicated Celery worker; decouples HTTP request-response cycle.</t>
        </is>
      </c>
      <c r="M565" s="8" t="inlineStr">
        <is>
          <t>Strategic expansion</t>
        </is>
      </c>
      <c r="N565" s="8" t="inlineStr">
        <is>
          <t>System engine</t>
        </is>
      </c>
      <c r="O565" s="8" t="inlineStr">
        <is>
          <t>P1</t>
        </is>
      </c>
      <c r="P565" s="5" t="inlineStr">
        <is>
          <t>Unchanged</t>
        </is>
      </c>
      <c r="Q565" s="20" t="inlineStr">
        <is>
          <t>Author assertion</t>
        </is>
      </c>
      <c r="R565" s="5" t="inlineStr"/>
      <c r="S565" s="8" t="inlineStr">
        <is>
          <t>OTHER</t>
        </is>
      </c>
      <c r="T565" s="5" t="inlineStr">
        <is>
          <t>Security / Exception / Recovery</t>
        </is>
      </c>
      <c r="U565" s="8" t="inlineStr"/>
      <c r="V565" s="8" t="inlineStr"/>
      <c r="W565" s="8" t="inlineStr">
        <is>
          <t>CONTROL</t>
        </is>
      </c>
      <c r="X565" s="5" t="inlineStr">
        <is>
          <t>Core</t>
        </is>
      </c>
      <c r="Y565" s="5" t="inlineStr">
        <is>
          <t>System</t>
        </is>
      </c>
      <c r="Z565" s="5" t="inlineStr">
        <is>
          <t>High</t>
        </is>
      </c>
      <c r="AA565" s="5" t="inlineStr">
        <is>
          <t>Medium</t>
        </is>
      </c>
      <c r="AB565" s="8" t="inlineStr">
        <is>
          <t>Medium</t>
        </is>
      </c>
      <c r="AC565" s="8" t="inlineStr">
        <is>
          <t>Pilot</t>
        </is>
      </c>
      <c r="AD565" s="5" t="inlineStr">
        <is>
          <t>Not independently checked</t>
        </is>
      </c>
      <c r="AE565" s="5" t="inlineStr">
        <is>
          <t>Not verified</t>
        </is>
      </c>
      <c r="AF565" s="5" t="inlineStr">
        <is>
          <t>Not verified</t>
        </is>
      </c>
      <c r="AG565" s="5" t="inlineStr">
        <is>
          <t>Not verified</t>
        </is>
      </c>
      <c r="AH565" s="5" t="inlineStr">
        <is>
          <t>Not verified</t>
        </is>
      </c>
      <c r="AI565" s="8" t="inlineStr">
        <is>
          <t>No</t>
        </is>
      </c>
      <c r="AJ565" s="8" t="inlineStr">
        <is>
          <t>Claimed - unverified</t>
        </is>
      </c>
      <c r="AK565" s="8" t="inlineStr">
        <is>
          <t>P1</t>
        </is>
      </c>
      <c r="AL565" s="8" t="n">
        <v>12</v>
      </c>
      <c r="AM565" s="5" t="inlineStr"/>
      <c r="AN565" s="5" t="inlineStr"/>
      <c r="AO565" s="5" t="inlineStr"/>
      <c r="AP565" s="5" t="inlineStr"/>
      <c r="AQ565" s="5" t="inlineStr"/>
      <c r="AR565" s="5" t="inlineStr"/>
      <c r="AS565" s="5" t="inlineStr"/>
      <c r="AT565" s="5" t="inlineStr"/>
      <c r="AU565" s="8" t="inlineStr">
        <is>
          <t>Not run</t>
        </is>
      </c>
    </row>
    <row r="566" ht="32" customHeight="1">
      <c r="A566" s="16" t="inlineStr">
        <is>
          <t>S-0565</t>
        </is>
      </c>
      <c r="B566" s="8" t="inlineStr">
        <is>
          <t>S</t>
        </is>
      </c>
      <c r="C566" s="5" t="inlineStr">
        <is>
          <t>System / Sequence Engine</t>
        </is>
      </c>
      <c r="D566" s="5" t="inlineStr">
        <is>
          <t>Security / Exception / Recovery</t>
        </is>
      </c>
      <c r="E566" s="5" t="inlineStr">
        <is>
          <t>Atomic database sequence locking preventing concurrent invoice numbering gaps</t>
        </is>
      </c>
      <c r="F566" s="5" t="inlineStr">
        <is>
          <t>System / Database Engine</t>
        </is>
      </c>
      <c r="G566" s="5" t="inlineStr">
        <is>
          <t>All Billing Users</t>
        </is>
      </c>
      <c r="H566" s="5" t="inlineStr">
        <is>
          <t>Guarantee zero missing numbers in statutory invoice sequences even under heavy concurrent billing</t>
        </is>
      </c>
      <c r="I566" s="5" t="inlineStr">
        <is>
          <t>Uses PostgreSQL SELECT FOR UPDATE on DocumentSequence row; strictly guarantees sequential numbering</t>
        </is>
      </c>
      <c r="J566" s="19" t="inlineStr">
        <is>
          <t>P0</t>
        </is>
      </c>
      <c r="K566" s="20" t="inlineStr">
        <is>
          <t>Validated (Supported)</t>
        </is>
      </c>
      <c r="L566" s="5" t="inlineStr">
        <is>
          <t>Postgres row-level lock on sequence master; strictly satisfies GST Rule 46 sequentiality mandate.</t>
        </is>
      </c>
      <c r="M566" s="8" t="inlineStr">
        <is>
          <t>Strategic expansion</t>
        </is>
      </c>
      <c r="N566" s="8" t="inlineStr">
        <is>
          <t>System engine</t>
        </is>
      </c>
      <c r="O566" s="8" t="inlineStr">
        <is>
          <t>P0</t>
        </is>
      </c>
      <c r="P566" s="5" t="inlineStr">
        <is>
          <t>Unchanged</t>
        </is>
      </c>
      <c r="Q566" s="20" t="inlineStr">
        <is>
          <t>Author assertion</t>
        </is>
      </c>
      <c r="R566" s="5" t="inlineStr"/>
      <c r="S566" s="8" t="inlineStr">
        <is>
          <t>OTHER</t>
        </is>
      </c>
      <c r="T566" s="5" t="inlineStr">
        <is>
          <t>Security / Exception / Recovery</t>
        </is>
      </c>
      <c r="U566" s="8" t="inlineStr"/>
      <c r="V566" s="8" t="inlineStr"/>
      <c r="W566" s="8" t="inlineStr">
        <is>
          <t>CONTROL</t>
        </is>
      </c>
      <c r="X566" s="5" t="inlineStr">
        <is>
          <t>Core</t>
        </is>
      </c>
      <c r="Y566" s="5" t="inlineStr">
        <is>
          <t>System</t>
        </is>
      </c>
      <c r="Z566" s="5" t="inlineStr">
        <is>
          <t>High</t>
        </is>
      </c>
      <c r="AA566" s="5" t="inlineStr">
        <is>
          <t>Medium</t>
        </is>
      </c>
      <c r="AB566" s="8" t="inlineStr">
        <is>
          <t>Medium</t>
        </is>
      </c>
      <c r="AC566" s="8" t="inlineStr">
        <is>
          <t>MVP</t>
        </is>
      </c>
      <c r="AD566" s="5" t="inlineStr">
        <is>
          <t>Not independently checked</t>
        </is>
      </c>
      <c r="AE566" s="5" t="inlineStr">
        <is>
          <t>Not verified</t>
        </is>
      </c>
      <c r="AF566" s="5" t="inlineStr">
        <is>
          <t>Not verified</t>
        </is>
      </c>
      <c r="AG566" s="5" t="inlineStr">
        <is>
          <t>Not verified</t>
        </is>
      </c>
      <c r="AH566" s="5" t="inlineStr">
        <is>
          <t>Not verified</t>
        </is>
      </c>
      <c r="AI566" s="8" t="inlineStr">
        <is>
          <t>No</t>
        </is>
      </c>
      <c r="AJ566" s="8" t="inlineStr">
        <is>
          <t>Claimed - unverified</t>
        </is>
      </c>
      <c r="AK566" s="8" t="inlineStr">
        <is>
          <t>P0</t>
        </is>
      </c>
      <c r="AL566" s="8" t="n">
        <v>12</v>
      </c>
      <c r="AM566" s="5" t="inlineStr"/>
      <c r="AN566" s="5" t="inlineStr"/>
      <c r="AO566" s="5" t="inlineStr"/>
      <c r="AP566" s="5" t="inlineStr"/>
      <c r="AQ566" s="5" t="inlineStr"/>
      <c r="AR566" s="5" t="inlineStr"/>
      <c r="AS566" s="5" t="inlineStr"/>
      <c r="AT566" s="5" t="inlineStr"/>
      <c r="AU566" s="8" t="inlineStr">
        <is>
          <t>Not run</t>
        </is>
      </c>
    </row>
    <row r="567" ht="32" customHeight="1">
      <c r="A567" s="16" t="inlineStr">
        <is>
          <t>S-0566</t>
        </is>
      </c>
      <c r="B567" s="8" t="inlineStr">
        <is>
          <t>S</t>
        </is>
      </c>
      <c r="C567" s="5" t="inlineStr">
        <is>
          <t>System / Outbox Engine</t>
        </is>
      </c>
      <c r="D567" s="5" t="inlineStr">
        <is>
          <t>Communication &amp; Integrations</t>
        </is>
      </c>
      <c r="E567" s="5" t="inlineStr">
        <is>
          <t>Transactional Outbox pattern for external webhook and message dispatch</t>
        </is>
      </c>
      <c r="F567" s="5" t="inlineStr">
        <is>
          <t>System / Outbox Worker</t>
        </is>
      </c>
      <c r="G567" s="5" t="inlineStr">
        <is>
          <t>Customer</t>
        </is>
      </c>
      <c r="H567" s="5" t="inlineStr">
        <is>
          <t>Guarantees that WhatsApp/SMS notifications are never lost if external provider fails during checkout</t>
        </is>
      </c>
      <c r="I567" s="5" t="inlineStr">
        <is>
          <t>Writes notification payload to database in same atomic transaction as invoice; background worker polls and sends</t>
        </is>
      </c>
      <c r="J567" s="20" t="inlineStr">
        <is>
          <t>P1</t>
        </is>
      </c>
      <c r="K567" s="20" t="inlineStr">
        <is>
          <t>Validated (Supported)</t>
        </is>
      </c>
      <c r="L567" s="5" t="inlineStr">
        <is>
          <t>Transactional Outbox pattern implementation; achieves at-least-once delivery guarantee.</t>
        </is>
      </c>
      <c r="M567" s="8" t="inlineStr">
        <is>
          <t>Strategic expansion</t>
        </is>
      </c>
      <c r="N567" s="8" t="inlineStr">
        <is>
          <t>System engine</t>
        </is>
      </c>
      <c r="O567" s="8" t="inlineStr">
        <is>
          <t>P1</t>
        </is>
      </c>
      <c r="P567" s="5" t="inlineStr">
        <is>
          <t>Unchanged</t>
        </is>
      </c>
      <c r="Q567" s="20" t="inlineStr">
        <is>
          <t>Author assertion</t>
        </is>
      </c>
      <c r="R567" s="5" t="inlineStr"/>
      <c r="S567" s="8" t="inlineStr">
        <is>
          <t>INT</t>
        </is>
      </c>
      <c r="T567" s="5" t="inlineStr">
        <is>
          <t>Communication and integrations</t>
        </is>
      </c>
      <c r="U567" s="8" t="inlineStr"/>
      <c r="V567" s="8" t="inlineStr">
        <is>
          <t>integrations</t>
        </is>
      </c>
      <c r="W567" s="8" t="inlineStr">
        <is>
          <t>KERNEL</t>
        </is>
      </c>
      <c r="X567" s="5" t="inlineStr">
        <is>
          <t>Core</t>
        </is>
      </c>
      <c r="Y567" s="5" t="inlineStr">
        <is>
          <t>System</t>
        </is>
      </c>
      <c r="Z567" s="5" t="inlineStr">
        <is>
          <t>Medium</t>
        </is>
      </c>
      <c r="AA567" s="5" t="inlineStr">
        <is>
          <t>Medium</t>
        </is>
      </c>
      <c r="AB567" s="8" t="inlineStr">
        <is>
          <t>Low</t>
        </is>
      </c>
      <c r="AC567" s="8" t="inlineStr">
        <is>
          <t>Later</t>
        </is>
      </c>
      <c r="AD567" s="5" t="inlineStr">
        <is>
          <t>Not independently checked</t>
        </is>
      </c>
      <c r="AE567" s="5" t="inlineStr">
        <is>
          <t>Not verified</t>
        </is>
      </c>
      <c r="AF567" s="5" t="inlineStr">
        <is>
          <t>Not verified</t>
        </is>
      </c>
      <c r="AG567" s="5" t="inlineStr">
        <is>
          <t>Not verified</t>
        </is>
      </c>
      <c r="AH567" s="5" t="inlineStr">
        <is>
          <t>Not verified</t>
        </is>
      </c>
      <c r="AI567" s="8" t="inlineStr">
        <is>
          <t>No</t>
        </is>
      </c>
      <c r="AJ567" s="8" t="inlineStr">
        <is>
          <t>Claimed - unverified</t>
        </is>
      </c>
      <c r="AK567" s="8" t="inlineStr">
        <is>
          <t>P1</t>
        </is>
      </c>
      <c r="AL567" s="8" t="n">
        <v>6</v>
      </c>
      <c r="AM567" s="5" t="inlineStr"/>
      <c r="AN567" s="5" t="inlineStr"/>
      <c r="AO567" s="5" t="inlineStr"/>
      <c r="AP567" s="5" t="inlineStr"/>
      <c r="AQ567" s="5" t="inlineStr"/>
      <c r="AR567" s="5" t="inlineStr"/>
      <c r="AS567" s="5" t="inlineStr"/>
      <c r="AT567" s="5" t="inlineStr"/>
      <c r="AU567" s="8" t="inlineStr">
        <is>
          <t>Not run</t>
        </is>
      </c>
    </row>
    <row r="568" ht="32" customHeight="1">
      <c r="A568" s="16" t="inlineStr">
        <is>
          <t>S-0567</t>
        </is>
      </c>
      <c r="B568" s="8" t="inlineStr">
        <is>
          <t>S</t>
        </is>
      </c>
      <c r="C568" s="5" t="inlineStr">
        <is>
          <t>System / Aging Engine</t>
        </is>
      </c>
      <c r="D568" s="5" t="inlineStr">
        <is>
          <t>Receivables &amp; Payables</t>
        </is>
      </c>
      <c r="E568" s="5" t="inlineStr">
        <is>
          <t>Nightly automated accounts receivable and payable aging bucket reclassification</t>
        </is>
      </c>
      <c r="F568" s="5" t="inlineStr">
        <is>
          <t>System / Cron Worker</t>
        </is>
      </c>
      <c r="G568" s="5" t="inlineStr">
        <is>
          <t>Credit Controller</t>
        </is>
      </c>
      <c r="H568" s="5" t="inlineStr">
        <is>
          <t>Daily recalculation of debtor and creditor aging buckets (0-30, 31-60, 61-90, 90+ days) at midnight</t>
        </is>
      </c>
      <c r="I568" s="5" t="inlineStr">
        <is>
          <t>Updates cached aging summaries on Customer and Supplier records; refreshes executive dashboard</t>
        </is>
      </c>
      <c r="J568" s="20" t="inlineStr">
        <is>
          <t>P1</t>
        </is>
      </c>
      <c r="K568" s="20" t="inlineStr">
        <is>
          <t>Validated (Supported)</t>
        </is>
      </c>
      <c r="L568" s="5" t="inlineStr">
        <is>
          <t>Nightly cron job evaluating (today - invoice.due_date); updates denormalized aging summary table.</t>
        </is>
      </c>
      <c r="M568" s="8" t="inlineStr">
        <is>
          <t>Strategic expansion</t>
        </is>
      </c>
      <c r="N568" s="8" t="inlineStr">
        <is>
          <t>System engine</t>
        </is>
      </c>
      <c r="O568" s="8" t="inlineStr">
        <is>
          <t>P1</t>
        </is>
      </c>
      <c r="P568" s="5" t="inlineStr">
        <is>
          <t>Unchanged</t>
        </is>
      </c>
      <c r="Q568" s="21" t="inlineStr">
        <is>
          <t>Code symbol found</t>
        </is>
      </c>
      <c r="R568" s="5" t="inlineStr">
        <is>
          <t>Matched due_date in product code. This is not a functional test.</t>
        </is>
      </c>
      <c r="S568" s="8" t="inlineStr">
        <is>
          <t>ARAP</t>
        </is>
      </c>
      <c r="T568" s="5" t="inlineStr">
        <is>
          <t>Receivables and payables</t>
        </is>
      </c>
      <c r="U568" s="8" t="inlineStr"/>
      <c r="V568" s="8" t="inlineStr">
        <is>
          <t>ledgers</t>
        </is>
      </c>
      <c r="W568" s="8" t="inlineStr">
        <is>
          <t>CONTROL</t>
        </is>
      </c>
      <c r="X568" s="5" t="inlineStr">
        <is>
          <t>Core</t>
        </is>
      </c>
      <c r="Y568" s="5" t="inlineStr">
        <is>
          <t>System</t>
        </is>
      </c>
      <c r="Z568" s="5" t="inlineStr">
        <is>
          <t>Critical</t>
        </is>
      </c>
      <c r="AA568" s="5" t="inlineStr">
        <is>
          <t>High</t>
        </is>
      </c>
      <c r="AB568" s="8" t="inlineStr">
        <is>
          <t>Medium</t>
        </is>
      </c>
      <c r="AC568" s="8" t="inlineStr">
        <is>
          <t>Pilot</t>
        </is>
      </c>
      <c r="AD568" s="5" t="inlineStr">
        <is>
          <t>Cited in code</t>
        </is>
      </c>
      <c r="AE568" s="5" t="inlineStr">
        <is>
          <t>Not verified</t>
        </is>
      </c>
      <c r="AF568" s="5" t="inlineStr">
        <is>
          <t>Not verified</t>
        </is>
      </c>
      <c r="AG568" s="5" t="inlineStr">
        <is>
          <t>Not verified</t>
        </is>
      </c>
      <c r="AH568" s="5" t="inlineStr">
        <is>
          <t>Not verified</t>
        </is>
      </c>
      <c r="AI568" s="8" t="inlineStr">
        <is>
          <t>No</t>
        </is>
      </c>
      <c r="AJ568" s="8" t="inlineStr">
        <is>
          <t>Built - unverified</t>
        </is>
      </c>
      <c r="AK568" s="8" t="inlineStr">
        <is>
          <t>P1</t>
        </is>
      </c>
      <c r="AL568" s="8" t="n">
        <v>18</v>
      </c>
      <c r="AM568" s="5" t="inlineStr"/>
      <c r="AN568" s="5" t="inlineStr"/>
      <c r="AO568" s="5" t="inlineStr"/>
      <c r="AP568" s="5" t="inlineStr"/>
      <c r="AQ568" s="5" t="inlineStr"/>
      <c r="AR568" s="5" t="inlineStr"/>
      <c r="AS568" s="5" t="inlineStr"/>
      <c r="AT568" s="5" t="inlineStr"/>
      <c r="AU568" s="8" t="inlineStr">
        <is>
          <t>Not run</t>
        </is>
      </c>
    </row>
    <row r="569" ht="32" customHeight="1">
      <c r="A569" s="16" t="inlineStr">
        <is>
          <t>S-0568</t>
        </is>
      </c>
      <c r="B569" s="8" t="inlineStr">
        <is>
          <t>S</t>
        </is>
      </c>
      <c r="C569" s="5" t="inlineStr">
        <is>
          <t>System / Integrity Engine</t>
        </is>
      </c>
      <c r="D569" s="5" t="inlineStr">
        <is>
          <t>Security / Exception / Recovery</t>
        </is>
      </c>
      <c r="E569" s="5" t="inlineStr">
        <is>
          <t>Database foreign key cascade deletion defense and soft-delete enforcement</t>
        </is>
      </c>
      <c r="F569" s="5" t="inlineStr">
        <is>
          <t>System / ORM Guard</t>
        </is>
      </c>
      <c r="G569" s="5" t="inlineStr">
        <is>
          <t>System Administrator</t>
        </is>
      </c>
      <c r="H569" s="5" t="inlineStr">
        <is>
          <t>Prevent accidental cascading deletion of critical historical invoices when master entity is removed</t>
        </is>
      </c>
      <c r="I569" s="5" t="inlineStr">
        <is>
          <t>Enforces on_delete=models.PROTECT on all transaction foreign keys; routes deletions to is_deleted=True</t>
        </is>
      </c>
      <c r="J569" s="19" t="inlineStr">
        <is>
          <t>P0</t>
        </is>
      </c>
      <c r="K569" s="20" t="inlineStr">
        <is>
          <t>Validated (Supported)</t>
        </is>
      </c>
      <c r="L569" s="5" t="inlineStr">
        <is>
          <t>Core architectural invariant: models.PROTECT enforced across all financial and inventory FKs.</t>
        </is>
      </c>
      <c r="M569" s="8" t="inlineStr">
        <is>
          <t>Strategic expansion</t>
        </is>
      </c>
      <c r="N569" s="8" t="inlineStr">
        <is>
          <t>System engine</t>
        </is>
      </c>
      <c r="O569" s="8" t="inlineStr">
        <is>
          <t>P0</t>
        </is>
      </c>
      <c r="P569" s="5" t="inlineStr">
        <is>
          <t>Unchanged</t>
        </is>
      </c>
      <c r="Q569" s="20" t="inlineStr">
        <is>
          <t>Author assertion</t>
        </is>
      </c>
      <c r="R569" s="5" t="inlineStr"/>
      <c r="S569" s="8" t="inlineStr">
        <is>
          <t>OTHER</t>
        </is>
      </c>
      <c r="T569" s="5" t="inlineStr">
        <is>
          <t>Security / Exception / Recovery</t>
        </is>
      </c>
      <c r="U569" s="8" t="inlineStr"/>
      <c r="V569" s="8" t="inlineStr"/>
      <c r="W569" s="8" t="inlineStr">
        <is>
          <t>CONTROL</t>
        </is>
      </c>
      <c r="X569" s="5" t="inlineStr">
        <is>
          <t>Core</t>
        </is>
      </c>
      <c r="Y569" s="5" t="inlineStr">
        <is>
          <t>System</t>
        </is>
      </c>
      <c r="Z569" s="5" t="inlineStr">
        <is>
          <t>High</t>
        </is>
      </c>
      <c r="AA569" s="5" t="inlineStr">
        <is>
          <t>Medium</t>
        </is>
      </c>
      <c r="AB569" s="8" t="inlineStr">
        <is>
          <t>Medium</t>
        </is>
      </c>
      <c r="AC569" s="8" t="inlineStr">
        <is>
          <t>MVP</t>
        </is>
      </c>
      <c r="AD569" s="5" t="inlineStr">
        <is>
          <t>Not independently checked</t>
        </is>
      </c>
      <c r="AE569" s="5" t="inlineStr">
        <is>
          <t>Not verified</t>
        </is>
      </c>
      <c r="AF569" s="5" t="inlineStr">
        <is>
          <t>Not verified</t>
        </is>
      </c>
      <c r="AG569" s="5" t="inlineStr">
        <is>
          <t>Not verified</t>
        </is>
      </c>
      <c r="AH569" s="5" t="inlineStr">
        <is>
          <t>Not verified</t>
        </is>
      </c>
      <c r="AI569" s="8" t="inlineStr">
        <is>
          <t>No</t>
        </is>
      </c>
      <c r="AJ569" s="8" t="inlineStr">
        <is>
          <t>Claimed - unverified</t>
        </is>
      </c>
      <c r="AK569" s="8" t="inlineStr">
        <is>
          <t>P0</t>
        </is>
      </c>
      <c r="AL569" s="8" t="n">
        <v>12</v>
      </c>
      <c r="AM569" s="5" t="inlineStr"/>
      <c r="AN569" s="5" t="inlineStr"/>
      <c r="AO569" s="5" t="inlineStr"/>
      <c r="AP569" s="5" t="inlineStr"/>
      <c r="AQ569" s="5" t="inlineStr"/>
      <c r="AR569" s="5" t="inlineStr"/>
      <c r="AS569" s="5" t="inlineStr"/>
      <c r="AT569" s="5" t="inlineStr"/>
      <c r="AU569" s="8" t="inlineStr">
        <is>
          <t>Not run</t>
        </is>
      </c>
    </row>
    <row r="570" ht="32" customHeight="1">
      <c r="A570" s="16" t="inlineStr">
        <is>
          <t>S-0569</t>
        </is>
      </c>
      <c r="B570" s="8" t="inlineStr">
        <is>
          <t>S</t>
        </is>
      </c>
      <c r="C570" s="5" t="inlineStr">
        <is>
          <t>System / Telemetry Engine</t>
        </is>
      </c>
      <c r="D570" s="5" t="inlineStr">
        <is>
          <t>Security / Exception / Recovery</t>
        </is>
      </c>
      <c r="E570" s="5" t="inlineStr">
        <is>
          <t>Automated API latency, error rate, and slow-query telemetry logger</t>
        </is>
      </c>
      <c r="F570" s="5" t="inlineStr">
        <is>
          <t>System / Telemetry Middleware</t>
        </is>
      </c>
      <c r="G570" s="5" t="inlineStr">
        <is>
          <t>DevOps / Architect</t>
        </is>
      </c>
      <c r="H570" s="5" t="inlineStr">
        <is>
          <t>Track 95th percentile (P95) response times and pinpoint database queries taking &gt; 200ms</t>
        </is>
      </c>
      <c r="I570" s="5" t="inlineStr">
        <is>
          <t>Logs structured JSON telemetry to APM; alerts engineering if checkout latency breaches 1.0 second</t>
        </is>
      </c>
      <c r="J570" s="24" t="inlineStr">
        <is>
          <t>P3</t>
        </is>
      </c>
      <c r="K570" s="20" t="inlineStr">
        <is>
          <t>Validated (Supported)</t>
        </is>
      </c>
      <c r="L570" s="5" t="inlineStr">
        <is>
          <t>Django middleware logging request duration, SQL query count, and memory allocation.</t>
        </is>
      </c>
      <c r="M570" s="8" t="inlineStr">
        <is>
          <t>Strategic expansion</t>
        </is>
      </c>
      <c r="N570" s="8" t="inlineStr">
        <is>
          <t>System engine</t>
        </is>
      </c>
      <c r="O570" s="8" t="inlineStr">
        <is>
          <t>P2</t>
        </is>
      </c>
      <c r="P570" s="5" t="inlineStr">
        <is>
          <t>Kept P3. The previous workbook had P3. Authored priority was P2.</t>
        </is>
      </c>
      <c r="Q570" s="20" t="inlineStr">
        <is>
          <t>Author assertion</t>
        </is>
      </c>
      <c r="R570" s="5" t="inlineStr">
        <is>
          <t>Kept P3. The previous workbook had P3. Authored priority was P2.</t>
        </is>
      </c>
      <c r="S570" s="8" t="inlineStr">
        <is>
          <t>OTHER</t>
        </is>
      </c>
      <c r="T570" s="5" t="inlineStr">
        <is>
          <t>Security / Exception / Recovery</t>
        </is>
      </c>
      <c r="U570" s="8" t="inlineStr"/>
      <c r="V570" s="8" t="inlineStr"/>
      <c r="W570" s="8" t="inlineStr">
        <is>
          <t>CONTROL</t>
        </is>
      </c>
      <c r="X570" s="5" t="inlineStr">
        <is>
          <t>Future</t>
        </is>
      </c>
      <c r="Y570" s="5" t="inlineStr">
        <is>
          <t>System</t>
        </is>
      </c>
      <c r="Z570" s="5" t="inlineStr">
        <is>
          <t>Low</t>
        </is>
      </c>
      <c r="AA570" s="5" t="inlineStr">
        <is>
          <t>Low</t>
        </is>
      </c>
      <c r="AB570" s="8" t="inlineStr">
        <is>
          <t>Medium</t>
        </is>
      </c>
      <c r="AC570" s="8" t="inlineStr">
        <is>
          <t>Later</t>
        </is>
      </c>
      <c r="AD570" s="5" t="inlineStr">
        <is>
          <t>Not independently checked</t>
        </is>
      </c>
      <c r="AE570" s="5" t="inlineStr">
        <is>
          <t>Not verified</t>
        </is>
      </c>
      <c r="AF570" s="5" t="inlineStr">
        <is>
          <t>Not verified</t>
        </is>
      </c>
      <c r="AG570" s="5" t="inlineStr">
        <is>
          <t>Not verified</t>
        </is>
      </c>
      <c r="AH570" s="5" t="inlineStr">
        <is>
          <t>Not verified</t>
        </is>
      </c>
      <c r="AI570" s="8" t="inlineStr">
        <is>
          <t>No</t>
        </is>
      </c>
      <c r="AJ570" s="8" t="inlineStr">
        <is>
          <t>Claimed - unverified</t>
        </is>
      </c>
      <c r="AK570" s="8" t="inlineStr">
        <is>
          <t>P3</t>
        </is>
      </c>
      <c r="AL570" s="8" t="n">
        <v>2</v>
      </c>
      <c r="AM570" s="5" t="inlineStr"/>
      <c r="AN570" s="5" t="inlineStr"/>
      <c r="AO570" s="5" t="inlineStr"/>
      <c r="AP570" s="5" t="inlineStr"/>
      <c r="AQ570" s="5" t="inlineStr"/>
      <c r="AR570" s="5" t="inlineStr"/>
      <c r="AS570" s="5" t="inlineStr"/>
      <c r="AT570" s="5" t="inlineStr"/>
      <c r="AU570" s="8" t="inlineStr">
        <is>
          <t>Not run</t>
        </is>
      </c>
    </row>
    <row r="571" ht="32" customHeight="1">
      <c r="A571" s="16" t="inlineStr">
        <is>
          <t>S-0570</t>
        </is>
      </c>
      <c r="B571" s="8" t="inlineStr">
        <is>
          <t>S</t>
        </is>
      </c>
      <c r="C571" s="5" t="inlineStr">
        <is>
          <t>System / Backup Engine</t>
        </is>
      </c>
      <c r="D571" s="5" t="inlineStr">
        <is>
          <t>Security / Exception / Recovery</t>
        </is>
      </c>
      <c r="E571" s="5" t="inlineStr">
        <is>
          <t>Automated continuous WAL archiving and daily encrypted PostgreSQL pg_dump snapshot</t>
        </is>
      </c>
      <c r="F571" s="5" t="inlineStr">
        <is>
          <t>System / Backup Daemon</t>
        </is>
      </c>
      <c r="G571" s="5" t="inlineStr">
        <is>
          <t>System Administrator</t>
        </is>
      </c>
      <c r="H571" s="5" t="inlineStr">
        <is>
          <t>Zero-data-loss point-in-time recovery (PITR) capability in case of physical cloud hardware catastrophe</t>
        </is>
      </c>
      <c r="I571" s="5" t="inlineStr">
        <is>
          <t>Uploads encrypted pg_dump and Write-Ahead Logs (WAL) to air-gapped S3 bucket with 30-day retention</t>
        </is>
      </c>
      <c r="J571" s="19" t="inlineStr">
        <is>
          <t>P0</t>
        </is>
      </c>
      <c r="K571" s="20" t="inlineStr">
        <is>
          <t>Validated (Supported)</t>
        </is>
      </c>
      <c r="L571" s="5" t="inlineStr">
        <is>
          <t>Automated backup script with AES-256 encryption and automated test-restore health check.</t>
        </is>
      </c>
      <c r="M571" s="8" t="inlineStr">
        <is>
          <t>Strategic expansion</t>
        </is>
      </c>
      <c r="N571" s="8" t="inlineStr">
        <is>
          <t>System engine</t>
        </is>
      </c>
      <c r="O571" s="8" t="inlineStr">
        <is>
          <t>P0</t>
        </is>
      </c>
      <c r="P571" s="5" t="inlineStr">
        <is>
          <t>Unchanged</t>
        </is>
      </c>
      <c r="Q571" s="20" t="inlineStr">
        <is>
          <t>Author assertion</t>
        </is>
      </c>
      <c r="R571" s="5" t="inlineStr"/>
      <c r="S571" s="8" t="inlineStr">
        <is>
          <t>OTHER</t>
        </is>
      </c>
      <c r="T571" s="5" t="inlineStr">
        <is>
          <t>Security / Exception / Recovery</t>
        </is>
      </c>
      <c r="U571" s="8" t="inlineStr"/>
      <c r="V571" s="8" t="inlineStr"/>
      <c r="W571" s="8" t="inlineStr">
        <is>
          <t>CONTROL</t>
        </is>
      </c>
      <c r="X571" s="5" t="inlineStr">
        <is>
          <t>Core</t>
        </is>
      </c>
      <c r="Y571" s="5" t="inlineStr">
        <is>
          <t>System</t>
        </is>
      </c>
      <c r="Z571" s="5" t="inlineStr">
        <is>
          <t>High</t>
        </is>
      </c>
      <c r="AA571" s="5" t="inlineStr">
        <is>
          <t>Medium</t>
        </is>
      </c>
      <c r="AB571" s="8" t="inlineStr">
        <is>
          <t>Medium</t>
        </is>
      </c>
      <c r="AC571" s="8" t="inlineStr">
        <is>
          <t>MVP</t>
        </is>
      </c>
      <c r="AD571" s="5" t="inlineStr">
        <is>
          <t>Not independently checked</t>
        </is>
      </c>
      <c r="AE571" s="5" t="inlineStr">
        <is>
          <t>Not verified</t>
        </is>
      </c>
      <c r="AF571" s="5" t="inlineStr">
        <is>
          <t>Not verified</t>
        </is>
      </c>
      <c r="AG571" s="5" t="inlineStr">
        <is>
          <t>Not verified</t>
        </is>
      </c>
      <c r="AH571" s="5" t="inlineStr">
        <is>
          <t>Not verified</t>
        </is>
      </c>
      <c r="AI571" s="8" t="inlineStr">
        <is>
          <t>No</t>
        </is>
      </c>
      <c r="AJ571" s="8" t="inlineStr">
        <is>
          <t>Claimed - unverified</t>
        </is>
      </c>
      <c r="AK571" s="8" t="inlineStr">
        <is>
          <t>P0</t>
        </is>
      </c>
      <c r="AL571" s="8" t="n">
        <v>12</v>
      </c>
      <c r="AM571" s="5" t="inlineStr"/>
      <c r="AN571" s="5" t="inlineStr"/>
      <c r="AO571" s="5" t="inlineStr"/>
      <c r="AP571" s="5" t="inlineStr"/>
      <c r="AQ571" s="5" t="inlineStr"/>
      <c r="AR571" s="5" t="inlineStr"/>
      <c r="AS571" s="5" t="inlineStr"/>
      <c r="AT571" s="5" t="inlineStr"/>
      <c r="AU571" s="8" t="inlineStr">
        <is>
          <t>Not run</t>
        </is>
      </c>
    </row>
    <row r="572" ht="32" customHeight="1">
      <c r="A572" s="16" t="inlineStr">
        <is>
          <t>S-0571</t>
        </is>
      </c>
      <c r="B572" s="8" t="inlineStr">
        <is>
          <t>S</t>
        </is>
      </c>
      <c r="C572" s="5" t="inlineStr">
        <is>
          <t>System / Cleanup Engine</t>
        </is>
      </c>
      <c r="D572" s="5" t="inlineStr">
        <is>
          <t>Import / Export / Period Close</t>
        </is>
      </c>
      <c r="E572" s="5" t="inlineStr">
        <is>
          <t>Temporary file and export archive garbage collection worker</t>
        </is>
      </c>
      <c r="F572" s="5" t="inlineStr">
        <is>
          <t>System / Maintenance Worker</t>
        </is>
      </c>
      <c r="G572" s="5" t="inlineStr">
        <is>
          <t>None</t>
        </is>
      </c>
      <c r="H572" s="5" t="inlineStr">
        <is>
          <t>Prevent server disk exhaustion by automatically purging generated Excel/PDF export temp files older than 48h</t>
        </is>
      </c>
      <c r="I572" s="5" t="inlineStr">
        <is>
          <t>Deletes expired temporary media files and orphaned import CSV uploads; frees local server storage</t>
        </is>
      </c>
      <c r="J572" s="24" t="inlineStr">
        <is>
          <t>P3</t>
        </is>
      </c>
      <c r="K572" s="20" t="inlineStr">
        <is>
          <t>Validated (Supported)</t>
        </is>
      </c>
      <c r="L572" s="5" t="inlineStr">
        <is>
          <t>Daily Celery maintenance job cleaning /tmp/media_exports/ directory.</t>
        </is>
      </c>
      <c r="M572" s="8" t="inlineStr">
        <is>
          <t>Strategic expansion</t>
        </is>
      </c>
      <c r="N572" s="8" t="inlineStr">
        <is>
          <t>System engine</t>
        </is>
      </c>
      <c r="O572" s="8" t="inlineStr">
        <is>
          <t>P2</t>
        </is>
      </c>
      <c r="P572" s="5" t="inlineStr">
        <is>
          <t>Kept P3. The previous workbook had P3. Authored priority was P2.</t>
        </is>
      </c>
      <c r="Q572" s="20" t="inlineStr">
        <is>
          <t>Author assertion</t>
        </is>
      </c>
      <c r="R572" s="5" t="inlineStr">
        <is>
          <t>Kept P3. The previous workbook had P3. Authored priority was P2.</t>
        </is>
      </c>
      <c r="S572" s="8" t="inlineStr">
        <is>
          <t>CLOSE</t>
        </is>
      </c>
      <c r="T572" s="5" t="inlineStr">
        <is>
          <t>Import, export, and period close</t>
        </is>
      </c>
      <c r="U572" s="8" t="inlineStr"/>
      <c r="V572" s="8" t="inlineStr">
        <is>
          <t>accounting</t>
        </is>
      </c>
      <c r="W572" s="8" t="inlineStr">
        <is>
          <t>CONTROL</t>
        </is>
      </c>
      <c r="X572" s="5" t="inlineStr">
        <is>
          <t>Future</t>
        </is>
      </c>
      <c r="Y572" s="5" t="inlineStr">
        <is>
          <t>System</t>
        </is>
      </c>
      <c r="Z572" s="5" t="inlineStr">
        <is>
          <t>Low</t>
        </is>
      </c>
      <c r="AA572" s="5" t="inlineStr">
        <is>
          <t>Low</t>
        </is>
      </c>
      <c r="AB572" s="8" t="inlineStr">
        <is>
          <t>Low</t>
        </is>
      </c>
      <c r="AC572" s="8" t="inlineStr">
        <is>
          <t>Later</t>
        </is>
      </c>
      <c r="AD572" s="5" t="inlineStr">
        <is>
          <t>Not independently checked</t>
        </is>
      </c>
      <c r="AE572" s="5" t="inlineStr">
        <is>
          <t>Not verified</t>
        </is>
      </c>
      <c r="AF572" s="5" t="inlineStr">
        <is>
          <t>Not verified</t>
        </is>
      </c>
      <c r="AG572" s="5" t="inlineStr">
        <is>
          <t>Not verified</t>
        </is>
      </c>
      <c r="AH572" s="5" t="inlineStr">
        <is>
          <t>Not verified</t>
        </is>
      </c>
      <c r="AI572" s="8" t="inlineStr">
        <is>
          <t>No</t>
        </is>
      </c>
      <c r="AJ572" s="8" t="inlineStr">
        <is>
          <t>Claimed - unverified</t>
        </is>
      </c>
      <c r="AK572" s="8" t="inlineStr">
        <is>
          <t>P3</t>
        </is>
      </c>
      <c r="AL572" s="8" t="n">
        <v>1</v>
      </c>
      <c r="AM572" s="5" t="inlineStr"/>
      <c r="AN572" s="5" t="inlineStr"/>
      <c r="AO572" s="5" t="inlineStr"/>
      <c r="AP572" s="5" t="inlineStr"/>
      <c r="AQ572" s="5" t="inlineStr"/>
      <c r="AR572" s="5" t="inlineStr"/>
      <c r="AS572" s="5" t="inlineStr"/>
      <c r="AT572" s="5" t="inlineStr"/>
      <c r="AU572" s="8" t="inlineStr">
        <is>
          <t>Not run</t>
        </is>
      </c>
    </row>
    <row r="573" ht="32" customHeight="1">
      <c r="A573" s="16" t="inlineStr">
        <is>
          <t>S-0572</t>
        </is>
      </c>
      <c r="B573" s="8" t="inlineStr">
        <is>
          <t>S</t>
        </is>
      </c>
      <c r="C573" s="5" t="inlineStr">
        <is>
          <t>System / Rate Limiter</t>
        </is>
      </c>
      <c r="D573" s="5" t="inlineStr">
        <is>
          <t>Security / Exception / Recovery</t>
        </is>
      </c>
      <c r="E573" s="5" t="inlineStr">
        <is>
          <t>Distributed Redis token bucket rate limiting on public-facing API endpoints</t>
        </is>
      </c>
      <c r="F573" s="5" t="inlineStr">
        <is>
          <t>System / Redis Rate Limiter</t>
        </is>
      </c>
      <c r="G573" s="5" t="inlineStr">
        <is>
          <t>Anonymous / External Users</t>
        </is>
      </c>
      <c r="H573" s="5" t="inlineStr">
        <is>
          <t>Prevent brute force password guessing, OTP flooding, and DDoS attacks on auth and public checkout APIs</t>
        </is>
      </c>
      <c r="I573" s="5" t="inlineStr">
        <is>
          <t>Enforces strict per-IP and per-tenant rate limits (e.g. max 5 login attempts/min, 100 API requests/min)</t>
        </is>
      </c>
      <c r="J573" s="19" t="inlineStr">
        <is>
          <t>P0</t>
        </is>
      </c>
      <c r="K573" s="20" t="inlineStr">
        <is>
          <t>Validated (Supported)</t>
        </is>
      </c>
      <c r="L573" s="5" t="inlineStr">
        <is>
          <t>Django Ratelimit with Redis backend; returns HTTP 429 Too Many Requests.</t>
        </is>
      </c>
      <c r="M573" s="8" t="inlineStr">
        <is>
          <t>Strategic expansion</t>
        </is>
      </c>
      <c r="N573" s="8" t="inlineStr">
        <is>
          <t>System engine</t>
        </is>
      </c>
      <c r="O573" s="8" t="inlineStr">
        <is>
          <t>P0</t>
        </is>
      </c>
      <c r="P573" s="5" t="inlineStr">
        <is>
          <t>Unchanged</t>
        </is>
      </c>
      <c r="Q573" s="20" t="inlineStr">
        <is>
          <t>Author assertion</t>
        </is>
      </c>
      <c r="R573" s="5" t="inlineStr"/>
      <c r="S573" s="8" t="inlineStr">
        <is>
          <t>OTHER</t>
        </is>
      </c>
      <c r="T573" s="5" t="inlineStr">
        <is>
          <t>Security / Exception / Recovery</t>
        </is>
      </c>
      <c r="U573" s="8" t="inlineStr"/>
      <c r="V573" s="8" t="inlineStr"/>
      <c r="W573" s="8" t="inlineStr">
        <is>
          <t>CONTROL</t>
        </is>
      </c>
      <c r="X573" s="5" t="inlineStr">
        <is>
          <t>Core</t>
        </is>
      </c>
      <c r="Y573" s="5" t="inlineStr">
        <is>
          <t>System</t>
        </is>
      </c>
      <c r="Z573" s="5" t="inlineStr">
        <is>
          <t>High</t>
        </is>
      </c>
      <c r="AA573" s="5" t="inlineStr">
        <is>
          <t>Medium</t>
        </is>
      </c>
      <c r="AB573" s="8" t="inlineStr">
        <is>
          <t>Medium</t>
        </is>
      </c>
      <c r="AC573" s="8" t="inlineStr">
        <is>
          <t>MVP</t>
        </is>
      </c>
      <c r="AD573" s="5" t="inlineStr">
        <is>
          <t>Not independently checked</t>
        </is>
      </c>
      <c r="AE573" s="5" t="inlineStr">
        <is>
          <t>Not verified</t>
        </is>
      </c>
      <c r="AF573" s="5" t="inlineStr">
        <is>
          <t>Not verified</t>
        </is>
      </c>
      <c r="AG573" s="5" t="inlineStr">
        <is>
          <t>Not verified</t>
        </is>
      </c>
      <c r="AH573" s="5" t="inlineStr">
        <is>
          <t>Not verified</t>
        </is>
      </c>
      <c r="AI573" s="8" t="inlineStr">
        <is>
          <t>No</t>
        </is>
      </c>
      <c r="AJ573" s="8" t="inlineStr">
        <is>
          <t>Claimed - unverified</t>
        </is>
      </c>
      <c r="AK573" s="8" t="inlineStr">
        <is>
          <t>P0</t>
        </is>
      </c>
      <c r="AL573" s="8" t="n">
        <v>12</v>
      </c>
      <c r="AM573" s="5" t="inlineStr"/>
      <c r="AN573" s="5" t="inlineStr"/>
      <c r="AO573" s="5" t="inlineStr"/>
      <c r="AP573" s="5" t="inlineStr"/>
      <c r="AQ573" s="5" t="inlineStr"/>
      <c r="AR573" s="5" t="inlineStr"/>
      <c r="AS573" s="5" t="inlineStr"/>
      <c r="AT573" s="5" t="inlineStr"/>
      <c r="AU573" s="8" t="inlineStr">
        <is>
          <t>Not run</t>
        </is>
      </c>
    </row>
    <row r="574" ht="32" customHeight="1">
      <c r="A574" s="16" t="inlineStr">
        <is>
          <t>S-0573</t>
        </is>
      </c>
      <c r="B574" s="8" t="inlineStr">
        <is>
          <t>S</t>
        </is>
      </c>
      <c r="C574" s="5" t="inlineStr">
        <is>
          <t>System / Reconciliation Worker</t>
        </is>
      </c>
      <c r="D574" s="5" t="inlineStr">
        <is>
          <t>Payments &amp; Reconciliation</t>
        </is>
      </c>
      <c r="E574" s="5" t="inlineStr">
        <is>
          <t>Automated payment gateway webhook signature cryptographic verification worker</t>
        </is>
      </c>
      <c r="F574" s="5" t="inlineStr">
        <is>
          <t>System / Webhook Engine</t>
        </is>
      </c>
      <c r="G574" s="5" t="inlineStr">
        <is>
          <t>Cashier</t>
        </is>
      </c>
      <c r="H574" s="5" t="inlineStr">
        <is>
          <t>Ensure payment gateway callback authenticity and reject fraudulent spoofed payment completion requests</t>
        </is>
      </c>
      <c r="I574" s="5" t="inlineStr">
        <is>
          <t>Verifies HMAC SHA-256 signature using webhook secret; rejects unverified payload with HTTP 400</t>
        </is>
      </c>
      <c r="J574" s="19" t="inlineStr">
        <is>
          <t>P0</t>
        </is>
      </c>
      <c r="K574" s="20" t="inlineStr">
        <is>
          <t>Validated (Supported)</t>
        </is>
      </c>
      <c r="L574" s="5" t="inlineStr">
        <is>
          <t>Core security invariant: HMAC signature verification required before marking invoice PAID.</t>
        </is>
      </c>
      <c r="M574" s="8" t="inlineStr">
        <is>
          <t>Strategic expansion</t>
        </is>
      </c>
      <c r="N574" s="8" t="inlineStr">
        <is>
          <t>System engine</t>
        </is>
      </c>
      <c r="O574" s="8" t="inlineStr">
        <is>
          <t>P0</t>
        </is>
      </c>
      <c r="P574" s="5" t="inlineStr">
        <is>
          <t>Unchanged</t>
        </is>
      </c>
      <c r="Q574" s="20" t="inlineStr">
        <is>
          <t>Author assertion</t>
        </is>
      </c>
      <c r="R574" s="5" t="inlineStr"/>
      <c r="S574" s="8" t="inlineStr">
        <is>
          <t>PAYREC</t>
        </is>
      </c>
      <c r="T574" s="5" t="inlineStr">
        <is>
          <t>Payments and reconciliation</t>
        </is>
      </c>
      <c r="U574" s="8" t="inlineStr"/>
      <c r="V574" s="8" t="inlineStr">
        <is>
          <t>payments</t>
        </is>
      </c>
      <c r="W574" s="8" t="inlineStr">
        <is>
          <t>RUN</t>
        </is>
      </c>
      <c r="X574" s="5" t="inlineStr">
        <is>
          <t>Core</t>
        </is>
      </c>
      <c r="Y574" s="5" t="inlineStr">
        <is>
          <t>System</t>
        </is>
      </c>
      <c r="Z574" s="5" t="inlineStr">
        <is>
          <t>High</t>
        </is>
      </c>
      <c r="AA574" s="5" t="inlineStr">
        <is>
          <t>High</t>
        </is>
      </c>
      <c r="AB574" s="8" t="inlineStr">
        <is>
          <t>Low</t>
        </is>
      </c>
      <c r="AC574" s="8" t="inlineStr">
        <is>
          <t>MVP</t>
        </is>
      </c>
      <c r="AD574" s="5" t="inlineStr">
        <is>
          <t>Not independently checked</t>
        </is>
      </c>
      <c r="AE574" s="5" t="inlineStr">
        <is>
          <t>Not verified</t>
        </is>
      </c>
      <c r="AF574" s="5" t="inlineStr">
        <is>
          <t>Not verified</t>
        </is>
      </c>
      <c r="AG574" s="5" t="inlineStr">
        <is>
          <t>Not verified</t>
        </is>
      </c>
      <c r="AH574" s="5" t="inlineStr">
        <is>
          <t>Not verified</t>
        </is>
      </c>
      <c r="AI574" s="8" t="inlineStr">
        <is>
          <t>No</t>
        </is>
      </c>
      <c r="AJ574" s="8" t="inlineStr">
        <is>
          <t>Claimed - unverified</t>
        </is>
      </c>
      <c r="AK574" s="8" t="inlineStr">
        <is>
          <t>P0</t>
        </is>
      </c>
      <c r="AL574" s="8" t="n">
        <v>9</v>
      </c>
      <c r="AM574" s="5" t="inlineStr"/>
      <c r="AN574" s="5" t="inlineStr"/>
      <c r="AO574" s="5" t="inlineStr"/>
      <c r="AP574" s="5" t="inlineStr"/>
      <c r="AQ574" s="5" t="inlineStr"/>
      <c r="AR574" s="5" t="inlineStr"/>
      <c r="AS574" s="5" t="inlineStr"/>
      <c r="AT574" s="5" t="inlineStr"/>
      <c r="AU574" s="8" t="inlineStr">
        <is>
          <t>Not run</t>
        </is>
      </c>
    </row>
    <row r="575" ht="32" customHeight="1">
      <c r="A575" s="16" t="inlineStr">
        <is>
          <t>S-0574</t>
        </is>
      </c>
      <c r="B575" s="8" t="inlineStr">
        <is>
          <t>S</t>
        </is>
      </c>
      <c r="C575" s="5" t="inlineStr">
        <is>
          <t>System / Alert Engine</t>
        </is>
      </c>
      <c r="D575" s="5" t="inlineStr">
        <is>
          <t>Reporting &amp; Business Intelligence</t>
        </is>
      </c>
      <c r="E575" s="5" t="inlineStr">
        <is>
          <t>Threshold-based anomaly detector for unusual cash discounts or abnormal bill amounts</t>
        </is>
      </c>
      <c r="F575" s="5" t="inlineStr">
        <is>
          <t>System / AI Anomaly Worker</t>
        </is>
      </c>
      <c r="G575" s="5" t="inlineStr">
        <is>
          <t>Business Owner</t>
        </is>
      </c>
      <c r="H575" s="5" t="inlineStr">
        <is>
          <t>Detect employee fraud or fat-finger typos (e.g. ₹5,00,000 bill on retail counter or 90% discount)</t>
        </is>
      </c>
      <c r="I575" s="5" t="inlineStr">
        <is>
          <t>Flags transaction as STATISTICAL_OUTLIER; generates urgent AttentionRowState notification for owner</t>
        </is>
      </c>
      <c r="J575" s="20" t="inlineStr">
        <is>
          <t>P1</t>
        </is>
      </c>
      <c r="K575" s="19" t="inlineStr">
        <is>
          <t>Mechanism not found</t>
        </is>
      </c>
      <c r="L575" s="5" t="inlineStr">
        <is>
          <t>Z-score statistical anomaly detector running on invoice completion signal.</t>
        </is>
      </c>
      <c r="M575" s="8" t="inlineStr">
        <is>
          <t>Strategic expansion</t>
        </is>
      </c>
      <c r="N575" s="8" t="inlineStr">
        <is>
          <t>System engine</t>
        </is>
      </c>
      <c r="O575" s="8" t="inlineStr">
        <is>
          <t>P1</t>
        </is>
      </c>
      <c r="P575" s="5" t="inlineStr">
        <is>
          <t>Unchanged</t>
        </is>
      </c>
      <c r="Q575" s="19" t="inlineStr">
        <is>
          <t>Mechanism not found</t>
        </is>
      </c>
      <c r="R575" s="5" t="inlineStr">
        <is>
          <t>No Z-score invoice anomaly detector was found.</t>
        </is>
      </c>
      <c r="S575" s="8" t="inlineStr">
        <is>
          <t>RPT</t>
        </is>
      </c>
      <c r="T575" s="5" t="inlineStr">
        <is>
          <t>Reporting and business intelligence</t>
        </is>
      </c>
      <c r="U575" s="8" t="inlineStr"/>
      <c r="V575" s="8" t="inlineStr">
        <is>
          <t>reporting</t>
        </is>
      </c>
      <c r="W575" s="8" t="inlineStr">
        <is>
          <t>CONTROL</t>
        </is>
      </c>
      <c r="X575" s="5" t="inlineStr">
        <is>
          <t>Core</t>
        </is>
      </c>
      <c r="Y575" s="5" t="inlineStr">
        <is>
          <t>System</t>
        </is>
      </c>
      <c r="Z575" s="5" t="inlineStr">
        <is>
          <t>Medium</t>
        </is>
      </c>
      <c r="AA575" s="5" t="inlineStr">
        <is>
          <t>Medium</t>
        </is>
      </c>
      <c r="AB575" s="8" t="inlineStr">
        <is>
          <t>Low</t>
        </is>
      </c>
      <c r="AC575" s="8" t="inlineStr">
        <is>
          <t>Pilot</t>
        </is>
      </c>
      <c r="AD575" s="5" t="inlineStr">
        <is>
          <t>Not in code</t>
        </is>
      </c>
      <c r="AE575" s="5" t="inlineStr">
        <is>
          <t>Not verified</t>
        </is>
      </c>
      <c r="AF575" s="5" t="inlineStr">
        <is>
          <t>Not verified</t>
        </is>
      </c>
      <c r="AG575" s="5" t="inlineStr">
        <is>
          <t>Not verified</t>
        </is>
      </c>
      <c r="AH575" s="5" t="inlineStr">
        <is>
          <t>Not verified</t>
        </is>
      </c>
      <c r="AI575" s="8" t="inlineStr">
        <is>
          <t>No</t>
        </is>
      </c>
      <c r="AJ575" s="8" t="inlineStr">
        <is>
          <t>Gap</t>
        </is>
      </c>
      <c r="AK575" s="8" t="inlineStr">
        <is>
          <t>P1</t>
        </is>
      </c>
      <c r="AL575" s="8" t="n">
        <v>6</v>
      </c>
      <c r="AM575" s="5" t="inlineStr"/>
      <c r="AN575" s="5" t="inlineStr"/>
      <c r="AO575" s="5" t="inlineStr"/>
      <c r="AP575" s="5" t="inlineStr"/>
      <c r="AQ575" s="5" t="inlineStr"/>
      <c r="AR575" s="5" t="inlineStr"/>
      <c r="AS575" s="5" t="inlineStr"/>
      <c r="AT575" s="5" t="inlineStr"/>
      <c r="AU575" s="8" t="inlineStr">
        <is>
          <t>Not run</t>
        </is>
      </c>
    </row>
    <row r="576" ht="32" customHeight="1">
      <c r="A576" s="16" t="inlineStr">
        <is>
          <t>S-0575</t>
        </is>
      </c>
      <c r="B576" s="8" t="inlineStr">
        <is>
          <t>S</t>
        </is>
      </c>
      <c r="C576" s="5" t="inlineStr">
        <is>
          <t>System / Lock Engine</t>
        </is>
      </c>
      <c r="D576" s="5" t="inlineStr">
        <is>
          <t>Inventory Lifecycle</t>
        </is>
      </c>
      <c r="E576" s="5" t="inlineStr">
        <is>
          <t>Pessimistic database locking on concurrent warehouse stock deduction</t>
        </is>
      </c>
      <c r="F576" s="5" t="inlineStr">
        <is>
          <t>System / Database Engine</t>
        </is>
      </c>
      <c r="G576" s="5" t="inlineStr">
        <is>
          <t>Multiple Billing Clerks</t>
        </is>
      </c>
      <c r="H576" s="5" t="inlineStr">
        <is>
          <t>Prevent negative inventory race condition when two cashiers bill the last remaining unit simultaneously</t>
        </is>
      </c>
      <c r="I576" s="5" t="inlineStr">
        <is>
          <t>Executes SELECT FOR UPDATE on StockBalance row; serializes deduction; rejects second bill cleanly</t>
        </is>
      </c>
      <c r="J576" s="19" t="inlineStr">
        <is>
          <t>P0</t>
        </is>
      </c>
      <c r="K576" s="20" t="inlineStr">
        <is>
          <t>Validated (Supported)</t>
        </is>
      </c>
      <c r="L576" s="5" t="inlineStr">
        <is>
          <t>Core concurrency invariant: atomic row-level lock on StockBalance during checkout.</t>
        </is>
      </c>
      <c r="M576" s="8" t="inlineStr">
        <is>
          <t>Strategic expansion</t>
        </is>
      </c>
      <c r="N576" s="8" t="inlineStr">
        <is>
          <t>System engine</t>
        </is>
      </c>
      <c r="O576" s="8" t="inlineStr">
        <is>
          <t>P0</t>
        </is>
      </c>
      <c r="P576" s="5" t="inlineStr">
        <is>
          <t>Unchanged</t>
        </is>
      </c>
      <c r="Q576" s="21" t="inlineStr">
        <is>
          <t>Code symbol found</t>
        </is>
      </c>
      <c r="R576" s="5" t="inlineStr">
        <is>
          <t>Matched StockBalance in product code. This is not a functional test.</t>
        </is>
      </c>
      <c r="S576" s="8" t="inlineStr">
        <is>
          <t>INV</t>
        </is>
      </c>
      <c r="T576" s="5" t="inlineStr">
        <is>
          <t>Inventory lifecycle</t>
        </is>
      </c>
      <c r="U576" s="8" t="inlineStr"/>
      <c r="V576" s="8" t="inlineStr">
        <is>
          <t>inventory</t>
        </is>
      </c>
      <c r="W576" s="8" t="inlineStr">
        <is>
          <t>RUN</t>
        </is>
      </c>
      <c r="X576" s="5" t="inlineStr">
        <is>
          <t>Core</t>
        </is>
      </c>
      <c r="Y576" s="5" t="inlineStr">
        <is>
          <t>System</t>
        </is>
      </c>
      <c r="Z576" s="5" t="inlineStr">
        <is>
          <t>High</t>
        </is>
      </c>
      <c r="AA576" s="5" t="inlineStr">
        <is>
          <t>High</t>
        </is>
      </c>
      <c r="AB576" s="8" t="inlineStr">
        <is>
          <t>Low</t>
        </is>
      </c>
      <c r="AC576" s="8" t="inlineStr">
        <is>
          <t>MVP</t>
        </is>
      </c>
      <c r="AD576" s="5" t="inlineStr">
        <is>
          <t>Cited in code</t>
        </is>
      </c>
      <c r="AE576" s="5" t="inlineStr">
        <is>
          <t>Not verified</t>
        </is>
      </c>
      <c r="AF576" s="5" t="inlineStr">
        <is>
          <t>Not verified</t>
        </is>
      </c>
      <c r="AG576" s="5" t="inlineStr">
        <is>
          <t>Not verified</t>
        </is>
      </c>
      <c r="AH576" s="5" t="inlineStr">
        <is>
          <t>Not verified</t>
        </is>
      </c>
      <c r="AI576" s="8" t="inlineStr">
        <is>
          <t>No</t>
        </is>
      </c>
      <c r="AJ576" s="8" t="inlineStr">
        <is>
          <t>Built - unverified</t>
        </is>
      </c>
      <c r="AK576" s="8" t="inlineStr">
        <is>
          <t>P0</t>
        </is>
      </c>
      <c r="AL576" s="8" t="n">
        <v>9</v>
      </c>
      <c r="AM576" s="5" t="inlineStr"/>
      <c r="AN576" s="5" t="inlineStr"/>
      <c r="AO576" s="5" t="inlineStr"/>
      <c r="AP576" s="5" t="inlineStr"/>
      <c r="AQ576" s="5" t="inlineStr"/>
      <c r="AR576" s="5" t="inlineStr"/>
      <c r="AS576" s="5" t="inlineStr"/>
      <c r="AT576" s="5" t="inlineStr"/>
      <c r="AU576" s="8" t="inlineStr">
        <is>
          <t>Not run</t>
        </is>
      </c>
    </row>
    <row r="577" ht="32" customHeight="1">
      <c r="A577" s="16" t="inlineStr">
        <is>
          <t>S-0576</t>
        </is>
      </c>
      <c r="B577" s="8" t="inlineStr">
        <is>
          <t>S</t>
        </is>
      </c>
      <c r="C577" s="5" t="inlineStr">
        <is>
          <t>System / Indexing Engine</t>
        </is>
      </c>
      <c r="D577" s="5" t="inlineStr">
        <is>
          <t>Customer-to-Cash</t>
        </is>
      </c>
      <c r="E577" s="5" t="inlineStr">
        <is>
          <t>Automated PostgreSQL Trigram and GIN full-text search indexing on product catalog</t>
        </is>
      </c>
      <c r="F577" s="5" t="inlineStr">
        <is>
          <t>System / Search Engine</t>
        </is>
      </c>
      <c r="G577" s="5" t="inlineStr">
        <is>
          <t>Billing Clerk</t>
        </is>
      </c>
      <c r="H577" s="5" t="inlineStr">
        <is>
          <t>Sub-50ms search response when scanning barcodes or typing misspelled product brand names</t>
        </is>
      </c>
      <c r="I577" s="5" t="inlineStr">
        <is>
          <t>Maintains PostgreSQL pg_trgm and GIN indexes across SKU, Barcode, Brand, and Generic Composition</t>
        </is>
      </c>
      <c r="J577" s="20" t="inlineStr">
        <is>
          <t>P1</t>
        </is>
      </c>
      <c r="K577" s="20" t="inlineStr">
        <is>
          <t>Validated (Supported)</t>
        </is>
      </c>
      <c r="L577" s="5" t="inlineStr">
        <is>
          <t>Database GIN trigram index on products; handles partial matching and typo tolerance.</t>
        </is>
      </c>
      <c r="M577" s="8" t="inlineStr">
        <is>
          <t>Strategic expansion</t>
        </is>
      </c>
      <c r="N577" s="8" t="inlineStr">
        <is>
          <t>System engine</t>
        </is>
      </c>
      <c r="O577" s="8" t="inlineStr">
        <is>
          <t>P1</t>
        </is>
      </c>
      <c r="P577" s="5" t="inlineStr">
        <is>
          <t>Unchanged</t>
        </is>
      </c>
      <c r="Q577" s="20" t="inlineStr">
        <is>
          <t>Author assertion</t>
        </is>
      </c>
      <c r="R577" s="5" t="inlineStr"/>
      <c r="S577" s="8" t="inlineStr">
        <is>
          <t>C2C</t>
        </is>
      </c>
      <c r="T577" s="5" t="inlineStr">
        <is>
          <t>Customer to cash</t>
        </is>
      </c>
      <c r="U577" s="8" t="inlineStr"/>
      <c r="V577" s="8" t="inlineStr">
        <is>
          <t>sales</t>
        </is>
      </c>
      <c r="W577" s="8" t="inlineStr">
        <is>
          <t>RUN</t>
        </is>
      </c>
      <c r="X577" s="5" t="inlineStr">
        <is>
          <t>Core</t>
        </is>
      </c>
      <c r="Y577" s="5" t="inlineStr">
        <is>
          <t>System</t>
        </is>
      </c>
      <c r="Z577" s="5" t="inlineStr">
        <is>
          <t>Medium</t>
        </is>
      </c>
      <c r="AA577" s="5" t="inlineStr">
        <is>
          <t>Medium</t>
        </is>
      </c>
      <c r="AB577" s="8" t="inlineStr">
        <is>
          <t>Low</t>
        </is>
      </c>
      <c r="AC577" s="8" t="inlineStr">
        <is>
          <t>Pilot</t>
        </is>
      </c>
      <c r="AD577" s="5" t="inlineStr">
        <is>
          <t>Not independently checked</t>
        </is>
      </c>
      <c r="AE577" s="5" t="inlineStr">
        <is>
          <t>Not verified</t>
        </is>
      </c>
      <c r="AF577" s="5" t="inlineStr">
        <is>
          <t>Not verified</t>
        </is>
      </c>
      <c r="AG577" s="5" t="inlineStr">
        <is>
          <t>Not verified</t>
        </is>
      </c>
      <c r="AH577" s="5" t="inlineStr">
        <is>
          <t>Not verified</t>
        </is>
      </c>
      <c r="AI577" s="8" t="inlineStr">
        <is>
          <t>No</t>
        </is>
      </c>
      <c r="AJ577" s="8" t="inlineStr">
        <is>
          <t>Claimed - unverified</t>
        </is>
      </c>
      <c r="AK577" s="8" t="inlineStr">
        <is>
          <t>P1</t>
        </is>
      </c>
      <c r="AL577" s="8" t="n">
        <v>6</v>
      </c>
      <c r="AM577" s="5" t="inlineStr"/>
      <c r="AN577" s="5" t="inlineStr"/>
      <c r="AO577" s="5" t="inlineStr"/>
      <c r="AP577" s="5" t="inlineStr"/>
      <c r="AQ577" s="5" t="inlineStr"/>
      <c r="AR577" s="5" t="inlineStr"/>
      <c r="AS577" s="5" t="inlineStr"/>
      <c r="AT577" s="5" t="inlineStr"/>
      <c r="AU577" s="8" t="inlineStr">
        <is>
          <t>Not run</t>
        </is>
      </c>
    </row>
    <row r="578" ht="32" customHeight="1">
      <c r="A578" s="16" t="inlineStr">
        <is>
          <t>S-0577</t>
        </is>
      </c>
      <c r="B578" s="8" t="inlineStr">
        <is>
          <t>S</t>
        </is>
      </c>
      <c r="C578" s="5" t="inlineStr">
        <is>
          <t>System / Session Worker</t>
        </is>
      </c>
      <c r="D578" s="5" t="inlineStr">
        <is>
          <t>Security / Exception / Recovery</t>
        </is>
      </c>
      <c r="E578" s="5" t="inlineStr">
        <is>
          <t>Concurrent session limiter and idle token expiration worker</t>
        </is>
      </c>
      <c r="F578" s="5" t="inlineStr">
        <is>
          <t>System / Auth Worker</t>
        </is>
      </c>
      <c r="G578" s="5" t="inlineStr">
        <is>
          <t>All Users</t>
        </is>
      </c>
      <c r="H578" s="5" t="inlineStr">
        <is>
          <t>Enforce single-device login policy per user license and automatically terminate stale browser sessions</t>
        </is>
      </c>
      <c r="I578" s="5" t="inlineStr">
        <is>
          <t>Invalidates JWT refresh tokens on idle timeout (60 mins); blocks second concurrent browser login</t>
        </is>
      </c>
      <c r="J578" s="20" t="inlineStr">
        <is>
          <t>P1</t>
        </is>
      </c>
      <c r="K578" s="20" t="inlineStr">
        <is>
          <t>Validated (Supported)</t>
        </is>
      </c>
      <c r="L578" s="5" t="inlineStr">
        <is>
          <t>Redis session store tracking active user JWT tokens; rejects simultaneous logins if unlicensed.</t>
        </is>
      </c>
      <c r="M578" s="8" t="inlineStr">
        <is>
          <t>Strategic expansion</t>
        </is>
      </c>
      <c r="N578" s="8" t="inlineStr">
        <is>
          <t>System engine</t>
        </is>
      </c>
      <c r="O578" s="8" t="inlineStr">
        <is>
          <t>P1</t>
        </is>
      </c>
      <c r="P578" s="5" t="inlineStr">
        <is>
          <t>Unchanged</t>
        </is>
      </c>
      <c r="Q578" s="20" t="inlineStr">
        <is>
          <t>Author assertion</t>
        </is>
      </c>
      <c r="R578" s="5" t="inlineStr"/>
      <c r="S578" s="8" t="inlineStr">
        <is>
          <t>OTHER</t>
        </is>
      </c>
      <c r="T578" s="5" t="inlineStr">
        <is>
          <t>Security / Exception / Recovery</t>
        </is>
      </c>
      <c r="U578" s="8" t="inlineStr"/>
      <c r="V578" s="8" t="inlineStr"/>
      <c r="W578" s="8" t="inlineStr">
        <is>
          <t>CONTROL</t>
        </is>
      </c>
      <c r="X578" s="5" t="inlineStr">
        <is>
          <t>Core</t>
        </is>
      </c>
      <c r="Y578" s="5" t="inlineStr">
        <is>
          <t>System</t>
        </is>
      </c>
      <c r="Z578" s="5" t="inlineStr">
        <is>
          <t>High</t>
        </is>
      </c>
      <c r="AA578" s="5" t="inlineStr">
        <is>
          <t>Medium</t>
        </is>
      </c>
      <c r="AB578" s="8" t="inlineStr">
        <is>
          <t>Medium</t>
        </is>
      </c>
      <c r="AC578" s="8" t="inlineStr">
        <is>
          <t>Pilot</t>
        </is>
      </c>
      <c r="AD578" s="5" t="inlineStr">
        <is>
          <t>Not independently checked</t>
        </is>
      </c>
      <c r="AE578" s="5" t="inlineStr">
        <is>
          <t>Not verified</t>
        </is>
      </c>
      <c r="AF578" s="5" t="inlineStr">
        <is>
          <t>Not verified</t>
        </is>
      </c>
      <c r="AG578" s="5" t="inlineStr">
        <is>
          <t>Not verified</t>
        </is>
      </c>
      <c r="AH578" s="5" t="inlineStr">
        <is>
          <t>Not verified</t>
        </is>
      </c>
      <c r="AI578" s="8" t="inlineStr">
        <is>
          <t>No</t>
        </is>
      </c>
      <c r="AJ578" s="8" t="inlineStr">
        <is>
          <t>Claimed - unverified</t>
        </is>
      </c>
      <c r="AK578" s="8" t="inlineStr">
        <is>
          <t>P1</t>
        </is>
      </c>
      <c r="AL578" s="8" t="n">
        <v>12</v>
      </c>
      <c r="AM578" s="5" t="inlineStr"/>
      <c r="AN578" s="5" t="inlineStr"/>
      <c r="AO578" s="5" t="inlineStr"/>
      <c r="AP578" s="5" t="inlineStr"/>
      <c r="AQ578" s="5" t="inlineStr"/>
      <c r="AR578" s="5" t="inlineStr"/>
      <c r="AS578" s="5" t="inlineStr"/>
      <c r="AT578" s="5" t="inlineStr"/>
      <c r="AU578" s="8" t="inlineStr">
        <is>
          <t>Not run</t>
        </is>
      </c>
    </row>
    <row r="579" ht="32" customHeight="1">
      <c r="A579" s="16" t="inlineStr">
        <is>
          <t>S-0578</t>
        </is>
      </c>
      <c r="B579" s="8" t="inlineStr">
        <is>
          <t>S</t>
        </is>
      </c>
      <c r="C579" s="5" t="inlineStr">
        <is>
          <t>System / Valuation Worker</t>
        </is>
      </c>
      <c r="D579" s="5" t="inlineStr">
        <is>
          <t>Inventory Lifecycle</t>
        </is>
      </c>
      <c r="E579" s="5" t="inlineStr">
        <is>
          <t>FIFO cost layer consumption and recalculation worker on back-dated purchase intake</t>
        </is>
      </c>
      <c r="F579" s="5" t="inlineStr">
        <is>
          <t>System / Costing Engine</t>
        </is>
      </c>
      <c r="G579" s="5" t="inlineStr">
        <is>
          <t>In-house Accountant</t>
        </is>
      </c>
      <c r="H579" s="5" t="inlineStr">
        <is>
          <t>Ensure inventory cost layers and Cost of Goods Sold (COGS) are retroactively accurate if bills arrive late</t>
        </is>
      </c>
      <c r="I579" s="5" t="inlineStr">
        <is>
          <t>Re-traverses outward sales movements chronologically; updates COGS and gross margin variance</t>
        </is>
      </c>
      <c r="J579" s="20" t="inlineStr">
        <is>
          <t>P1</t>
        </is>
      </c>
      <c r="K579" s="20" t="inlineStr">
        <is>
          <t>Validated (Supported)</t>
        </is>
      </c>
      <c r="L579" s="5" t="inlineStr">
        <is>
          <t>Perpetual FIFO cost re-sequencing engine with accounting adjustment journal creation.</t>
        </is>
      </c>
      <c r="M579" s="8" t="inlineStr">
        <is>
          <t>Strategic expansion</t>
        </is>
      </c>
      <c r="N579" s="8" t="inlineStr">
        <is>
          <t>System engine</t>
        </is>
      </c>
      <c r="O579" s="8" t="inlineStr">
        <is>
          <t>P1</t>
        </is>
      </c>
      <c r="P579" s="5" t="inlineStr">
        <is>
          <t>Unchanged</t>
        </is>
      </c>
      <c r="Q579" s="20" t="inlineStr">
        <is>
          <t>Author assertion</t>
        </is>
      </c>
      <c r="R579" s="5" t="inlineStr"/>
      <c r="S579" s="8" t="inlineStr">
        <is>
          <t>INV</t>
        </is>
      </c>
      <c r="T579" s="5" t="inlineStr">
        <is>
          <t>Inventory lifecycle</t>
        </is>
      </c>
      <c r="U579" s="8" t="inlineStr"/>
      <c r="V579" s="8" t="inlineStr">
        <is>
          <t>inventory</t>
        </is>
      </c>
      <c r="W579" s="8" t="inlineStr">
        <is>
          <t>RUN</t>
        </is>
      </c>
      <c r="X579" s="5" t="inlineStr">
        <is>
          <t>Core</t>
        </is>
      </c>
      <c r="Y579" s="5" t="inlineStr">
        <is>
          <t>System</t>
        </is>
      </c>
      <c r="Z579" s="5" t="inlineStr">
        <is>
          <t>High</t>
        </is>
      </c>
      <c r="AA579" s="5" t="inlineStr">
        <is>
          <t>High</t>
        </is>
      </c>
      <c r="AB579" s="8" t="inlineStr">
        <is>
          <t>Low</t>
        </is>
      </c>
      <c r="AC579" s="8" t="inlineStr">
        <is>
          <t>Pilot</t>
        </is>
      </c>
      <c r="AD579" s="5" t="inlineStr">
        <is>
          <t>Not independently checked</t>
        </is>
      </c>
      <c r="AE579" s="5" t="inlineStr">
        <is>
          <t>Not verified</t>
        </is>
      </c>
      <c r="AF579" s="5" t="inlineStr">
        <is>
          <t>Not verified</t>
        </is>
      </c>
      <c r="AG579" s="5" t="inlineStr">
        <is>
          <t>Not verified</t>
        </is>
      </c>
      <c r="AH579" s="5" t="inlineStr">
        <is>
          <t>Not verified</t>
        </is>
      </c>
      <c r="AI579" s="8" t="inlineStr">
        <is>
          <t>No</t>
        </is>
      </c>
      <c r="AJ579" s="8" t="inlineStr">
        <is>
          <t>Claimed - unverified</t>
        </is>
      </c>
      <c r="AK579" s="8" t="inlineStr">
        <is>
          <t>P1</t>
        </is>
      </c>
      <c r="AL579" s="8" t="n">
        <v>9</v>
      </c>
      <c r="AM579" s="5" t="inlineStr"/>
      <c r="AN579" s="5" t="inlineStr"/>
      <c r="AO579" s="5" t="inlineStr"/>
      <c r="AP579" s="5" t="inlineStr"/>
      <c r="AQ579" s="5" t="inlineStr"/>
      <c r="AR579" s="5" t="inlineStr"/>
      <c r="AS579" s="5" t="inlineStr"/>
      <c r="AT579" s="5" t="inlineStr"/>
      <c r="AU579" s="8" t="inlineStr">
        <is>
          <t>Not run</t>
        </is>
      </c>
    </row>
    <row r="580" ht="32" customHeight="1">
      <c r="A580" s="16" t="inlineStr">
        <is>
          <t>S-0579</t>
        </is>
      </c>
      <c r="B580" s="8" t="inlineStr">
        <is>
          <t>S</t>
        </is>
      </c>
      <c r="C580" s="5" t="inlineStr">
        <is>
          <t>System / Audit Watchdog</t>
        </is>
      </c>
      <c r="D580" s="5" t="inlineStr">
        <is>
          <t>Security / Exception / Recovery</t>
        </is>
      </c>
      <c r="E580" s="5" t="inlineStr">
        <is>
          <t>Tamper-evident cryptographic hash chaining on audit trail activity records</t>
        </is>
      </c>
      <c r="F580" s="5" t="inlineStr">
        <is>
          <t>System / Security Daemon</t>
        </is>
      </c>
      <c r="G580" s="5" t="inlineStr">
        <is>
          <t>Statutory Auditor</t>
        </is>
      </c>
      <c r="H580" s="5" t="inlineStr">
        <is>
          <t>Cryptographically prove in a court of law or tax audit that activity logs have never been altered</t>
        </is>
      </c>
      <c r="I580" s="5" t="inlineStr">
        <is>
          <t>Computes SHA-256 hash = hash(prev_hash + log_data); creates immutable blockchain-style audit chain</t>
        </is>
      </c>
      <c r="J580" s="19" t="inlineStr">
        <is>
          <t>P0</t>
        </is>
      </c>
      <c r="K580" s="19" t="inlineStr">
        <is>
          <t>Mechanism not found</t>
        </is>
      </c>
      <c r="L580" s="5" t="inlineStr">
        <is>
          <t>Cryptographic audit chain satisfying Section 65B Indian Evidence Act for digital records.</t>
        </is>
      </c>
      <c r="M580" s="8" t="inlineStr">
        <is>
          <t>Strategic expansion</t>
        </is>
      </c>
      <c r="N580" s="8" t="inlineStr">
        <is>
          <t>System engine</t>
        </is>
      </c>
      <c r="O580" s="8" t="inlineStr">
        <is>
          <t>P0</t>
        </is>
      </c>
      <c r="P580" s="5" t="inlineStr">
        <is>
          <t>Unchanged</t>
        </is>
      </c>
      <c r="Q580" s="19" t="inlineStr">
        <is>
          <t>Mechanism not found</t>
        </is>
      </c>
      <c r="R580" s="5" t="inlineStr">
        <is>
          <t>No cryptographic hash chain on the audit trail was found.</t>
        </is>
      </c>
      <c r="S580" s="8" t="inlineStr">
        <is>
          <t>OTHER</t>
        </is>
      </c>
      <c r="T580" s="5" t="inlineStr">
        <is>
          <t>Security / Exception / Recovery</t>
        </is>
      </c>
      <c r="U580" s="8" t="inlineStr"/>
      <c r="V580" s="8" t="inlineStr"/>
      <c r="W580" s="8" t="inlineStr">
        <is>
          <t>CONTROL</t>
        </is>
      </c>
      <c r="X580" s="5" t="inlineStr">
        <is>
          <t>Core</t>
        </is>
      </c>
      <c r="Y580" s="5" t="inlineStr">
        <is>
          <t>System</t>
        </is>
      </c>
      <c r="Z580" s="5" t="inlineStr">
        <is>
          <t>High</t>
        </is>
      </c>
      <c r="AA580" s="5" t="inlineStr">
        <is>
          <t>Medium</t>
        </is>
      </c>
      <c r="AB580" s="8" t="inlineStr">
        <is>
          <t>Medium</t>
        </is>
      </c>
      <c r="AC580" s="8" t="inlineStr">
        <is>
          <t>MVP</t>
        </is>
      </c>
      <c r="AD580" s="5" t="inlineStr">
        <is>
          <t>Not in code</t>
        </is>
      </c>
      <c r="AE580" s="5" t="inlineStr">
        <is>
          <t>Not verified</t>
        </is>
      </c>
      <c r="AF580" s="5" t="inlineStr">
        <is>
          <t>Not verified</t>
        </is>
      </c>
      <c r="AG580" s="5" t="inlineStr">
        <is>
          <t>Not verified</t>
        </is>
      </c>
      <c r="AH580" s="5" t="inlineStr">
        <is>
          <t>Not verified</t>
        </is>
      </c>
      <c r="AI580" s="8" t="inlineStr">
        <is>
          <t>No</t>
        </is>
      </c>
      <c r="AJ580" s="8" t="inlineStr">
        <is>
          <t>Gap</t>
        </is>
      </c>
      <c r="AK580" s="8" t="inlineStr">
        <is>
          <t>P0</t>
        </is>
      </c>
      <c r="AL580" s="8" t="n">
        <v>12</v>
      </c>
      <c r="AM580" s="5" t="inlineStr"/>
      <c r="AN580" s="5" t="inlineStr"/>
      <c r="AO580" s="5" t="inlineStr"/>
      <c r="AP580" s="5" t="inlineStr"/>
      <c r="AQ580" s="5" t="inlineStr"/>
      <c r="AR580" s="5" t="inlineStr"/>
      <c r="AS580" s="5" t="inlineStr"/>
      <c r="AT580" s="5" t="inlineStr"/>
      <c r="AU580" s="8" t="inlineStr">
        <is>
          <t>Not run</t>
        </is>
      </c>
    </row>
    <row r="581" ht="32" customHeight="1">
      <c r="A581" s="16" t="inlineStr">
        <is>
          <t>S-0580</t>
        </is>
      </c>
      <c r="B581" s="8" t="inlineStr">
        <is>
          <t>S</t>
        </is>
      </c>
      <c r="C581" s="5" t="inlineStr">
        <is>
          <t>System / EWB Watchdog</t>
        </is>
      </c>
      <c r="D581" s="5" t="inlineStr">
        <is>
          <t>GST / Tax / Compliance</t>
        </is>
      </c>
      <c r="E581" s="5" t="inlineStr">
        <is>
          <t>Automated E-Way Bill expiry warning crawler</t>
        </is>
      </c>
      <c r="F581" s="5" t="inlineStr">
        <is>
          <t>System / Compliance Worker</t>
        </is>
      </c>
      <c r="G581" s="5" t="inlineStr">
        <is>
          <t>Logistics Dispatcher</t>
        </is>
      </c>
      <c r="H581" s="5" t="inlineStr">
        <is>
          <t>Scan active E-Way Bills hourly and alert logistics team 4 hours prior to transit validity expiry</t>
        </is>
      </c>
      <c r="I581" s="5" t="inlineStr">
        <is>
          <t>Surfaces high-priority EWB_EXPIRING_SOON alert; prompts one-click 8-hour validity extension</t>
        </is>
      </c>
      <c r="J581" s="19" t="inlineStr">
        <is>
          <t>P0</t>
        </is>
      </c>
      <c r="K581" s="20" t="inlineStr">
        <is>
          <t>Validated (Supported)</t>
        </is>
      </c>
      <c r="L581" s="5" t="inlineStr">
        <is>
          <t>Hourly cron job comparing ewb.valid_upto against now(); pushes alerts to dispatch desk.</t>
        </is>
      </c>
      <c r="M581" s="8" t="inlineStr">
        <is>
          <t>Strategic expansion</t>
        </is>
      </c>
      <c r="N581" s="8" t="inlineStr">
        <is>
          <t>System engine</t>
        </is>
      </c>
      <c r="O581" s="8" t="inlineStr">
        <is>
          <t>P1</t>
        </is>
      </c>
      <c r="P581" s="5" t="inlineStr">
        <is>
          <t>Kept P0. The previous workbook had P0. Authored priority was P1.</t>
        </is>
      </c>
      <c r="Q581" s="21" t="inlineStr">
        <is>
          <t>Code symbol found</t>
        </is>
      </c>
      <c r="R581" s="5" t="inlineStr">
        <is>
          <t>Matched valid_upto in product code. This is not a functional test. Kept P0. The previous workbook had P0. Authored priority was P1.</t>
        </is>
      </c>
      <c r="S581" s="8" t="inlineStr">
        <is>
          <t>GST</t>
        </is>
      </c>
      <c r="T581" s="5" t="inlineStr">
        <is>
          <t>GST and tax compliance</t>
        </is>
      </c>
      <c r="U581" s="8" t="inlineStr"/>
      <c r="V581" s="8" t="inlineStr">
        <is>
          <t>accounting</t>
        </is>
      </c>
      <c r="W581" s="8" t="inlineStr">
        <is>
          <t>CONTROL</t>
        </is>
      </c>
      <c r="X581" s="5" t="inlineStr">
        <is>
          <t>Core</t>
        </is>
      </c>
      <c r="Y581" s="5" t="inlineStr">
        <is>
          <t>System</t>
        </is>
      </c>
      <c r="Z581" s="5" t="inlineStr">
        <is>
          <t>Critical</t>
        </is>
      </c>
      <c r="AA581" s="5" t="inlineStr">
        <is>
          <t>High</t>
        </is>
      </c>
      <c r="AB581" s="8" t="inlineStr">
        <is>
          <t>High</t>
        </is>
      </c>
      <c r="AC581" s="8" t="inlineStr">
        <is>
          <t>MVP</t>
        </is>
      </c>
      <c r="AD581" s="5" t="inlineStr">
        <is>
          <t>Cited in code</t>
        </is>
      </c>
      <c r="AE581" s="5" t="inlineStr">
        <is>
          <t>Not verified</t>
        </is>
      </c>
      <c r="AF581" s="5" t="inlineStr">
        <is>
          <t>Not verified</t>
        </is>
      </c>
      <c r="AG581" s="5" t="inlineStr">
        <is>
          <t>Not verified</t>
        </is>
      </c>
      <c r="AH581" s="5" t="inlineStr">
        <is>
          <t>Not verified</t>
        </is>
      </c>
      <c r="AI581" s="8" t="inlineStr">
        <is>
          <t>No</t>
        </is>
      </c>
      <c r="AJ581" s="8" t="inlineStr">
        <is>
          <t>Built - unverified</t>
        </is>
      </c>
      <c r="AK581" s="8" t="inlineStr">
        <is>
          <t>P0</t>
        </is>
      </c>
      <c r="AL581" s="8" t="n">
        <v>27</v>
      </c>
      <c r="AM581" s="5" t="inlineStr"/>
      <c r="AN581" s="5" t="inlineStr"/>
      <c r="AO581" s="5" t="inlineStr"/>
      <c r="AP581" s="5" t="inlineStr"/>
      <c r="AQ581" s="5" t="inlineStr"/>
      <c r="AR581" s="5" t="inlineStr"/>
      <c r="AS581" s="5" t="inlineStr"/>
      <c r="AT581" s="5" t="inlineStr"/>
      <c r="AU581" s="8" t="inlineStr">
        <is>
          <t>Not run</t>
        </is>
      </c>
    </row>
    <row r="582" ht="32" customHeight="1">
      <c r="A582" s="16" t="inlineStr">
        <is>
          <t>UX-0581</t>
        </is>
      </c>
      <c r="B582" s="8" t="inlineStr">
        <is>
          <t>UX</t>
        </is>
      </c>
      <c r="C582" s="5" t="inlineStr">
        <is>
          <t>Counter Clerk / POS Operator</t>
        </is>
      </c>
      <c r="D582" s="5" t="inlineStr">
        <is>
          <t>Customer-to-Cash</t>
        </is>
      </c>
      <c r="E582" s="5" t="inlineStr">
        <is>
          <t>Full keyboard-only hotkey navigation across POS rapid checkout</t>
        </is>
      </c>
      <c r="F582" s="5" t="inlineStr">
        <is>
          <t>Counter Billing Clerk</t>
        </is>
      </c>
      <c r="G582" s="5" t="inlineStr">
        <is>
          <t>None</t>
        </is>
      </c>
      <c r="H582" s="5" t="inlineStr">
        <is>
          <t>Cashier can complete 100% of retail checkout (scan, discount, tender, print) without touching mouse</t>
        </is>
      </c>
      <c r="I582" s="5" t="inlineStr">
        <is>
          <t>Reduces checkout time from 45s to 12s per customer; eliminates repetitive strain injury</t>
        </is>
      </c>
      <c r="J582" s="20" t="inlineStr">
        <is>
          <t>P1</t>
        </is>
      </c>
      <c r="K582" s="23" t="inlineStr">
        <is>
          <t>Partial</t>
        </is>
      </c>
      <c r="L582" s="5" t="inlineStr">
        <is>
          <t>POS keys in web/src/pages/pos/PosPage.tsx: F2 focuses search, F1 cash, F4 card, F5 and F6 UPI, F7 credit, F8 holds the session. The previous note reversed this map.</t>
        </is>
      </c>
      <c r="M582" s="8" t="inlineStr">
        <is>
          <t>Strategic expansion</t>
        </is>
      </c>
      <c r="N582" s="8" t="inlineStr">
        <is>
          <t>Named role</t>
        </is>
      </c>
      <c r="O582" s="8" t="inlineStr">
        <is>
          <t>P1</t>
        </is>
      </c>
      <c r="P582" s="5" t="inlineStr">
        <is>
          <t>Unchanged</t>
        </is>
      </c>
      <c r="Q582" s="23" t="inlineStr">
        <is>
          <t>Partial</t>
        </is>
      </c>
      <c r="R582" s="5" t="inlineStr">
        <is>
          <t>Previous note said F1 search, F4 cash, and F8 print.</t>
        </is>
      </c>
      <c r="S582" s="8" t="inlineStr">
        <is>
          <t>C2C</t>
        </is>
      </c>
      <c r="T582" s="5" t="inlineStr">
        <is>
          <t>Customer to cash</t>
        </is>
      </c>
      <c r="U582" s="8" t="inlineStr"/>
      <c r="V582" s="8" t="inlineStr">
        <is>
          <t>sales</t>
        </is>
      </c>
      <c r="W582" s="8" t="inlineStr">
        <is>
          <t>RUN</t>
        </is>
      </c>
      <c r="X582" s="5" t="inlineStr">
        <is>
          <t>Differentiator</t>
        </is>
      </c>
      <c r="Y582" s="5" t="inlineStr">
        <is>
          <t>Named role</t>
        </is>
      </c>
      <c r="Z582" s="5" t="inlineStr">
        <is>
          <t>Medium</t>
        </is>
      </c>
      <c r="AA582" s="5" t="inlineStr">
        <is>
          <t>Medium</t>
        </is>
      </c>
      <c r="AB582" s="8" t="inlineStr">
        <is>
          <t>Low</t>
        </is>
      </c>
      <c r="AC582" s="8" t="inlineStr">
        <is>
          <t>Later</t>
        </is>
      </c>
      <c r="AD582" s="5" t="inlineStr">
        <is>
          <t>Partial</t>
        </is>
      </c>
      <c r="AE582" s="5" t="inlineStr">
        <is>
          <t>Not verified</t>
        </is>
      </c>
      <c r="AF582" s="5" t="inlineStr">
        <is>
          <t>Not verified</t>
        </is>
      </c>
      <c r="AG582" s="5" t="inlineStr">
        <is>
          <t>Not verified</t>
        </is>
      </c>
      <c r="AH582" s="5" t="inlineStr">
        <is>
          <t>Not verified</t>
        </is>
      </c>
      <c r="AI582" s="8" t="inlineStr">
        <is>
          <t>No</t>
        </is>
      </c>
      <c r="AJ582" s="8" t="inlineStr">
        <is>
          <t>Built - partial</t>
        </is>
      </c>
      <c r="AK582" s="8" t="inlineStr">
        <is>
          <t>P1</t>
        </is>
      </c>
      <c r="AL582" s="8" t="n">
        <v>4</v>
      </c>
      <c r="AM582" s="5" t="inlineStr"/>
      <c r="AN582" s="5" t="inlineStr"/>
      <c r="AO582" s="5" t="inlineStr"/>
      <c r="AP582" s="5" t="inlineStr"/>
      <c r="AQ582" s="5" t="inlineStr"/>
      <c r="AR582" s="5" t="inlineStr"/>
      <c r="AS582" s="5" t="inlineStr"/>
      <c r="AT582" s="5" t="inlineStr"/>
      <c r="AU582" s="8" t="inlineStr">
        <is>
          <t>Not run</t>
        </is>
      </c>
    </row>
    <row r="583" ht="32" customHeight="1">
      <c r="A583" s="16" t="inlineStr">
        <is>
          <t>UX-0582</t>
        </is>
      </c>
      <c r="B583" s="8" t="inlineStr">
        <is>
          <t>UX</t>
        </is>
      </c>
      <c r="C583" s="5" t="inlineStr">
        <is>
          <t>Counter Clerk / POS Operator</t>
        </is>
      </c>
      <c r="D583" s="5" t="inlineStr">
        <is>
          <t>Customer-to-Cash</t>
        </is>
      </c>
      <c r="E583" s="5" t="inlineStr">
        <is>
          <t>Multi-cart hold and recall tabs for interrupted counter checkout</t>
        </is>
      </c>
      <c r="F583" s="5" t="inlineStr">
        <is>
          <t>Counter Billing Clerk</t>
        </is>
      </c>
      <c r="G583" s="5" t="inlineStr">
        <is>
          <t>Walk-in Customer</t>
        </is>
      </c>
      <c r="H583" s="5" t="inlineStr">
        <is>
          <t>Hold current customer's cart when they step away to pick another item; bill next customer immediately</t>
        </is>
      </c>
      <c r="I583" s="5" t="inlineStr">
        <is>
          <t>Saves active cart in memory/indexedDB; recalls held cart with 1 click; eliminates queue blockage</t>
        </is>
      </c>
      <c r="J583" s="20" t="inlineStr">
        <is>
          <t>P1</t>
        </is>
      </c>
      <c r="K583" s="23" t="inlineStr">
        <is>
          <t>Partial</t>
        </is>
      </c>
      <c r="L583" s="5" t="inlineStr">
        <is>
          <t>Session hold is F8 (holdAndCreateSession). F9 recalls when more than one session exists. F6 tenders UPI. A five-cart cap was not verified.</t>
        </is>
      </c>
      <c r="M583" s="8" t="inlineStr">
        <is>
          <t>Strategic expansion</t>
        </is>
      </c>
      <c r="N583" s="8" t="inlineStr">
        <is>
          <t>Named role</t>
        </is>
      </c>
      <c r="O583" s="8" t="inlineStr">
        <is>
          <t>P1</t>
        </is>
      </c>
      <c r="P583" s="5" t="inlineStr">
        <is>
          <t>Unchanged</t>
        </is>
      </c>
      <c r="Q583" s="23" t="inlineStr">
        <is>
          <t>Partial</t>
        </is>
      </c>
      <c r="R583" s="5" t="inlineStr">
        <is>
          <t>Previous note called F6 Hold Bill.</t>
        </is>
      </c>
      <c r="S583" s="8" t="inlineStr">
        <is>
          <t>C2C</t>
        </is>
      </c>
      <c r="T583" s="5" t="inlineStr">
        <is>
          <t>Customer to cash</t>
        </is>
      </c>
      <c r="U583" s="8" t="inlineStr"/>
      <c r="V583" s="8" t="inlineStr">
        <is>
          <t>sales</t>
        </is>
      </c>
      <c r="W583" s="8" t="inlineStr">
        <is>
          <t>RUN</t>
        </is>
      </c>
      <c r="X583" s="5" t="inlineStr">
        <is>
          <t>Differentiator</t>
        </is>
      </c>
      <c r="Y583" s="5" t="inlineStr">
        <is>
          <t>Named role</t>
        </is>
      </c>
      <c r="Z583" s="5" t="inlineStr">
        <is>
          <t>Medium</t>
        </is>
      </c>
      <c r="AA583" s="5" t="inlineStr">
        <is>
          <t>Medium</t>
        </is>
      </c>
      <c r="AB583" s="8" t="inlineStr">
        <is>
          <t>Low</t>
        </is>
      </c>
      <c r="AC583" s="8" t="inlineStr">
        <is>
          <t>Later</t>
        </is>
      </c>
      <c r="AD583" s="5" t="inlineStr">
        <is>
          <t>Partial</t>
        </is>
      </c>
      <c r="AE583" s="5" t="inlineStr">
        <is>
          <t>Not verified</t>
        </is>
      </c>
      <c r="AF583" s="5" t="inlineStr">
        <is>
          <t>Not verified</t>
        </is>
      </c>
      <c r="AG583" s="5" t="inlineStr">
        <is>
          <t>Not verified</t>
        </is>
      </c>
      <c r="AH583" s="5" t="inlineStr">
        <is>
          <t>Not verified</t>
        </is>
      </c>
      <c r="AI583" s="8" t="inlineStr">
        <is>
          <t>No</t>
        </is>
      </c>
      <c r="AJ583" s="8" t="inlineStr">
        <is>
          <t>Built - partial</t>
        </is>
      </c>
      <c r="AK583" s="8" t="inlineStr">
        <is>
          <t>P1</t>
        </is>
      </c>
      <c r="AL583" s="8" t="n">
        <v>4</v>
      </c>
      <c r="AM583" s="5" t="inlineStr"/>
      <c r="AN583" s="5" t="inlineStr"/>
      <c r="AO583" s="5" t="inlineStr"/>
      <c r="AP583" s="5" t="inlineStr"/>
      <c r="AQ583" s="5" t="inlineStr"/>
      <c r="AR583" s="5" t="inlineStr"/>
      <c r="AS583" s="5" t="inlineStr"/>
      <c r="AT583" s="5" t="inlineStr"/>
      <c r="AU583" s="8" t="inlineStr">
        <is>
          <t>Not run</t>
        </is>
      </c>
    </row>
    <row r="584" ht="32" customHeight="1">
      <c r="A584" s="16" t="inlineStr">
        <is>
          <t>UX-0583</t>
        </is>
      </c>
      <c r="B584" s="8" t="inlineStr">
        <is>
          <t>UX</t>
        </is>
      </c>
      <c r="C584" s="5" t="inlineStr">
        <is>
          <t>All Roles</t>
        </is>
      </c>
      <c r="D584" s="5" t="inlineStr">
        <is>
          <t>Security / Exception / Recovery</t>
        </is>
      </c>
      <c r="E584" s="5" t="inlineStr">
        <is>
          <t>Universal 10-second 'Undo' toast notification on accidental deletions or cancellations</t>
        </is>
      </c>
      <c r="F584" s="5" t="inlineStr">
        <is>
          <t>Business User</t>
        </is>
      </c>
      <c r="G584" s="5" t="inlineStr">
        <is>
          <t>None</t>
        </is>
      </c>
      <c r="H584" s="5" t="inlineStr">
        <is>
          <t>Allows user to instantly reverse accidental deletion of draft order or line item without data loss</t>
        </is>
      </c>
      <c r="I584" s="5" t="inlineStr">
        <is>
          <t>Delays destructive database purge by 10 seconds; restores UI state seamlessly if user clicks Undo</t>
        </is>
      </c>
      <c r="J584" s="20" t="inlineStr">
        <is>
          <t>P1</t>
        </is>
      </c>
      <c r="K584" s="20" t="inlineStr">
        <is>
          <t>Validated (Supported)</t>
        </is>
      </c>
      <c r="L584" s="5" t="inlineStr">
        <is>
          <t>Nielsen Heuristic 3: User Control &amp; Freedom. Snackbar toast with interactive Undo action.</t>
        </is>
      </c>
      <c r="M584" s="8" t="inlineStr">
        <is>
          <t>Strategic expansion</t>
        </is>
      </c>
      <c r="N584" s="8" t="inlineStr">
        <is>
          <t>Platform or theme scope</t>
        </is>
      </c>
      <c r="O584" s="8" t="inlineStr">
        <is>
          <t>P1</t>
        </is>
      </c>
      <c r="P584" s="5" t="inlineStr">
        <is>
          <t>Unchanged</t>
        </is>
      </c>
      <c r="Q584" s="20" t="inlineStr">
        <is>
          <t>Author assertion</t>
        </is>
      </c>
      <c r="R584" s="5" t="inlineStr"/>
      <c r="S584" s="8" t="inlineStr">
        <is>
          <t>OTHER</t>
        </is>
      </c>
      <c r="T584" s="5" t="inlineStr">
        <is>
          <t>Security / Exception / Recovery</t>
        </is>
      </c>
      <c r="U584" s="8" t="inlineStr"/>
      <c r="V584" s="8" t="inlineStr"/>
      <c r="W584" s="8" t="inlineStr">
        <is>
          <t>CONTROL</t>
        </is>
      </c>
      <c r="X584" s="5" t="inlineStr">
        <is>
          <t>Differentiator</t>
        </is>
      </c>
      <c r="Y584" s="5" t="inlineStr">
        <is>
          <t>Platform scope</t>
        </is>
      </c>
      <c r="Z584" s="5" t="inlineStr">
        <is>
          <t>Medium</t>
        </is>
      </c>
      <c r="AA584" s="5" t="inlineStr">
        <is>
          <t>Medium</t>
        </is>
      </c>
      <c r="AB584" s="8" t="inlineStr">
        <is>
          <t>Medium</t>
        </is>
      </c>
      <c r="AC584" s="8" t="inlineStr">
        <is>
          <t>Later</t>
        </is>
      </c>
      <c r="AD584" s="5" t="inlineStr">
        <is>
          <t>Not independently checked</t>
        </is>
      </c>
      <c r="AE584" s="5" t="inlineStr">
        <is>
          <t>Not verified</t>
        </is>
      </c>
      <c r="AF584" s="5" t="inlineStr">
        <is>
          <t>Not verified</t>
        </is>
      </c>
      <c r="AG584" s="5" t="inlineStr">
        <is>
          <t>Not verified</t>
        </is>
      </c>
      <c r="AH584" s="5" t="inlineStr">
        <is>
          <t>Not verified</t>
        </is>
      </c>
      <c r="AI584" s="8" t="inlineStr">
        <is>
          <t>No</t>
        </is>
      </c>
      <c r="AJ584" s="8" t="inlineStr">
        <is>
          <t>Claimed - unverified</t>
        </is>
      </c>
      <c r="AK584" s="8" t="inlineStr">
        <is>
          <t>P1</t>
        </is>
      </c>
      <c r="AL584" s="8" t="n">
        <v>8</v>
      </c>
      <c r="AM584" s="5" t="inlineStr"/>
      <c r="AN584" s="5" t="inlineStr"/>
      <c r="AO584" s="5" t="inlineStr"/>
      <c r="AP584" s="5" t="inlineStr"/>
      <c r="AQ584" s="5" t="inlineStr"/>
      <c r="AR584" s="5" t="inlineStr"/>
      <c r="AS584" s="5" t="inlineStr"/>
      <c r="AT584" s="5" t="inlineStr"/>
      <c r="AU584" s="8" t="inlineStr">
        <is>
          <t>Not run</t>
        </is>
      </c>
    </row>
    <row r="585" ht="32" customHeight="1">
      <c r="A585" s="16" t="inlineStr">
        <is>
          <t>UX-0584</t>
        </is>
      </c>
      <c r="B585" s="8" t="inlineStr">
        <is>
          <t>UX</t>
        </is>
      </c>
      <c r="C585" s="5" t="inlineStr">
        <is>
          <t>All Roles</t>
        </is>
      </c>
      <c r="D585" s="5" t="inlineStr">
        <is>
          <t>Customer-to-Cash</t>
        </is>
      </c>
      <c r="E585" s="5" t="inlineStr">
        <is>
          <t>Contextual inline error guidance with auto-fix suggestions on GST validation failures</t>
        </is>
      </c>
      <c r="F585" s="5" t="inlineStr">
        <is>
          <t>Billing Clerk / Accountant</t>
        </is>
      </c>
      <c r="G585" s="5" t="inlineStr">
        <is>
          <t>None</t>
        </is>
      </c>
      <c r="H585" s="5" t="inlineStr">
        <is>
          <t>Instead of cryptic 'Invalid Tax' error, UI explains: 'Customer is in Maharashtra. Apply IGST instead of CGST'</t>
        </is>
      </c>
      <c r="I585" s="5" t="inlineStr">
        <is>
          <t>Provides 1-click 'Auto-Fix Tax' button; resolves user confusion and eliminates support tickets</t>
        </is>
      </c>
      <c r="J585" s="20" t="inlineStr">
        <is>
          <t>P1</t>
        </is>
      </c>
      <c r="K585" s="20" t="inlineStr">
        <is>
          <t>Validated (Supported)</t>
        </is>
      </c>
      <c r="L585" s="5" t="inlineStr">
        <is>
          <t>Nielsen Heuristic 9: Error Recovery. Inline alert banner with prescriptive remediation action.</t>
        </is>
      </c>
      <c r="M585" s="8" t="inlineStr">
        <is>
          <t>Strategic expansion</t>
        </is>
      </c>
      <c r="N585" s="8" t="inlineStr">
        <is>
          <t>Platform or theme scope</t>
        </is>
      </c>
      <c r="O585" s="8" t="inlineStr">
        <is>
          <t>P1</t>
        </is>
      </c>
      <c r="P585" s="5" t="inlineStr">
        <is>
          <t>Unchanged</t>
        </is>
      </c>
      <c r="Q585" s="20" t="inlineStr">
        <is>
          <t>Author assertion</t>
        </is>
      </c>
      <c r="R585" s="5" t="inlineStr"/>
      <c r="S585" s="8" t="inlineStr">
        <is>
          <t>C2C</t>
        </is>
      </c>
      <c r="T585" s="5" t="inlineStr">
        <is>
          <t>Customer to cash</t>
        </is>
      </c>
      <c r="U585" s="8" t="inlineStr"/>
      <c r="V585" s="8" t="inlineStr">
        <is>
          <t>sales</t>
        </is>
      </c>
      <c r="W585" s="8" t="inlineStr">
        <is>
          <t>RUN</t>
        </is>
      </c>
      <c r="X585" s="5" t="inlineStr">
        <is>
          <t>Differentiator</t>
        </is>
      </c>
      <c r="Y585" s="5" t="inlineStr">
        <is>
          <t>Platform scope</t>
        </is>
      </c>
      <c r="Z585" s="5" t="inlineStr">
        <is>
          <t>Medium</t>
        </is>
      </c>
      <c r="AA585" s="5" t="inlineStr">
        <is>
          <t>Medium</t>
        </is>
      </c>
      <c r="AB585" s="8" t="inlineStr">
        <is>
          <t>Low</t>
        </is>
      </c>
      <c r="AC585" s="8" t="inlineStr">
        <is>
          <t>Later</t>
        </is>
      </c>
      <c r="AD585" s="5" t="inlineStr">
        <is>
          <t>Not independently checked</t>
        </is>
      </c>
      <c r="AE585" s="5" t="inlineStr">
        <is>
          <t>Not verified</t>
        </is>
      </c>
      <c r="AF585" s="5" t="inlineStr">
        <is>
          <t>Not verified</t>
        </is>
      </c>
      <c r="AG585" s="5" t="inlineStr">
        <is>
          <t>Not verified</t>
        </is>
      </c>
      <c r="AH585" s="5" t="inlineStr">
        <is>
          <t>Not verified</t>
        </is>
      </c>
      <c r="AI585" s="8" t="inlineStr">
        <is>
          <t>No</t>
        </is>
      </c>
      <c r="AJ585" s="8" t="inlineStr">
        <is>
          <t>Claimed - unverified</t>
        </is>
      </c>
      <c r="AK585" s="8" t="inlineStr">
        <is>
          <t>P1</t>
        </is>
      </c>
      <c r="AL585" s="8" t="n">
        <v>4</v>
      </c>
      <c r="AM585" s="5" t="inlineStr"/>
      <c r="AN585" s="5" t="inlineStr"/>
      <c r="AO585" s="5" t="inlineStr"/>
      <c r="AP585" s="5" t="inlineStr"/>
      <c r="AQ585" s="5" t="inlineStr"/>
      <c r="AR585" s="5" t="inlineStr"/>
      <c r="AS585" s="5" t="inlineStr"/>
      <c r="AT585" s="5" t="inlineStr"/>
      <c r="AU585" s="8" t="inlineStr">
        <is>
          <t>Not run</t>
        </is>
      </c>
    </row>
    <row r="586" ht="32" customHeight="1">
      <c r="A586" s="16" t="inlineStr">
        <is>
          <t>UX-0585</t>
        </is>
      </c>
      <c r="B586" s="8" t="inlineStr">
        <is>
          <t>UX</t>
        </is>
      </c>
      <c r="C586" s="5" t="inlineStr">
        <is>
          <t>Managing Proprietor</t>
        </is>
      </c>
      <c r="D586" s="5" t="inlineStr">
        <is>
          <t>Reporting &amp; Business Intelligence</t>
        </is>
      </c>
      <c r="E586" s="5" t="inlineStr">
        <is>
          <t>Visual empty-state illustrations with actionable onboarding shortcuts</t>
        </is>
      </c>
      <c r="F586" s="5" t="inlineStr">
        <is>
          <t>New Business Owner</t>
        </is>
      </c>
      <c r="G586" s="5" t="inlineStr">
        <is>
          <t>None</t>
        </is>
      </c>
      <c r="H586" s="5" t="inlineStr">
        <is>
          <t>When opening a new account with zero sales, screen shows friendly graphic and 'Create Your First Bill' button</t>
        </is>
      </c>
      <c r="I586" s="5" t="inlineStr">
        <is>
          <t>Guides user directly into productive action; reduces first-day churn by 40%</t>
        </is>
      </c>
      <c r="J586" s="20" t="inlineStr">
        <is>
          <t>P1</t>
        </is>
      </c>
      <c r="K586" s="20" t="inlineStr">
        <is>
          <t>Validated (Supported)</t>
        </is>
      </c>
      <c r="L586" s="5" t="inlineStr">
        <is>
          <t>Designed empty states with call-to-action buttons across Invoices, Customers, and Products.</t>
        </is>
      </c>
      <c r="M586" s="8" t="inlineStr">
        <is>
          <t>Strategic expansion</t>
        </is>
      </c>
      <c r="N586" s="8" t="inlineStr">
        <is>
          <t>Named role</t>
        </is>
      </c>
      <c r="O586" s="8" t="inlineStr">
        <is>
          <t>P1</t>
        </is>
      </c>
      <c r="P586" s="5" t="inlineStr">
        <is>
          <t>Unchanged</t>
        </is>
      </c>
      <c r="Q586" s="20" t="inlineStr">
        <is>
          <t>Author assertion</t>
        </is>
      </c>
      <c r="R586" s="5" t="inlineStr"/>
      <c r="S586" s="8" t="inlineStr">
        <is>
          <t>RPT</t>
        </is>
      </c>
      <c r="T586" s="5" t="inlineStr">
        <is>
          <t>Reporting and business intelligence</t>
        </is>
      </c>
      <c r="U586" s="8" t="inlineStr"/>
      <c r="V586" s="8" t="inlineStr">
        <is>
          <t>reporting</t>
        </is>
      </c>
      <c r="W586" s="8" t="inlineStr">
        <is>
          <t>CONTROL</t>
        </is>
      </c>
      <c r="X586" s="5" t="inlineStr">
        <is>
          <t>Differentiator</t>
        </is>
      </c>
      <c r="Y586" s="5" t="inlineStr">
        <is>
          <t>Owner</t>
        </is>
      </c>
      <c r="Z586" s="5" t="inlineStr">
        <is>
          <t>Medium</t>
        </is>
      </c>
      <c r="AA586" s="5" t="inlineStr">
        <is>
          <t>Medium</t>
        </is>
      </c>
      <c r="AB586" s="8" t="inlineStr">
        <is>
          <t>Low</t>
        </is>
      </c>
      <c r="AC586" s="8" t="inlineStr">
        <is>
          <t>Later</t>
        </is>
      </c>
      <c r="AD586" s="5" t="inlineStr">
        <is>
          <t>Not independently checked</t>
        </is>
      </c>
      <c r="AE586" s="5" t="inlineStr">
        <is>
          <t>Not verified</t>
        </is>
      </c>
      <c r="AF586" s="5" t="inlineStr">
        <is>
          <t>Not verified</t>
        </is>
      </c>
      <c r="AG586" s="5" t="inlineStr">
        <is>
          <t>Not verified</t>
        </is>
      </c>
      <c r="AH586" s="5" t="inlineStr">
        <is>
          <t>Not verified</t>
        </is>
      </c>
      <c r="AI586" s="8" t="inlineStr">
        <is>
          <t>No</t>
        </is>
      </c>
      <c r="AJ586" s="8" t="inlineStr">
        <is>
          <t>Claimed - unverified</t>
        </is>
      </c>
      <c r="AK586" s="8" t="inlineStr">
        <is>
          <t>P1</t>
        </is>
      </c>
      <c r="AL586" s="8" t="n">
        <v>4</v>
      </c>
      <c r="AM586" s="5" t="inlineStr"/>
      <c r="AN586" s="5" t="inlineStr"/>
      <c r="AO586" s="5" t="inlineStr"/>
      <c r="AP586" s="5" t="inlineStr"/>
      <c r="AQ586" s="5" t="inlineStr"/>
      <c r="AR586" s="5" t="inlineStr"/>
      <c r="AS586" s="5" t="inlineStr"/>
      <c r="AT586" s="5" t="inlineStr"/>
      <c r="AU586" s="8" t="inlineStr">
        <is>
          <t>Not run</t>
        </is>
      </c>
    </row>
    <row r="587" ht="32" customHeight="1">
      <c r="A587" s="16" t="inlineStr">
        <is>
          <t>UX-0586</t>
        </is>
      </c>
      <c r="B587" s="8" t="inlineStr">
        <is>
          <t>UX</t>
        </is>
      </c>
      <c r="C587" s="5" t="inlineStr">
        <is>
          <t>All Roles</t>
        </is>
      </c>
      <c r="D587" s="5" t="inlineStr">
        <is>
          <t>Reporting &amp; Business Intelligence</t>
        </is>
      </c>
      <c r="E587" s="5" t="inlineStr">
        <is>
          <t>Global omnibar quick-search (Ctrl+K / Cmd+K) across commands, customers, and invoices</t>
        </is>
      </c>
      <c r="F587" s="5" t="inlineStr">
        <is>
          <t>Power User / Owner</t>
        </is>
      </c>
      <c r="G587" s="5" t="inlineStr">
        <is>
          <t>None</t>
        </is>
      </c>
      <c r="H587" s="5" t="inlineStr">
        <is>
          <t>Instantly navigate to any customer profile, invoice, report, or action from anywhere in app via Ctrl+K</t>
        </is>
      </c>
      <c r="I587" s="5" t="inlineStr">
        <is>
          <t>Reduces menu clicking; allows keyboard navigation to any screen in under 2 seconds</t>
        </is>
      </c>
      <c r="J587" s="20" t="inlineStr">
        <is>
          <t>P1</t>
        </is>
      </c>
      <c r="K587" s="19" t="inlineStr">
        <is>
          <t>Mechanism not found</t>
        </is>
      </c>
      <c r="L587" s="5" t="inlineStr">
        <is>
          <t>Command Palette modal (Ctrl+K) indexing system routes, recent records, and quick actions.</t>
        </is>
      </c>
      <c r="M587" s="8" t="inlineStr">
        <is>
          <t>Strategic expansion</t>
        </is>
      </c>
      <c r="N587" s="8" t="inlineStr">
        <is>
          <t>Platform or theme scope</t>
        </is>
      </c>
      <c r="O587" s="8" t="inlineStr">
        <is>
          <t>P1</t>
        </is>
      </c>
      <c r="P587" s="5" t="inlineStr">
        <is>
          <t>Unchanged</t>
        </is>
      </c>
      <c r="Q587" s="19" t="inlineStr">
        <is>
          <t>Mechanism not found</t>
        </is>
      </c>
      <c r="R587" s="5" t="inlineStr">
        <is>
          <t>No Ctrl+K command palette was found in the web client.</t>
        </is>
      </c>
      <c r="S587" s="8" t="inlineStr">
        <is>
          <t>RPT</t>
        </is>
      </c>
      <c r="T587" s="5" t="inlineStr">
        <is>
          <t>Reporting and business intelligence</t>
        </is>
      </c>
      <c r="U587" s="8" t="inlineStr"/>
      <c r="V587" s="8" t="inlineStr">
        <is>
          <t>reporting</t>
        </is>
      </c>
      <c r="W587" s="8" t="inlineStr">
        <is>
          <t>CONTROL</t>
        </is>
      </c>
      <c r="X587" s="5" t="inlineStr">
        <is>
          <t>Differentiator</t>
        </is>
      </c>
      <c r="Y587" s="5" t="inlineStr">
        <is>
          <t>Platform scope</t>
        </is>
      </c>
      <c r="Z587" s="5" t="inlineStr">
        <is>
          <t>Medium</t>
        </is>
      </c>
      <c r="AA587" s="5" t="inlineStr">
        <is>
          <t>Medium</t>
        </is>
      </c>
      <c r="AB587" s="8" t="inlineStr">
        <is>
          <t>Low</t>
        </is>
      </c>
      <c r="AC587" s="8" t="inlineStr">
        <is>
          <t>Later</t>
        </is>
      </c>
      <c r="AD587" s="5" t="inlineStr">
        <is>
          <t>Not in code</t>
        </is>
      </c>
      <c r="AE587" s="5" t="inlineStr">
        <is>
          <t>Not verified</t>
        </is>
      </c>
      <c r="AF587" s="5" t="inlineStr">
        <is>
          <t>Not verified</t>
        </is>
      </c>
      <c r="AG587" s="5" t="inlineStr">
        <is>
          <t>Not verified</t>
        </is>
      </c>
      <c r="AH587" s="5" t="inlineStr">
        <is>
          <t>Not verified</t>
        </is>
      </c>
      <c r="AI587" s="8" t="inlineStr">
        <is>
          <t>No</t>
        </is>
      </c>
      <c r="AJ587" s="8" t="inlineStr">
        <is>
          <t>Gap</t>
        </is>
      </c>
      <c r="AK587" s="8" t="inlineStr">
        <is>
          <t>P1</t>
        </is>
      </c>
      <c r="AL587" s="8" t="n">
        <v>4</v>
      </c>
      <c r="AM587" s="5" t="inlineStr"/>
      <c r="AN587" s="5" t="inlineStr"/>
      <c r="AO587" s="5" t="inlineStr"/>
      <c r="AP587" s="5" t="inlineStr"/>
      <c r="AQ587" s="5" t="inlineStr"/>
      <c r="AR587" s="5" t="inlineStr"/>
      <c r="AS587" s="5" t="inlineStr"/>
      <c r="AT587" s="5" t="inlineStr"/>
      <c r="AU587" s="8" t="inlineStr">
        <is>
          <t>Not run</t>
        </is>
      </c>
    </row>
    <row r="588" ht="32" customHeight="1">
      <c r="A588" s="16" t="inlineStr">
        <is>
          <t>UX-0587</t>
        </is>
      </c>
      <c r="B588" s="8" t="inlineStr">
        <is>
          <t>UX</t>
        </is>
      </c>
      <c r="C588" s="5" t="inlineStr">
        <is>
          <t>Billing Clerk / Salesperson</t>
        </is>
      </c>
      <c r="D588" s="5" t="inlineStr">
        <is>
          <t>Customer-to-Cash</t>
        </is>
      </c>
      <c r="E588" s="5" t="inlineStr">
        <is>
          <t>Dynamic customer credit health pill with color-coded risk indicator during billing</t>
        </is>
      </c>
      <c r="F588" s="5" t="inlineStr">
        <is>
          <t>Billing Clerk</t>
        </is>
      </c>
      <c r="G588" s="5" t="inlineStr">
        <is>
          <t>Customer</t>
        </is>
      </c>
      <c r="H588" s="5" t="inlineStr">
        <is>
          <t>Real-time visual pill on billing header showing customer credit status (Green: OK, Yellow: Near Limit, Red: Blocked)</t>
        </is>
      </c>
      <c r="I588" s="5" t="inlineStr">
        <is>
          <t>Prevents embarrassing checkout arguments; alerts clerk to customer payment status before packing items</t>
        </is>
      </c>
      <c r="J588" s="20" t="inlineStr">
        <is>
          <t>P1</t>
        </is>
      </c>
      <c r="K588" s="20" t="inlineStr">
        <is>
          <t>Validated (Supported)</t>
        </is>
      </c>
      <c r="L588" s="5" t="inlineStr">
        <is>
          <t>Color-coded Credit Health badge on customer search dropdown and order cart header.</t>
        </is>
      </c>
      <c r="M588" s="8" t="inlineStr">
        <is>
          <t>Strategic expansion</t>
        </is>
      </c>
      <c r="N588" s="8" t="inlineStr">
        <is>
          <t>Named role</t>
        </is>
      </c>
      <c r="O588" s="8" t="inlineStr">
        <is>
          <t>P1</t>
        </is>
      </c>
      <c r="P588" s="5" t="inlineStr">
        <is>
          <t>Unchanged</t>
        </is>
      </c>
      <c r="Q588" s="20" t="inlineStr">
        <is>
          <t>Author assertion</t>
        </is>
      </c>
      <c r="R588" s="5" t="inlineStr"/>
      <c r="S588" s="8" t="inlineStr">
        <is>
          <t>C2C</t>
        </is>
      </c>
      <c r="T588" s="5" t="inlineStr">
        <is>
          <t>Customer to cash</t>
        </is>
      </c>
      <c r="U588" s="8" t="inlineStr"/>
      <c r="V588" s="8" t="inlineStr">
        <is>
          <t>sales</t>
        </is>
      </c>
      <c r="W588" s="8" t="inlineStr">
        <is>
          <t>RUN</t>
        </is>
      </c>
      <c r="X588" s="5" t="inlineStr">
        <is>
          <t>Differentiator</t>
        </is>
      </c>
      <c r="Y588" s="5" t="inlineStr">
        <is>
          <t>Named role</t>
        </is>
      </c>
      <c r="Z588" s="5" t="inlineStr">
        <is>
          <t>Medium</t>
        </is>
      </c>
      <c r="AA588" s="5" t="inlineStr">
        <is>
          <t>Medium</t>
        </is>
      </c>
      <c r="AB588" s="8" t="inlineStr">
        <is>
          <t>Low</t>
        </is>
      </c>
      <c r="AC588" s="8" t="inlineStr">
        <is>
          <t>Later</t>
        </is>
      </c>
      <c r="AD588" s="5" t="inlineStr">
        <is>
          <t>Not independently checked</t>
        </is>
      </c>
      <c r="AE588" s="5" t="inlineStr">
        <is>
          <t>Not verified</t>
        </is>
      </c>
      <c r="AF588" s="5" t="inlineStr">
        <is>
          <t>Not verified</t>
        </is>
      </c>
      <c r="AG588" s="5" t="inlineStr">
        <is>
          <t>Not verified</t>
        </is>
      </c>
      <c r="AH588" s="5" t="inlineStr">
        <is>
          <t>Not verified</t>
        </is>
      </c>
      <c r="AI588" s="8" t="inlineStr">
        <is>
          <t>No</t>
        </is>
      </c>
      <c r="AJ588" s="8" t="inlineStr">
        <is>
          <t>Claimed - unverified</t>
        </is>
      </c>
      <c r="AK588" s="8" t="inlineStr">
        <is>
          <t>P1</t>
        </is>
      </c>
      <c r="AL588" s="8" t="n">
        <v>4</v>
      </c>
      <c r="AM588" s="5" t="inlineStr"/>
      <c r="AN588" s="5" t="inlineStr"/>
      <c r="AO588" s="5" t="inlineStr"/>
      <c r="AP588" s="5" t="inlineStr"/>
      <c r="AQ588" s="5" t="inlineStr"/>
      <c r="AR588" s="5" t="inlineStr"/>
      <c r="AS588" s="5" t="inlineStr"/>
      <c r="AT588" s="5" t="inlineStr"/>
      <c r="AU588" s="8" t="inlineStr">
        <is>
          <t>Not run</t>
        </is>
      </c>
    </row>
    <row r="589" ht="32" customHeight="1">
      <c r="A589" s="16" t="inlineStr">
        <is>
          <t>UX-0588</t>
        </is>
      </c>
      <c r="B589" s="8" t="inlineStr">
        <is>
          <t>UX</t>
        </is>
      </c>
      <c r="C589" s="5" t="inlineStr">
        <is>
          <t>Inventory Staff</t>
        </is>
      </c>
      <c r="D589" s="5" t="inlineStr">
        <is>
          <t>Inventory Lifecycle</t>
        </is>
      </c>
      <c r="E589" s="5" t="inlineStr">
        <is>
          <t>Visual warehouse shelf/rack visual locator badge on stock search</t>
        </is>
      </c>
      <c r="F589" s="5" t="inlineStr">
        <is>
          <t>Warehouse Picker</t>
        </is>
      </c>
      <c r="G589" s="5" t="inlineStr">
        <is>
          <t>None</t>
        </is>
      </c>
      <c r="H589" s="5" t="inlineStr">
        <is>
          <t>Stock search displays exact physical warehouse location tag (e.g. 'Godown 1 &gt; Aisle B &gt; Shelf 3')</t>
        </is>
      </c>
      <c r="I589" s="5" t="inlineStr">
        <is>
          <t>Reduces order picking search time from 5 minutes to 30 seconds per item</t>
        </is>
      </c>
      <c r="J589" s="22" t="inlineStr">
        <is>
          <t>P2</t>
        </is>
      </c>
      <c r="K589" s="19" t="inlineStr">
        <is>
          <t>Mechanism not found</t>
        </is>
      </c>
      <c r="L589" s="5" t="inlineStr">
        <is>
          <t>Displays location_tag pill on product row in warehouse pick lists and search results.</t>
        </is>
      </c>
      <c r="M589" s="8" t="inlineStr">
        <is>
          <t>Strategic expansion</t>
        </is>
      </c>
      <c r="N589" s="8" t="inlineStr">
        <is>
          <t>Named role</t>
        </is>
      </c>
      <c r="O589" s="8" t="inlineStr">
        <is>
          <t>P2</t>
        </is>
      </c>
      <c r="P589" s="5" t="inlineStr">
        <is>
          <t>Unchanged</t>
        </is>
      </c>
      <c r="Q589" s="19" t="inlineStr">
        <is>
          <t>Mechanism not found</t>
        </is>
      </c>
      <c r="R589" s="5" t="inlineStr">
        <is>
          <t>No location_tag shelf-locator field was found.</t>
        </is>
      </c>
      <c r="S589" s="8" t="inlineStr">
        <is>
          <t>INV</t>
        </is>
      </c>
      <c r="T589" s="5" t="inlineStr">
        <is>
          <t>Inventory lifecycle</t>
        </is>
      </c>
      <c r="U589" s="8" t="inlineStr"/>
      <c r="V589" s="8" t="inlineStr">
        <is>
          <t>inventory</t>
        </is>
      </c>
      <c r="W589" s="8" t="inlineStr">
        <is>
          <t>RUN</t>
        </is>
      </c>
      <c r="X589" s="5" t="inlineStr">
        <is>
          <t>Differentiator</t>
        </is>
      </c>
      <c r="Y589" s="5" t="inlineStr">
        <is>
          <t>Named role</t>
        </is>
      </c>
      <c r="Z589" s="5" t="inlineStr">
        <is>
          <t>Medium</t>
        </is>
      </c>
      <c r="AA589" s="5" t="inlineStr">
        <is>
          <t>High</t>
        </is>
      </c>
      <c r="AB589" s="8" t="inlineStr">
        <is>
          <t>Low</t>
        </is>
      </c>
      <c r="AC589" s="8" t="inlineStr">
        <is>
          <t>Later</t>
        </is>
      </c>
      <c r="AD589" s="5" t="inlineStr">
        <is>
          <t>Not in code</t>
        </is>
      </c>
      <c r="AE589" s="5" t="inlineStr">
        <is>
          <t>Not verified</t>
        </is>
      </c>
      <c r="AF589" s="5" t="inlineStr">
        <is>
          <t>Not verified</t>
        </is>
      </c>
      <c r="AG589" s="5" t="inlineStr">
        <is>
          <t>Not verified</t>
        </is>
      </c>
      <c r="AH589" s="5" t="inlineStr">
        <is>
          <t>Not verified</t>
        </is>
      </c>
      <c r="AI589" s="8" t="inlineStr">
        <is>
          <t>No</t>
        </is>
      </c>
      <c r="AJ589" s="8" t="inlineStr">
        <is>
          <t>Gap</t>
        </is>
      </c>
      <c r="AK589" s="8" t="inlineStr">
        <is>
          <t>P2</t>
        </is>
      </c>
      <c r="AL589" s="8" t="n">
        <v>6</v>
      </c>
      <c r="AM589" s="5" t="inlineStr"/>
      <c r="AN589" s="5" t="inlineStr"/>
      <c r="AO589" s="5" t="inlineStr"/>
      <c r="AP589" s="5" t="inlineStr"/>
      <c r="AQ589" s="5" t="inlineStr"/>
      <c r="AR589" s="5" t="inlineStr"/>
      <c r="AS589" s="5" t="inlineStr"/>
      <c r="AT589" s="5" t="inlineStr"/>
      <c r="AU589" s="8" t="inlineStr">
        <is>
          <t>Not run</t>
        </is>
      </c>
    </row>
    <row r="590" ht="32" customHeight="1">
      <c r="A590" s="16" t="inlineStr">
        <is>
          <t>UX-0589</t>
        </is>
      </c>
      <c r="B590" s="8" t="inlineStr">
        <is>
          <t>UX</t>
        </is>
      </c>
      <c r="C590" s="5" t="inlineStr">
        <is>
          <t>In-house Accountant</t>
        </is>
      </c>
      <c r="D590" s="5" t="inlineStr">
        <is>
          <t>Import / Export / Period Close</t>
        </is>
      </c>
      <c r="E590" s="5" t="inlineStr">
        <is>
          <t>Interactive spreadsheet-style inline grid editing for bulk transaction review</t>
        </is>
      </c>
      <c r="F590" s="5" t="inlineStr">
        <is>
          <t>In-house Accountant</t>
        </is>
      </c>
      <c r="G590" s="5" t="inlineStr">
        <is>
          <t>None</t>
        </is>
      </c>
      <c r="H590" s="5" t="inlineStr">
        <is>
          <t>Edit HSN codes, tax rates, or accounts across 50 purchase bills in single Excel-like data grid</t>
        </is>
      </c>
      <c r="I590" s="5" t="inlineStr">
        <is>
          <t>Eliminates opening 50 individual forms; enables rapid month-end review in 15 minutes</t>
        </is>
      </c>
      <c r="J590" s="20" t="inlineStr">
        <is>
          <t>P1</t>
        </is>
      </c>
      <c r="K590" s="20" t="inlineStr">
        <is>
          <t>Validated (Supported)</t>
        </is>
      </c>
      <c r="L590" s="5" t="inlineStr">
        <is>
          <t>Keyboard-driven DataGrid with arrow key navigation, cell copy-paste, and batch save.</t>
        </is>
      </c>
      <c r="M590" s="8" t="inlineStr">
        <is>
          <t>Strategic expansion</t>
        </is>
      </c>
      <c r="N590" s="8" t="inlineStr">
        <is>
          <t>Named role</t>
        </is>
      </c>
      <c r="O590" s="8" t="inlineStr">
        <is>
          <t>P1</t>
        </is>
      </c>
      <c r="P590" s="5" t="inlineStr">
        <is>
          <t>Unchanged</t>
        </is>
      </c>
      <c r="Q590" s="20" t="inlineStr">
        <is>
          <t>Author assertion</t>
        </is>
      </c>
      <c r="R590" s="5" t="inlineStr"/>
      <c r="S590" s="8" t="inlineStr">
        <is>
          <t>CLOSE</t>
        </is>
      </c>
      <c r="T590" s="5" t="inlineStr">
        <is>
          <t>Import, export, and period close</t>
        </is>
      </c>
      <c r="U590" s="8" t="inlineStr"/>
      <c r="V590" s="8" t="inlineStr">
        <is>
          <t>accounting</t>
        </is>
      </c>
      <c r="W590" s="8" t="inlineStr">
        <is>
          <t>CONTROL</t>
        </is>
      </c>
      <c r="X590" s="5" t="inlineStr">
        <is>
          <t>Differentiator</t>
        </is>
      </c>
      <c r="Y590" s="5" t="inlineStr">
        <is>
          <t>Accountant</t>
        </is>
      </c>
      <c r="Z590" s="5" t="inlineStr">
        <is>
          <t>Medium</t>
        </is>
      </c>
      <c r="AA590" s="5" t="inlineStr">
        <is>
          <t>Medium</t>
        </is>
      </c>
      <c r="AB590" s="8" t="inlineStr">
        <is>
          <t>Low</t>
        </is>
      </c>
      <c r="AC590" s="8" t="inlineStr">
        <is>
          <t>Later</t>
        </is>
      </c>
      <c r="AD590" s="5" t="inlineStr">
        <is>
          <t>Not independently checked</t>
        </is>
      </c>
      <c r="AE590" s="5" t="inlineStr">
        <is>
          <t>Not verified</t>
        </is>
      </c>
      <c r="AF590" s="5" t="inlineStr">
        <is>
          <t>Not verified</t>
        </is>
      </c>
      <c r="AG590" s="5" t="inlineStr">
        <is>
          <t>Not verified</t>
        </is>
      </c>
      <c r="AH590" s="5" t="inlineStr">
        <is>
          <t>Not verified</t>
        </is>
      </c>
      <c r="AI590" s="8" t="inlineStr">
        <is>
          <t>No</t>
        </is>
      </c>
      <c r="AJ590" s="8" t="inlineStr">
        <is>
          <t>Claimed - unverified</t>
        </is>
      </c>
      <c r="AK590" s="8" t="inlineStr">
        <is>
          <t>P1</t>
        </is>
      </c>
      <c r="AL590" s="8" t="n">
        <v>4</v>
      </c>
      <c r="AM590" s="5" t="inlineStr"/>
      <c r="AN590" s="5" t="inlineStr"/>
      <c r="AO590" s="5" t="inlineStr"/>
      <c r="AP590" s="5" t="inlineStr"/>
      <c r="AQ590" s="5" t="inlineStr"/>
      <c r="AR590" s="5" t="inlineStr"/>
      <c r="AS590" s="5" t="inlineStr"/>
      <c r="AT590" s="5" t="inlineStr"/>
      <c r="AU590" s="8" t="inlineStr">
        <is>
          <t>Not run</t>
        </is>
      </c>
    </row>
    <row r="591" ht="32" customHeight="1">
      <c r="A591" s="16" t="inlineStr">
        <is>
          <t>UX-0590</t>
        </is>
      </c>
      <c r="B591" s="8" t="inlineStr">
        <is>
          <t>UX</t>
        </is>
      </c>
      <c r="C591" s="5" t="inlineStr">
        <is>
          <t>All Roles</t>
        </is>
      </c>
      <c r="D591" s="5" t="inlineStr">
        <is>
          <t>Security / Exception / Recovery</t>
        </is>
      </c>
      <c r="E591" s="5" t="inlineStr">
        <is>
          <t>Deterministic progress bar with estimated time remaining on bulk CSV imports</t>
        </is>
      </c>
      <c r="F591" s="5" t="inlineStr">
        <is>
          <t>Business User</t>
        </is>
      </c>
      <c r="G591" s="5" t="inlineStr">
        <is>
          <t>None</t>
        </is>
      </c>
      <c r="H591" s="5" t="inlineStr">
        <is>
          <t>Shows real-time progress bar (e.g. 'Row 450 of 1,200 imported - 15 seconds remaining') during large imports</t>
        </is>
      </c>
      <c r="I591" s="5" t="inlineStr">
        <is>
          <t>Prevents anxious users from refreshing browser or aborting ongoing database import jobs</t>
        </is>
      </c>
      <c r="J591" s="20" t="inlineStr">
        <is>
          <t>P1</t>
        </is>
      </c>
      <c r="K591" s="19" t="inlineStr">
        <is>
          <t>Mechanism not found</t>
        </is>
      </c>
      <c r="L591" s="5" t="inlineStr">
        <is>
          <t>Nielsen Heuristic 1: Visibility of System Status. WebSocket progress bar with row counter.</t>
        </is>
      </c>
      <c r="M591" s="8" t="inlineStr">
        <is>
          <t>Strategic expansion</t>
        </is>
      </c>
      <c r="N591" s="8" t="inlineStr">
        <is>
          <t>Platform or theme scope</t>
        </is>
      </c>
      <c r="O591" s="8" t="inlineStr">
        <is>
          <t>P1</t>
        </is>
      </c>
      <c r="P591" s="5" t="inlineStr">
        <is>
          <t>Unchanged</t>
        </is>
      </c>
      <c r="Q591" s="19" t="inlineStr">
        <is>
          <t>Mechanism not found</t>
        </is>
      </c>
      <c r="R591" s="5" t="inlineStr">
        <is>
          <t>No WebSocket import-progress channel was found.</t>
        </is>
      </c>
      <c r="S591" s="8" t="inlineStr">
        <is>
          <t>OTHER</t>
        </is>
      </c>
      <c r="T591" s="5" t="inlineStr">
        <is>
          <t>Security / Exception / Recovery</t>
        </is>
      </c>
      <c r="U591" s="8" t="inlineStr"/>
      <c r="V591" s="8" t="inlineStr"/>
      <c r="W591" s="8" t="inlineStr">
        <is>
          <t>CONTROL</t>
        </is>
      </c>
      <c r="X591" s="5" t="inlineStr">
        <is>
          <t>Differentiator</t>
        </is>
      </c>
      <c r="Y591" s="5" t="inlineStr">
        <is>
          <t>Platform scope</t>
        </is>
      </c>
      <c r="Z591" s="5" t="inlineStr">
        <is>
          <t>Medium</t>
        </is>
      </c>
      <c r="AA591" s="5" t="inlineStr">
        <is>
          <t>Medium</t>
        </is>
      </c>
      <c r="AB591" s="8" t="inlineStr">
        <is>
          <t>Medium</t>
        </is>
      </c>
      <c r="AC591" s="8" t="inlineStr">
        <is>
          <t>Later</t>
        </is>
      </c>
      <c r="AD591" s="5" t="inlineStr">
        <is>
          <t>Not in code</t>
        </is>
      </c>
      <c r="AE591" s="5" t="inlineStr">
        <is>
          <t>Not verified</t>
        </is>
      </c>
      <c r="AF591" s="5" t="inlineStr">
        <is>
          <t>Not verified</t>
        </is>
      </c>
      <c r="AG591" s="5" t="inlineStr">
        <is>
          <t>Not verified</t>
        </is>
      </c>
      <c r="AH591" s="5" t="inlineStr">
        <is>
          <t>Not verified</t>
        </is>
      </c>
      <c r="AI591" s="8" t="inlineStr">
        <is>
          <t>No</t>
        </is>
      </c>
      <c r="AJ591" s="8" t="inlineStr">
        <is>
          <t>Gap</t>
        </is>
      </c>
      <c r="AK591" s="8" t="inlineStr">
        <is>
          <t>P1</t>
        </is>
      </c>
      <c r="AL591" s="8" t="n">
        <v>8</v>
      </c>
      <c r="AM591" s="5" t="inlineStr"/>
      <c r="AN591" s="5" t="inlineStr"/>
      <c r="AO591" s="5" t="inlineStr"/>
      <c r="AP591" s="5" t="inlineStr"/>
      <c r="AQ591" s="5" t="inlineStr"/>
      <c r="AR591" s="5" t="inlineStr"/>
      <c r="AS591" s="5" t="inlineStr"/>
      <c r="AT591" s="5" t="inlineStr"/>
      <c r="AU591" s="8" t="inlineStr">
        <is>
          <t>Not run</t>
        </is>
      </c>
    </row>
    <row r="592" ht="32" customHeight="1">
      <c r="A592" s="16" t="inlineStr">
        <is>
          <t>UX-0591</t>
        </is>
      </c>
      <c r="B592" s="8" t="inlineStr">
        <is>
          <t>UX</t>
        </is>
      </c>
      <c r="C592" s="5" t="inlineStr">
        <is>
          <t>Managing Proprietor</t>
        </is>
      </c>
      <c r="D592" s="5" t="inlineStr">
        <is>
          <t>Reporting &amp; Business Intelligence</t>
        </is>
      </c>
      <c r="E592" s="5" t="inlineStr">
        <is>
          <t>One-click 'Privacy Mask' toggle hiding rupee figures from bystander view</t>
        </is>
      </c>
      <c r="F592" s="5" t="inlineStr">
        <is>
          <t>Business Owner ('Sethji')</t>
        </is>
      </c>
      <c r="G592" s="5" t="inlineStr">
        <is>
          <t>Bystanders / Customers</t>
        </is>
      </c>
      <c r="H592" s="5" t="inlineStr">
        <is>
          <t>Quick eye icon toggle that obscures revenue, bank balance, and profit numbers when customers are standing nearby</t>
        </is>
      </c>
      <c r="I592" s="5" t="inlineStr">
        <is>
          <t>Protects business financial confidentiality while allowing owner to review operational lists</t>
        </is>
      </c>
      <c r="J592" s="24" t="inlineStr">
        <is>
          <t>P3</t>
        </is>
      </c>
      <c r="K592" s="19" t="inlineStr">
        <is>
          <t>Mechanism not found</t>
        </is>
      </c>
      <c r="L592" s="5" t="inlineStr">
        <is>
          <t>Privacy Mode toggle (Shift+P) replacing currency digits with '₹ ••••••' across dashboard.</t>
        </is>
      </c>
      <c r="M592" s="8" t="inlineStr">
        <is>
          <t>Strategic expansion</t>
        </is>
      </c>
      <c r="N592" s="8" t="inlineStr">
        <is>
          <t>Named role</t>
        </is>
      </c>
      <c r="O592" s="8" t="inlineStr">
        <is>
          <t>P2</t>
        </is>
      </c>
      <c r="P592" s="5" t="inlineStr">
        <is>
          <t>Set to P3. The previous workbook had P2. Authored priority was P2.</t>
        </is>
      </c>
      <c r="Q592" s="19" t="inlineStr">
        <is>
          <t>Mechanism not found</t>
        </is>
      </c>
      <c r="R592" s="5" t="inlineStr">
        <is>
          <t>No Shift+P privacy mask was found in the web client. Set to P3. The previous workbook had P2. Authored priority was P2.</t>
        </is>
      </c>
      <c r="S592" s="8" t="inlineStr">
        <is>
          <t>RPT</t>
        </is>
      </c>
      <c r="T592" s="5" t="inlineStr">
        <is>
          <t>Reporting and business intelligence</t>
        </is>
      </c>
      <c r="U592" s="8" t="inlineStr"/>
      <c r="V592" s="8" t="inlineStr">
        <is>
          <t>reporting</t>
        </is>
      </c>
      <c r="W592" s="8" t="inlineStr">
        <is>
          <t>CONTROL</t>
        </is>
      </c>
      <c r="X592" s="5" t="inlineStr">
        <is>
          <t>Future</t>
        </is>
      </c>
      <c r="Y592" s="5" t="inlineStr">
        <is>
          <t>Owner</t>
        </is>
      </c>
      <c r="Z592" s="5" t="inlineStr">
        <is>
          <t>Low</t>
        </is>
      </c>
      <c r="AA592" s="5" t="inlineStr">
        <is>
          <t>Low</t>
        </is>
      </c>
      <c r="AB592" s="8" t="inlineStr">
        <is>
          <t>Low</t>
        </is>
      </c>
      <c r="AC592" s="8" t="inlineStr">
        <is>
          <t>Later</t>
        </is>
      </c>
      <c r="AD592" s="5" t="inlineStr">
        <is>
          <t>Not in code</t>
        </is>
      </c>
      <c r="AE592" s="5" t="inlineStr">
        <is>
          <t>Not verified</t>
        </is>
      </c>
      <c r="AF592" s="5" t="inlineStr">
        <is>
          <t>Not verified</t>
        </is>
      </c>
      <c r="AG592" s="5" t="inlineStr">
        <is>
          <t>Not verified</t>
        </is>
      </c>
      <c r="AH592" s="5" t="inlineStr">
        <is>
          <t>Not verified</t>
        </is>
      </c>
      <c r="AI592" s="8" t="inlineStr">
        <is>
          <t>No</t>
        </is>
      </c>
      <c r="AJ592" s="8" t="inlineStr">
        <is>
          <t>Gap</t>
        </is>
      </c>
      <c r="AK592" s="8" t="inlineStr">
        <is>
          <t>P3</t>
        </is>
      </c>
      <c r="AL592" s="8" t="n">
        <v>1</v>
      </c>
      <c r="AM592" s="5" t="inlineStr"/>
      <c r="AN592" s="5" t="inlineStr"/>
      <c r="AO592" s="5" t="inlineStr"/>
      <c r="AP592" s="5" t="inlineStr"/>
      <c r="AQ592" s="5" t="inlineStr"/>
      <c r="AR592" s="5" t="inlineStr"/>
      <c r="AS592" s="5" t="inlineStr"/>
      <c r="AT592" s="5" t="inlineStr"/>
      <c r="AU592" s="8" t="inlineStr">
        <is>
          <t>Not run</t>
        </is>
      </c>
    </row>
    <row r="593" ht="32" customHeight="1">
      <c r="A593" s="16" t="inlineStr">
        <is>
          <t>UX-0592</t>
        </is>
      </c>
      <c r="B593" s="8" t="inlineStr">
        <is>
          <t>UX</t>
        </is>
      </c>
      <c r="C593" s="5" t="inlineStr">
        <is>
          <t>Counter Clerk</t>
        </is>
      </c>
      <c r="D593" s="5" t="inlineStr">
        <is>
          <t>Customer-to-Cash</t>
        </is>
      </c>
      <c r="E593" s="5" t="inlineStr">
        <is>
          <t>Sound feedback cues on barcode scan success, duplicate scan, and error</t>
        </is>
      </c>
      <c r="F593" s="5" t="inlineStr">
        <is>
          <t>Billing Clerk</t>
        </is>
      </c>
      <c r="G593" s="5" t="inlineStr">
        <is>
          <t>None</t>
        </is>
      </c>
      <c r="H593" s="5" t="inlineStr">
        <is>
          <t>Distinct audible beeps confirming successful barcode scan (high chime) vs error/out-of-stock (low buzz)</t>
        </is>
      </c>
      <c r="I593" s="5" t="inlineStr">
        <is>
          <t>Allows clerk to scan rapid supermarket items without glancing back and forth at computer monitor</t>
        </is>
      </c>
      <c r="J593" s="24" t="inlineStr">
        <is>
          <t>P3</t>
        </is>
      </c>
      <c r="K593" s="20" t="inlineStr">
        <is>
          <t>Validated (Supported)</t>
        </is>
      </c>
      <c r="L593" s="5" t="inlineStr">
        <is>
          <t>Web Audio API sound synthesizers for SCAN_SUCCESS, DUPLICATE_WARNING, and ERROR_BLOCK.</t>
        </is>
      </c>
      <c r="M593" s="8" t="inlineStr">
        <is>
          <t>Strategic expansion</t>
        </is>
      </c>
      <c r="N593" s="8" t="inlineStr">
        <is>
          <t>Named role</t>
        </is>
      </c>
      <c r="O593" s="8" t="inlineStr">
        <is>
          <t>P2</t>
        </is>
      </c>
      <c r="P593" s="5" t="inlineStr">
        <is>
          <t>Kept P3. The previous workbook had P3. Authored priority was P2.</t>
        </is>
      </c>
      <c r="Q593" s="20" t="inlineStr">
        <is>
          <t>Author assertion</t>
        </is>
      </c>
      <c r="R593" s="5" t="inlineStr">
        <is>
          <t>Kept P3. The previous workbook had P3. Authored priority was P2.</t>
        </is>
      </c>
      <c r="S593" s="8" t="inlineStr">
        <is>
          <t>C2C</t>
        </is>
      </c>
      <c r="T593" s="5" t="inlineStr">
        <is>
          <t>Customer to cash</t>
        </is>
      </c>
      <c r="U593" s="8" t="inlineStr"/>
      <c r="V593" s="8" t="inlineStr">
        <is>
          <t>sales</t>
        </is>
      </c>
      <c r="W593" s="8" t="inlineStr">
        <is>
          <t>RUN</t>
        </is>
      </c>
      <c r="X593" s="5" t="inlineStr">
        <is>
          <t>Future</t>
        </is>
      </c>
      <c r="Y593" s="5" t="inlineStr">
        <is>
          <t>Named role</t>
        </is>
      </c>
      <c r="Z593" s="5" t="inlineStr">
        <is>
          <t>Low</t>
        </is>
      </c>
      <c r="AA593" s="5" t="inlineStr">
        <is>
          <t>Low</t>
        </is>
      </c>
      <c r="AB593" s="8" t="inlineStr">
        <is>
          <t>Low</t>
        </is>
      </c>
      <c r="AC593" s="8" t="inlineStr">
        <is>
          <t>Later</t>
        </is>
      </c>
      <c r="AD593" s="5" t="inlineStr">
        <is>
          <t>Not independently checked</t>
        </is>
      </c>
      <c r="AE593" s="5" t="inlineStr">
        <is>
          <t>Not verified</t>
        </is>
      </c>
      <c r="AF593" s="5" t="inlineStr">
        <is>
          <t>Not verified</t>
        </is>
      </c>
      <c r="AG593" s="5" t="inlineStr">
        <is>
          <t>Not verified</t>
        </is>
      </c>
      <c r="AH593" s="5" t="inlineStr">
        <is>
          <t>Not verified</t>
        </is>
      </c>
      <c r="AI593" s="8" t="inlineStr">
        <is>
          <t>No</t>
        </is>
      </c>
      <c r="AJ593" s="8" t="inlineStr">
        <is>
          <t>Claimed - unverified</t>
        </is>
      </c>
      <c r="AK593" s="8" t="inlineStr">
        <is>
          <t>P3</t>
        </is>
      </c>
      <c r="AL593" s="8" t="n">
        <v>1</v>
      </c>
      <c r="AM593" s="5" t="inlineStr"/>
      <c r="AN593" s="5" t="inlineStr"/>
      <c r="AO593" s="5" t="inlineStr"/>
      <c r="AP593" s="5" t="inlineStr"/>
      <c r="AQ593" s="5" t="inlineStr"/>
      <c r="AR593" s="5" t="inlineStr"/>
      <c r="AS593" s="5" t="inlineStr"/>
      <c r="AT593" s="5" t="inlineStr"/>
      <c r="AU593" s="8" t="inlineStr">
        <is>
          <t>Not run</t>
        </is>
      </c>
    </row>
    <row r="594" ht="32" customHeight="1">
      <c r="A594" s="16" t="inlineStr">
        <is>
          <t>UX-0593</t>
        </is>
      </c>
      <c r="B594" s="8" t="inlineStr">
        <is>
          <t>UX</t>
        </is>
      </c>
      <c r="C594" s="5" t="inlineStr">
        <is>
          <t>Field Salesperson</t>
        </is>
      </c>
      <c r="D594" s="5" t="inlineStr">
        <is>
          <t>Sales / CRM / Customer Lifecycle</t>
        </is>
      </c>
      <c r="E594" s="5" t="inlineStr">
        <is>
          <t>High-contrast outdoor glare mode for mobile field order booking</t>
        </is>
      </c>
      <c r="F594" s="5" t="inlineStr">
        <is>
          <t>Field Salesperson</t>
        </is>
      </c>
      <c r="G594" s="5" t="inlineStr">
        <is>
          <t>Retailer</t>
        </is>
      </c>
      <c r="H594" s="5" t="inlineStr">
        <is>
          <t>Optimized ultra-high-contrast UI theme designed for readability under direct bright Indian sunlight</t>
        </is>
      </c>
      <c r="I594" s="5" t="inlineStr">
        <is>
          <t>Eliminates outdoor screen squinting; enables smooth order booking on dusty street corners</t>
        </is>
      </c>
      <c r="J594" s="22" t="inlineStr">
        <is>
          <t>P2</t>
        </is>
      </c>
      <c r="K594" s="20" t="inlineStr">
        <is>
          <t>Validated (Supported)</t>
        </is>
      </c>
      <c r="L594" s="5" t="inlineStr">
        <is>
          <t>Outdoor Sunlight Mode with pure black text on pure white background and bold 16px typography.</t>
        </is>
      </c>
      <c r="M594" s="8" t="inlineStr">
        <is>
          <t>Strategic expansion</t>
        </is>
      </c>
      <c r="N594" s="8" t="inlineStr">
        <is>
          <t>Named role</t>
        </is>
      </c>
      <c r="O594" s="8" t="inlineStr">
        <is>
          <t>P2</t>
        </is>
      </c>
      <c r="P594" s="5" t="inlineStr">
        <is>
          <t>Restored to authored P2. The previous workbook had P3 after a keyword rebalance.</t>
        </is>
      </c>
      <c r="Q594" s="20" t="inlineStr">
        <is>
          <t>Author assertion</t>
        </is>
      </c>
      <c r="R594" s="5" t="inlineStr">
        <is>
          <t>Restored to authored P2. The previous workbook had P3 after a keyword rebalance.</t>
        </is>
      </c>
      <c r="S594" s="8" t="inlineStr">
        <is>
          <t>CRM</t>
        </is>
      </c>
      <c r="T594" s="5" t="inlineStr">
        <is>
          <t>Sales and CRM lifecycle</t>
        </is>
      </c>
      <c r="U594" s="8" t="inlineStr"/>
      <c r="V594" s="8" t="inlineStr">
        <is>
          <t>crm</t>
        </is>
      </c>
      <c r="W594" s="8" t="inlineStr">
        <is>
          <t>GROW</t>
        </is>
      </c>
      <c r="X594" s="5" t="inlineStr">
        <is>
          <t>Differentiator</t>
        </is>
      </c>
      <c r="Y594" s="5" t="inlineStr">
        <is>
          <t>Sales</t>
        </is>
      </c>
      <c r="Z594" s="5" t="inlineStr">
        <is>
          <t>Medium</t>
        </is>
      </c>
      <c r="AA594" s="5" t="inlineStr">
        <is>
          <t>Medium</t>
        </is>
      </c>
      <c r="AB594" s="8" t="inlineStr">
        <is>
          <t>Low</t>
        </is>
      </c>
      <c r="AC594" s="8" t="inlineStr">
        <is>
          <t>Later</t>
        </is>
      </c>
      <c r="AD594" s="5" t="inlineStr">
        <is>
          <t>Not independently checked</t>
        </is>
      </c>
      <c r="AE594" s="5" t="inlineStr">
        <is>
          <t>Not verified</t>
        </is>
      </c>
      <c r="AF594" s="5" t="inlineStr">
        <is>
          <t>Not verified</t>
        </is>
      </c>
      <c r="AG594" s="5" t="inlineStr">
        <is>
          <t>Not verified</t>
        </is>
      </c>
      <c r="AH594" s="5" t="inlineStr">
        <is>
          <t>Not verified</t>
        </is>
      </c>
      <c r="AI594" s="8" t="inlineStr">
        <is>
          <t>No</t>
        </is>
      </c>
      <c r="AJ594" s="8" t="inlineStr">
        <is>
          <t>Claimed - unverified</t>
        </is>
      </c>
      <c r="AK594" s="8" t="inlineStr">
        <is>
          <t>P2</t>
        </is>
      </c>
      <c r="AL594" s="8" t="n">
        <v>4</v>
      </c>
      <c r="AM594" s="5" t="inlineStr"/>
      <c r="AN594" s="5" t="inlineStr"/>
      <c r="AO594" s="5" t="inlineStr"/>
      <c r="AP594" s="5" t="inlineStr"/>
      <c r="AQ594" s="5" t="inlineStr"/>
      <c r="AR594" s="5" t="inlineStr"/>
      <c r="AS594" s="5" t="inlineStr"/>
      <c r="AT594" s="5" t="inlineStr"/>
      <c r="AU594" s="8" t="inlineStr">
        <is>
          <t>Not run</t>
        </is>
      </c>
    </row>
    <row r="595" ht="32" customHeight="1">
      <c r="A595" s="16" t="inlineStr">
        <is>
          <t>UX-0594</t>
        </is>
      </c>
      <c r="B595" s="8" t="inlineStr">
        <is>
          <t>UX</t>
        </is>
      </c>
      <c r="C595" s="5" t="inlineStr">
        <is>
          <t>All Roles</t>
        </is>
      </c>
      <c r="D595" s="5" t="inlineStr">
        <is>
          <t>Customer-to-Cash</t>
        </is>
      </c>
      <c r="E595" s="5" t="inlineStr">
        <is>
          <t>Persistent customer quick-create side drawer without losing current document state</t>
        </is>
      </c>
      <c r="F595" s="5" t="inlineStr">
        <is>
          <t>Billing Clerk / Salesperson</t>
        </is>
      </c>
      <c r="G595" s="5" t="inlineStr">
        <is>
          <t>New Customer</t>
        </is>
      </c>
      <c r="H595" s="5" t="inlineStr">
        <is>
          <t>Slide-out drawer allowing full new customer onboarding without navigating away or losing active cart items</t>
        </is>
      </c>
      <c r="I595" s="5" t="inlineStr">
        <is>
          <t>Saves customer master; auto-selects newly created party in active bill; cart remains 100% intact</t>
        </is>
      </c>
      <c r="J595" s="20" t="inlineStr">
        <is>
          <t>P1</t>
        </is>
      </c>
      <c r="K595" s="20" t="inlineStr">
        <is>
          <t>Validated (Supported)</t>
        </is>
      </c>
      <c r="L595" s="5" t="inlineStr">
        <is>
          <t>Non-modal slide-over drawer (Flyout) with isolated form state preserving background cart.</t>
        </is>
      </c>
      <c r="M595" s="8" t="inlineStr">
        <is>
          <t>Strategic expansion</t>
        </is>
      </c>
      <c r="N595" s="8" t="inlineStr">
        <is>
          <t>Platform or theme scope</t>
        </is>
      </c>
      <c r="O595" s="8" t="inlineStr">
        <is>
          <t>P1</t>
        </is>
      </c>
      <c r="P595" s="5" t="inlineStr">
        <is>
          <t>Unchanged</t>
        </is>
      </c>
      <c r="Q595" s="20" t="inlineStr">
        <is>
          <t>Author assertion</t>
        </is>
      </c>
      <c r="R595" s="5" t="inlineStr"/>
      <c r="S595" s="8" t="inlineStr">
        <is>
          <t>C2C</t>
        </is>
      </c>
      <c r="T595" s="5" t="inlineStr">
        <is>
          <t>Customer to cash</t>
        </is>
      </c>
      <c r="U595" s="8" t="inlineStr"/>
      <c r="V595" s="8" t="inlineStr">
        <is>
          <t>sales</t>
        </is>
      </c>
      <c r="W595" s="8" t="inlineStr">
        <is>
          <t>RUN</t>
        </is>
      </c>
      <c r="X595" s="5" t="inlineStr">
        <is>
          <t>Differentiator</t>
        </is>
      </c>
      <c r="Y595" s="5" t="inlineStr">
        <is>
          <t>Platform scope</t>
        </is>
      </c>
      <c r="Z595" s="5" t="inlineStr">
        <is>
          <t>Medium</t>
        </is>
      </c>
      <c r="AA595" s="5" t="inlineStr">
        <is>
          <t>Medium</t>
        </is>
      </c>
      <c r="AB595" s="8" t="inlineStr">
        <is>
          <t>Low</t>
        </is>
      </c>
      <c r="AC595" s="8" t="inlineStr">
        <is>
          <t>Later</t>
        </is>
      </c>
      <c r="AD595" s="5" t="inlineStr">
        <is>
          <t>Not independently checked</t>
        </is>
      </c>
      <c r="AE595" s="5" t="inlineStr">
        <is>
          <t>Not verified</t>
        </is>
      </c>
      <c r="AF595" s="5" t="inlineStr">
        <is>
          <t>Not verified</t>
        </is>
      </c>
      <c r="AG595" s="5" t="inlineStr">
        <is>
          <t>Not verified</t>
        </is>
      </c>
      <c r="AH595" s="5" t="inlineStr">
        <is>
          <t>Not verified</t>
        </is>
      </c>
      <c r="AI595" s="8" t="inlineStr">
        <is>
          <t>No</t>
        </is>
      </c>
      <c r="AJ595" s="8" t="inlineStr">
        <is>
          <t>Claimed - unverified</t>
        </is>
      </c>
      <c r="AK595" s="8" t="inlineStr">
        <is>
          <t>P1</t>
        </is>
      </c>
      <c r="AL595" s="8" t="n">
        <v>4</v>
      </c>
      <c r="AM595" s="5" t="inlineStr"/>
      <c r="AN595" s="5" t="inlineStr"/>
      <c r="AO595" s="5" t="inlineStr"/>
      <c r="AP595" s="5" t="inlineStr"/>
      <c r="AQ595" s="5" t="inlineStr"/>
      <c r="AR595" s="5" t="inlineStr"/>
      <c r="AS595" s="5" t="inlineStr"/>
      <c r="AT595" s="5" t="inlineStr"/>
      <c r="AU595" s="8" t="inlineStr">
        <is>
          <t>Not run</t>
        </is>
      </c>
    </row>
    <row r="596" ht="32" customHeight="1">
      <c r="A596" s="16" t="inlineStr">
        <is>
          <t>UX-0595</t>
        </is>
      </c>
      <c r="B596" s="8" t="inlineStr">
        <is>
          <t>UX</t>
        </is>
      </c>
      <c r="C596" s="5" t="inlineStr">
        <is>
          <t>Managing Proprietor</t>
        </is>
      </c>
      <c r="D596" s="5" t="inlineStr">
        <is>
          <t>Reporting &amp; Business Intelligence</t>
        </is>
      </c>
      <c r="E596" s="5" t="inlineStr">
        <is>
          <t>Executive Morning Briefing card summarizing '3 Things That Need You Today'</t>
        </is>
      </c>
      <c r="F596" s="5" t="inlineStr">
        <is>
          <t>Business Owner</t>
        </is>
      </c>
      <c r="G596" s="5" t="inlineStr">
        <is>
          <t>None</t>
        </is>
      </c>
      <c r="H596" s="5" t="inlineStr">
        <is>
          <t>Top of dashboard highlights 3 prioritized action items (e.g. '₹1.2L overdue from Sharma', '5 items out of stock')</t>
        </is>
      </c>
      <c r="I596" s="5" t="inlineStr">
        <is>
          <t>Eliminates analytical paralysis; gives owner clear 5-minute action plan every morning</t>
        </is>
      </c>
      <c r="J596" s="20" t="inlineStr">
        <is>
          <t>P1</t>
        </is>
      </c>
      <c r="K596" s="20" t="inlineStr">
        <is>
          <t>Validated (Supported)</t>
        </is>
      </c>
      <c r="L596" s="5" t="inlineStr">
        <is>
          <t>Priority Triage Engine generating 3 high-impact daily call-to-action cards.</t>
        </is>
      </c>
      <c r="M596" s="8" t="inlineStr">
        <is>
          <t>Strategic expansion</t>
        </is>
      </c>
      <c r="N596" s="8" t="inlineStr">
        <is>
          <t>Named role</t>
        </is>
      </c>
      <c r="O596" s="8" t="inlineStr">
        <is>
          <t>P1</t>
        </is>
      </c>
      <c r="P596" s="5" t="inlineStr">
        <is>
          <t>Unchanged</t>
        </is>
      </c>
      <c r="Q596" s="20" t="inlineStr">
        <is>
          <t>Author assertion</t>
        </is>
      </c>
      <c r="R596" s="5" t="inlineStr"/>
      <c r="S596" s="8" t="inlineStr">
        <is>
          <t>RPT</t>
        </is>
      </c>
      <c r="T596" s="5" t="inlineStr">
        <is>
          <t>Reporting and business intelligence</t>
        </is>
      </c>
      <c r="U596" s="8" t="inlineStr"/>
      <c r="V596" s="8" t="inlineStr">
        <is>
          <t>reporting</t>
        </is>
      </c>
      <c r="W596" s="8" t="inlineStr">
        <is>
          <t>CONTROL</t>
        </is>
      </c>
      <c r="X596" s="5" t="inlineStr">
        <is>
          <t>Differentiator</t>
        </is>
      </c>
      <c r="Y596" s="5" t="inlineStr">
        <is>
          <t>Owner</t>
        </is>
      </c>
      <c r="Z596" s="5" t="inlineStr">
        <is>
          <t>Medium</t>
        </is>
      </c>
      <c r="AA596" s="5" t="inlineStr">
        <is>
          <t>Medium</t>
        </is>
      </c>
      <c r="AB596" s="8" t="inlineStr">
        <is>
          <t>Low</t>
        </is>
      </c>
      <c r="AC596" s="8" t="inlineStr">
        <is>
          <t>Later</t>
        </is>
      </c>
      <c r="AD596" s="5" t="inlineStr">
        <is>
          <t>Not independently checked</t>
        </is>
      </c>
      <c r="AE596" s="5" t="inlineStr">
        <is>
          <t>Not verified</t>
        </is>
      </c>
      <c r="AF596" s="5" t="inlineStr">
        <is>
          <t>Not verified</t>
        </is>
      </c>
      <c r="AG596" s="5" t="inlineStr">
        <is>
          <t>Not verified</t>
        </is>
      </c>
      <c r="AH596" s="5" t="inlineStr">
        <is>
          <t>Not verified</t>
        </is>
      </c>
      <c r="AI596" s="8" t="inlineStr">
        <is>
          <t>No</t>
        </is>
      </c>
      <c r="AJ596" s="8" t="inlineStr">
        <is>
          <t>Claimed - unverified</t>
        </is>
      </c>
      <c r="AK596" s="8" t="inlineStr">
        <is>
          <t>P1</t>
        </is>
      </c>
      <c r="AL596" s="8" t="n">
        <v>4</v>
      </c>
      <c r="AM596" s="5" t="inlineStr"/>
      <c r="AN596" s="5" t="inlineStr"/>
      <c r="AO596" s="5" t="inlineStr"/>
      <c r="AP596" s="5" t="inlineStr"/>
      <c r="AQ596" s="5" t="inlineStr"/>
      <c r="AR596" s="5" t="inlineStr"/>
      <c r="AS596" s="5" t="inlineStr"/>
      <c r="AT596" s="5" t="inlineStr"/>
      <c r="AU596" s="8" t="inlineStr">
        <is>
          <t>Not run</t>
        </is>
      </c>
    </row>
    <row r="597" ht="32" customHeight="1">
      <c r="A597" s="16" t="inlineStr">
        <is>
          <t>UX-0596</t>
        </is>
      </c>
      <c r="B597" s="8" t="inlineStr">
        <is>
          <t>UX</t>
        </is>
      </c>
      <c r="C597" s="5" t="inlineStr">
        <is>
          <t>All Roles</t>
        </is>
      </c>
      <c r="D597" s="5" t="inlineStr">
        <is>
          <t>Security / Exception / Recovery</t>
        </is>
      </c>
      <c r="E597" s="5" t="inlineStr">
        <is>
          <t>Clear destructive action confirmation dialog with explicit entity name typing</t>
        </is>
      </c>
      <c r="F597" s="5" t="inlineStr">
        <is>
          <t>Business User</t>
        </is>
      </c>
      <c r="G597" s="5" t="inlineStr">
        <is>
          <t>System Administrator</t>
        </is>
      </c>
      <c r="H597" s="5" t="inlineStr">
        <is>
          <t>Permanently cancelling an annual return or deleting a company requires typing 'DELETE' to confirm</t>
        </is>
      </c>
      <c r="I597" s="5" t="inlineStr">
        <is>
          <t>Prevents catastrophic accidental clicks on destructive administrative actions</t>
        </is>
      </c>
      <c r="J597" s="19" t="inlineStr">
        <is>
          <t>P0</t>
        </is>
      </c>
      <c r="K597" s="20" t="inlineStr">
        <is>
          <t>Validated (Supported)</t>
        </is>
      </c>
      <c r="L597" s="5" t="inlineStr">
        <is>
          <t>Nielsen Heuristic 5: Error Prevention. Type-to-confirm modal on high-risk operations.</t>
        </is>
      </c>
      <c r="M597" s="8" t="inlineStr">
        <is>
          <t>Strategic expansion</t>
        </is>
      </c>
      <c r="N597" s="8" t="inlineStr">
        <is>
          <t>Platform or theme scope</t>
        </is>
      </c>
      <c r="O597" s="8" t="inlineStr">
        <is>
          <t>P0</t>
        </is>
      </c>
      <c r="P597" s="5" t="inlineStr">
        <is>
          <t>Unchanged</t>
        </is>
      </c>
      <c r="Q597" s="20" t="inlineStr">
        <is>
          <t>Author assertion</t>
        </is>
      </c>
      <c r="R597" s="5" t="inlineStr"/>
      <c r="S597" s="8" t="inlineStr">
        <is>
          <t>OTHER</t>
        </is>
      </c>
      <c r="T597" s="5" t="inlineStr">
        <is>
          <t>Security / Exception / Recovery</t>
        </is>
      </c>
      <c r="U597" s="8" t="inlineStr"/>
      <c r="V597" s="8" t="inlineStr"/>
      <c r="W597" s="8" t="inlineStr">
        <is>
          <t>CONTROL</t>
        </is>
      </c>
      <c r="X597" s="5" t="inlineStr">
        <is>
          <t>Differentiator</t>
        </is>
      </c>
      <c r="Y597" s="5" t="inlineStr">
        <is>
          <t>Platform scope</t>
        </is>
      </c>
      <c r="Z597" s="5" t="inlineStr">
        <is>
          <t>Medium</t>
        </is>
      </c>
      <c r="AA597" s="5" t="inlineStr">
        <is>
          <t>Medium</t>
        </is>
      </c>
      <c r="AB597" s="8" t="inlineStr">
        <is>
          <t>Medium</t>
        </is>
      </c>
      <c r="AC597" s="8" t="inlineStr">
        <is>
          <t>MVP</t>
        </is>
      </c>
      <c r="AD597" s="5" t="inlineStr">
        <is>
          <t>Not independently checked</t>
        </is>
      </c>
      <c r="AE597" s="5" t="inlineStr">
        <is>
          <t>Not verified</t>
        </is>
      </c>
      <c r="AF597" s="5" t="inlineStr">
        <is>
          <t>Not verified</t>
        </is>
      </c>
      <c r="AG597" s="5" t="inlineStr">
        <is>
          <t>Not verified</t>
        </is>
      </c>
      <c r="AH597" s="5" t="inlineStr">
        <is>
          <t>Not verified</t>
        </is>
      </c>
      <c r="AI597" s="8" t="inlineStr">
        <is>
          <t>No</t>
        </is>
      </c>
      <c r="AJ597" s="8" t="inlineStr">
        <is>
          <t>Claimed - unverified</t>
        </is>
      </c>
      <c r="AK597" s="8" t="inlineStr">
        <is>
          <t>P0</t>
        </is>
      </c>
      <c r="AL597" s="8" t="n">
        <v>8</v>
      </c>
      <c r="AM597" s="5" t="inlineStr"/>
      <c r="AN597" s="5" t="inlineStr"/>
      <c r="AO597" s="5" t="inlineStr"/>
      <c r="AP597" s="5" t="inlineStr"/>
      <c r="AQ597" s="5" t="inlineStr"/>
      <c r="AR597" s="5" t="inlineStr"/>
      <c r="AS597" s="5" t="inlineStr"/>
      <c r="AT597" s="5" t="inlineStr"/>
      <c r="AU597" s="8" t="inlineStr">
        <is>
          <t>Not run</t>
        </is>
      </c>
    </row>
    <row r="598" ht="32" customHeight="1">
      <c r="A598" s="16" t="inlineStr">
        <is>
          <t>UX-0597</t>
        </is>
      </c>
      <c r="B598" s="8" t="inlineStr">
        <is>
          <t>UX</t>
        </is>
      </c>
      <c r="C598" s="5" t="inlineStr">
        <is>
          <t>Counter Clerk</t>
        </is>
      </c>
      <c r="D598" s="5" t="inlineStr">
        <is>
          <t>Customer-to-Cash</t>
        </is>
      </c>
      <c r="E598" s="5" t="inlineStr">
        <is>
          <t>Quick quantity multiplier keypad shortcuts during retail barcode scanning</t>
        </is>
      </c>
      <c r="F598" s="5" t="inlineStr">
        <is>
          <t>Counter Billing Clerk</t>
        </is>
      </c>
      <c r="G598" s="5" t="inlineStr">
        <is>
          <t>None</t>
        </is>
      </c>
      <c r="H598" s="5" t="inlineStr">
        <is>
          <t>Typing '5*' followed by scanning barcode automatically adds 5 units without scanning 5 individual times</t>
        </is>
      </c>
      <c r="I598" s="5" t="inlineStr">
        <is>
          <t>Accelerates supermarket checkout for multi-pack items (e.g. 10 soap bars)</t>
        </is>
      </c>
      <c r="J598" s="20" t="inlineStr">
        <is>
          <t>P1</t>
        </is>
      </c>
      <c r="K598" s="20" t="inlineStr">
        <is>
          <t>Validated (Supported)</t>
        </is>
      </c>
      <c r="L598" s="5" t="inlineStr">
        <is>
          <t>POS input parser supporting syntax 'N*BARCODE' or scanning followed by '+' key increment.</t>
        </is>
      </c>
      <c r="M598" s="8" t="inlineStr">
        <is>
          <t>Strategic expansion</t>
        </is>
      </c>
      <c r="N598" s="8" t="inlineStr">
        <is>
          <t>Named role</t>
        </is>
      </c>
      <c r="O598" s="8" t="inlineStr">
        <is>
          <t>P1</t>
        </is>
      </c>
      <c r="P598" s="5" t="inlineStr">
        <is>
          <t>Unchanged</t>
        </is>
      </c>
      <c r="Q598" s="20" t="inlineStr">
        <is>
          <t>Author assertion</t>
        </is>
      </c>
      <c r="R598" s="5" t="inlineStr"/>
      <c r="S598" s="8" t="inlineStr">
        <is>
          <t>C2C</t>
        </is>
      </c>
      <c r="T598" s="5" t="inlineStr">
        <is>
          <t>Customer to cash</t>
        </is>
      </c>
      <c r="U598" s="8" t="inlineStr"/>
      <c r="V598" s="8" t="inlineStr">
        <is>
          <t>sales</t>
        </is>
      </c>
      <c r="W598" s="8" t="inlineStr">
        <is>
          <t>RUN</t>
        </is>
      </c>
      <c r="X598" s="5" t="inlineStr">
        <is>
          <t>Differentiator</t>
        </is>
      </c>
      <c r="Y598" s="5" t="inlineStr">
        <is>
          <t>Named role</t>
        </is>
      </c>
      <c r="Z598" s="5" t="inlineStr">
        <is>
          <t>Medium</t>
        </is>
      </c>
      <c r="AA598" s="5" t="inlineStr">
        <is>
          <t>Medium</t>
        </is>
      </c>
      <c r="AB598" s="8" t="inlineStr">
        <is>
          <t>Low</t>
        </is>
      </c>
      <c r="AC598" s="8" t="inlineStr">
        <is>
          <t>Later</t>
        </is>
      </c>
      <c r="AD598" s="5" t="inlineStr">
        <is>
          <t>Not independently checked</t>
        </is>
      </c>
      <c r="AE598" s="5" t="inlineStr">
        <is>
          <t>Not verified</t>
        </is>
      </c>
      <c r="AF598" s="5" t="inlineStr">
        <is>
          <t>Not verified</t>
        </is>
      </c>
      <c r="AG598" s="5" t="inlineStr">
        <is>
          <t>Not verified</t>
        </is>
      </c>
      <c r="AH598" s="5" t="inlineStr">
        <is>
          <t>Not verified</t>
        </is>
      </c>
      <c r="AI598" s="8" t="inlineStr">
        <is>
          <t>No</t>
        </is>
      </c>
      <c r="AJ598" s="8" t="inlineStr">
        <is>
          <t>Claimed - unverified</t>
        </is>
      </c>
      <c r="AK598" s="8" t="inlineStr">
        <is>
          <t>P1</t>
        </is>
      </c>
      <c r="AL598" s="8" t="n">
        <v>4</v>
      </c>
      <c r="AM598" s="5" t="inlineStr"/>
      <c r="AN598" s="5" t="inlineStr"/>
      <c r="AO598" s="5" t="inlineStr"/>
      <c r="AP598" s="5" t="inlineStr"/>
      <c r="AQ598" s="5" t="inlineStr"/>
      <c r="AR598" s="5" t="inlineStr"/>
      <c r="AS598" s="5" t="inlineStr"/>
      <c r="AT598" s="5" t="inlineStr"/>
      <c r="AU598" s="8" t="inlineStr">
        <is>
          <t>Not run</t>
        </is>
      </c>
    </row>
    <row r="599" ht="32" customHeight="1">
      <c r="A599" s="16" t="inlineStr">
        <is>
          <t>UX-0598</t>
        </is>
      </c>
      <c r="B599" s="8" t="inlineStr">
        <is>
          <t>UX</t>
        </is>
      </c>
      <c r="C599" s="5" t="inlineStr">
        <is>
          <t>All Roles</t>
        </is>
      </c>
      <c r="D599" s="5" t="inlineStr">
        <is>
          <t>Customer-to-Cash</t>
        </is>
      </c>
      <c r="E599" s="5" t="inlineStr">
        <is>
          <t>Live responsive document print preview with paper size switching (A4 vs A5 vs Thermal)</t>
        </is>
      </c>
      <c r="F599" s="5" t="inlineStr">
        <is>
          <t>Billing Clerk</t>
        </is>
      </c>
      <c r="G599" s="5" t="inlineStr">
        <is>
          <t>Customer</t>
        </is>
      </c>
      <c r="H599" s="5" t="inlineStr">
        <is>
          <t>Instant visual preview of invoice layout showing exact pagination, logo placement, and fold lines</t>
        </is>
      </c>
      <c r="I599" s="5" t="inlineStr">
        <is>
          <t>Allows instant toggling between 2-inch thermal slip, 3-inch roll, and A4 tax invoice before printing</t>
        </is>
      </c>
      <c r="J599" s="20" t="inlineStr">
        <is>
          <t>P1</t>
        </is>
      </c>
      <c r="K599" s="20" t="inlineStr">
        <is>
          <t>Validated (Supported)</t>
        </is>
      </c>
      <c r="L599" s="5" t="inlineStr">
        <is>
          <t>Client-side SVG/HTML print preview modal with live CSS media query switching.</t>
        </is>
      </c>
      <c r="M599" s="8" t="inlineStr">
        <is>
          <t>Strategic expansion</t>
        </is>
      </c>
      <c r="N599" s="8" t="inlineStr">
        <is>
          <t>Platform or theme scope</t>
        </is>
      </c>
      <c r="O599" s="8" t="inlineStr">
        <is>
          <t>P1</t>
        </is>
      </c>
      <c r="P599" s="5" t="inlineStr">
        <is>
          <t>Unchanged</t>
        </is>
      </c>
      <c r="Q599" s="20" t="inlineStr">
        <is>
          <t>Author assertion</t>
        </is>
      </c>
      <c r="R599" s="5" t="inlineStr"/>
      <c r="S599" s="8" t="inlineStr">
        <is>
          <t>C2C</t>
        </is>
      </c>
      <c r="T599" s="5" t="inlineStr">
        <is>
          <t>Customer to cash</t>
        </is>
      </c>
      <c r="U599" s="8" t="inlineStr"/>
      <c r="V599" s="8" t="inlineStr">
        <is>
          <t>sales</t>
        </is>
      </c>
      <c r="W599" s="8" t="inlineStr">
        <is>
          <t>RUN</t>
        </is>
      </c>
      <c r="X599" s="5" t="inlineStr">
        <is>
          <t>Differentiator</t>
        </is>
      </c>
      <c r="Y599" s="5" t="inlineStr">
        <is>
          <t>Platform scope</t>
        </is>
      </c>
      <c r="Z599" s="5" t="inlineStr">
        <is>
          <t>Medium</t>
        </is>
      </c>
      <c r="AA599" s="5" t="inlineStr">
        <is>
          <t>Medium</t>
        </is>
      </c>
      <c r="AB599" s="8" t="inlineStr">
        <is>
          <t>Low</t>
        </is>
      </c>
      <c r="AC599" s="8" t="inlineStr">
        <is>
          <t>Later</t>
        </is>
      </c>
      <c r="AD599" s="5" t="inlineStr">
        <is>
          <t>Not independently checked</t>
        </is>
      </c>
      <c r="AE599" s="5" t="inlineStr">
        <is>
          <t>Not verified</t>
        </is>
      </c>
      <c r="AF599" s="5" t="inlineStr">
        <is>
          <t>Not verified</t>
        </is>
      </c>
      <c r="AG599" s="5" t="inlineStr">
        <is>
          <t>Not verified</t>
        </is>
      </c>
      <c r="AH599" s="5" t="inlineStr">
        <is>
          <t>Not verified</t>
        </is>
      </c>
      <c r="AI599" s="8" t="inlineStr">
        <is>
          <t>No</t>
        </is>
      </c>
      <c r="AJ599" s="8" t="inlineStr">
        <is>
          <t>Claimed - unverified</t>
        </is>
      </c>
      <c r="AK599" s="8" t="inlineStr">
        <is>
          <t>P1</t>
        </is>
      </c>
      <c r="AL599" s="8" t="n">
        <v>4</v>
      </c>
      <c r="AM599" s="5" t="inlineStr"/>
      <c r="AN599" s="5" t="inlineStr"/>
      <c r="AO599" s="5" t="inlineStr"/>
      <c r="AP599" s="5" t="inlineStr"/>
      <c r="AQ599" s="5" t="inlineStr"/>
      <c r="AR599" s="5" t="inlineStr"/>
      <c r="AS599" s="5" t="inlineStr"/>
      <c r="AT599" s="5" t="inlineStr"/>
      <c r="AU599" s="8" t="inlineStr">
        <is>
          <t>Not run</t>
        </is>
      </c>
    </row>
    <row r="600" ht="32" customHeight="1">
      <c r="A600" s="16" t="inlineStr">
        <is>
          <t>UX-0599</t>
        </is>
      </c>
      <c r="B600" s="8" t="inlineStr">
        <is>
          <t>UX</t>
        </is>
      </c>
      <c r="C600" s="5" t="inlineStr">
        <is>
          <t>In-house Accountant</t>
        </is>
      </c>
      <c r="D600" s="5" t="inlineStr">
        <is>
          <t>GST / Tax / Compliance</t>
        </is>
      </c>
      <c r="E600" s="5" t="inlineStr">
        <is>
          <t>Split-screen side-by-side reconciliation interface with drag-and-drop manual matching</t>
        </is>
      </c>
      <c r="F600" s="5" t="inlineStr">
        <is>
          <t>In-house Accountant</t>
        </is>
      </c>
      <c r="G600" s="5" t="inlineStr">
        <is>
          <t>Supplier</t>
        </is>
      </c>
      <c r="H600" s="5" t="inlineStr">
        <is>
          <t>Left pane shows Purchase Register; right pane shows GSTR-2B government feed; click to match</t>
        </is>
      </c>
      <c r="I600" s="5" t="inlineStr">
        <is>
          <t>Makes tax reconciliation intuitive and visually satisfying; highlights rate and date differences in red</t>
        </is>
      </c>
      <c r="J600" s="20" t="inlineStr">
        <is>
          <t>P1</t>
        </is>
      </c>
      <c r="K600" s="20" t="inlineStr">
        <is>
          <t>Validated (Supported)</t>
        </is>
      </c>
      <c r="L600" s="5" t="inlineStr">
        <is>
          <t>Dual-pane interactive reconciliation workbench with automated match suggestions.</t>
        </is>
      </c>
      <c r="M600" s="8" t="inlineStr">
        <is>
          <t>Strategic expansion</t>
        </is>
      </c>
      <c r="N600" s="8" t="inlineStr">
        <is>
          <t>Named role</t>
        </is>
      </c>
      <c r="O600" s="8" t="inlineStr">
        <is>
          <t>P1</t>
        </is>
      </c>
      <c r="P600" s="5" t="inlineStr">
        <is>
          <t>Unchanged</t>
        </is>
      </c>
      <c r="Q600" s="20" t="inlineStr">
        <is>
          <t>Author assertion</t>
        </is>
      </c>
      <c r="R600" s="5" t="inlineStr"/>
      <c r="S600" s="8" t="inlineStr">
        <is>
          <t>GST</t>
        </is>
      </c>
      <c r="T600" s="5" t="inlineStr">
        <is>
          <t>GST and tax compliance</t>
        </is>
      </c>
      <c r="U600" s="8" t="inlineStr"/>
      <c r="V600" s="8" t="inlineStr">
        <is>
          <t>accounting</t>
        </is>
      </c>
      <c r="W600" s="8" t="inlineStr">
        <is>
          <t>CONTROL</t>
        </is>
      </c>
      <c r="X600" s="5" t="inlineStr">
        <is>
          <t>Differentiator</t>
        </is>
      </c>
      <c r="Y600" s="5" t="inlineStr">
        <is>
          <t>Accountant</t>
        </is>
      </c>
      <c r="Z600" s="5" t="inlineStr">
        <is>
          <t>Critical</t>
        </is>
      </c>
      <c r="AA600" s="5" t="inlineStr">
        <is>
          <t>High</t>
        </is>
      </c>
      <c r="AB600" s="8" t="inlineStr">
        <is>
          <t>High</t>
        </is>
      </c>
      <c r="AC600" s="8" t="inlineStr">
        <is>
          <t>Later</t>
        </is>
      </c>
      <c r="AD600" s="5" t="inlineStr">
        <is>
          <t>Not independently checked</t>
        </is>
      </c>
      <c r="AE600" s="5" t="inlineStr">
        <is>
          <t>Not verified</t>
        </is>
      </c>
      <c r="AF600" s="5" t="inlineStr">
        <is>
          <t>Not verified</t>
        </is>
      </c>
      <c r="AG600" s="5" t="inlineStr">
        <is>
          <t>Not verified</t>
        </is>
      </c>
      <c r="AH600" s="5" t="inlineStr">
        <is>
          <t>Not verified</t>
        </is>
      </c>
      <c r="AI600" s="8" t="inlineStr">
        <is>
          <t>No</t>
        </is>
      </c>
      <c r="AJ600" s="8" t="inlineStr">
        <is>
          <t>Claimed - unverified</t>
        </is>
      </c>
      <c r="AK600" s="8" t="inlineStr">
        <is>
          <t>P1</t>
        </is>
      </c>
      <c r="AL600" s="8" t="n">
        <v>18</v>
      </c>
      <c r="AM600" s="5" t="inlineStr"/>
      <c r="AN600" s="5" t="inlineStr"/>
      <c r="AO600" s="5" t="inlineStr"/>
      <c r="AP600" s="5" t="inlineStr"/>
      <c r="AQ600" s="5" t="inlineStr"/>
      <c r="AR600" s="5" t="inlineStr"/>
      <c r="AS600" s="5" t="inlineStr"/>
      <c r="AT600" s="5" t="inlineStr"/>
      <c r="AU600" s="8" t="inlineStr">
        <is>
          <t>Not run</t>
        </is>
      </c>
    </row>
    <row r="601" ht="32" customHeight="1">
      <c r="A601" s="16" t="inlineStr">
        <is>
          <t>UX-0600</t>
        </is>
      </c>
      <c r="B601" s="8" t="inlineStr">
        <is>
          <t>UX</t>
        </is>
      </c>
      <c r="C601" s="5" t="inlineStr">
        <is>
          <t>All Roles</t>
        </is>
      </c>
      <c r="D601" s="5" t="inlineStr">
        <is>
          <t>Communication &amp; Integrations</t>
        </is>
      </c>
      <c r="E601" s="5" t="inlineStr">
        <is>
          <t>Contextual in-app chat and comment threads on specific invoices and orders</t>
        </is>
      </c>
      <c r="F601" s="5" t="inlineStr">
        <is>
          <t>Salesperson / Accountant</t>
        </is>
      </c>
      <c r="G601" s="5" t="inlineStr">
        <is>
          <t>Business Owner</t>
        </is>
      </c>
      <c r="H601" s="5" t="inlineStr">
        <is>
          <t>Internal staff can leave notes ('Customer requested 3 days extra credit') directly on invoice audit panel</t>
        </is>
      </c>
      <c r="I601" s="5" t="inlineStr">
        <is>
          <t>Eliminates scattered WhatsApp internal chat; preserves institutional context alongside transaction</t>
        </is>
      </c>
      <c r="J601" s="22" t="inlineStr">
        <is>
          <t>P2</t>
        </is>
      </c>
      <c r="K601" s="20" t="inlineStr">
        <is>
          <t>Validated (Supported)</t>
        </is>
      </c>
      <c r="L601" s="5" t="inlineStr">
        <is>
          <t>Activity Timeline comment box with user @mentions attached to Document model.</t>
        </is>
      </c>
      <c r="M601" s="8" t="inlineStr">
        <is>
          <t>Strategic expansion</t>
        </is>
      </c>
      <c r="N601" s="8" t="inlineStr">
        <is>
          <t>Platform or theme scope</t>
        </is>
      </c>
      <c r="O601" s="8" t="inlineStr">
        <is>
          <t>P2</t>
        </is>
      </c>
      <c r="P601" s="5" t="inlineStr">
        <is>
          <t>Unchanged</t>
        </is>
      </c>
      <c r="Q601" s="20" t="inlineStr">
        <is>
          <t>Author assertion</t>
        </is>
      </c>
      <c r="R601" s="5" t="inlineStr"/>
      <c r="S601" s="8" t="inlineStr">
        <is>
          <t>INT</t>
        </is>
      </c>
      <c r="T601" s="5" t="inlineStr">
        <is>
          <t>Communication and integrations</t>
        </is>
      </c>
      <c r="U601" s="8" t="inlineStr"/>
      <c r="V601" s="8" t="inlineStr">
        <is>
          <t>integrations</t>
        </is>
      </c>
      <c r="W601" s="8" t="inlineStr">
        <is>
          <t>KERNEL</t>
        </is>
      </c>
      <c r="X601" s="5" t="inlineStr">
        <is>
          <t>Differentiator</t>
        </is>
      </c>
      <c r="Y601" s="5" t="inlineStr">
        <is>
          <t>Platform scope</t>
        </is>
      </c>
      <c r="Z601" s="5" t="inlineStr">
        <is>
          <t>Medium</t>
        </is>
      </c>
      <c r="AA601" s="5" t="inlineStr">
        <is>
          <t>Medium</t>
        </is>
      </c>
      <c r="AB601" s="8" t="inlineStr">
        <is>
          <t>Low</t>
        </is>
      </c>
      <c r="AC601" s="8" t="inlineStr">
        <is>
          <t>Later</t>
        </is>
      </c>
      <c r="AD601" s="5" t="inlineStr">
        <is>
          <t>Not independently checked</t>
        </is>
      </c>
      <c r="AE601" s="5" t="inlineStr">
        <is>
          <t>Not verified</t>
        </is>
      </c>
      <c r="AF601" s="5" t="inlineStr">
        <is>
          <t>Not verified</t>
        </is>
      </c>
      <c r="AG601" s="5" t="inlineStr">
        <is>
          <t>Not verified</t>
        </is>
      </c>
      <c r="AH601" s="5" t="inlineStr">
        <is>
          <t>Not verified</t>
        </is>
      </c>
      <c r="AI601" s="8" t="inlineStr">
        <is>
          <t>No</t>
        </is>
      </c>
      <c r="AJ601" s="8" t="inlineStr">
        <is>
          <t>Claimed - unverified</t>
        </is>
      </c>
      <c r="AK601" s="8" t="inlineStr">
        <is>
          <t>P2</t>
        </is>
      </c>
      <c r="AL601" s="8" t="n">
        <v>4</v>
      </c>
      <c r="AM601" s="5" t="inlineStr"/>
      <c r="AN601" s="5" t="inlineStr"/>
      <c r="AO601" s="5" t="inlineStr"/>
      <c r="AP601" s="5" t="inlineStr"/>
      <c r="AQ601" s="5" t="inlineStr"/>
      <c r="AR601" s="5" t="inlineStr"/>
      <c r="AS601" s="5" t="inlineStr"/>
      <c r="AT601" s="5" t="inlineStr"/>
      <c r="AU601" s="8" t="inlineStr">
        <is>
          <t>Not run</t>
        </is>
      </c>
    </row>
    <row r="602" ht="32" customHeight="1">
      <c r="A602" s="16" t="inlineStr">
        <is>
          <t>C-0601</t>
        </is>
      </c>
      <c r="B602" s="8" t="inlineStr">
        <is>
          <t>C</t>
        </is>
      </c>
      <c r="C602" s="5" t="inlineStr">
        <is>
          <t>Statutory Compliance</t>
        </is>
      </c>
      <c r="D602" s="5" t="inlineStr">
        <is>
          <t>GST / Tax / Compliance</t>
        </is>
      </c>
      <c r="E602" s="5" t="inlineStr">
        <is>
          <t>CGST Rule 46 mandatory invoice particulars validation guard</t>
        </is>
      </c>
      <c r="F602" s="5" t="inlineStr">
        <is>
          <t>Tax Engine / Validator</t>
        </is>
      </c>
      <c r="G602" s="5" t="inlineStr">
        <is>
          <t>Billing Clerk</t>
        </is>
      </c>
      <c r="H602" s="5" t="inlineStr">
        <is>
          <t>Ensure all 16 statutory particulars required by Rule 46 (GSTIN, HSN, Place of Supply, Date, Serial) are present</t>
        </is>
      </c>
      <c r="I602" s="5" t="inlineStr">
        <is>
          <t>Hard-blocks saving invoice if any mandatory statutory field is missing; guarantees legal defensibility</t>
        </is>
      </c>
      <c r="J602" s="19" t="inlineStr">
        <is>
          <t>P0</t>
        </is>
      </c>
      <c r="K602" s="20" t="inlineStr">
        <is>
          <t>Validated (Supported)</t>
        </is>
      </c>
      <c r="L602" s="5" t="inlineStr">
        <is>
          <t>Rule 46 statutory validator running on SalesInvoice.pre_save; raises descriptive ValidationError.</t>
        </is>
      </c>
      <c r="M602" s="8" t="inlineStr">
        <is>
          <t>Strategic expansion</t>
        </is>
      </c>
      <c r="N602" s="8" t="inlineStr">
        <is>
          <t>Platform or theme scope</t>
        </is>
      </c>
      <c r="O602" s="8" t="inlineStr">
        <is>
          <t>P0</t>
        </is>
      </c>
      <c r="P602" s="5" t="inlineStr">
        <is>
          <t>Unchanged</t>
        </is>
      </c>
      <c r="Q602" s="21" t="inlineStr">
        <is>
          <t>Code symbol found</t>
        </is>
      </c>
      <c r="R602" s="5" t="inlineStr">
        <is>
          <t>Matched ValidationError in product code. This is not a functional test.</t>
        </is>
      </c>
      <c r="S602" s="8" t="inlineStr">
        <is>
          <t>GST</t>
        </is>
      </c>
      <c r="T602" s="5" t="inlineStr">
        <is>
          <t>GST and tax compliance</t>
        </is>
      </c>
      <c r="U602" s="8" t="inlineStr"/>
      <c r="V602" s="8" t="inlineStr">
        <is>
          <t>accounting</t>
        </is>
      </c>
      <c r="W602" s="8" t="inlineStr">
        <is>
          <t>CONTROL</t>
        </is>
      </c>
      <c r="X602" s="5" t="inlineStr">
        <is>
          <t>Core</t>
        </is>
      </c>
      <c r="Y602" s="5" t="inlineStr">
        <is>
          <t>Platform scope</t>
        </is>
      </c>
      <c r="Z602" s="5" t="inlineStr">
        <is>
          <t>Critical</t>
        </is>
      </c>
      <c r="AA602" s="5" t="inlineStr">
        <is>
          <t>High</t>
        </is>
      </c>
      <c r="AB602" s="8" t="inlineStr">
        <is>
          <t>High</t>
        </is>
      </c>
      <c r="AC602" s="8" t="inlineStr">
        <is>
          <t>MVP</t>
        </is>
      </c>
      <c r="AD602" s="5" t="inlineStr">
        <is>
          <t>Cited in code</t>
        </is>
      </c>
      <c r="AE602" s="5" t="inlineStr">
        <is>
          <t>Not verified</t>
        </is>
      </c>
      <c r="AF602" s="5" t="inlineStr">
        <is>
          <t>Not verified</t>
        </is>
      </c>
      <c r="AG602" s="5" t="inlineStr">
        <is>
          <t>Not verified</t>
        </is>
      </c>
      <c r="AH602" s="5" t="inlineStr">
        <is>
          <t>Not verified</t>
        </is>
      </c>
      <c r="AI602" s="8" t="inlineStr">
        <is>
          <t>No</t>
        </is>
      </c>
      <c r="AJ602" s="8" t="inlineStr">
        <is>
          <t>Built - unverified</t>
        </is>
      </c>
      <c r="AK602" s="8" t="inlineStr">
        <is>
          <t>P0</t>
        </is>
      </c>
      <c r="AL602" s="8" t="n">
        <v>27</v>
      </c>
      <c r="AM602" s="5" t="inlineStr"/>
      <c r="AN602" s="5" t="inlineStr"/>
      <c r="AO602" s="5" t="inlineStr"/>
      <c r="AP602" s="5" t="inlineStr"/>
      <c r="AQ602" s="5" t="inlineStr"/>
      <c r="AR602" s="5" t="inlineStr"/>
      <c r="AS602" s="5" t="inlineStr"/>
      <c r="AT602" s="5" t="inlineStr"/>
      <c r="AU602" s="8" t="inlineStr">
        <is>
          <t>Not run</t>
        </is>
      </c>
    </row>
    <row r="603" ht="32" customHeight="1">
      <c r="A603" s="16" t="inlineStr">
        <is>
          <t>C-0602</t>
        </is>
      </c>
      <c r="B603" s="8" t="inlineStr">
        <is>
          <t>C</t>
        </is>
      </c>
      <c r="C603" s="5" t="inlineStr">
        <is>
          <t>Statutory Compliance</t>
        </is>
      </c>
      <c r="D603" s="5" t="inlineStr">
        <is>
          <t>GST / Tax / Compliance</t>
        </is>
      </c>
      <c r="E603" s="5" t="inlineStr">
        <is>
          <t>Section 16(2) CGST Act 4-condition statutory Input Tax Credit entitlement verification</t>
        </is>
      </c>
      <c r="F603" s="5" t="inlineStr">
        <is>
          <t>Tax Auditor / Accountant</t>
        </is>
      </c>
      <c r="G603" s="5" t="inlineStr">
        <is>
          <t>In-house Accountant</t>
        </is>
      </c>
      <c r="H603" s="5" t="inlineStr">
        <is>
          <t>Verify all 4 statutory conditions: tax invoice in hand, goods received, tax paid to govt, return filed</t>
        </is>
      </c>
      <c r="I603" s="5" t="inlineStr">
        <is>
          <t>Tags ITC verification checklist on purchase bill; prevents claiming irregular credit subject to 24% interest</t>
        </is>
      </c>
      <c r="J603" s="19" t="inlineStr">
        <is>
          <t>P0</t>
        </is>
      </c>
      <c r="K603" s="20" t="inlineStr">
        <is>
          <t>Validated (Supported)</t>
        </is>
      </c>
      <c r="L603" s="5" t="inlineStr">
        <is>
          <t>4-condition statutory ITC checklist on Purchase Invoice audit verification panel.</t>
        </is>
      </c>
      <c r="M603" s="8" t="inlineStr">
        <is>
          <t>Strategic expansion</t>
        </is>
      </c>
      <c r="N603" s="8" t="inlineStr">
        <is>
          <t>Platform or theme scope</t>
        </is>
      </c>
      <c r="O603" s="8" t="inlineStr">
        <is>
          <t>P0</t>
        </is>
      </c>
      <c r="P603" s="5" t="inlineStr">
        <is>
          <t>Unchanged</t>
        </is>
      </c>
      <c r="Q603" s="20" t="inlineStr">
        <is>
          <t>Author assertion</t>
        </is>
      </c>
      <c r="R603" s="5" t="inlineStr"/>
      <c r="S603" s="8" t="inlineStr">
        <is>
          <t>GST</t>
        </is>
      </c>
      <c r="T603" s="5" t="inlineStr">
        <is>
          <t>GST and tax compliance</t>
        </is>
      </c>
      <c r="U603" s="8" t="inlineStr"/>
      <c r="V603" s="8" t="inlineStr">
        <is>
          <t>accounting</t>
        </is>
      </c>
      <c r="W603" s="8" t="inlineStr">
        <is>
          <t>CONTROL</t>
        </is>
      </c>
      <c r="X603" s="5" t="inlineStr">
        <is>
          <t>Core</t>
        </is>
      </c>
      <c r="Y603" s="5" t="inlineStr">
        <is>
          <t>Platform scope</t>
        </is>
      </c>
      <c r="Z603" s="5" t="inlineStr">
        <is>
          <t>Critical</t>
        </is>
      </c>
      <c r="AA603" s="5" t="inlineStr">
        <is>
          <t>High</t>
        </is>
      </c>
      <c r="AB603" s="8" t="inlineStr">
        <is>
          <t>High</t>
        </is>
      </c>
      <c r="AC603" s="8" t="inlineStr">
        <is>
          <t>MVP</t>
        </is>
      </c>
      <c r="AD603" s="5" t="inlineStr">
        <is>
          <t>Not independently checked</t>
        </is>
      </c>
      <c r="AE603" s="5" t="inlineStr">
        <is>
          <t>Not verified</t>
        </is>
      </c>
      <c r="AF603" s="5" t="inlineStr">
        <is>
          <t>Not verified</t>
        </is>
      </c>
      <c r="AG603" s="5" t="inlineStr">
        <is>
          <t>Not verified</t>
        </is>
      </c>
      <c r="AH603" s="5" t="inlineStr">
        <is>
          <t>Not verified</t>
        </is>
      </c>
      <c r="AI603" s="8" t="inlineStr">
        <is>
          <t>No</t>
        </is>
      </c>
      <c r="AJ603" s="8" t="inlineStr">
        <is>
          <t>Claimed - unverified</t>
        </is>
      </c>
      <c r="AK603" s="8" t="inlineStr">
        <is>
          <t>P0</t>
        </is>
      </c>
      <c r="AL603" s="8" t="n">
        <v>27</v>
      </c>
      <c r="AM603" s="5" t="inlineStr"/>
      <c r="AN603" s="5" t="inlineStr"/>
      <c r="AO603" s="5" t="inlineStr"/>
      <c r="AP603" s="5" t="inlineStr"/>
      <c r="AQ603" s="5" t="inlineStr"/>
      <c r="AR603" s="5" t="inlineStr"/>
      <c r="AS603" s="5" t="inlineStr"/>
      <c r="AT603" s="5" t="inlineStr"/>
      <c r="AU603" s="8" t="inlineStr">
        <is>
          <t>Not run</t>
        </is>
      </c>
    </row>
    <row r="604" ht="32" customHeight="1">
      <c r="A604" s="16" t="inlineStr">
        <is>
          <t>C-0603</t>
        </is>
      </c>
      <c r="B604" s="8" t="inlineStr">
        <is>
          <t>C</t>
        </is>
      </c>
      <c r="C604" s="5" t="inlineStr">
        <is>
          <t>Statutory Compliance</t>
        </is>
      </c>
      <c r="D604" s="5" t="inlineStr">
        <is>
          <t>GST / Tax / Compliance</t>
        </is>
      </c>
      <c r="E604" s="5" t="inlineStr">
        <is>
          <t>Section 16(4) time-barring automated alert and ITC exclusion engine</t>
        </is>
      </c>
      <c r="F604" s="5" t="inlineStr">
        <is>
          <t>Tax Engine / Cron</t>
        </is>
      </c>
      <c r="G604" s="5" t="inlineStr">
        <is>
          <t>In-house Accountant</t>
        </is>
      </c>
      <c r="H604" s="5" t="inlineStr">
        <is>
          <t>Strictly identify purchase invoices approaching the 30th November cutoff for claiming previous year's ITC</t>
        </is>
      </c>
      <c r="I604" s="5" t="inlineStr">
        <is>
          <t>Alerts user 60 days, 30 days, and 7 days prior to cutoff; flags expired invoices as ITC_TIME_BARRED</t>
        </is>
      </c>
      <c r="J604" s="19" t="inlineStr">
        <is>
          <t>P0</t>
        </is>
      </c>
      <c r="K604" s="19" t="inlineStr">
        <is>
          <t>Mechanism not found</t>
        </is>
      </c>
      <c r="L604" s="5" t="inlineStr">
        <is>
          <t>Automated rule evaluating invoice.date vs FY cutoff date (30th Nov); sets itc_status=TIME_BARRED.</t>
        </is>
      </c>
      <c r="M604" s="8" t="inlineStr">
        <is>
          <t>Strategic expansion</t>
        </is>
      </c>
      <c r="N604" s="8" t="inlineStr">
        <is>
          <t>Platform or theme scope</t>
        </is>
      </c>
      <c r="O604" s="8" t="inlineStr">
        <is>
          <t>P0</t>
        </is>
      </c>
      <c r="P604" s="5" t="inlineStr">
        <is>
          <t>Unchanged</t>
        </is>
      </c>
      <c r="Q604" s="19" t="inlineStr">
        <is>
          <t>Mechanism not found</t>
        </is>
      </c>
      <c r="R604" s="5" t="inlineStr">
        <is>
          <t>No itc_status TIME_BARRED flag was found.</t>
        </is>
      </c>
      <c r="S604" s="8" t="inlineStr">
        <is>
          <t>GST</t>
        </is>
      </c>
      <c r="T604" s="5" t="inlineStr">
        <is>
          <t>GST and tax compliance</t>
        </is>
      </c>
      <c r="U604" s="8" t="inlineStr"/>
      <c r="V604" s="8" t="inlineStr">
        <is>
          <t>accounting</t>
        </is>
      </c>
      <c r="W604" s="8" t="inlineStr">
        <is>
          <t>CONTROL</t>
        </is>
      </c>
      <c r="X604" s="5" t="inlineStr">
        <is>
          <t>Core</t>
        </is>
      </c>
      <c r="Y604" s="5" t="inlineStr">
        <is>
          <t>Platform scope</t>
        </is>
      </c>
      <c r="Z604" s="5" t="inlineStr">
        <is>
          <t>Critical</t>
        </is>
      </c>
      <c r="AA604" s="5" t="inlineStr">
        <is>
          <t>High</t>
        </is>
      </c>
      <c r="AB604" s="8" t="inlineStr">
        <is>
          <t>High</t>
        </is>
      </c>
      <c r="AC604" s="8" t="inlineStr">
        <is>
          <t>MVP</t>
        </is>
      </c>
      <c r="AD604" s="5" t="inlineStr">
        <is>
          <t>Not in code</t>
        </is>
      </c>
      <c r="AE604" s="5" t="inlineStr">
        <is>
          <t>Not verified</t>
        </is>
      </c>
      <c r="AF604" s="5" t="inlineStr">
        <is>
          <t>Not verified</t>
        </is>
      </c>
      <c r="AG604" s="5" t="inlineStr">
        <is>
          <t>Not verified</t>
        </is>
      </c>
      <c r="AH604" s="5" t="inlineStr">
        <is>
          <t>Not verified</t>
        </is>
      </c>
      <c r="AI604" s="8" t="inlineStr">
        <is>
          <t>No</t>
        </is>
      </c>
      <c r="AJ604" s="8" t="inlineStr">
        <is>
          <t>Gap</t>
        </is>
      </c>
      <c r="AK604" s="8" t="inlineStr">
        <is>
          <t>P0</t>
        </is>
      </c>
      <c r="AL604" s="8" t="n">
        <v>27</v>
      </c>
      <c r="AM604" s="5" t="inlineStr"/>
      <c r="AN604" s="5" t="inlineStr"/>
      <c r="AO604" s="5" t="inlineStr"/>
      <c r="AP604" s="5" t="inlineStr"/>
      <c r="AQ604" s="5" t="inlineStr"/>
      <c r="AR604" s="5" t="inlineStr"/>
      <c r="AS604" s="5" t="inlineStr"/>
      <c r="AT604" s="5" t="inlineStr"/>
      <c r="AU604" s="8" t="inlineStr">
        <is>
          <t>Not run</t>
        </is>
      </c>
    </row>
    <row r="605" ht="32" customHeight="1">
      <c r="A605" s="16" t="inlineStr">
        <is>
          <t>C-0604</t>
        </is>
      </c>
      <c r="B605" s="8" t="inlineStr">
        <is>
          <t>C</t>
        </is>
      </c>
      <c r="C605" s="5" t="inlineStr">
        <is>
          <t>Statutory Compliance</t>
        </is>
      </c>
      <c r="D605" s="5" t="inlineStr">
        <is>
          <t>GST / Tax / Compliance</t>
        </is>
      </c>
      <c r="E605" s="5" t="inlineStr">
        <is>
          <t>Section 17(5) blocked credit automated identification and accounting reclassification</t>
        </is>
      </c>
      <c r="F605" s="5" t="inlineStr">
        <is>
          <t>Tax Engine</t>
        </is>
      </c>
      <c r="G605" s="5" t="inlineStr">
        <is>
          <t>In-house Accountant</t>
        </is>
      </c>
      <c r="H605" s="5" t="inlineStr">
        <is>
          <t>Automatically flag purchase expenses on motor vehicles, food &amp; beverages, and gifts as ineligible ITC</t>
        </is>
      </c>
      <c r="I605" s="5" t="inlineStr">
        <is>
          <t>Transfers tax amount to Expense/Asset cost rather than Input Tax Credit ledger per Section 17(5)</t>
        </is>
      </c>
      <c r="J605" s="19" t="inlineStr">
        <is>
          <t>P0</t>
        </is>
      </c>
      <c r="K605" s="20" t="inlineStr">
        <is>
          <t>Validated (Supported)</t>
        </is>
      </c>
      <c r="L605" s="5" t="inlineStr">
        <is>
          <t>Built-in HSN/SAC statutory classification rule tagging blocked credits directly to expense ledgers.</t>
        </is>
      </c>
      <c r="M605" s="8" t="inlineStr">
        <is>
          <t>Strategic expansion</t>
        </is>
      </c>
      <c r="N605" s="8" t="inlineStr">
        <is>
          <t>Platform or theme scope</t>
        </is>
      </c>
      <c r="O605" s="8" t="inlineStr">
        <is>
          <t>P0</t>
        </is>
      </c>
      <c r="P605" s="5" t="inlineStr">
        <is>
          <t>Unchanged</t>
        </is>
      </c>
      <c r="Q605" s="20" t="inlineStr">
        <is>
          <t>Author assertion</t>
        </is>
      </c>
      <c r="R605" s="5" t="inlineStr"/>
      <c r="S605" s="8" t="inlineStr">
        <is>
          <t>GST</t>
        </is>
      </c>
      <c r="T605" s="5" t="inlineStr">
        <is>
          <t>GST and tax compliance</t>
        </is>
      </c>
      <c r="U605" s="8" t="inlineStr"/>
      <c r="V605" s="8" t="inlineStr">
        <is>
          <t>accounting</t>
        </is>
      </c>
      <c r="W605" s="8" t="inlineStr">
        <is>
          <t>CONTROL</t>
        </is>
      </c>
      <c r="X605" s="5" t="inlineStr">
        <is>
          <t>Core</t>
        </is>
      </c>
      <c r="Y605" s="5" t="inlineStr">
        <is>
          <t>Platform scope</t>
        </is>
      </c>
      <c r="Z605" s="5" t="inlineStr">
        <is>
          <t>Critical</t>
        </is>
      </c>
      <c r="AA605" s="5" t="inlineStr">
        <is>
          <t>High</t>
        </is>
      </c>
      <c r="AB605" s="8" t="inlineStr">
        <is>
          <t>High</t>
        </is>
      </c>
      <c r="AC605" s="8" t="inlineStr">
        <is>
          <t>MVP</t>
        </is>
      </c>
      <c r="AD605" s="5" t="inlineStr">
        <is>
          <t>Not independently checked</t>
        </is>
      </c>
      <c r="AE605" s="5" t="inlineStr">
        <is>
          <t>Not verified</t>
        </is>
      </c>
      <c r="AF605" s="5" t="inlineStr">
        <is>
          <t>Not verified</t>
        </is>
      </c>
      <c r="AG605" s="5" t="inlineStr">
        <is>
          <t>Not verified</t>
        </is>
      </c>
      <c r="AH605" s="5" t="inlineStr">
        <is>
          <t>Not verified</t>
        </is>
      </c>
      <c r="AI605" s="8" t="inlineStr">
        <is>
          <t>No</t>
        </is>
      </c>
      <c r="AJ605" s="8" t="inlineStr">
        <is>
          <t>Claimed - unverified</t>
        </is>
      </c>
      <c r="AK605" s="8" t="inlineStr">
        <is>
          <t>P0</t>
        </is>
      </c>
      <c r="AL605" s="8" t="n">
        <v>27</v>
      </c>
      <c r="AM605" s="5" t="inlineStr"/>
      <c r="AN605" s="5" t="inlineStr"/>
      <c r="AO605" s="5" t="inlineStr"/>
      <c r="AP605" s="5" t="inlineStr"/>
      <c r="AQ605" s="5" t="inlineStr"/>
      <c r="AR605" s="5" t="inlineStr"/>
      <c r="AS605" s="5" t="inlineStr"/>
      <c r="AT605" s="5" t="inlineStr"/>
      <c r="AU605" s="8" t="inlineStr">
        <is>
          <t>Not run</t>
        </is>
      </c>
    </row>
    <row r="606" ht="32" customHeight="1">
      <c r="A606" s="16" t="inlineStr">
        <is>
          <t>C-0605</t>
        </is>
      </c>
      <c r="B606" s="8" t="inlineStr">
        <is>
          <t>C</t>
        </is>
      </c>
      <c r="C606" s="5" t="inlineStr">
        <is>
          <t>Statutory Compliance</t>
        </is>
      </c>
      <c r="D606" s="5" t="inlineStr">
        <is>
          <t>GST / Tax / Compliance</t>
        </is>
      </c>
      <c r="E606" s="5" t="inlineStr">
        <is>
          <t>Section 34 CGST Act Credit and Debit Note statutory linking and time-limit validation</t>
        </is>
      </c>
      <c r="F606" s="5" t="inlineStr">
        <is>
          <t>Tax Engine</t>
        </is>
      </c>
      <c r="G606" s="5" t="inlineStr">
        <is>
          <t>Billing Clerk / Accountant</t>
        </is>
      </c>
      <c r="H606" s="5" t="inlineStr">
        <is>
          <t>Ensure every GST credit note references original tax invoice number and date, and is issued before statutory cutoff</t>
        </is>
      </c>
      <c r="I606" s="5" t="inlineStr">
        <is>
          <t>Validates original invoice link; blocks credit note issuance after 30th November of subsequent FY</t>
        </is>
      </c>
      <c r="J606" s="19" t="inlineStr">
        <is>
          <t>P0</t>
        </is>
      </c>
      <c r="K606" s="20" t="inlineStr">
        <is>
          <t>Validated (Supported)</t>
        </is>
      </c>
      <c r="L606" s="5" t="inlineStr">
        <is>
          <t>Section 34 validator enforcing mandatory original_invoice_id and statutory date limit check.</t>
        </is>
      </c>
      <c r="M606" s="8" t="inlineStr">
        <is>
          <t>Strategic expansion</t>
        </is>
      </c>
      <c r="N606" s="8" t="inlineStr">
        <is>
          <t>Platform or theme scope</t>
        </is>
      </c>
      <c r="O606" s="8" t="inlineStr">
        <is>
          <t>P0</t>
        </is>
      </c>
      <c r="P606" s="5" t="inlineStr">
        <is>
          <t>Unchanged</t>
        </is>
      </c>
      <c r="Q606" s="20" t="inlineStr">
        <is>
          <t>Author assertion</t>
        </is>
      </c>
      <c r="R606" s="5" t="inlineStr"/>
      <c r="S606" s="8" t="inlineStr">
        <is>
          <t>GST</t>
        </is>
      </c>
      <c r="T606" s="5" t="inlineStr">
        <is>
          <t>GST and tax compliance</t>
        </is>
      </c>
      <c r="U606" s="8" t="inlineStr"/>
      <c r="V606" s="8" t="inlineStr">
        <is>
          <t>accounting</t>
        </is>
      </c>
      <c r="W606" s="8" t="inlineStr">
        <is>
          <t>CONTROL</t>
        </is>
      </c>
      <c r="X606" s="5" t="inlineStr">
        <is>
          <t>Core</t>
        </is>
      </c>
      <c r="Y606" s="5" t="inlineStr">
        <is>
          <t>Platform scope</t>
        </is>
      </c>
      <c r="Z606" s="5" t="inlineStr">
        <is>
          <t>Critical</t>
        </is>
      </c>
      <c r="AA606" s="5" t="inlineStr">
        <is>
          <t>High</t>
        </is>
      </c>
      <c r="AB606" s="8" t="inlineStr">
        <is>
          <t>High</t>
        </is>
      </c>
      <c r="AC606" s="8" t="inlineStr">
        <is>
          <t>MVP</t>
        </is>
      </c>
      <c r="AD606" s="5" t="inlineStr">
        <is>
          <t>Not independently checked</t>
        </is>
      </c>
      <c r="AE606" s="5" t="inlineStr">
        <is>
          <t>Not verified</t>
        </is>
      </c>
      <c r="AF606" s="5" t="inlineStr">
        <is>
          <t>Not verified</t>
        </is>
      </c>
      <c r="AG606" s="5" t="inlineStr">
        <is>
          <t>Not verified</t>
        </is>
      </c>
      <c r="AH606" s="5" t="inlineStr">
        <is>
          <t>Not verified</t>
        </is>
      </c>
      <c r="AI606" s="8" t="inlineStr">
        <is>
          <t>No</t>
        </is>
      </c>
      <c r="AJ606" s="8" t="inlineStr">
        <is>
          <t>Claimed - unverified</t>
        </is>
      </c>
      <c r="AK606" s="8" t="inlineStr">
        <is>
          <t>P0</t>
        </is>
      </c>
      <c r="AL606" s="8" t="n">
        <v>27</v>
      </c>
      <c r="AM606" s="5" t="inlineStr"/>
      <c r="AN606" s="5" t="inlineStr"/>
      <c r="AO606" s="5" t="inlineStr"/>
      <c r="AP606" s="5" t="inlineStr"/>
      <c r="AQ606" s="5" t="inlineStr"/>
      <c r="AR606" s="5" t="inlineStr"/>
      <c r="AS606" s="5" t="inlineStr"/>
      <c r="AT606" s="5" t="inlineStr"/>
      <c r="AU606" s="8" t="inlineStr">
        <is>
          <t>Not run</t>
        </is>
      </c>
    </row>
    <row r="607" ht="32" customHeight="1">
      <c r="A607" s="16" t="inlineStr">
        <is>
          <t>C-0606</t>
        </is>
      </c>
      <c r="B607" s="8" t="inlineStr">
        <is>
          <t>C</t>
        </is>
      </c>
      <c r="C607" s="5" t="inlineStr">
        <is>
          <t>Statutory Compliance</t>
        </is>
      </c>
      <c r="D607" s="5" t="inlineStr">
        <is>
          <t>GST / Tax / Compliance</t>
        </is>
      </c>
      <c r="E607" s="5" t="inlineStr">
        <is>
          <t>Rule 138 CGST Rules mandatory E-Way Bill distance calculation via postal PIN codes</t>
        </is>
      </c>
      <c r="F607" s="5" t="inlineStr">
        <is>
          <t>E-Way Bill Engine</t>
        </is>
      </c>
      <c r="G607" s="5" t="inlineStr">
        <is>
          <t>Logistics Dispatcher</t>
        </is>
      </c>
      <c r="H607" s="5" t="inlineStr">
        <is>
          <t>Accurate calculation of road transit distance between consignor and consignee PIN codes per government logic</t>
        </is>
      </c>
      <c r="I607" s="5" t="inlineStr">
        <is>
          <t>Fetches official NIC PIN-to-PIN distance; computes statutory E-Way Bill validity days (1 day per 200 km)</t>
        </is>
      </c>
      <c r="J607" s="19" t="inlineStr">
        <is>
          <t>P0</t>
        </is>
      </c>
      <c r="K607" s="20" t="inlineStr">
        <is>
          <t>Validated (Supported)</t>
        </is>
      </c>
      <c r="L607" s="5" t="inlineStr">
        <is>
          <t>NIC E-Way Bill Distance API integration with fallback offline PIN code distance matrix.</t>
        </is>
      </c>
      <c r="M607" s="8" t="inlineStr">
        <is>
          <t>Strategic expansion</t>
        </is>
      </c>
      <c r="N607" s="8" t="inlineStr">
        <is>
          <t>Platform or theme scope</t>
        </is>
      </c>
      <c r="O607" s="8" t="inlineStr">
        <is>
          <t>P0</t>
        </is>
      </c>
      <c r="P607" s="5" t="inlineStr">
        <is>
          <t>Unchanged</t>
        </is>
      </c>
      <c r="Q607" s="20" t="inlineStr">
        <is>
          <t>Author assertion</t>
        </is>
      </c>
      <c r="R607" s="5" t="inlineStr"/>
      <c r="S607" s="8" t="inlineStr">
        <is>
          <t>GST</t>
        </is>
      </c>
      <c r="T607" s="5" t="inlineStr">
        <is>
          <t>GST and tax compliance</t>
        </is>
      </c>
      <c r="U607" s="8" t="inlineStr"/>
      <c r="V607" s="8" t="inlineStr">
        <is>
          <t>accounting</t>
        </is>
      </c>
      <c r="W607" s="8" t="inlineStr">
        <is>
          <t>CONTROL</t>
        </is>
      </c>
      <c r="X607" s="5" t="inlineStr">
        <is>
          <t>Core</t>
        </is>
      </c>
      <c r="Y607" s="5" t="inlineStr">
        <is>
          <t>Platform scope</t>
        </is>
      </c>
      <c r="Z607" s="5" t="inlineStr">
        <is>
          <t>Critical</t>
        </is>
      </c>
      <c r="AA607" s="5" t="inlineStr">
        <is>
          <t>High</t>
        </is>
      </c>
      <c r="AB607" s="8" t="inlineStr">
        <is>
          <t>High</t>
        </is>
      </c>
      <c r="AC607" s="8" t="inlineStr">
        <is>
          <t>MVP</t>
        </is>
      </c>
      <c r="AD607" s="5" t="inlineStr">
        <is>
          <t>Not independently checked</t>
        </is>
      </c>
      <c r="AE607" s="5" t="inlineStr">
        <is>
          <t>Not verified</t>
        </is>
      </c>
      <c r="AF607" s="5" t="inlineStr">
        <is>
          <t>Not verified</t>
        </is>
      </c>
      <c r="AG607" s="5" t="inlineStr">
        <is>
          <t>Not verified</t>
        </is>
      </c>
      <c r="AH607" s="5" t="inlineStr">
        <is>
          <t>Not verified</t>
        </is>
      </c>
      <c r="AI607" s="8" t="inlineStr">
        <is>
          <t>No</t>
        </is>
      </c>
      <c r="AJ607" s="8" t="inlineStr">
        <is>
          <t>Claimed - unverified</t>
        </is>
      </c>
      <c r="AK607" s="8" t="inlineStr">
        <is>
          <t>P0</t>
        </is>
      </c>
      <c r="AL607" s="8" t="n">
        <v>27</v>
      </c>
      <c r="AM607" s="5" t="inlineStr"/>
      <c r="AN607" s="5" t="inlineStr"/>
      <c r="AO607" s="5" t="inlineStr"/>
      <c r="AP607" s="5" t="inlineStr"/>
      <c r="AQ607" s="5" t="inlineStr"/>
      <c r="AR607" s="5" t="inlineStr"/>
      <c r="AS607" s="5" t="inlineStr"/>
      <c r="AT607" s="5" t="inlineStr"/>
      <c r="AU607" s="8" t="inlineStr">
        <is>
          <t>Not run</t>
        </is>
      </c>
    </row>
    <row r="608" ht="32" customHeight="1">
      <c r="A608" s="16" t="inlineStr">
        <is>
          <t>C-0607</t>
        </is>
      </c>
      <c r="B608" s="8" t="inlineStr">
        <is>
          <t>C</t>
        </is>
      </c>
      <c r="C608" s="5" t="inlineStr">
        <is>
          <t>Statutory Compliance</t>
        </is>
      </c>
      <c r="D608" s="5" t="inlineStr">
        <is>
          <t>GST / Tax / Compliance</t>
        </is>
      </c>
      <c r="E608" s="5" t="inlineStr">
        <is>
          <t>Section 50 CGST Act delayed tax payment interest calculator (18% &amp; 24% p.a.)</t>
        </is>
      </c>
      <c r="F608" s="5" t="inlineStr">
        <is>
          <t>Tax Engine / Calculator</t>
        </is>
      </c>
      <c r="G608" s="5" t="inlineStr">
        <is>
          <t>In-house Accountant</t>
        </is>
      </c>
      <c r="H608" s="5" t="inlineStr">
        <is>
          <t>Calculate statutory interest on delayed tax liability payment from electronic cash ledger</t>
        </is>
      </c>
      <c r="I608" s="5" t="inlineStr">
        <is>
          <t>Computes interest on net tax liability paid through cash after return due date per Section 50(1)</t>
        </is>
      </c>
      <c r="J608" s="19" t="inlineStr">
        <is>
          <t>P0</t>
        </is>
      </c>
      <c r="K608" s="20" t="inlineStr">
        <is>
          <t>Validated (Supported)</t>
        </is>
      </c>
      <c r="L608" s="5" t="inlineStr">
        <is>
          <t>Automated interest computation worksheet for delayed GSTR-3B filings.</t>
        </is>
      </c>
      <c r="M608" s="8" t="inlineStr">
        <is>
          <t>Strategic expansion</t>
        </is>
      </c>
      <c r="N608" s="8" t="inlineStr">
        <is>
          <t>Platform or theme scope</t>
        </is>
      </c>
      <c r="O608" s="8" t="inlineStr">
        <is>
          <t>P1</t>
        </is>
      </c>
      <c r="P608" s="5" t="inlineStr">
        <is>
          <t>Kept P0. The previous workbook had P0. Authored priority was P1.</t>
        </is>
      </c>
      <c r="Q608" s="20" t="inlineStr">
        <is>
          <t>Author assertion</t>
        </is>
      </c>
      <c r="R608" s="5" t="inlineStr">
        <is>
          <t>Kept P0. The previous workbook had P0. Authored priority was P1.</t>
        </is>
      </c>
      <c r="S608" s="8" t="inlineStr">
        <is>
          <t>GST</t>
        </is>
      </c>
      <c r="T608" s="5" t="inlineStr">
        <is>
          <t>GST and tax compliance</t>
        </is>
      </c>
      <c r="U608" s="8" t="inlineStr"/>
      <c r="V608" s="8" t="inlineStr">
        <is>
          <t>accounting</t>
        </is>
      </c>
      <c r="W608" s="8" t="inlineStr">
        <is>
          <t>CONTROL</t>
        </is>
      </c>
      <c r="X608" s="5" t="inlineStr">
        <is>
          <t>Core</t>
        </is>
      </c>
      <c r="Y608" s="5" t="inlineStr">
        <is>
          <t>Platform scope</t>
        </is>
      </c>
      <c r="Z608" s="5" t="inlineStr">
        <is>
          <t>Critical</t>
        </is>
      </c>
      <c r="AA608" s="5" t="inlineStr">
        <is>
          <t>High</t>
        </is>
      </c>
      <c r="AB608" s="8" t="inlineStr">
        <is>
          <t>High</t>
        </is>
      </c>
      <c r="AC608" s="8" t="inlineStr">
        <is>
          <t>MVP</t>
        </is>
      </c>
      <c r="AD608" s="5" t="inlineStr">
        <is>
          <t>Not independently checked</t>
        </is>
      </c>
      <c r="AE608" s="5" t="inlineStr">
        <is>
          <t>Not verified</t>
        </is>
      </c>
      <c r="AF608" s="5" t="inlineStr">
        <is>
          <t>Not verified</t>
        </is>
      </c>
      <c r="AG608" s="5" t="inlineStr">
        <is>
          <t>Not verified</t>
        </is>
      </c>
      <c r="AH608" s="5" t="inlineStr">
        <is>
          <t>Not verified</t>
        </is>
      </c>
      <c r="AI608" s="8" t="inlineStr">
        <is>
          <t>No</t>
        </is>
      </c>
      <c r="AJ608" s="8" t="inlineStr">
        <is>
          <t>Claimed - unverified</t>
        </is>
      </c>
      <c r="AK608" s="8" t="inlineStr">
        <is>
          <t>P0</t>
        </is>
      </c>
      <c r="AL608" s="8" t="n">
        <v>27</v>
      </c>
      <c r="AM608" s="5" t="inlineStr"/>
      <c r="AN608" s="5" t="inlineStr"/>
      <c r="AO608" s="5" t="inlineStr"/>
      <c r="AP608" s="5" t="inlineStr"/>
      <c r="AQ608" s="5" t="inlineStr"/>
      <c r="AR608" s="5" t="inlineStr"/>
      <c r="AS608" s="5" t="inlineStr"/>
      <c r="AT608" s="5" t="inlineStr"/>
      <c r="AU608" s="8" t="inlineStr">
        <is>
          <t>Not run</t>
        </is>
      </c>
    </row>
    <row r="609" ht="32" customHeight="1">
      <c r="A609" s="16" t="inlineStr">
        <is>
          <t>C-0608</t>
        </is>
      </c>
      <c r="B609" s="8" t="inlineStr">
        <is>
          <t>C</t>
        </is>
      </c>
      <c r="C609" s="5" t="inlineStr">
        <is>
          <t>Statutory Compliance</t>
        </is>
      </c>
      <c r="D609" s="5" t="inlineStr">
        <is>
          <t>GST / Tax / Compliance</t>
        </is>
      </c>
      <c r="E609" s="5" t="inlineStr">
        <is>
          <t>Drug License Form 20B / 21B statutory licence number printing on pharmaceutical bills</t>
        </is>
      </c>
      <c r="F609" s="5" t="inlineStr">
        <is>
          <t>Document Renderer</t>
        </is>
      </c>
      <c r="G609" s="5" t="inlineStr">
        <is>
          <t>Pharmacist</t>
        </is>
      </c>
      <c r="H609" s="5" t="inlineStr">
        <is>
          <t>Mandatory display of wholesale/retail Drug License numbers and Pharmacist Registration ID on medicine invoices</t>
        </is>
      </c>
      <c r="I609" s="5" t="inlineStr">
        <is>
          <t>Renders DL numbers prominently on invoice header per Drugs and Cosmetics Act requirements</t>
        </is>
      </c>
      <c r="J609" s="19" t="inlineStr">
        <is>
          <t>P0</t>
        </is>
      </c>
      <c r="K609" s="20" t="inlineStr">
        <is>
          <t>Validated (Supported)</t>
        </is>
      </c>
      <c r="L609" s="5" t="inlineStr">
        <is>
          <t>CompanyStatutoryLicence model integration; auto-embeds Form 20B/21B licence strings.</t>
        </is>
      </c>
      <c r="M609" s="8" t="inlineStr">
        <is>
          <t>Strategic expansion</t>
        </is>
      </c>
      <c r="N609" s="8" t="inlineStr">
        <is>
          <t>Platform or theme scope</t>
        </is>
      </c>
      <c r="O609" s="8" t="inlineStr">
        <is>
          <t>P0</t>
        </is>
      </c>
      <c r="P609" s="5" t="inlineStr">
        <is>
          <t>Unchanged</t>
        </is>
      </c>
      <c r="Q609" s="21" t="inlineStr">
        <is>
          <t>Code symbol found</t>
        </is>
      </c>
      <c r="R609" s="5" t="inlineStr">
        <is>
          <t>Matched CompanyStatutoryLicence in product code. This is not a functional test.</t>
        </is>
      </c>
      <c r="S609" s="8" t="inlineStr">
        <is>
          <t>GST</t>
        </is>
      </c>
      <c r="T609" s="5" t="inlineStr">
        <is>
          <t>GST and tax compliance</t>
        </is>
      </c>
      <c r="U609" s="8" t="inlineStr"/>
      <c r="V609" s="8" t="inlineStr">
        <is>
          <t>accounting</t>
        </is>
      </c>
      <c r="W609" s="8" t="inlineStr">
        <is>
          <t>CONTROL</t>
        </is>
      </c>
      <c r="X609" s="5" t="inlineStr">
        <is>
          <t>Core</t>
        </is>
      </c>
      <c r="Y609" s="5" t="inlineStr">
        <is>
          <t>Platform scope</t>
        </is>
      </c>
      <c r="Z609" s="5" t="inlineStr">
        <is>
          <t>Critical</t>
        </is>
      </c>
      <c r="AA609" s="5" t="inlineStr">
        <is>
          <t>High</t>
        </is>
      </c>
      <c r="AB609" s="8" t="inlineStr">
        <is>
          <t>High</t>
        </is>
      </c>
      <c r="AC609" s="8" t="inlineStr">
        <is>
          <t>MVP</t>
        </is>
      </c>
      <c r="AD609" s="5" t="inlineStr">
        <is>
          <t>Cited in code</t>
        </is>
      </c>
      <c r="AE609" s="5" t="inlineStr">
        <is>
          <t>Not verified</t>
        </is>
      </c>
      <c r="AF609" s="5" t="inlineStr">
        <is>
          <t>Not verified</t>
        </is>
      </c>
      <c r="AG609" s="5" t="inlineStr">
        <is>
          <t>Not verified</t>
        </is>
      </c>
      <c r="AH609" s="5" t="inlineStr">
        <is>
          <t>Not verified</t>
        </is>
      </c>
      <c r="AI609" s="8" t="inlineStr">
        <is>
          <t>No</t>
        </is>
      </c>
      <c r="AJ609" s="8" t="inlineStr">
        <is>
          <t>Built - unverified</t>
        </is>
      </c>
      <c r="AK609" s="8" t="inlineStr">
        <is>
          <t>P0</t>
        </is>
      </c>
      <c r="AL609" s="8" t="n">
        <v>27</v>
      </c>
      <c r="AM609" s="5" t="inlineStr"/>
      <c r="AN609" s="5" t="inlineStr"/>
      <c r="AO609" s="5" t="inlineStr"/>
      <c r="AP609" s="5" t="inlineStr"/>
      <c r="AQ609" s="5" t="inlineStr"/>
      <c r="AR609" s="5" t="inlineStr"/>
      <c r="AS609" s="5" t="inlineStr"/>
      <c r="AT609" s="5" t="inlineStr"/>
      <c r="AU609" s="8" t="inlineStr">
        <is>
          <t>Not run</t>
        </is>
      </c>
    </row>
    <row r="610" ht="32" customHeight="1">
      <c r="A610" s="16" t="inlineStr">
        <is>
          <t>C-0609</t>
        </is>
      </c>
      <c r="B610" s="8" t="inlineStr">
        <is>
          <t>C</t>
        </is>
      </c>
      <c r="C610" s="5" t="inlineStr">
        <is>
          <t>Statutory Compliance</t>
        </is>
      </c>
      <c r="D610" s="5" t="inlineStr">
        <is>
          <t>GST / Tax / Compliance</t>
        </is>
      </c>
      <c r="E610" s="5" t="inlineStr">
        <is>
          <t>Schedule H and Schedule X restricted drug sales register and doctor prescription logging</t>
        </is>
      </c>
      <c r="F610" s="5" t="inlineStr">
        <is>
          <t>Pharmacist / Dispenser</t>
        </is>
      </c>
      <c r="G610" s="5" t="inlineStr">
        <is>
          <t>Drug Inspector</t>
        </is>
      </c>
      <c r="H610" s="5" t="inlineStr">
        <is>
          <t>Maintain statutory prescription drug register recording prescribing doctor name, patient address, and batch</t>
        </is>
      </c>
      <c r="I610" s="5" t="inlineStr">
        <is>
          <t>Generates Schedule H/H1 inspection register exportable for state Drug Controller audits</t>
        </is>
      </c>
      <c r="J610" s="19" t="inlineStr">
        <is>
          <t>P0</t>
        </is>
      </c>
      <c r="K610" s="20" t="inlineStr">
        <is>
          <t>Validated (Supported)</t>
        </is>
      </c>
      <c r="L610" s="5" t="inlineStr">
        <is>
          <t>Supported via Prescription / Doctor logging modal on Schedule H pharma products.</t>
        </is>
      </c>
      <c r="M610" s="8" t="inlineStr">
        <is>
          <t>Strategic expansion</t>
        </is>
      </c>
      <c r="N610" s="8" t="inlineStr">
        <is>
          <t>Platform or theme scope</t>
        </is>
      </c>
      <c r="O610" s="8" t="inlineStr">
        <is>
          <t>P0</t>
        </is>
      </c>
      <c r="P610" s="5" t="inlineStr">
        <is>
          <t>Unchanged</t>
        </is>
      </c>
      <c r="Q610" s="20" t="inlineStr">
        <is>
          <t>Author assertion</t>
        </is>
      </c>
      <c r="R610" s="5" t="inlineStr"/>
      <c r="S610" s="8" t="inlineStr">
        <is>
          <t>GST</t>
        </is>
      </c>
      <c r="T610" s="5" t="inlineStr">
        <is>
          <t>GST and tax compliance</t>
        </is>
      </c>
      <c r="U610" s="8" t="inlineStr"/>
      <c r="V610" s="8" t="inlineStr">
        <is>
          <t>accounting</t>
        </is>
      </c>
      <c r="W610" s="8" t="inlineStr">
        <is>
          <t>CONTROL</t>
        </is>
      </c>
      <c r="X610" s="5" t="inlineStr">
        <is>
          <t>Core</t>
        </is>
      </c>
      <c r="Y610" s="5" t="inlineStr">
        <is>
          <t>Platform scope</t>
        </is>
      </c>
      <c r="Z610" s="5" t="inlineStr">
        <is>
          <t>Critical</t>
        </is>
      </c>
      <c r="AA610" s="5" t="inlineStr">
        <is>
          <t>High</t>
        </is>
      </c>
      <c r="AB610" s="8" t="inlineStr">
        <is>
          <t>High</t>
        </is>
      </c>
      <c r="AC610" s="8" t="inlineStr">
        <is>
          <t>MVP</t>
        </is>
      </c>
      <c r="AD610" s="5" t="inlineStr">
        <is>
          <t>Not independently checked</t>
        </is>
      </c>
      <c r="AE610" s="5" t="inlineStr">
        <is>
          <t>Not verified</t>
        </is>
      </c>
      <c r="AF610" s="5" t="inlineStr">
        <is>
          <t>Not verified</t>
        </is>
      </c>
      <c r="AG610" s="5" t="inlineStr">
        <is>
          <t>Not verified</t>
        </is>
      </c>
      <c r="AH610" s="5" t="inlineStr">
        <is>
          <t>Not verified</t>
        </is>
      </c>
      <c r="AI610" s="8" t="inlineStr">
        <is>
          <t>No</t>
        </is>
      </c>
      <c r="AJ610" s="8" t="inlineStr">
        <is>
          <t>Claimed - unverified</t>
        </is>
      </c>
      <c r="AK610" s="8" t="inlineStr">
        <is>
          <t>P0</t>
        </is>
      </c>
      <c r="AL610" s="8" t="n">
        <v>27</v>
      </c>
      <c r="AM610" s="5" t="inlineStr"/>
      <c r="AN610" s="5" t="inlineStr"/>
      <c r="AO610" s="5" t="inlineStr"/>
      <c r="AP610" s="5" t="inlineStr"/>
      <c r="AQ610" s="5" t="inlineStr"/>
      <c r="AR610" s="5" t="inlineStr"/>
      <c r="AS610" s="5" t="inlineStr"/>
      <c r="AT610" s="5" t="inlineStr"/>
      <c r="AU610" s="8" t="inlineStr">
        <is>
          <t>Not run</t>
        </is>
      </c>
    </row>
    <row r="611" ht="32" customHeight="1">
      <c r="A611" s="16" t="inlineStr">
        <is>
          <t>C-0610</t>
        </is>
      </c>
      <c r="B611" s="8" t="inlineStr">
        <is>
          <t>C</t>
        </is>
      </c>
      <c r="C611" s="5" t="inlineStr">
        <is>
          <t>Statutory Compliance</t>
        </is>
      </c>
      <c r="D611" s="5" t="inlineStr">
        <is>
          <t>GST / Tax / Compliance</t>
        </is>
      </c>
      <c r="E611" s="5" t="inlineStr">
        <is>
          <t>FSSAI 14-digit food safety licence number validation and mandatory invoice printing</t>
        </is>
      </c>
      <c r="F611" s="5" t="inlineStr">
        <is>
          <t>Document Renderer</t>
        </is>
      </c>
      <c r="G611" s="5" t="inlineStr">
        <is>
          <t>Kirana / FMCG Merchant</t>
        </is>
      </c>
      <c r="H611" s="5" t="inlineStr">
        <is>
          <t>Enforce printing of mandatory 14-digit FSSAI licence number on all food product invoices per FSSAI order</t>
        </is>
      </c>
      <c r="I611" s="5" t="inlineStr">
        <is>
          <t>Validates 14-digit FSSAI regex; embeds licence on invoice footer; separates food from non-food HSNs</t>
        </is>
      </c>
      <c r="J611" s="19" t="inlineStr">
        <is>
          <t>P0</t>
        </is>
      </c>
      <c r="K611" s="20" t="inlineStr">
        <is>
          <t>Validated (Supported)</t>
        </is>
      </c>
      <c r="L611" s="5" t="inlineStr">
        <is>
          <t>CompanyStatutoryLicence FSSAI validator and invoice template footer rendering.</t>
        </is>
      </c>
      <c r="M611" s="8" t="inlineStr">
        <is>
          <t>Strategic expansion</t>
        </is>
      </c>
      <c r="N611" s="8" t="inlineStr">
        <is>
          <t>Platform or theme scope</t>
        </is>
      </c>
      <c r="O611" s="8" t="inlineStr">
        <is>
          <t>P0</t>
        </is>
      </c>
      <c r="P611" s="5" t="inlineStr">
        <is>
          <t>Unchanged</t>
        </is>
      </c>
      <c r="Q611" s="21" t="inlineStr">
        <is>
          <t>Code symbol found</t>
        </is>
      </c>
      <c r="R611" s="5" t="inlineStr">
        <is>
          <t>Matched CompanyStatutoryLicence in product code. This is not a functional test.</t>
        </is>
      </c>
      <c r="S611" s="8" t="inlineStr">
        <is>
          <t>GST</t>
        </is>
      </c>
      <c r="T611" s="5" t="inlineStr">
        <is>
          <t>GST and tax compliance</t>
        </is>
      </c>
      <c r="U611" s="8" t="inlineStr"/>
      <c r="V611" s="8" t="inlineStr">
        <is>
          <t>accounting</t>
        </is>
      </c>
      <c r="W611" s="8" t="inlineStr">
        <is>
          <t>CONTROL</t>
        </is>
      </c>
      <c r="X611" s="5" t="inlineStr">
        <is>
          <t>Core</t>
        </is>
      </c>
      <c r="Y611" s="5" t="inlineStr">
        <is>
          <t>Platform scope</t>
        </is>
      </c>
      <c r="Z611" s="5" t="inlineStr">
        <is>
          <t>Critical</t>
        </is>
      </c>
      <c r="AA611" s="5" t="inlineStr">
        <is>
          <t>High</t>
        </is>
      </c>
      <c r="AB611" s="8" t="inlineStr">
        <is>
          <t>High</t>
        </is>
      </c>
      <c r="AC611" s="8" t="inlineStr">
        <is>
          <t>MVP</t>
        </is>
      </c>
      <c r="AD611" s="5" t="inlineStr">
        <is>
          <t>Cited in code</t>
        </is>
      </c>
      <c r="AE611" s="5" t="inlineStr">
        <is>
          <t>Not verified</t>
        </is>
      </c>
      <c r="AF611" s="5" t="inlineStr">
        <is>
          <t>Not verified</t>
        </is>
      </c>
      <c r="AG611" s="5" t="inlineStr">
        <is>
          <t>Not verified</t>
        </is>
      </c>
      <c r="AH611" s="5" t="inlineStr">
        <is>
          <t>Not verified</t>
        </is>
      </c>
      <c r="AI611" s="8" t="inlineStr">
        <is>
          <t>No</t>
        </is>
      </c>
      <c r="AJ611" s="8" t="inlineStr">
        <is>
          <t>Built - unverified</t>
        </is>
      </c>
      <c r="AK611" s="8" t="inlineStr">
        <is>
          <t>P0</t>
        </is>
      </c>
      <c r="AL611" s="8" t="n">
        <v>27</v>
      </c>
      <c r="AM611" s="5" t="inlineStr"/>
      <c r="AN611" s="5" t="inlineStr"/>
      <c r="AO611" s="5" t="inlineStr"/>
      <c r="AP611" s="5" t="inlineStr"/>
      <c r="AQ611" s="5" t="inlineStr"/>
      <c r="AR611" s="5" t="inlineStr"/>
      <c r="AS611" s="5" t="inlineStr"/>
      <c r="AT611" s="5" t="inlineStr"/>
      <c r="AU611" s="8" t="inlineStr">
        <is>
          <t>Not run</t>
        </is>
      </c>
    </row>
    <row r="612" ht="32" customHeight="1">
      <c r="A612" s="16" t="inlineStr">
        <is>
          <t>C-0611</t>
        </is>
      </c>
      <c r="B612" s="8" t="inlineStr">
        <is>
          <t>C</t>
        </is>
      </c>
      <c r="C612" s="5" t="inlineStr">
        <is>
          <t>Statutory Compliance</t>
        </is>
      </c>
      <c r="D612" s="5" t="inlineStr">
        <is>
          <t>GST / Tax / Compliance</t>
        </is>
      </c>
      <c r="E612" s="5" t="inlineStr">
        <is>
          <t>Legal Metrology (Packaged Commodities) Rules mandatory unit price declaration</t>
        </is>
      </c>
      <c r="F612" s="5" t="inlineStr">
        <is>
          <t>Document Renderer</t>
        </is>
      </c>
      <c r="G612" s="5" t="inlineStr">
        <is>
          <t>Retail Merchant</t>
        </is>
      </c>
      <c r="H612" s="5" t="inlineStr">
        <is>
          <t>Display both packaged MRP and unit selling price (per gram / per ml / per piece) on retail bills</t>
        </is>
      </c>
      <c r="I612" s="5" t="inlineStr">
        <is>
          <t>Computes and prints unit price declaration compliant with Legal Metrology Amendment Rules</t>
        </is>
      </c>
      <c r="J612" s="20" t="inlineStr">
        <is>
          <t>P1</t>
        </is>
      </c>
      <c r="K612" s="20" t="inlineStr">
        <is>
          <t>Validated (Supported)</t>
        </is>
      </c>
      <c r="L612" s="5" t="inlineStr">
        <is>
          <t>Supported via Unit Sale Price (USP) calculator and POS receipt formatting.</t>
        </is>
      </c>
      <c r="M612" s="8" t="inlineStr">
        <is>
          <t>Strategic expansion</t>
        </is>
      </c>
      <c r="N612" s="8" t="inlineStr">
        <is>
          <t>Platform or theme scope</t>
        </is>
      </c>
      <c r="O612" s="8" t="inlineStr">
        <is>
          <t>P1</t>
        </is>
      </c>
      <c r="P612" s="5" t="inlineStr">
        <is>
          <t>Unchanged</t>
        </is>
      </c>
      <c r="Q612" s="20" t="inlineStr">
        <is>
          <t>Author assertion</t>
        </is>
      </c>
      <c r="R612" s="5" t="inlineStr"/>
      <c r="S612" s="8" t="inlineStr">
        <is>
          <t>GST</t>
        </is>
      </c>
      <c r="T612" s="5" t="inlineStr">
        <is>
          <t>GST and tax compliance</t>
        </is>
      </c>
      <c r="U612" s="8" t="inlineStr"/>
      <c r="V612" s="8" t="inlineStr">
        <is>
          <t>accounting</t>
        </is>
      </c>
      <c r="W612" s="8" t="inlineStr">
        <is>
          <t>CONTROL</t>
        </is>
      </c>
      <c r="X612" s="5" t="inlineStr">
        <is>
          <t>Core</t>
        </is>
      </c>
      <c r="Y612" s="5" t="inlineStr">
        <is>
          <t>Platform scope</t>
        </is>
      </c>
      <c r="Z612" s="5" t="inlineStr">
        <is>
          <t>Critical</t>
        </is>
      </c>
      <c r="AA612" s="5" t="inlineStr">
        <is>
          <t>High</t>
        </is>
      </c>
      <c r="AB612" s="8" t="inlineStr">
        <is>
          <t>High</t>
        </is>
      </c>
      <c r="AC612" s="8" t="inlineStr">
        <is>
          <t>Pilot</t>
        </is>
      </c>
      <c r="AD612" s="5" t="inlineStr">
        <is>
          <t>Not independently checked</t>
        </is>
      </c>
      <c r="AE612" s="5" t="inlineStr">
        <is>
          <t>Not verified</t>
        </is>
      </c>
      <c r="AF612" s="5" t="inlineStr">
        <is>
          <t>Not verified</t>
        </is>
      </c>
      <c r="AG612" s="5" t="inlineStr">
        <is>
          <t>Not verified</t>
        </is>
      </c>
      <c r="AH612" s="5" t="inlineStr">
        <is>
          <t>Not verified</t>
        </is>
      </c>
      <c r="AI612" s="8" t="inlineStr">
        <is>
          <t>No</t>
        </is>
      </c>
      <c r="AJ612" s="8" t="inlineStr">
        <is>
          <t>Claimed - unverified</t>
        </is>
      </c>
      <c r="AK612" s="8" t="inlineStr">
        <is>
          <t>P1</t>
        </is>
      </c>
      <c r="AL612" s="8" t="n">
        <v>27</v>
      </c>
      <c r="AM612" s="5" t="inlineStr"/>
      <c r="AN612" s="5" t="inlineStr"/>
      <c r="AO612" s="5" t="inlineStr"/>
      <c r="AP612" s="5" t="inlineStr"/>
      <c r="AQ612" s="5" t="inlineStr"/>
      <c r="AR612" s="5" t="inlineStr"/>
      <c r="AS612" s="5" t="inlineStr"/>
      <c r="AT612" s="5" t="inlineStr"/>
      <c r="AU612" s="8" t="inlineStr">
        <is>
          <t>Not run</t>
        </is>
      </c>
    </row>
    <row r="613" ht="32" customHeight="1">
      <c r="A613" s="16" t="inlineStr">
        <is>
          <t>C-0612</t>
        </is>
      </c>
      <c r="B613" s="8" t="inlineStr">
        <is>
          <t>C</t>
        </is>
      </c>
      <c r="C613" s="5" t="inlineStr">
        <is>
          <t>Statutory Compliance</t>
        </is>
      </c>
      <c r="D613" s="5" t="inlineStr">
        <is>
          <t>GST / Tax / Compliance</t>
        </is>
      </c>
      <c r="E613" s="5" t="inlineStr">
        <is>
          <t>Section 194C TDS withholding on commercial transport and contractor payments</t>
        </is>
      </c>
      <c r="F613" s="5" t="inlineStr">
        <is>
          <t>In-house Accountant</t>
        </is>
      </c>
      <c r="G613" s="5" t="inlineStr">
        <is>
          <t>Transporter / Contractor</t>
        </is>
      </c>
      <c r="H613" s="5" t="inlineStr">
        <is>
          <t>Deduct 1% (Individual) or 2% (Company) TDS on freight payments exceeding ₹30,000 single or ₹1,00,000 aggregate</t>
        </is>
      </c>
      <c r="I613" s="5" t="inlineStr">
        <is>
          <t>Credits TDS Payable (Sec 194C) account; generates Form 26Q quarterly compliance entries</t>
        </is>
      </c>
      <c r="J613" s="20" t="inlineStr">
        <is>
          <t>P1</t>
        </is>
      </c>
      <c r="K613" s="20" t="inlineStr">
        <is>
          <t>Validated (Supported)</t>
        </is>
      </c>
      <c r="L613" s="5" t="inlineStr">
        <is>
          <t>Expense entry Section 194C withholding rule with transporter PAN validation.</t>
        </is>
      </c>
      <c r="M613" s="8" t="inlineStr">
        <is>
          <t>Strategic expansion</t>
        </is>
      </c>
      <c r="N613" s="8" t="inlineStr">
        <is>
          <t>Platform or theme scope</t>
        </is>
      </c>
      <c r="O613" s="8" t="inlineStr">
        <is>
          <t>P1</t>
        </is>
      </c>
      <c r="P613" s="5" t="inlineStr">
        <is>
          <t>Unchanged</t>
        </is>
      </c>
      <c r="Q613" s="20" t="inlineStr">
        <is>
          <t>Author assertion</t>
        </is>
      </c>
      <c r="R613" s="5" t="inlineStr"/>
      <c r="S613" s="8" t="inlineStr">
        <is>
          <t>GST</t>
        </is>
      </c>
      <c r="T613" s="5" t="inlineStr">
        <is>
          <t>GST and tax compliance</t>
        </is>
      </c>
      <c r="U613" s="8" t="inlineStr"/>
      <c r="V613" s="8" t="inlineStr">
        <is>
          <t>accounting</t>
        </is>
      </c>
      <c r="W613" s="8" t="inlineStr">
        <is>
          <t>CONTROL</t>
        </is>
      </c>
      <c r="X613" s="5" t="inlineStr">
        <is>
          <t>Core</t>
        </is>
      </c>
      <c r="Y613" s="5" t="inlineStr">
        <is>
          <t>Platform scope</t>
        </is>
      </c>
      <c r="Z613" s="5" t="inlineStr">
        <is>
          <t>Critical</t>
        </is>
      </c>
      <c r="AA613" s="5" t="inlineStr">
        <is>
          <t>High</t>
        </is>
      </c>
      <c r="AB613" s="8" t="inlineStr">
        <is>
          <t>High</t>
        </is>
      </c>
      <c r="AC613" s="8" t="inlineStr">
        <is>
          <t>Pilot</t>
        </is>
      </c>
      <c r="AD613" s="5" t="inlineStr">
        <is>
          <t>Not independently checked</t>
        </is>
      </c>
      <c r="AE613" s="5" t="inlineStr">
        <is>
          <t>Not verified</t>
        </is>
      </c>
      <c r="AF613" s="5" t="inlineStr">
        <is>
          <t>Not verified</t>
        </is>
      </c>
      <c r="AG613" s="5" t="inlineStr">
        <is>
          <t>Not verified</t>
        </is>
      </c>
      <c r="AH613" s="5" t="inlineStr">
        <is>
          <t>Not verified</t>
        </is>
      </c>
      <c r="AI613" s="8" t="inlineStr">
        <is>
          <t>No</t>
        </is>
      </c>
      <c r="AJ613" s="8" t="inlineStr">
        <is>
          <t>Claimed - unverified</t>
        </is>
      </c>
      <c r="AK613" s="8" t="inlineStr">
        <is>
          <t>P1</t>
        </is>
      </c>
      <c r="AL613" s="8" t="n">
        <v>27</v>
      </c>
      <c r="AM613" s="5" t="inlineStr"/>
      <c r="AN613" s="5" t="inlineStr"/>
      <c r="AO613" s="5" t="inlineStr"/>
      <c r="AP613" s="5" t="inlineStr"/>
      <c r="AQ613" s="5" t="inlineStr"/>
      <c r="AR613" s="5" t="inlineStr"/>
      <c r="AS613" s="5" t="inlineStr"/>
      <c r="AT613" s="5" t="inlineStr"/>
      <c r="AU613" s="8" t="inlineStr">
        <is>
          <t>Not run</t>
        </is>
      </c>
    </row>
    <row r="614" ht="32" customHeight="1">
      <c r="A614" s="16" t="inlineStr">
        <is>
          <t>C-0613</t>
        </is>
      </c>
      <c r="B614" s="8" t="inlineStr">
        <is>
          <t>C</t>
        </is>
      </c>
      <c r="C614" s="5" t="inlineStr">
        <is>
          <t>Statutory Compliance</t>
        </is>
      </c>
      <c r="D614" s="5" t="inlineStr">
        <is>
          <t>GST / Tax / Compliance</t>
        </is>
      </c>
      <c r="E614" s="5" t="inlineStr">
        <is>
          <t>Section 194J TDS withholding on professional and legal service fees</t>
        </is>
      </c>
      <c r="F614" s="5" t="inlineStr">
        <is>
          <t>In-house Accountant</t>
        </is>
      </c>
      <c r="G614" s="5" t="inlineStr">
        <is>
          <t>External CA / Legal Counsel</t>
        </is>
      </c>
      <c r="H614" s="5" t="inlineStr">
        <is>
          <t>Deduct 10% (or 2% technical service) TDS on professional consultancy fees exceeding ₹30,000 threshold</t>
        </is>
      </c>
      <c r="I614" s="5" t="inlineStr">
        <is>
          <t>Creates TDS payable liability; tracks annual professional fee expenditure per consultant</t>
        </is>
      </c>
      <c r="J614" s="20" t="inlineStr">
        <is>
          <t>P1</t>
        </is>
      </c>
      <c r="K614" s="20" t="inlineStr">
        <is>
          <t>Validated (Supported)</t>
        </is>
      </c>
      <c r="L614" s="5" t="inlineStr">
        <is>
          <t>Expense voucher Section 194J deduction rule with Form 16A certificate generation.</t>
        </is>
      </c>
      <c r="M614" s="8" t="inlineStr">
        <is>
          <t>Strategic expansion</t>
        </is>
      </c>
      <c r="N614" s="8" t="inlineStr">
        <is>
          <t>Platform or theme scope</t>
        </is>
      </c>
      <c r="O614" s="8" t="inlineStr">
        <is>
          <t>P1</t>
        </is>
      </c>
      <c r="P614" s="5" t="inlineStr">
        <is>
          <t>Unchanged</t>
        </is>
      </c>
      <c r="Q614" s="20" t="inlineStr">
        <is>
          <t>Author assertion</t>
        </is>
      </c>
      <c r="R614" s="5" t="inlineStr"/>
      <c r="S614" s="8" t="inlineStr">
        <is>
          <t>GST</t>
        </is>
      </c>
      <c r="T614" s="5" t="inlineStr">
        <is>
          <t>GST and tax compliance</t>
        </is>
      </c>
      <c r="U614" s="8" t="inlineStr"/>
      <c r="V614" s="8" t="inlineStr">
        <is>
          <t>accounting</t>
        </is>
      </c>
      <c r="W614" s="8" t="inlineStr">
        <is>
          <t>CONTROL</t>
        </is>
      </c>
      <c r="X614" s="5" t="inlineStr">
        <is>
          <t>Core</t>
        </is>
      </c>
      <c r="Y614" s="5" t="inlineStr">
        <is>
          <t>Platform scope</t>
        </is>
      </c>
      <c r="Z614" s="5" t="inlineStr">
        <is>
          <t>Critical</t>
        </is>
      </c>
      <c r="AA614" s="5" t="inlineStr">
        <is>
          <t>High</t>
        </is>
      </c>
      <c r="AB614" s="8" t="inlineStr">
        <is>
          <t>High</t>
        </is>
      </c>
      <c r="AC614" s="8" t="inlineStr">
        <is>
          <t>Pilot</t>
        </is>
      </c>
      <c r="AD614" s="5" t="inlineStr">
        <is>
          <t>Not independently checked</t>
        </is>
      </c>
      <c r="AE614" s="5" t="inlineStr">
        <is>
          <t>Not verified</t>
        </is>
      </c>
      <c r="AF614" s="5" t="inlineStr">
        <is>
          <t>Not verified</t>
        </is>
      </c>
      <c r="AG614" s="5" t="inlineStr">
        <is>
          <t>Not verified</t>
        </is>
      </c>
      <c r="AH614" s="5" t="inlineStr">
        <is>
          <t>Not verified</t>
        </is>
      </c>
      <c r="AI614" s="8" t="inlineStr">
        <is>
          <t>No</t>
        </is>
      </c>
      <c r="AJ614" s="8" t="inlineStr">
        <is>
          <t>Claimed - unverified</t>
        </is>
      </c>
      <c r="AK614" s="8" t="inlineStr">
        <is>
          <t>P1</t>
        </is>
      </c>
      <c r="AL614" s="8" t="n">
        <v>27</v>
      </c>
      <c r="AM614" s="5" t="inlineStr"/>
      <c r="AN614" s="5" t="inlineStr"/>
      <c r="AO614" s="5" t="inlineStr"/>
      <c r="AP614" s="5" t="inlineStr"/>
      <c r="AQ614" s="5" t="inlineStr"/>
      <c r="AR614" s="5" t="inlineStr"/>
      <c r="AS614" s="5" t="inlineStr"/>
      <c r="AT614" s="5" t="inlineStr"/>
      <c r="AU614" s="8" t="inlineStr">
        <is>
          <t>Not run</t>
        </is>
      </c>
    </row>
    <row r="615" ht="32" customHeight="1">
      <c r="A615" s="16" t="inlineStr">
        <is>
          <t>C-0614</t>
        </is>
      </c>
      <c r="B615" s="8" t="inlineStr">
        <is>
          <t>C</t>
        </is>
      </c>
      <c r="C615" s="5" t="inlineStr">
        <is>
          <t>Statutory Compliance</t>
        </is>
      </c>
      <c r="D615" s="5" t="inlineStr">
        <is>
          <t>GST / Tax / Compliance</t>
        </is>
      </c>
      <c r="E615" s="5" t="inlineStr">
        <is>
          <t>Section 206AB / 206CCA active compliance verification via Income Tax Department PAN utility</t>
        </is>
      </c>
      <c r="F615" s="5" t="inlineStr">
        <is>
          <t>Tax Engine / Compliance</t>
        </is>
      </c>
      <c r="G615" s="5" t="inlineStr">
        <is>
          <t>Supplier / Customer</t>
        </is>
      </c>
      <c r="H615" s="5" t="inlineStr">
        <is>
          <t>Verify whether supplier/customer is a 'Specified Person' subject to 5% higher TDS/TCS deduction</t>
        </is>
      </c>
      <c r="I615" s="5" t="inlineStr">
        <is>
          <t>Stores Section 206AB verification status on party master; updates deduction rates automatically</t>
        </is>
      </c>
      <c r="J615" s="20" t="inlineStr">
        <is>
          <t>P1</t>
        </is>
      </c>
      <c r="K615" s="19" t="inlineStr">
        <is>
          <t>Mechanism not found</t>
        </is>
      </c>
      <c r="L615" s="5" t="inlineStr">
        <is>
          <t>PAN 206AB compliance check utility supporting bulk party verification.</t>
        </is>
      </c>
      <c r="M615" s="8" t="inlineStr">
        <is>
          <t>Strategic expansion</t>
        </is>
      </c>
      <c r="N615" s="8" t="inlineStr">
        <is>
          <t>Platform or theme scope</t>
        </is>
      </c>
      <c r="O615" s="8" t="inlineStr">
        <is>
          <t>P1</t>
        </is>
      </c>
      <c r="P615" s="5" t="inlineStr">
        <is>
          <t>Unchanged</t>
        </is>
      </c>
      <c r="Q615" s="19" t="inlineStr">
        <is>
          <t>Mechanism not found</t>
        </is>
      </c>
      <c r="R615" s="5" t="inlineStr">
        <is>
          <t>No Section 206AB PAN check was found.</t>
        </is>
      </c>
      <c r="S615" s="8" t="inlineStr">
        <is>
          <t>GST</t>
        </is>
      </c>
      <c r="T615" s="5" t="inlineStr">
        <is>
          <t>GST and tax compliance</t>
        </is>
      </c>
      <c r="U615" s="8" t="inlineStr"/>
      <c r="V615" s="8" t="inlineStr">
        <is>
          <t>accounting</t>
        </is>
      </c>
      <c r="W615" s="8" t="inlineStr">
        <is>
          <t>CONTROL</t>
        </is>
      </c>
      <c r="X615" s="5" t="inlineStr">
        <is>
          <t>Core</t>
        </is>
      </c>
      <c r="Y615" s="5" t="inlineStr">
        <is>
          <t>Platform scope</t>
        </is>
      </c>
      <c r="Z615" s="5" t="inlineStr">
        <is>
          <t>Critical</t>
        </is>
      </c>
      <c r="AA615" s="5" t="inlineStr">
        <is>
          <t>High</t>
        </is>
      </c>
      <c r="AB615" s="8" t="inlineStr">
        <is>
          <t>High</t>
        </is>
      </c>
      <c r="AC615" s="8" t="inlineStr">
        <is>
          <t>Pilot</t>
        </is>
      </c>
      <c r="AD615" s="5" t="inlineStr">
        <is>
          <t>Not in code</t>
        </is>
      </c>
      <c r="AE615" s="5" t="inlineStr">
        <is>
          <t>Not verified</t>
        </is>
      </c>
      <c r="AF615" s="5" t="inlineStr">
        <is>
          <t>Not verified</t>
        </is>
      </c>
      <c r="AG615" s="5" t="inlineStr">
        <is>
          <t>Not verified</t>
        </is>
      </c>
      <c r="AH615" s="5" t="inlineStr">
        <is>
          <t>Not verified</t>
        </is>
      </c>
      <c r="AI615" s="8" t="inlineStr">
        <is>
          <t>No</t>
        </is>
      </c>
      <c r="AJ615" s="8" t="inlineStr">
        <is>
          <t>Gap</t>
        </is>
      </c>
      <c r="AK615" s="8" t="inlineStr">
        <is>
          <t>P1</t>
        </is>
      </c>
      <c r="AL615" s="8" t="n">
        <v>27</v>
      </c>
      <c r="AM615" s="5" t="inlineStr"/>
      <c r="AN615" s="5" t="inlineStr"/>
      <c r="AO615" s="5" t="inlineStr"/>
      <c r="AP615" s="5" t="inlineStr"/>
      <c r="AQ615" s="5" t="inlineStr"/>
      <c r="AR615" s="5" t="inlineStr"/>
      <c r="AS615" s="5" t="inlineStr"/>
      <c r="AT615" s="5" t="inlineStr"/>
      <c r="AU615" s="8" t="inlineStr">
        <is>
          <t>Not run</t>
        </is>
      </c>
    </row>
    <row r="616" ht="32" customHeight="1">
      <c r="A616" s="16" t="inlineStr">
        <is>
          <t>C-0615</t>
        </is>
      </c>
      <c r="B616" s="8" t="inlineStr">
        <is>
          <t>C</t>
        </is>
      </c>
      <c r="C616" s="5" t="inlineStr">
        <is>
          <t>Statutory Compliance</t>
        </is>
      </c>
      <c r="D616" s="5" t="inlineStr">
        <is>
          <t>GST / Tax / Compliance</t>
        </is>
      </c>
      <c r="E616" s="5" t="inlineStr">
        <is>
          <t>Rule 42 and Rule 43 CGST Rules proportionate reversal of common input tax credit</t>
        </is>
      </c>
      <c r="F616" s="5" t="inlineStr">
        <is>
          <t>Tax Engine</t>
        </is>
      </c>
      <c r="G616" s="5" t="inlineStr">
        <is>
          <t>External CA / Accountant</t>
        </is>
      </c>
      <c r="H616" s="5" t="inlineStr">
        <is>
          <t>Calculate monthly and annual proportionate ITC reversal for goods used for both taxable and exempt supplies</t>
        </is>
      </c>
      <c r="I616" s="5" t="inlineStr">
        <is>
          <t>Computes common credit reversal ratio; posts reversal journal voucher to GL and GSTR-3B Table 4(B)(1)</t>
        </is>
      </c>
      <c r="J616" s="20" t="inlineStr">
        <is>
          <t>P1</t>
        </is>
      </c>
      <c r="K616" s="20" t="inlineStr">
        <is>
          <t>Validated (Supported)</t>
        </is>
      </c>
      <c r="L616" s="5" t="inlineStr">
        <is>
          <t>Rule 42/43 Common Credit Reversal Worksheet compiler in gst module.</t>
        </is>
      </c>
      <c r="M616" s="8" t="inlineStr">
        <is>
          <t>Strategic expansion</t>
        </is>
      </c>
      <c r="N616" s="8" t="inlineStr">
        <is>
          <t>Platform or theme scope</t>
        </is>
      </c>
      <c r="O616" s="8" t="inlineStr">
        <is>
          <t>P1</t>
        </is>
      </c>
      <c r="P616" s="5" t="inlineStr">
        <is>
          <t>Unchanged</t>
        </is>
      </c>
      <c r="Q616" s="20" t="inlineStr">
        <is>
          <t>Author assertion</t>
        </is>
      </c>
      <c r="R616" s="5" t="inlineStr"/>
      <c r="S616" s="8" t="inlineStr">
        <is>
          <t>GST</t>
        </is>
      </c>
      <c r="T616" s="5" t="inlineStr">
        <is>
          <t>GST and tax compliance</t>
        </is>
      </c>
      <c r="U616" s="8" t="inlineStr"/>
      <c r="V616" s="8" t="inlineStr">
        <is>
          <t>accounting</t>
        </is>
      </c>
      <c r="W616" s="8" t="inlineStr">
        <is>
          <t>CONTROL</t>
        </is>
      </c>
      <c r="X616" s="5" t="inlineStr">
        <is>
          <t>Core</t>
        </is>
      </c>
      <c r="Y616" s="5" t="inlineStr">
        <is>
          <t>Platform scope</t>
        </is>
      </c>
      <c r="Z616" s="5" t="inlineStr">
        <is>
          <t>Critical</t>
        </is>
      </c>
      <c r="AA616" s="5" t="inlineStr">
        <is>
          <t>High</t>
        </is>
      </c>
      <c r="AB616" s="8" t="inlineStr">
        <is>
          <t>High</t>
        </is>
      </c>
      <c r="AC616" s="8" t="inlineStr">
        <is>
          <t>Pilot</t>
        </is>
      </c>
      <c r="AD616" s="5" t="inlineStr">
        <is>
          <t>Not independently checked</t>
        </is>
      </c>
      <c r="AE616" s="5" t="inlineStr">
        <is>
          <t>Not verified</t>
        </is>
      </c>
      <c r="AF616" s="5" t="inlineStr">
        <is>
          <t>Not verified</t>
        </is>
      </c>
      <c r="AG616" s="5" t="inlineStr">
        <is>
          <t>Not verified</t>
        </is>
      </c>
      <c r="AH616" s="5" t="inlineStr">
        <is>
          <t>Not verified</t>
        </is>
      </c>
      <c r="AI616" s="8" t="inlineStr">
        <is>
          <t>No</t>
        </is>
      </c>
      <c r="AJ616" s="8" t="inlineStr">
        <is>
          <t>Claimed - unverified</t>
        </is>
      </c>
      <c r="AK616" s="8" t="inlineStr">
        <is>
          <t>P1</t>
        </is>
      </c>
      <c r="AL616" s="8" t="n">
        <v>27</v>
      </c>
      <c r="AM616" s="5" t="inlineStr"/>
      <c r="AN616" s="5" t="inlineStr"/>
      <c r="AO616" s="5" t="inlineStr"/>
      <c r="AP616" s="5" t="inlineStr"/>
      <c r="AQ616" s="5" t="inlineStr"/>
      <c r="AR616" s="5" t="inlineStr"/>
      <c r="AS616" s="5" t="inlineStr"/>
      <c r="AT616" s="5" t="inlineStr"/>
      <c r="AU616" s="8" t="inlineStr">
        <is>
          <t>Not run</t>
        </is>
      </c>
    </row>
    <row r="617" ht="32" customHeight="1">
      <c r="A617" s="16" t="inlineStr">
        <is>
          <t>C-0616</t>
        </is>
      </c>
      <c r="B617" s="8" t="inlineStr">
        <is>
          <t>C</t>
        </is>
      </c>
      <c r="C617" s="5" t="inlineStr">
        <is>
          <t>Statutory Compliance</t>
        </is>
      </c>
      <c r="D617" s="5" t="inlineStr">
        <is>
          <t>Security / Exception / Recovery</t>
        </is>
      </c>
      <c r="E617" s="5" t="inlineStr">
        <is>
          <t>Companies (Accounts) Rules Rule 3(1) and Rule 11(g) audit trail compliance certification</t>
        </is>
      </c>
      <c r="F617" s="5" t="inlineStr">
        <is>
          <t>Statutory Auditor</t>
        </is>
      </c>
      <c r="G617" s="5" t="inlineStr">
        <is>
          <t>Managing Proprietor</t>
        </is>
      </c>
      <c r="H617" s="5" t="inlineStr">
        <is>
          <t>Generate cryptographic certification log proving that software edit log feature was enabled at all times</t>
        </is>
      </c>
      <c r="I617" s="5" t="inlineStr">
        <is>
          <t>Renders MCA Audit Trail Compliance Report detailing database immutability and user change logs</t>
        </is>
      </c>
      <c r="J617" s="19" t="inlineStr">
        <is>
          <t>P0</t>
        </is>
      </c>
      <c r="K617" s="20" t="inlineStr">
        <is>
          <t>Validated (Supported)</t>
        </is>
      </c>
      <c r="L617" s="5" t="inlineStr">
        <is>
          <t>MCA Rule 11(g) compliance export module verifying zero disabled audit logging intervals.</t>
        </is>
      </c>
      <c r="M617" s="8" t="inlineStr">
        <is>
          <t>Strategic expansion</t>
        </is>
      </c>
      <c r="N617" s="8" t="inlineStr">
        <is>
          <t>Platform or theme scope</t>
        </is>
      </c>
      <c r="O617" s="8" t="inlineStr">
        <is>
          <t>P0</t>
        </is>
      </c>
      <c r="P617" s="5" t="inlineStr">
        <is>
          <t>Unchanged</t>
        </is>
      </c>
      <c r="Q617" s="20" t="inlineStr">
        <is>
          <t>Author assertion</t>
        </is>
      </c>
      <c r="R617" s="5" t="inlineStr"/>
      <c r="S617" s="8" t="inlineStr">
        <is>
          <t>OTHER</t>
        </is>
      </c>
      <c r="T617" s="5" t="inlineStr">
        <is>
          <t>Security / Exception / Recovery</t>
        </is>
      </c>
      <c r="U617" s="8" t="inlineStr"/>
      <c r="V617" s="8" t="inlineStr"/>
      <c r="W617" s="8" t="inlineStr">
        <is>
          <t>CONTROL</t>
        </is>
      </c>
      <c r="X617" s="5" t="inlineStr">
        <is>
          <t>Core</t>
        </is>
      </c>
      <c r="Y617" s="5" t="inlineStr">
        <is>
          <t>Platform scope</t>
        </is>
      </c>
      <c r="Z617" s="5" t="inlineStr">
        <is>
          <t>High</t>
        </is>
      </c>
      <c r="AA617" s="5" t="inlineStr">
        <is>
          <t>Medium</t>
        </is>
      </c>
      <c r="AB617" s="8" t="inlineStr">
        <is>
          <t>Medium</t>
        </is>
      </c>
      <c r="AC617" s="8" t="inlineStr">
        <is>
          <t>MVP</t>
        </is>
      </c>
      <c r="AD617" s="5" t="inlineStr">
        <is>
          <t>Not independently checked</t>
        </is>
      </c>
      <c r="AE617" s="5" t="inlineStr">
        <is>
          <t>Not verified</t>
        </is>
      </c>
      <c r="AF617" s="5" t="inlineStr">
        <is>
          <t>Not verified</t>
        </is>
      </c>
      <c r="AG617" s="5" t="inlineStr">
        <is>
          <t>Not verified</t>
        </is>
      </c>
      <c r="AH617" s="5" t="inlineStr">
        <is>
          <t>Not verified</t>
        </is>
      </c>
      <c r="AI617" s="8" t="inlineStr">
        <is>
          <t>No</t>
        </is>
      </c>
      <c r="AJ617" s="8" t="inlineStr">
        <is>
          <t>Claimed - unverified</t>
        </is>
      </c>
      <c r="AK617" s="8" t="inlineStr">
        <is>
          <t>P0</t>
        </is>
      </c>
      <c r="AL617" s="8" t="n">
        <v>12</v>
      </c>
      <c r="AM617" s="5" t="inlineStr"/>
      <c r="AN617" s="5" t="inlineStr"/>
      <c r="AO617" s="5" t="inlineStr"/>
      <c r="AP617" s="5" t="inlineStr"/>
      <c r="AQ617" s="5" t="inlineStr"/>
      <c r="AR617" s="5" t="inlineStr"/>
      <c r="AS617" s="5" t="inlineStr"/>
      <c r="AT617" s="5" t="inlineStr"/>
      <c r="AU617" s="8" t="inlineStr">
        <is>
          <t>Not run</t>
        </is>
      </c>
    </row>
    <row r="618" ht="32" customHeight="1">
      <c r="A618" s="16" t="inlineStr">
        <is>
          <t>C-0617</t>
        </is>
      </c>
      <c r="B618" s="8" t="inlineStr">
        <is>
          <t>C</t>
        </is>
      </c>
      <c r="C618" s="5" t="inlineStr">
        <is>
          <t>Statutory Compliance</t>
        </is>
      </c>
      <c r="D618" s="5" t="inlineStr">
        <is>
          <t>GST / Tax / Compliance</t>
        </is>
      </c>
      <c r="E618" s="5" t="inlineStr">
        <is>
          <t>Section 128A CGST Act amnesty scheme conditional waiver tracking and reconciliation</t>
        </is>
      </c>
      <c r="F618" s="5" t="inlineStr">
        <is>
          <t>In-house Accountant</t>
        </is>
      </c>
      <c r="G618" s="5" t="inlineStr">
        <is>
          <t>External CA</t>
        </is>
      </c>
      <c r="H618" s="5" t="inlineStr">
        <is>
          <t>Track tax demand notices eligible for interest and penalty waiver under Section 128A GST amnesty</t>
        </is>
      </c>
      <c r="I618" s="5" t="inlineStr">
        <is>
          <t>Prepares statement of disputed tax paid; reconciles waiver eligibility for FY 2017-18 to 2019-20</t>
        </is>
      </c>
      <c r="J618" s="24" t="inlineStr">
        <is>
          <t>P3</t>
        </is>
      </c>
      <c r="K618" s="20" t="inlineStr">
        <is>
          <t>Validated (Supported)</t>
        </is>
      </c>
      <c r="L618" s="5" t="inlineStr">
        <is>
          <t>Section 128A amnesty reconciliation tracking report in GST compliance module.</t>
        </is>
      </c>
      <c r="M618" s="8" t="inlineStr">
        <is>
          <t>Strategic expansion</t>
        </is>
      </c>
      <c r="N618" s="8" t="inlineStr">
        <is>
          <t>Platform or theme scope</t>
        </is>
      </c>
      <c r="O618" s="8" t="inlineStr">
        <is>
          <t>P2</t>
        </is>
      </c>
      <c r="P618" s="5" t="inlineStr">
        <is>
          <t>Kept P3. The previous workbook had P3. Authored priority was P2.</t>
        </is>
      </c>
      <c r="Q618" s="20" t="inlineStr">
        <is>
          <t>Author assertion</t>
        </is>
      </c>
      <c r="R618" s="5" t="inlineStr">
        <is>
          <t>Kept P3. The previous workbook had P3. Authored priority was P2.</t>
        </is>
      </c>
      <c r="S618" s="8" t="inlineStr">
        <is>
          <t>GST</t>
        </is>
      </c>
      <c r="T618" s="5" t="inlineStr">
        <is>
          <t>GST and tax compliance</t>
        </is>
      </c>
      <c r="U618" s="8" t="inlineStr"/>
      <c r="V618" s="8" t="inlineStr">
        <is>
          <t>accounting</t>
        </is>
      </c>
      <c r="W618" s="8" t="inlineStr">
        <is>
          <t>CONTROL</t>
        </is>
      </c>
      <c r="X618" s="5" t="inlineStr">
        <is>
          <t>Future</t>
        </is>
      </c>
      <c r="Y618" s="5" t="inlineStr">
        <is>
          <t>Platform scope</t>
        </is>
      </c>
      <c r="Z618" s="5" t="inlineStr">
        <is>
          <t>High</t>
        </is>
      </c>
      <c r="AA618" s="5" t="inlineStr">
        <is>
          <t>High</t>
        </is>
      </c>
      <c r="AB618" s="8" t="inlineStr">
        <is>
          <t>High</t>
        </is>
      </c>
      <c r="AC618" s="8" t="inlineStr">
        <is>
          <t>Later</t>
        </is>
      </c>
      <c r="AD618" s="5" t="inlineStr">
        <is>
          <t>Not independently checked</t>
        </is>
      </c>
      <c r="AE618" s="5" t="inlineStr">
        <is>
          <t>Not verified</t>
        </is>
      </c>
      <c r="AF618" s="5" t="inlineStr">
        <is>
          <t>Not verified</t>
        </is>
      </c>
      <c r="AG618" s="5" t="inlineStr">
        <is>
          <t>Not verified</t>
        </is>
      </c>
      <c r="AH618" s="5" t="inlineStr">
        <is>
          <t>Not verified</t>
        </is>
      </c>
      <c r="AI618" s="8" t="inlineStr">
        <is>
          <t>No</t>
        </is>
      </c>
      <c r="AJ618" s="8" t="inlineStr">
        <is>
          <t>Claimed - unverified</t>
        </is>
      </c>
      <c r="AK618" s="8" t="inlineStr">
        <is>
          <t>P3</t>
        </is>
      </c>
      <c r="AL618" s="8" t="n">
        <v>9</v>
      </c>
      <c r="AM618" s="5" t="inlineStr"/>
      <c r="AN618" s="5" t="inlineStr"/>
      <c r="AO618" s="5" t="inlineStr"/>
      <c r="AP618" s="5" t="inlineStr"/>
      <c r="AQ618" s="5" t="inlineStr"/>
      <c r="AR618" s="5" t="inlineStr"/>
      <c r="AS618" s="5" t="inlineStr"/>
      <c r="AT618" s="5" t="inlineStr"/>
      <c r="AU618" s="8" t="inlineStr">
        <is>
          <t>Not run</t>
        </is>
      </c>
    </row>
    <row r="619" ht="32" customHeight="1">
      <c r="A619" s="16" t="inlineStr">
        <is>
          <t>C-0618</t>
        </is>
      </c>
      <c r="B619" s="8" t="inlineStr">
        <is>
          <t>C</t>
        </is>
      </c>
      <c r="C619" s="5" t="inlineStr">
        <is>
          <t>Statutory Compliance</t>
        </is>
      </c>
      <c r="D619" s="5" t="inlineStr">
        <is>
          <t>GST / Tax / Compliance</t>
        </is>
      </c>
      <c r="E619" s="5" t="inlineStr">
        <is>
          <t>E-Way Bill Part B vehicle update statutory time-limit and multi-vehicle consignment splitting</t>
        </is>
      </c>
      <c r="F619" s="5" t="inlineStr">
        <is>
          <t>Logistics Dispatcher</t>
        </is>
      </c>
      <c r="G619" s="5" t="inlineStr">
        <is>
          <t>Delivery Driver</t>
        </is>
      </c>
      <c r="H619" s="5" t="inlineStr">
        <is>
          <t>Split large multi-ton consignment into multiple small delivery tempos with individual Part B records</t>
        </is>
      </c>
      <c r="I619" s="5" t="inlineStr">
        <is>
          <t>Generates multi-vehicle E-Way Bill manifest; tracks individual vehicle delivery completion</t>
        </is>
      </c>
      <c r="J619" s="19" t="inlineStr">
        <is>
          <t>P0</t>
        </is>
      </c>
      <c r="K619" s="20" t="inlineStr">
        <is>
          <t>Validated (Supported)</t>
        </is>
      </c>
      <c r="L619" s="5" t="inlineStr">
        <is>
          <t>Supported via NIC Multi-Vehicle E-Way Bill transshipment module.</t>
        </is>
      </c>
      <c r="M619" s="8" t="inlineStr">
        <is>
          <t>Strategic expansion</t>
        </is>
      </c>
      <c r="N619" s="8" t="inlineStr">
        <is>
          <t>Platform or theme scope</t>
        </is>
      </c>
      <c r="O619" s="8" t="inlineStr">
        <is>
          <t>P1</t>
        </is>
      </c>
      <c r="P619" s="5" t="inlineStr">
        <is>
          <t>Kept P0. The previous workbook had P0. Authored priority was P1.</t>
        </is>
      </c>
      <c r="Q619" s="20" t="inlineStr">
        <is>
          <t>Author assertion</t>
        </is>
      </c>
      <c r="R619" s="5" t="inlineStr">
        <is>
          <t>Kept P0. The previous workbook had P0. Authored priority was P1.</t>
        </is>
      </c>
      <c r="S619" s="8" t="inlineStr">
        <is>
          <t>GST</t>
        </is>
      </c>
      <c r="T619" s="5" t="inlineStr">
        <is>
          <t>GST and tax compliance</t>
        </is>
      </c>
      <c r="U619" s="8" t="inlineStr"/>
      <c r="V619" s="8" t="inlineStr">
        <is>
          <t>accounting</t>
        </is>
      </c>
      <c r="W619" s="8" t="inlineStr">
        <is>
          <t>CONTROL</t>
        </is>
      </c>
      <c r="X619" s="5" t="inlineStr">
        <is>
          <t>Core</t>
        </is>
      </c>
      <c r="Y619" s="5" t="inlineStr">
        <is>
          <t>Platform scope</t>
        </is>
      </c>
      <c r="Z619" s="5" t="inlineStr">
        <is>
          <t>Critical</t>
        </is>
      </c>
      <c r="AA619" s="5" t="inlineStr">
        <is>
          <t>High</t>
        </is>
      </c>
      <c r="AB619" s="8" t="inlineStr">
        <is>
          <t>High</t>
        </is>
      </c>
      <c r="AC619" s="8" t="inlineStr">
        <is>
          <t>MVP</t>
        </is>
      </c>
      <c r="AD619" s="5" t="inlineStr">
        <is>
          <t>Not independently checked</t>
        </is>
      </c>
      <c r="AE619" s="5" t="inlineStr">
        <is>
          <t>Not verified</t>
        </is>
      </c>
      <c r="AF619" s="5" t="inlineStr">
        <is>
          <t>Not verified</t>
        </is>
      </c>
      <c r="AG619" s="5" t="inlineStr">
        <is>
          <t>Not verified</t>
        </is>
      </c>
      <c r="AH619" s="5" t="inlineStr">
        <is>
          <t>Not verified</t>
        </is>
      </c>
      <c r="AI619" s="8" t="inlineStr">
        <is>
          <t>No</t>
        </is>
      </c>
      <c r="AJ619" s="8" t="inlineStr">
        <is>
          <t>Claimed - unverified</t>
        </is>
      </c>
      <c r="AK619" s="8" t="inlineStr">
        <is>
          <t>P0</t>
        </is>
      </c>
      <c r="AL619" s="8" t="n">
        <v>27</v>
      </c>
      <c r="AM619" s="5" t="inlineStr"/>
      <c r="AN619" s="5" t="inlineStr"/>
      <c r="AO619" s="5" t="inlineStr"/>
      <c r="AP619" s="5" t="inlineStr"/>
      <c r="AQ619" s="5" t="inlineStr"/>
      <c r="AR619" s="5" t="inlineStr"/>
      <c r="AS619" s="5" t="inlineStr"/>
      <c r="AT619" s="5" t="inlineStr"/>
      <c r="AU619" s="8" t="inlineStr">
        <is>
          <t>Not run</t>
        </is>
      </c>
    </row>
    <row r="620" ht="32" customHeight="1">
      <c r="A620" s="16" t="inlineStr">
        <is>
          <t>C-0619</t>
        </is>
      </c>
      <c r="B620" s="8" t="inlineStr">
        <is>
          <t>C</t>
        </is>
      </c>
      <c r="C620" s="5" t="inlineStr">
        <is>
          <t>Statutory Compliance</t>
        </is>
      </c>
      <c r="D620" s="5" t="inlineStr">
        <is>
          <t>GST / Tax / Compliance</t>
        </is>
      </c>
      <c r="E620" s="5" t="inlineStr">
        <is>
          <t>Section 171 CGST Act Anti-Profiteering tax rate cut price reduction compliance verification</t>
        </is>
      </c>
      <c r="F620" s="5" t="inlineStr">
        <is>
          <t>Catalog Manager</t>
        </is>
      </c>
      <c r="G620" s="5" t="inlineStr">
        <is>
          <t>In-house Accountant</t>
        </is>
      </c>
      <c r="H620" s="5" t="inlineStr">
        <is>
          <t>Verify that government GST rate reductions (e.g. 18% to 12%) are commensurate with selling price cuts</t>
        </is>
      </c>
      <c r="I620" s="5" t="inlineStr">
        <is>
          <t>Calculates price reduction formula; adjusts product master selling prices to pass benefit to consumers</t>
        </is>
      </c>
      <c r="J620" s="24" t="inlineStr">
        <is>
          <t>P3</t>
        </is>
      </c>
      <c r="K620" s="20" t="inlineStr">
        <is>
          <t>Validated (Supported)</t>
        </is>
      </c>
      <c r="L620" s="5" t="inlineStr">
        <is>
          <t>Anti-profiteering price adjustment audit worksheet.</t>
        </is>
      </c>
      <c r="M620" s="8" t="inlineStr">
        <is>
          <t>Strategic expansion</t>
        </is>
      </c>
      <c r="N620" s="8" t="inlineStr">
        <is>
          <t>Platform or theme scope</t>
        </is>
      </c>
      <c r="O620" s="8" t="inlineStr">
        <is>
          <t>P2</t>
        </is>
      </c>
      <c r="P620" s="5" t="inlineStr">
        <is>
          <t>Kept P3. The previous workbook had P3. Authored priority was P2.</t>
        </is>
      </c>
      <c r="Q620" s="20" t="inlineStr">
        <is>
          <t>Author assertion</t>
        </is>
      </c>
      <c r="R620" s="5" t="inlineStr">
        <is>
          <t>Kept P3. The previous workbook had P3. Authored priority was P2.</t>
        </is>
      </c>
      <c r="S620" s="8" t="inlineStr">
        <is>
          <t>GST</t>
        </is>
      </c>
      <c r="T620" s="5" t="inlineStr">
        <is>
          <t>GST and tax compliance</t>
        </is>
      </c>
      <c r="U620" s="8" t="inlineStr"/>
      <c r="V620" s="8" t="inlineStr">
        <is>
          <t>accounting</t>
        </is>
      </c>
      <c r="W620" s="8" t="inlineStr">
        <is>
          <t>CONTROL</t>
        </is>
      </c>
      <c r="X620" s="5" t="inlineStr">
        <is>
          <t>Future</t>
        </is>
      </c>
      <c r="Y620" s="5" t="inlineStr">
        <is>
          <t>Platform scope</t>
        </is>
      </c>
      <c r="Z620" s="5" t="inlineStr">
        <is>
          <t>High</t>
        </is>
      </c>
      <c r="AA620" s="5" t="inlineStr">
        <is>
          <t>High</t>
        </is>
      </c>
      <c r="AB620" s="8" t="inlineStr">
        <is>
          <t>High</t>
        </is>
      </c>
      <c r="AC620" s="8" t="inlineStr">
        <is>
          <t>Later</t>
        </is>
      </c>
      <c r="AD620" s="5" t="inlineStr">
        <is>
          <t>Not independently checked</t>
        </is>
      </c>
      <c r="AE620" s="5" t="inlineStr">
        <is>
          <t>Not verified</t>
        </is>
      </c>
      <c r="AF620" s="5" t="inlineStr">
        <is>
          <t>Not verified</t>
        </is>
      </c>
      <c r="AG620" s="5" t="inlineStr">
        <is>
          <t>Not verified</t>
        </is>
      </c>
      <c r="AH620" s="5" t="inlineStr">
        <is>
          <t>Not verified</t>
        </is>
      </c>
      <c r="AI620" s="8" t="inlineStr">
        <is>
          <t>No</t>
        </is>
      </c>
      <c r="AJ620" s="8" t="inlineStr">
        <is>
          <t>Claimed - unverified</t>
        </is>
      </c>
      <c r="AK620" s="8" t="inlineStr">
        <is>
          <t>P3</t>
        </is>
      </c>
      <c r="AL620" s="8" t="n">
        <v>9</v>
      </c>
      <c r="AM620" s="5" t="inlineStr"/>
      <c r="AN620" s="5" t="inlineStr"/>
      <c r="AO620" s="5" t="inlineStr"/>
      <c r="AP620" s="5" t="inlineStr"/>
      <c r="AQ620" s="5" t="inlineStr"/>
      <c r="AR620" s="5" t="inlineStr"/>
      <c r="AS620" s="5" t="inlineStr"/>
      <c r="AT620" s="5" t="inlineStr"/>
      <c r="AU620" s="8" t="inlineStr">
        <is>
          <t>Not run</t>
        </is>
      </c>
    </row>
    <row r="621" ht="32" customHeight="1">
      <c r="A621" s="16" t="inlineStr">
        <is>
          <t>C-0620</t>
        </is>
      </c>
      <c r="B621" s="8" t="inlineStr">
        <is>
          <t>C</t>
        </is>
      </c>
      <c r="C621" s="5" t="inlineStr">
        <is>
          <t>Statutory Compliance</t>
        </is>
      </c>
      <c r="D621" s="5" t="inlineStr">
        <is>
          <t>Security / Exception / Recovery</t>
        </is>
      </c>
      <c r="E621" s="5" t="inlineStr">
        <is>
          <t>Digital Personal Data Protection (DPDP) Act 2023 customer consent logging and withdrawal</t>
        </is>
      </c>
      <c r="F621" s="5" t="inlineStr">
        <is>
          <t>Data Protection Officer</t>
        </is>
      </c>
      <c r="G621" s="5" t="inlineStr">
        <is>
          <t>Customer</t>
        </is>
      </c>
      <c r="H621" s="5" t="inlineStr">
        <is>
          <t>Capture explicit digital consent from customer for WhatsApp marketing messages and data processing</t>
        </is>
      </c>
      <c r="I621" s="5" t="inlineStr">
        <is>
          <t>Logs consent timestamp and IP address; immediately halts marketing messaging upon consent withdrawal</t>
        </is>
      </c>
      <c r="J621" s="20" t="inlineStr">
        <is>
          <t>P1</t>
        </is>
      </c>
      <c r="K621" s="20" t="inlineStr">
        <is>
          <t>Validated (Supported)</t>
        </is>
      </c>
      <c r="L621" s="5" t="inlineStr">
        <is>
          <t>Customer Consent Ledger conforming to Section 6 of Indian DPDP Act 2023.</t>
        </is>
      </c>
      <c r="M621" s="8" t="inlineStr">
        <is>
          <t>Strategic expansion</t>
        </is>
      </c>
      <c r="N621" s="8" t="inlineStr">
        <is>
          <t>Platform or theme scope</t>
        </is>
      </c>
      <c r="O621" s="8" t="inlineStr">
        <is>
          <t>P1</t>
        </is>
      </c>
      <c r="P621" s="5" t="inlineStr">
        <is>
          <t>Unchanged</t>
        </is>
      </c>
      <c r="Q621" s="20" t="inlineStr">
        <is>
          <t>Author assertion</t>
        </is>
      </c>
      <c r="R621" s="5" t="inlineStr"/>
      <c r="S621" s="8" t="inlineStr">
        <is>
          <t>OTHER</t>
        </is>
      </c>
      <c r="T621" s="5" t="inlineStr">
        <is>
          <t>Security / Exception / Recovery</t>
        </is>
      </c>
      <c r="U621" s="8" t="inlineStr"/>
      <c r="V621" s="8" t="inlineStr"/>
      <c r="W621" s="8" t="inlineStr">
        <is>
          <t>CONTROL</t>
        </is>
      </c>
      <c r="X621" s="5" t="inlineStr">
        <is>
          <t>Core</t>
        </is>
      </c>
      <c r="Y621" s="5" t="inlineStr">
        <is>
          <t>Platform scope</t>
        </is>
      </c>
      <c r="Z621" s="5" t="inlineStr">
        <is>
          <t>High</t>
        </is>
      </c>
      <c r="AA621" s="5" t="inlineStr">
        <is>
          <t>Medium</t>
        </is>
      </c>
      <c r="AB621" s="8" t="inlineStr">
        <is>
          <t>Medium</t>
        </is>
      </c>
      <c r="AC621" s="8" t="inlineStr">
        <is>
          <t>Pilot</t>
        </is>
      </c>
      <c r="AD621" s="5" t="inlineStr">
        <is>
          <t>Not independently checked</t>
        </is>
      </c>
      <c r="AE621" s="5" t="inlineStr">
        <is>
          <t>Not verified</t>
        </is>
      </c>
      <c r="AF621" s="5" t="inlineStr">
        <is>
          <t>Not verified</t>
        </is>
      </c>
      <c r="AG621" s="5" t="inlineStr">
        <is>
          <t>Not verified</t>
        </is>
      </c>
      <c r="AH621" s="5" t="inlineStr">
        <is>
          <t>Not verified</t>
        </is>
      </c>
      <c r="AI621" s="8" t="inlineStr">
        <is>
          <t>No</t>
        </is>
      </c>
      <c r="AJ621" s="8" t="inlineStr">
        <is>
          <t>Claimed - unverified</t>
        </is>
      </c>
      <c r="AK621" s="8" t="inlineStr">
        <is>
          <t>P1</t>
        </is>
      </c>
      <c r="AL621" s="8" t="n">
        <v>12</v>
      </c>
      <c r="AM621" s="5" t="inlineStr"/>
      <c r="AN621" s="5" t="inlineStr"/>
      <c r="AO621" s="5" t="inlineStr"/>
      <c r="AP621" s="5" t="inlineStr"/>
      <c r="AQ621" s="5" t="inlineStr"/>
      <c r="AR621" s="5" t="inlineStr"/>
      <c r="AS621" s="5" t="inlineStr"/>
      <c r="AT621" s="5" t="inlineStr"/>
      <c r="AU621" s="8" t="inlineStr">
        <is>
          <t>Not run</t>
        </is>
      </c>
    </row>
    <row r="622" ht="32" customHeight="1">
      <c r="A622" s="16" t="inlineStr">
        <is>
          <t>SEC-0621</t>
        </is>
      </c>
      <c r="B622" s="8" t="inlineStr">
        <is>
          <t>SEC</t>
        </is>
      </c>
      <c r="C622" s="5" t="inlineStr">
        <is>
          <t>System Administrator</t>
        </is>
      </c>
      <c r="D622" s="5" t="inlineStr">
        <is>
          <t>Security / Exception / Recovery</t>
        </is>
      </c>
      <c r="E622" s="5" t="inlineStr">
        <is>
          <t>Multi-tenant PostgreSQL Row-Level Security (RLS) tenant isolation enforcement</t>
        </is>
      </c>
      <c r="F622" s="5" t="inlineStr">
        <is>
          <t>Database Engine / RLS</t>
        </is>
      </c>
      <c r="G622" s="5" t="inlineStr">
        <is>
          <t>System Administrator</t>
        </is>
      </c>
      <c r="H622" s="5" t="inlineStr">
        <is>
          <t>Hardware-enforced tenant isolation guaranteeing Company A can never view or modify Company B data</t>
        </is>
      </c>
      <c r="I622" s="5" t="inlineStr">
        <is>
          <t>Sets GUC app.company_id per database connection; rejects any query attempting cross-tenant access</t>
        </is>
      </c>
      <c r="J622" s="19" t="inlineStr">
        <is>
          <t>P0</t>
        </is>
      </c>
      <c r="K622" s="20" t="inlineStr">
        <is>
          <t>Validated (Supported)</t>
        </is>
      </c>
      <c r="L622" s="5" t="inlineStr">
        <is>
          <t>PostgreSQL native Row-Level Security (RLS) policies on all tenant-scoped tables.</t>
        </is>
      </c>
      <c r="M622" s="8" t="inlineStr">
        <is>
          <t>Strategic expansion</t>
        </is>
      </c>
      <c r="N622" s="8" t="inlineStr">
        <is>
          <t>Platform or theme scope</t>
        </is>
      </c>
      <c r="O622" s="8" t="inlineStr">
        <is>
          <t>P0</t>
        </is>
      </c>
      <c r="P622" s="5" t="inlineStr">
        <is>
          <t>Unchanged</t>
        </is>
      </c>
      <c r="Q622" s="21" t="inlineStr">
        <is>
          <t>Code symbol found</t>
        </is>
      </c>
      <c r="R622" s="5" t="inlineStr">
        <is>
          <t>Matched ostgreSQL in product code. This is not a functional test.</t>
        </is>
      </c>
      <c r="S622" s="8" t="inlineStr">
        <is>
          <t>OTHER</t>
        </is>
      </c>
      <c r="T622" s="5" t="inlineStr">
        <is>
          <t>Security / Exception / Recovery</t>
        </is>
      </c>
      <c r="U622" s="8" t="inlineStr"/>
      <c r="V622" s="8" t="inlineStr"/>
      <c r="W622" s="8" t="inlineStr">
        <is>
          <t>CONTROL</t>
        </is>
      </c>
      <c r="X622" s="5" t="inlineStr">
        <is>
          <t>Core</t>
        </is>
      </c>
      <c r="Y622" s="5" t="inlineStr">
        <is>
          <t>System</t>
        </is>
      </c>
      <c r="Z622" s="5" t="inlineStr">
        <is>
          <t>High</t>
        </is>
      </c>
      <c r="AA622" s="5" t="inlineStr">
        <is>
          <t>Medium</t>
        </is>
      </c>
      <c r="AB622" s="8" t="inlineStr">
        <is>
          <t>Medium</t>
        </is>
      </c>
      <c r="AC622" s="8" t="inlineStr">
        <is>
          <t>MVP</t>
        </is>
      </c>
      <c r="AD622" s="5" t="inlineStr">
        <is>
          <t>Cited in code</t>
        </is>
      </c>
      <c r="AE622" s="5" t="inlineStr">
        <is>
          <t>Not verified</t>
        </is>
      </c>
      <c r="AF622" s="5" t="inlineStr">
        <is>
          <t>Not verified</t>
        </is>
      </c>
      <c r="AG622" s="5" t="inlineStr">
        <is>
          <t>Not verified</t>
        </is>
      </c>
      <c r="AH622" s="5" t="inlineStr">
        <is>
          <t>Not verified</t>
        </is>
      </c>
      <c r="AI622" s="8" t="inlineStr">
        <is>
          <t>No</t>
        </is>
      </c>
      <c r="AJ622" s="8" t="inlineStr">
        <is>
          <t>Built - unverified</t>
        </is>
      </c>
      <c r="AK622" s="8" t="inlineStr">
        <is>
          <t>P0</t>
        </is>
      </c>
      <c r="AL622" s="8" t="n">
        <v>12</v>
      </c>
      <c r="AM622" s="5" t="inlineStr"/>
      <c r="AN622" s="5" t="inlineStr"/>
      <c r="AO622" s="5" t="inlineStr"/>
      <c r="AP622" s="5" t="inlineStr"/>
      <c r="AQ622" s="5" t="inlineStr"/>
      <c r="AR622" s="5" t="inlineStr"/>
      <c r="AS622" s="5" t="inlineStr"/>
      <c r="AT622" s="5" t="inlineStr"/>
      <c r="AU622" s="8" t="inlineStr">
        <is>
          <t>Not run</t>
        </is>
      </c>
    </row>
    <row r="623" ht="32" customHeight="1">
      <c r="A623" s="16" t="inlineStr">
        <is>
          <t>SEC-0622</t>
        </is>
      </c>
      <c r="B623" s="8" t="inlineStr">
        <is>
          <t>SEC</t>
        </is>
      </c>
      <c r="C623" s="5" t="inlineStr">
        <is>
          <t>System Administrator</t>
        </is>
      </c>
      <c r="D623" s="5" t="inlineStr">
        <is>
          <t>Security / Exception / Recovery</t>
        </is>
      </c>
      <c r="E623" s="5" t="inlineStr">
        <is>
          <t>Field-level role masking for sensitive commercial margins and cost prices</t>
        </is>
      </c>
      <c r="F623" s="5" t="inlineStr">
        <is>
          <t>API Serializer / UI Guard</t>
        </is>
      </c>
      <c r="G623" s="5" t="inlineStr">
        <is>
          <t>Billing Clerk / Driver</t>
        </is>
      </c>
      <c r="H623" s="5" t="inlineStr">
        <is>
          <t>Billing clerks and delivery staff cannot inspect supplier purchase costs or gross margin percentages</t>
        </is>
      </c>
      <c r="I623" s="5" t="inlineStr">
        <is>
          <t>Omits cost_price and margin fields from JSON serializer response based on requesting user role</t>
        </is>
      </c>
      <c r="J623" s="19" t="inlineStr">
        <is>
          <t>P0</t>
        </is>
      </c>
      <c r="K623" s="20" t="inlineStr">
        <is>
          <t>Validated (Supported)</t>
        </is>
      </c>
      <c r="L623" s="5" t="inlineStr">
        <is>
          <t>Role-scoped serializer field permissions in Django REST Framework.</t>
        </is>
      </c>
      <c r="M623" s="8" t="inlineStr">
        <is>
          <t>Strategic expansion</t>
        </is>
      </c>
      <c r="N623" s="8" t="inlineStr">
        <is>
          <t>Platform or theme scope</t>
        </is>
      </c>
      <c r="O623" s="8" t="inlineStr">
        <is>
          <t>P0</t>
        </is>
      </c>
      <c r="P623" s="5" t="inlineStr">
        <is>
          <t>Unchanged</t>
        </is>
      </c>
      <c r="Q623" s="20" t="inlineStr">
        <is>
          <t>Author assertion</t>
        </is>
      </c>
      <c r="R623" s="5" t="inlineStr"/>
      <c r="S623" s="8" t="inlineStr">
        <is>
          <t>OTHER</t>
        </is>
      </c>
      <c r="T623" s="5" t="inlineStr">
        <is>
          <t>Security / Exception / Recovery</t>
        </is>
      </c>
      <c r="U623" s="8" t="inlineStr"/>
      <c r="V623" s="8" t="inlineStr"/>
      <c r="W623" s="8" t="inlineStr">
        <is>
          <t>CONTROL</t>
        </is>
      </c>
      <c r="X623" s="5" t="inlineStr">
        <is>
          <t>Core</t>
        </is>
      </c>
      <c r="Y623" s="5" t="inlineStr">
        <is>
          <t>System</t>
        </is>
      </c>
      <c r="Z623" s="5" t="inlineStr">
        <is>
          <t>High</t>
        </is>
      </c>
      <c r="AA623" s="5" t="inlineStr">
        <is>
          <t>Medium</t>
        </is>
      </c>
      <c r="AB623" s="8" t="inlineStr">
        <is>
          <t>Medium</t>
        </is>
      </c>
      <c r="AC623" s="8" t="inlineStr">
        <is>
          <t>MVP</t>
        </is>
      </c>
      <c r="AD623" s="5" t="inlineStr">
        <is>
          <t>Not independently checked</t>
        </is>
      </c>
      <c r="AE623" s="5" t="inlineStr">
        <is>
          <t>Not verified</t>
        </is>
      </c>
      <c r="AF623" s="5" t="inlineStr">
        <is>
          <t>Not verified</t>
        </is>
      </c>
      <c r="AG623" s="5" t="inlineStr">
        <is>
          <t>Not verified</t>
        </is>
      </c>
      <c r="AH623" s="5" t="inlineStr">
        <is>
          <t>Not verified</t>
        </is>
      </c>
      <c r="AI623" s="8" t="inlineStr">
        <is>
          <t>No</t>
        </is>
      </c>
      <c r="AJ623" s="8" t="inlineStr">
        <is>
          <t>Claimed - unverified</t>
        </is>
      </c>
      <c r="AK623" s="8" t="inlineStr">
        <is>
          <t>P0</t>
        </is>
      </c>
      <c r="AL623" s="8" t="n">
        <v>12</v>
      </c>
      <c r="AM623" s="5" t="inlineStr"/>
      <c r="AN623" s="5" t="inlineStr"/>
      <c r="AO623" s="5" t="inlineStr"/>
      <c r="AP623" s="5" t="inlineStr"/>
      <c r="AQ623" s="5" t="inlineStr"/>
      <c r="AR623" s="5" t="inlineStr"/>
      <c r="AS623" s="5" t="inlineStr"/>
      <c r="AT623" s="5" t="inlineStr"/>
      <c r="AU623" s="8" t="inlineStr">
        <is>
          <t>Not run</t>
        </is>
      </c>
    </row>
    <row r="624" ht="32" customHeight="1">
      <c r="A624" s="16" t="inlineStr">
        <is>
          <t>SEC-0623</t>
        </is>
      </c>
      <c r="B624" s="8" t="inlineStr">
        <is>
          <t>SEC</t>
        </is>
      </c>
      <c r="C624" s="5" t="inlineStr">
        <is>
          <t>System Administrator</t>
        </is>
      </c>
      <c r="D624" s="5" t="inlineStr">
        <is>
          <t>Security / Exception / Recovery</t>
        </is>
      </c>
      <c r="E624" s="5" t="inlineStr">
        <is>
          <t>Granular export permission gate preventing bulk customer list exfiltration</t>
        </is>
      </c>
      <c r="F624" s="5" t="inlineStr">
        <is>
          <t>Permission Guard</t>
        </is>
      </c>
      <c r="G624" s="5" t="inlineStr">
        <is>
          <t>Sales Staff / Cashier</t>
        </is>
      </c>
      <c r="H624" s="5" t="inlineStr">
        <is>
          <t>Prevent disgruntled departing employees from exporting customer phone numbers and sales registers to Excel</t>
        </is>
      </c>
      <c r="I624" s="5" t="inlineStr">
        <is>
          <t>Blocks export button and HTTP export endpoints for non-admin roles; logs export access attempts</t>
        </is>
      </c>
      <c r="J624" s="19" t="inlineStr">
        <is>
          <t>P0</t>
        </is>
      </c>
      <c r="K624" s="20" t="inlineStr">
        <is>
          <t>Validated (Supported)</t>
        </is>
      </c>
      <c r="L624" s="5" t="inlineStr">
        <is>
          <t>Dedicated permission 'can_export_master_data' restricted to Owner and Admin roles.</t>
        </is>
      </c>
      <c r="M624" s="8" t="inlineStr">
        <is>
          <t>Strategic expansion</t>
        </is>
      </c>
      <c r="N624" s="8" t="inlineStr">
        <is>
          <t>Platform or theme scope</t>
        </is>
      </c>
      <c r="O624" s="8" t="inlineStr">
        <is>
          <t>P0</t>
        </is>
      </c>
      <c r="P624" s="5" t="inlineStr">
        <is>
          <t>Unchanged</t>
        </is>
      </c>
      <c r="Q624" s="20" t="inlineStr">
        <is>
          <t>Author assertion</t>
        </is>
      </c>
      <c r="R624" s="5" t="inlineStr"/>
      <c r="S624" s="8" t="inlineStr">
        <is>
          <t>OTHER</t>
        </is>
      </c>
      <c r="T624" s="5" t="inlineStr">
        <is>
          <t>Security / Exception / Recovery</t>
        </is>
      </c>
      <c r="U624" s="8" t="inlineStr"/>
      <c r="V624" s="8" t="inlineStr"/>
      <c r="W624" s="8" t="inlineStr">
        <is>
          <t>CONTROL</t>
        </is>
      </c>
      <c r="X624" s="5" t="inlineStr">
        <is>
          <t>Core</t>
        </is>
      </c>
      <c r="Y624" s="5" t="inlineStr">
        <is>
          <t>System</t>
        </is>
      </c>
      <c r="Z624" s="5" t="inlineStr">
        <is>
          <t>High</t>
        </is>
      </c>
      <c r="AA624" s="5" t="inlineStr">
        <is>
          <t>Medium</t>
        </is>
      </c>
      <c r="AB624" s="8" t="inlineStr">
        <is>
          <t>Medium</t>
        </is>
      </c>
      <c r="AC624" s="8" t="inlineStr">
        <is>
          <t>MVP</t>
        </is>
      </c>
      <c r="AD624" s="5" t="inlineStr">
        <is>
          <t>Not independently checked</t>
        </is>
      </c>
      <c r="AE624" s="5" t="inlineStr">
        <is>
          <t>Not verified</t>
        </is>
      </c>
      <c r="AF624" s="5" t="inlineStr">
        <is>
          <t>Not verified</t>
        </is>
      </c>
      <c r="AG624" s="5" t="inlineStr">
        <is>
          <t>Not verified</t>
        </is>
      </c>
      <c r="AH624" s="5" t="inlineStr">
        <is>
          <t>Not verified</t>
        </is>
      </c>
      <c r="AI624" s="8" t="inlineStr">
        <is>
          <t>No</t>
        </is>
      </c>
      <c r="AJ624" s="8" t="inlineStr">
        <is>
          <t>Claimed - unverified</t>
        </is>
      </c>
      <c r="AK624" s="8" t="inlineStr">
        <is>
          <t>P0</t>
        </is>
      </c>
      <c r="AL624" s="8" t="n">
        <v>12</v>
      </c>
      <c r="AM624" s="5" t="inlineStr"/>
      <c r="AN624" s="5" t="inlineStr"/>
      <c r="AO624" s="5" t="inlineStr"/>
      <c r="AP624" s="5" t="inlineStr"/>
      <c r="AQ624" s="5" t="inlineStr"/>
      <c r="AR624" s="5" t="inlineStr"/>
      <c r="AS624" s="5" t="inlineStr"/>
      <c r="AT624" s="5" t="inlineStr"/>
      <c r="AU624" s="8" t="inlineStr">
        <is>
          <t>Not run</t>
        </is>
      </c>
    </row>
    <row r="625" ht="32" customHeight="1">
      <c r="A625" s="16" t="inlineStr">
        <is>
          <t>SEC-0624</t>
        </is>
      </c>
      <c r="B625" s="8" t="inlineStr">
        <is>
          <t>SEC</t>
        </is>
      </c>
      <c r="C625" s="5" t="inlineStr">
        <is>
          <t>System Administrator</t>
        </is>
      </c>
      <c r="D625" s="5" t="inlineStr">
        <is>
          <t>Security / Exception / Recovery</t>
        </is>
      </c>
      <c r="E625" s="5" t="inlineStr">
        <is>
          <t>Time-based One-Time Password (TOTP) two-factor authentication (2FA) for admin roles</t>
        </is>
      </c>
      <c r="F625" s="5" t="inlineStr">
        <is>
          <t>Auth Engine</t>
        </is>
      </c>
      <c r="G625" s="5" t="inlineStr">
        <is>
          <t>Business Owner / Accountant</t>
        </is>
      </c>
      <c r="H625" s="5" t="inlineStr">
        <is>
          <t>Enforce Google Authenticator / TOTP 2FA for users accessing financial and tax filing screens</t>
        </is>
      </c>
      <c r="I625" s="5" t="inlineStr">
        <is>
          <t>Requires 6-digit TOTP code during login; prevents account compromise from stolen passwords</t>
        </is>
      </c>
      <c r="J625" s="19" t="inlineStr">
        <is>
          <t>P0</t>
        </is>
      </c>
      <c r="K625" s="19" t="inlineStr">
        <is>
          <t>Mechanism not found</t>
        </is>
      </c>
      <c r="L625" s="5" t="inlineStr">
        <is>
          <t>TOTP 2FA implementation using django-otp library.</t>
        </is>
      </c>
      <c r="M625" s="8" t="inlineStr">
        <is>
          <t>Strategic expansion</t>
        </is>
      </c>
      <c r="N625" s="8" t="inlineStr">
        <is>
          <t>Platform or theme scope</t>
        </is>
      </c>
      <c r="O625" s="8" t="inlineStr">
        <is>
          <t>P0</t>
        </is>
      </c>
      <c r="P625" s="5" t="inlineStr">
        <is>
          <t>Unchanged</t>
        </is>
      </c>
      <c r="Q625" s="19" t="inlineStr">
        <is>
          <t>Mechanism not found</t>
        </is>
      </c>
      <c r="R625" s="5" t="inlineStr">
        <is>
          <t>django-otp is not used in application code.</t>
        </is>
      </c>
      <c r="S625" s="8" t="inlineStr">
        <is>
          <t>OTHER</t>
        </is>
      </c>
      <c r="T625" s="5" t="inlineStr">
        <is>
          <t>Security / Exception / Recovery</t>
        </is>
      </c>
      <c r="U625" s="8" t="inlineStr"/>
      <c r="V625" s="8" t="inlineStr"/>
      <c r="W625" s="8" t="inlineStr">
        <is>
          <t>CONTROL</t>
        </is>
      </c>
      <c r="X625" s="5" t="inlineStr">
        <is>
          <t>Core</t>
        </is>
      </c>
      <c r="Y625" s="5" t="inlineStr">
        <is>
          <t>System</t>
        </is>
      </c>
      <c r="Z625" s="5" t="inlineStr">
        <is>
          <t>High</t>
        </is>
      </c>
      <c r="AA625" s="5" t="inlineStr">
        <is>
          <t>Medium</t>
        </is>
      </c>
      <c r="AB625" s="8" t="inlineStr">
        <is>
          <t>Medium</t>
        </is>
      </c>
      <c r="AC625" s="8" t="inlineStr">
        <is>
          <t>MVP</t>
        </is>
      </c>
      <c r="AD625" s="5" t="inlineStr">
        <is>
          <t>Not in code</t>
        </is>
      </c>
      <c r="AE625" s="5" t="inlineStr">
        <is>
          <t>Not verified</t>
        </is>
      </c>
      <c r="AF625" s="5" t="inlineStr">
        <is>
          <t>Not verified</t>
        </is>
      </c>
      <c r="AG625" s="5" t="inlineStr">
        <is>
          <t>Not verified</t>
        </is>
      </c>
      <c r="AH625" s="5" t="inlineStr">
        <is>
          <t>Not verified</t>
        </is>
      </c>
      <c r="AI625" s="8" t="inlineStr">
        <is>
          <t>No</t>
        </is>
      </c>
      <c r="AJ625" s="8" t="inlineStr">
        <is>
          <t>Gap</t>
        </is>
      </c>
      <c r="AK625" s="8" t="inlineStr">
        <is>
          <t>P0</t>
        </is>
      </c>
      <c r="AL625" s="8" t="n">
        <v>12</v>
      </c>
      <c r="AM625" s="5" t="inlineStr"/>
      <c r="AN625" s="5" t="inlineStr"/>
      <c r="AO625" s="5" t="inlineStr"/>
      <c r="AP625" s="5" t="inlineStr"/>
      <c r="AQ625" s="5" t="inlineStr"/>
      <c r="AR625" s="5" t="inlineStr"/>
      <c r="AS625" s="5" t="inlineStr"/>
      <c r="AT625" s="5" t="inlineStr"/>
      <c r="AU625" s="8" t="inlineStr">
        <is>
          <t>Not run</t>
        </is>
      </c>
    </row>
    <row r="626" ht="32" customHeight="1">
      <c r="A626" s="16" t="inlineStr">
        <is>
          <t>SEC-0625</t>
        </is>
      </c>
      <c r="B626" s="8" t="inlineStr">
        <is>
          <t>SEC</t>
        </is>
      </c>
      <c r="C626" s="5" t="inlineStr">
        <is>
          <t>System Administrator</t>
        </is>
      </c>
      <c r="D626" s="5" t="inlineStr">
        <is>
          <t>Security / Exception / Recovery</t>
        </is>
      </c>
      <c r="E626" s="5" t="inlineStr">
        <is>
          <t>Instant user deactivation and immediate JWT session revocation</t>
        </is>
      </c>
      <c r="F626" s="5" t="inlineStr">
        <is>
          <t>Auth Engine</t>
        </is>
      </c>
      <c r="G626" s="5" t="inlineStr">
        <is>
          <t>Terminated Employee</t>
        </is>
      </c>
      <c r="H626" s="5" t="inlineStr">
        <is>
          <t>Terminate an employee's access in 1 click; immediately revokes all active mobile and desktop sessions</t>
        </is>
      </c>
      <c r="I626" s="5" t="inlineStr">
        <is>
          <t>Blacklists active JWT tokens in Redis; drops WebSocket connections; prevents further API calls</t>
        </is>
      </c>
      <c r="J626" s="19" t="inlineStr">
        <is>
          <t>P0</t>
        </is>
      </c>
      <c r="K626" s="20" t="inlineStr">
        <is>
          <t>Validated (Supported)</t>
        </is>
      </c>
      <c r="L626" s="5" t="inlineStr">
        <is>
          <t>Redis JWT token revocation blocklist evaluated on every authenticated request.</t>
        </is>
      </c>
      <c r="M626" s="8" t="inlineStr">
        <is>
          <t>Strategic expansion</t>
        </is>
      </c>
      <c r="N626" s="8" t="inlineStr">
        <is>
          <t>Platform or theme scope</t>
        </is>
      </c>
      <c r="O626" s="8" t="inlineStr">
        <is>
          <t>P0</t>
        </is>
      </c>
      <c r="P626" s="5" t="inlineStr">
        <is>
          <t>Unchanged</t>
        </is>
      </c>
      <c r="Q626" s="20" t="inlineStr">
        <is>
          <t>Author assertion</t>
        </is>
      </c>
      <c r="R626" s="5" t="inlineStr"/>
      <c r="S626" s="8" t="inlineStr">
        <is>
          <t>OTHER</t>
        </is>
      </c>
      <c r="T626" s="5" t="inlineStr">
        <is>
          <t>Security / Exception / Recovery</t>
        </is>
      </c>
      <c r="U626" s="8" t="inlineStr"/>
      <c r="V626" s="8" t="inlineStr"/>
      <c r="W626" s="8" t="inlineStr">
        <is>
          <t>CONTROL</t>
        </is>
      </c>
      <c r="X626" s="5" t="inlineStr">
        <is>
          <t>Core</t>
        </is>
      </c>
      <c r="Y626" s="5" t="inlineStr">
        <is>
          <t>System</t>
        </is>
      </c>
      <c r="Z626" s="5" t="inlineStr">
        <is>
          <t>High</t>
        </is>
      </c>
      <c r="AA626" s="5" t="inlineStr">
        <is>
          <t>Medium</t>
        </is>
      </c>
      <c r="AB626" s="8" t="inlineStr">
        <is>
          <t>Medium</t>
        </is>
      </c>
      <c r="AC626" s="8" t="inlineStr">
        <is>
          <t>MVP</t>
        </is>
      </c>
      <c r="AD626" s="5" t="inlineStr">
        <is>
          <t>Not independently checked</t>
        </is>
      </c>
      <c r="AE626" s="5" t="inlineStr">
        <is>
          <t>Not verified</t>
        </is>
      </c>
      <c r="AF626" s="5" t="inlineStr">
        <is>
          <t>Not verified</t>
        </is>
      </c>
      <c r="AG626" s="5" t="inlineStr">
        <is>
          <t>Not verified</t>
        </is>
      </c>
      <c r="AH626" s="5" t="inlineStr">
        <is>
          <t>Not verified</t>
        </is>
      </c>
      <c r="AI626" s="8" t="inlineStr">
        <is>
          <t>No</t>
        </is>
      </c>
      <c r="AJ626" s="8" t="inlineStr">
        <is>
          <t>Claimed - unverified</t>
        </is>
      </c>
      <c r="AK626" s="8" t="inlineStr">
        <is>
          <t>P0</t>
        </is>
      </c>
      <c r="AL626" s="8" t="n">
        <v>12</v>
      </c>
      <c r="AM626" s="5" t="inlineStr"/>
      <c r="AN626" s="5" t="inlineStr"/>
      <c r="AO626" s="5" t="inlineStr"/>
      <c r="AP626" s="5" t="inlineStr"/>
      <c r="AQ626" s="5" t="inlineStr"/>
      <c r="AR626" s="5" t="inlineStr"/>
      <c r="AS626" s="5" t="inlineStr"/>
      <c r="AT626" s="5" t="inlineStr"/>
      <c r="AU626" s="8" t="inlineStr">
        <is>
          <t>Not run</t>
        </is>
      </c>
    </row>
    <row r="627" ht="32" customHeight="1">
      <c r="A627" s="16" t="inlineStr">
        <is>
          <t>SEC-0626</t>
        </is>
      </c>
      <c r="B627" s="8" t="inlineStr">
        <is>
          <t>SEC</t>
        </is>
      </c>
      <c r="C627" s="5" t="inlineStr">
        <is>
          <t>System Administrator</t>
        </is>
      </c>
      <c r="D627" s="5" t="inlineStr">
        <is>
          <t>Security / Exception / Recovery</t>
        </is>
      </c>
      <c r="E627" s="5" t="inlineStr">
        <is>
          <t>Cross-Site Scripting (XSS) and SQL injection sanitization on document notes and inputs</t>
        </is>
      </c>
      <c r="F627" s="5" t="inlineStr">
        <is>
          <t>API Request Filter</t>
        </is>
      </c>
      <c r="G627" s="5" t="inlineStr">
        <is>
          <t>Malicious Actor</t>
        </is>
      </c>
      <c r="H627" s="5" t="inlineStr">
        <is>
          <t>Sanitize all user-entered notes, customer names, and invoice descriptions to prevent malicious script injection</t>
        </is>
      </c>
      <c r="I627" s="5" t="inlineStr">
        <is>
          <t>Strips HTML/script tags using Bleach library; parameterizes all raw SQL queries</t>
        </is>
      </c>
      <c r="J627" s="19" t="inlineStr">
        <is>
          <t>P0</t>
        </is>
      </c>
      <c r="K627" s="20" t="inlineStr">
        <is>
          <t>Validated (Supported)</t>
        </is>
      </c>
      <c r="L627" s="5" t="inlineStr">
        <is>
          <t>Core framework invariant: parameterized ORM queries and input HTML sanitization.</t>
        </is>
      </c>
      <c r="M627" s="8" t="inlineStr">
        <is>
          <t>Strategic expansion</t>
        </is>
      </c>
      <c r="N627" s="8" t="inlineStr">
        <is>
          <t>Platform or theme scope</t>
        </is>
      </c>
      <c r="O627" s="8" t="inlineStr">
        <is>
          <t>P0</t>
        </is>
      </c>
      <c r="P627" s="5" t="inlineStr">
        <is>
          <t>Unchanged</t>
        </is>
      </c>
      <c r="Q627" s="20" t="inlineStr">
        <is>
          <t>Author assertion</t>
        </is>
      </c>
      <c r="R627" s="5" t="inlineStr"/>
      <c r="S627" s="8" t="inlineStr">
        <is>
          <t>OTHER</t>
        </is>
      </c>
      <c r="T627" s="5" t="inlineStr">
        <is>
          <t>Security / Exception / Recovery</t>
        </is>
      </c>
      <c r="U627" s="8" t="inlineStr"/>
      <c r="V627" s="8" t="inlineStr"/>
      <c r="W627" s="8" t="inlineStr">
        <is>
          <t>CONTROL</t>
        </is>
      </c>
      <c r="X627" s="5" t="inlineStr">
        <is>
          <t>Core</t>
        </is>
      </c>
      <c r="Y627" s="5" t="inlineStr">
        <is>
          <t>System</t>
        </is>
      </c>
      <c r="Z627" s="5" t="inlineStr">
        <is>
          <t>High</t>
        </is>
      </c>
      <c r="AA627" s="5" t="inlineStr">
        <is>
          <t>Medium</t>
        </is>
      </c>
      <c r="AB627" s="8" t="inlineStr">
        <is>
          <t>Medium</t>
        </is>
      </c>
      <c r="AC627" s="8" t="inlineStr">
        <is>
          <t>MVP</t>
        </is>
      </c>
      <c r="AD627" s="5" t="inlineStr">
        <is>
          <t>Not independently checked</t>
        </is>
      </c>
      <c r="AE627" s="5" t="inlineStr">
        <is>
          <t>Not verified</t>
        </is>
      </c>
      <c r="AF627" s="5" t="inlineStr">
        <is>
          <t>Not verified</t>
        </is>
      </c>
      <c r="AG627" s="5" t="inlineStr">
        <is>
          <t>Not verified</t>
        </is>
      </c>
      <c r="AH627" s="5" t="inlineStr">
        <is>
          <t>Not verified</t>
        </is>
      </c>
      <c r="AI627" s="8" t="inlineStr">
        <is>
          <t>No</t>
        </is>
      </c>
      <c r="AJ627" s="8" t="inlineStr">
        <is>
          <t>Claimed - unverified</t>
        </is>
      </c>
      <c r="AK627" s="8" t="inlineStr">
        <is>
          <t>P0</t>
        </is>
      </c>
      <c r="AL627" s="8" t="n">
        <v>12</v>
      </c>
      <c r="AM627" s="5" t="inlineStr"/>
      <c r="AN627" s="5" t="inlineStr"/>
      <c r="AO627" s="5" t="inlineStr"/>
      <c r="AP627" s="5" t="inlineStr"/>
      <c r="AQ627" s="5" t="inlineStr"/>
      <c r="AR627" s="5" t="inlineStr"/>
      <c r="AS627" s="5" t="inlineStr"/>
      <c r="AT627" s="5" t="inlineStr"/>
      <c r="AU627" s="8" t="inlineStr">
        <is>
          <t>Not run</t>
        </is>
      </c>
    </row>
    <row r="628" ht="32" customHeight="1">
      <c r="A628" s="16" t="inlineStr">
        <is>
          <t>SEC-0627</t>
        </is>
      </c>
      <c r="B628" s="8" t="inlineStr">
        <is>
          <t>SEC</t>
        </is>
      </c>
      <c r="C628" s="5" t="inlineStr">
        <is>
          <t>System Administrator</t>
        </is>
      </c>
      <c r="D628" s="5" t="inlineStr">
        <is>
          <t>Security / Exception / Recovery</t>
        </is>
      </c>
      <c r="E628" s="5" t="inlineStr">
        <is>
          <t>IP address whitelisting for back-office accounting and admin access</t>
        </is>
      </c>
      <c r="F628" s="5" t="inlineStr">
        <is>
          <t>Security Guard</t>
        </is>
      </c>
      <c r="G628" s="5" t="inlineStr">
        <is>
          <t>External Hacker</t>
        </is>
      </c>
      <c r="H628" s="5" t="inlineStr">
        <is>
          <t>Restrict accounting and tax export operations to trusted store/office static IP addresses</t>
        </is>
      </c>
      <c r="I628" s="5" t="inlineStr">
        <is>
          <t>Rejects login attempts from unknown IP addresses when IP Whitelist policy is enabled for company</t>
        </is>
      </c>
      <c r="J628" s="20" t="inlineStr">
        <is>
          <t>P1</t>
        </is>
      </c>
      <c r="K628" s="20" t="inlineStr">
        <is>
          <t>Validated (Supported)</t>
        </is>
      </c>
      <c r="L628" s="5" t="inlineStr">
        <is>
          <t>Company-scoped IP Whitelist middleware evaluating HTTP X-Forwarded-For header.</t>
        </is>
      </c>
      <c r="M628" s="8" t="inlineStr">
        <is>
          <t>Strategic expansion</t>
        </is>
      </c>
      <c r="N628" s="8" t="inlineStr">
        <is>
          <t>Platform or theme scope</t>
        </is>
      </c>
      <c r="O628" s="8" t="inlineStr">
        <is>
          <t>P1</t>
        </is>
      </c>
      <c r="P628" s="5" t="inlineStr">
        <is>
          <t>Unchanged</t>
        </is>
      </c>
      <c r="Q628" s="20" t="inlineStr">
        <is>
          <t>Author assertion</t>
        </is>
      </c>
      <c r="R628" s="5" t="inlineStr"/>
      <c r="S628" s="8" t="inlineStr">
        <is>
          <t>OTHER</t>
        </is>
      </c>
      <c r="T628" s="5" t="inlineStr">
        <is>
          <t>Security / Exception / Recovery</t>
        </is>
      </c>
      <c r="U628" s="8" t="inlineStr"/>
      <c r="V628" s="8" t="inlineStr"/>
      <c r="W628" s="8" t="inlineStr">
        <is>
          <t>CONTROL</t>
        </is>
      </c>
      <c r="X628" s="5" t="inlineStr">
        <is>
          <t>Core</t>
        </is>
      </c>
      <c r="Y628" s="5" t="inlineStr">
        <is>
          <t>System</t>
        </is>
      </c>
      <c r="Z628" s="5" t="inlineStr">
        <is>
          <t>High</t>
        </is>
      </c>
      <c r="AA628" s="5" t="inlineStr">
        <is>
          <t>Medium</t>
        </is>
      </c>
      <c r="AB628" s="8" t="inlineStr">
        <is>
          <t>Medium</t>
        </is>
      </c>
      <c r="AC628" s="8" t="inlineStr">
        <is>
          <t>Pilot</t>
        </is>
      </c>
      <c r="AD628" s="5" t="inlineStr">
        <is>
          <t>Not independently checked</t>
        </is>
      </c>
      <c r="AE628" s="5" t="inlineStr">
        <is>
          <t>Not verified</t>
        </is>
      </c>
      <c r="AF628" s="5" t="inlineStr">
        <is>
          <t>Not verified</t>
        </is>
      </c>
      <c r="AG628" s="5" t="inlineStr">
        <is>
          <t>Not verified</t>
        </is>
      </c>
      <c r="AH628" s="5" t="inlineStr">
        <is>
          <t>Not verified</t>
        </is>
      </c>
      <c r="AI628" s="8" t="inlineStr">
        <is>
          <t>No</t>
        </is>
      </c>
      <c r="AJ628" s="8" t="inlineStr">
        <is>
          <t>Claimed - unverified</t>
        </is>
      </c>
      <c r="AK628" s="8" t="inlineStr">
        <is>
          <t>P1</t>
        </is>
      </c>
      <c r="AL628" s="8" t="n">
        <v>12</v>
      </c>
      <c r="AM628" s="5" t="inlineStr"/>
      <c r="AN628" s="5" t="inlineStr"/>
      <c r="AO628" s="5" t="inlineStr"/>
      <c r="AP628" s="5" t="inlineStr"/>
      <c r="AQ628" s="5" t="inlineStr"/>
      <c r="AR628" s="5" t="inlineStr"/>
      <c r="AS628" s="5" t="inlineStr"/>
      <c r="AT628" s="5" t="inlineStr"/>
      <c r="AU628" s="8" t="inlineStr">
        <is>
          <t>Not run</t>
        </is>
      </c>
    </row>
    <row r="629" ht="32" customHeight="1">
      <c r="A629" s="16" t="inlineStr">
        <is>
          <t>SEC-0628</t>
        </is>
      </c>
      <c r="B629" s="8" t="inlineStr">
        <is>
          <t>SEC</t>
        </is>
      </c>
      <c r="C629" s="5" t="inlineStr">
        <is>
          <t>System Administrator</t>
        </is>
      </c>
      <c r="D629" s="5" t="inlineStr">
        <is>
          <t>Security / Exception / Recovery</t>
        </is>
      </c>
      <c r="E629" s="5" t="inlineStr">
        <is>
          <t>Cryptographic AES-256 encryption for stored bank account numbers and tax credentials</t>
        </is>
      </c>
      <c r="F629" s="5" t="inlineStr">
        <is>
          <t>Encryption Engine</t>
        </is>
      </c>
      <c r="G629" s="5" t="inlineStr">
        <is>
          <t>Database Administrator</t>
        </is>
      </c>
      <c r="H629" s="5" t="inlineStr">
        <is>
          <t>Ensure bank account numbers, IFSC codes, and GST portal passwords are encrypted at rest in database</t>
        </is>
      </c>
      <c r="I629" s="5" t="inlineStr">
        <is>
          <t>Encrypts fields using AES-256 before writing to disk; decrypts only in-memory upon authorized request</t>
        </is>
      </c>
      <c r="J629" s="19" t="inlineStr">
        <is>
          <t>P0</t>
        </is>
      </c>
      <c r="K629" s="20" t="inlineStr">
        <is>
          <t>Validated (Supported)</t>
        </is>
      </c>
      <c r="L629" s="5" t="inlineStr">
        <is>
          <t>Django EncryptedModelFields using AES-256-GCM authenticated encryption.</t>
        </is>
      </c>
      <c r="M629" s="8" t="inlineStr">
        <is>
          <t>Strategic expansion</t>
        </is>
      </c>
      <c r="N629" s="8" t="inlineStr">
        <is>
          <t>Platform or theme scope</t>
        </is>
      </c>
      <c r="O629" s="8" t="inlineStr">
        <is>
          <t>P0</t>
        </is>
      </c>
      <c r="P629" s="5" t="inlineStr">
        <is>
          <t>Unchanged</t>
        </is>
      </c>
      <c r="Q629" s="20" t="inlineStr">
        <is>
          <t>Author assertion</t>
        </is>
      </c>
      <c r="R629" s="5" t="inlineStr"/>
      <c r="S629" s="8" t="inlineStr">
        <is>
          <t>OTHER</t>
        </is>
      </c>
      <c r="T629" s="5" t="inlineStr">
        <is>
          <t>Security / Exception / Recovery</t>
        </is>
      </c>
      <c r="U629" s="8" t="inlineStr"/>
      <c r="V629" s="8" t="inlineStr"/>
      <c r="W629" s="8" t="inlineStr">
        <is>
          <t>CONTROL</t>
        </is>
      </c>
      <c r="X629" s="5" t="inlineStr">
        <is>
          <t>Core</t>
        </is>
      </c>
      <c r="Y629" s="5" t="inlineStr">
        <is>
          <t>System</t>
        </is>
      </c>
      <c r="Z629" s="5" t="inlineStr">
        <is>
          <t>High</t>
        </is>
      </c>
      <c r="AA629" s="5" t="inlineStr">
        <is>
          <t>Medium</t>
        </is>
      </c>
      <c r="AB629" s="8" t="inlineStr">
        <is>
          <t>Medium</t>
        </is>
      </c>
      <c r="AC629" s="8" t="inlineStr">
        <is>
          <t>MVP</t>
        </is>
      </c>
      <c r="AD629" s="5" t="inlineStr">
        <is>
          <t>Not independently checked</t>
        </is>
      </c>
      <c r="AE629" s="5" t="inlineStr">
        <is>
          <t>Not verified</t>
        </is>
      </c>
      <c r="AF629" s="5" t="inlineStr">
        <is>
          <t>Not verified</t>
        </is>
      </c>
      <c r="AG629" s="5" t="inlineStr">
        <is>
          <t>Not verified</t>
        </is>
      </c>
      <c r="AH629" s="5" t="inlineStr">
        <is>
          <t>Not verified</t>
        </is>
      </c>
      <c r="AI629" s="8" t="inlineStr">
        <is>
          <t>No</t>
        </is>
      </c>
      <c r="AJ629" s="8" t="inlineStr">
        <is>
          <t>Claimed - unverified</t>
        </is>
      </c>
      <c r="AK629" s="8" t="inlineStr">
        <is>
          <t>P0</t>
        </is>
      </c>
      <c r="AL629" s="8" t="n">
        <v>12</v>
      </c>
      <c r="AM629" s="5" t="inlineStr"/>
      <c r="AN629" s="5" t="inlineStr"/>
      <c r="AO629" s="5" t="inlineStr"/>
      <c r="AP629" s="5" t="inlineStr"/>
      <c r="AQ629" s="5" t="inlineStr"/>
      <c r="AR629" s="5" t="inlineStr"/>
      <c r="AS629" s="5" t="inlineStr"/>
      <c r="AT629" s="5" t="inlineStr"/>
      <c r="AU629" s="8" t="inlineStr">
        <is>
          <t>Not run</t>
        </is>
      </c>
    </row>
    <row r="630" ht="32" customHeight="1">
      <c r="A630" s="16" t="inlineStr">
        <is>
          <t>SEC-0629</t>
        </is>
      </c>
      <c r="B630" s="8" t="inlineStr">
        <is>
          <t>SEC</t>
        </is>
      </c>
      <c r="C630" s="5" t="inlineStr">
        <is>
          <t>System Administrator</t>
        </is>
      </c>
      <c r="D630" s="5" t="inlineStr">
        <is>
          <t>Security / Exception / Recovery</t>
        </is>
      </c>
      <c r="E630" s="5" t="inlineStr">
        <is>
          <t>Automated password complexity enforcement and breach dictionary checking</t>
        </is>
      </c>
      <c r="F630" s="5" t="inlineStr">
        <is>
          <t>Auth Validator</t>
        </is>
      </c>
      <c r="G630" s="5" t="inlineStr">
        <is>
          <t>All Users</t>
        </is>
      </c>
      <c r="H630" s="5" t="inlineStr">
        <is>
          <t>Prevent users from setting weak passwords (e.g. '123456', 'admin') that compromise business data</t>
        </is>
      </c>
      <c r="I630" s="5" t="inlineStr">
        <is>
          <t>Enforces minimum 10 characters, upper/lower case, digits, and checks HaveIBeenPwned breach list</t>
        </is>
      </c>
      <c r="J630" s="20" t="inlineStr">
        <is>
          <t>P1</t>
        </is>
      </c>
      <c r="K630" s="20" t="inlineStr">
        <is>
          <t>Validated (Supported)</t>
        </is>
      </c>
      <c r="L630" s="5" t="inlineStr">
        <is>
          <t>Django Auth Password Validators with zxcvbn password strength estimator.</t>
        </is>
      </c>
      <c r="M630" s="8" t="inlineStr">
        <is>
          <t>Strategic expansion</t>
        </is>
      </c>
      <c r="N630" s="8" t="inlineStr">
        <is>
          <t>Platform or theme scope</t>
        </is>
      </c>
      <c r="O630" s="8" t="inlineStr">
        <is>
          <t>P1</t>
        </is>
      </c>
      <c r="P630" s="5" t="inlineStr">
        <is>
          <t>Unchanged</t>
        </is>
      </c>
      <c r="Q630" s="20" t="inlineStr">
        <is>
          <t>Author assertion</t>
        </is>
      </c>
      <c r="R630" s="5" t="inlineStr"/>
      <c r="S630" s="8" t="inlineStr">
        <is>
          <t>OTHER</t>
        </is>
      </c>
      <c r="T630" s="5" t="inlineStr">
        <is>
          <t>Security / Exception / Recovery</t>
        </is>
      </c>
      <c r="U630" s="8" t="inlineStr"/>
      <c r="V630" s="8" t="inlineStr"/>
      <c r="W630" s="8" t="inlineStr">
        <is>
          <t>CONTROL</t>
        </is>
      </c>
      <c r="X630" s="5" t="inlineStr">
        <is>
          <t>Core</t>
        </is>
      </c>
      <c r="Y630" s="5" t="inlineStr">
        <is>
          <t>System</t>
        </is>
      </c>
      <c r="Z630" s="5" t="inlineStr">
        <is>
          <t>High</t>
        </is>
      </c>
      <c r="AA630" s="5" t="inlineStr">
        <is>
          <t>Medium</t>
        </is>
      </c>
      <c r="AB630" s="8" t="inlineStr">
        <is>
          <t>Medium</t>
        </is>
      </c>
      <c r="AC630" s="8" t="inlineStr">
        <is>
          <t>Pilot</t>
        </is>
      </c>
      <c r="AD630" s="5" t="inlineStr">
        <is>
          <t>Not independently checked</t>
        </is>
      </c>
      <c r="AE630" s="5" t="inlineStr">
        <is>
          <t>Not verified</t>
        </is>
      </c>
      <c r="AF630" s="5" t="inlineStr">
        <is>
          <t>Not verified</t>
        </is>
      </c>
      <c r="AG630" s="5" t="inlineStr">
        <is>
          <t>Not verified</t>
        </is>
      </c>
      <c r="AH630" s="5" t="inlineStr">
        <is>
          <t>Not verified</t>
        </is>
      </c>
      <c r="AI630" s="8" t="inlineStr">
        <is>
          <t>No</t>
        </is>
      </c>
      <c r="AJ630" s="8" t="inlineStr">
        <is>
          <t>Claimed - unverified</t>
        </is>
      </c>
      <c r="AK630" s="8" t="inlineStr">
        <is>
          <t>P1</t>
        </is>
      </c>
      <c r="AL630" s="8" t="n">
        <v>12</v>
      </c>
      <c r="AM630" s="5" t="inlineStr"/>
      <c r="AN630" s="5" t="inlineStr"/>
      <c r="AO630" s="5" t="inlineStr"/>
      <c r="AP630" s="5" t="inlineStr"/>
      <c r="AQ630" s="5" t="inlineStr"/>
      <c r="AR630" s="5" t="inlineStr"/>
      <c r="AS630" s="5" t="inlineStr"/>
      <c r="AT630" s="5" t="inlineStr"/>
      <c r="AU630" s="8" t="inlineStr">
        <is>
          <t>Not run</t>
        </is>
      </c>
    </row>
    <row r="631" ht="32" customHeight="1">
      <c r="A631" s="16" t="inlineStr">
        <is>
          <t>SEC-0630</t>
        </is>
      </c>
      <c r="B631" s="8" t="inlineStr">
        <is>
          <t>SEC</t>
        </is>
      </c>
      <c r="C631" s="5" t="inlineStr">
        <is>
          <t>System Administrator</t>
        </is>
      </c>
      <c r="D631" s="5" t="inlineStr">
        <is>
          <t>Security / Exception / Recovery</t>
        </is>
      </c>
      <c r="E631" s="5" t="inlineStr">
        <is>
          <t>HTTP Strict Transport Security (HSTS) and secure cookie flags enforcement</t>
        </is>
      </c>
      <c r="F631" s="5" t="inlineStr">
        <is>
          <t>Security Middleware</t>
        </is>
      </c>
      <c r="G631" s="5" t="inlineStr">
        <is>
          <t>External Snooper</t>
        </is>
      </c>
      <c r="H631" s="5" t="inlineStr">
        <is>
          <t>Enforce HTTPS across all traffic; set Secure, HttpOnly, and SameSite=Lax flags on all session cookies</t>
        </is>
      </c>
      <c r="I631" s="5" t="inlineStr">
        <is>
          <t>Prevents man-in-the-middle packet sniffing and session cookie theft over unsecured public Wi-Fi</t>
        </is>
      </c>
      <c r="J631" s="19" t="inlineStr">
        <is>
          <t>P0</t>
        </is>
      </c>
      <c r="K631" s="20" t="inlineStr">
        <is>
          <t>Validated (Supported)</t>
        </is>
      </c>
      <c r="L631" s="5" t="inlineStr">
        <is>
          <t>Production SSL settings: SECURE_HSTS_SECONDS=31536000, SESSION_COOKIE_SECURE=True.</t>
        </is>
      </c>
      <c r="M631" s="8" t="inlineStr">
        <is>
          <t>Strategic expansion</t>
        </is>
      </c>
      <c r="N631" s="8" t="inlineStr">
        <is>
          <t>Platform or theme scope</t>
        </is>
      </c>
      <c r="O631" s="8" t="inlineStr">
        <is>
          <t>P0</t>
        </is>
      </c>
      <c r="P631" s="5" t="inlineStr">
        <is>
          <t>Unchanged</t>
        </is>
      </c>
      <c r="Q631" s="20" t="inlineStr">
        <is>
          <t>Author assertion</t>
        </is>
      </c>
      <c r="R631" s="5" t="inlineStr"/>
      <c r="S631" s="8" t="inlineStr">
        <is>
          <t>OTHER</t>
        </is>
      </c>
      <c r="T631" s="5" t="inlineStr">
        <is>
          <t>Security / Exception / Recovery</t>
        </is>
      </c>
      <c r="U631" s="8" t="inlineStr"/>
      <c r="V631" s="8" t="inlineStr"/>
      <c r="W631" s="8" t="inlineStr">
        <is>
          <t>CONTROL</t>
        </is>
      </c>
      <c r="X631" s="5" t="inlineStr">
        <is>
          <t>Core</t>
        </is>
      </c>
      <c r="Y631" s="5" t="inlineStr">
        <is>
          <t>System</t>
        </is>
      </c>
      <c r="Z631" s="5" t="inlineStr">
        <is>
          <t>High</t>
        </is>
      </c>
      <c r="AA631" s="5" t="inlineStr">
        <is>
          <t>Medium</t>
        </is>
      </c>
      <c r="AB631" s="8" t="inlineStr">
        <is>
          <t>Medium</t>
        </is>
      </c>
      <c r="AC631" s="8" t="inlineStr">
        <is>
          <t>MVP</t>
        </is>
      </c>
      <c r="AD631" s="5" t="inlineStr">
        <is>
          <t>Not independently checked</t>
        </is>
      </c>
      <c r="AE631" s="5" t="inlineStr">
        <is>
          <t>Not verified</t>
        </is>
      </c>
      <c r="AF631" s="5" t="inlineStr">
        <is>
          <t>Not verified</t>
        </is>
      </c>
      <c r="AG631" s="5" t="inlineStr">
        <is>
          <t>Not verified</t>
        </is>
      </c>
      <c r="AH631" s="5" t="inlineStr">
        <is>
          <t>Not verified</t>
        </is>
      </c>
      <c r="AI631" s="8" t="inlineStr">
        <is>
          <t>No</t>
        </is>
      </c>
      <c r="AJ631" s="8" t="inlineStr">
        <is>
          <t>Claimed - unverified</t>
        </is>
      </c>
      <c r="AK631" s="8" t="inlineStr">
        <is>
          <t>P0</t>
        </is>
      </c>
      <c r="AL631" s="8" t="n">
        <v>12</v>
      </c>
      <c r="AM631" s="5" t="inlineStr"/>
      <c r="AN631" s="5" t="inlineStr"/>
      <c r="AO631" s="5" t="inlineStr"/>
      <c r="AP631" s="5" t="inlineStr"/>
      <c r="AQ631" s="5" t="inlineStr"/>
      <c r="AR631" s="5" t="inlineStr"/>
      <c r="AS631" s="5" t="inlineStr"/>
      <c r="AT631" s="5" t="inlineStr"/>
      <c r="AU631" s="8" t="inlineStr">
        <is>
          <t>Not run</t>
        </is>
      </c>
    </row>
    <row r="632" ht="32" customHeight="1">
      <c r="A632" s="16" t="inlineStr">
        <is>
          <t>SEC-0631</t>
        </is>
      </c>
      <c r="B632" s="8" t="inlineStr">
        <is>
          <t>SEC</t>
        </is>
      </c>
      <c r="C632" s="5" t="inlineStr">
        <is>
          <t>System Administrator</t>
        </is>
      </c>
      <c r="D632" s="5" t="inlineStr">
        <is>
          <t>Security / Exception / Recovery</t>
        </is>
      </c>
      <c r="E632" s="5" t="inlineStr">
        <is>
          <t>Role-based discount percentage approval cap enforcement</t>
        </is>
      </c>
      <c r="F632" s="5" t="inlineStr">
        <is>
          <t>Permission Guard</t>
        </is>
      </c>
      <c r="G632" s="5" t="inlineStr">
        <is>
          <t>Billing Clerk / Manager</t>
        </is>
      </c>
      <c r="H632" s="5" t="inlineStr">
        <is>
          <t>Clerks can give up to 5% discount, managers up to 15%; higher discounts require owner authorization token</t>
        </is>
      </c>
      <c r="I632" s="5" t="inlineStr">
        <is>
          <t>Validates discount percentage against role policy; blocks transaction if limit is exceeded without override</t>
        </is>
      </c>
      <c r="J632" s="20" t="inlineStr">
        <is>
          <t>P1</t>
        </is>
      </c>
      <c r="K632" s="20" t="inlineStr">
        <is>
          <t>Validated (Supported)</t>
        </is>
      </c>
      <c r="L632" s="5" t="inlineStr">
        <is>
          <t>Role Permission Matrix discount limits enforced at API and UI checkout layers.</t>
        </is>
      </c>
      <c r="M632" s="8" t="inlineStr">
        <is>
          <t>Strategic expansion</t>
        </is>
      </c>
      <c r="N632" s="8" t="inlineStr">
        <is>
          <t>Platform or theme scope</t>
        </is>
      </c>
      <c r="O632" s="8" t="inlineStr">
        <is>
          <t>P1</t>
        </is>
      </c>
      <c r="P632" s="5" t="inlineStr">
        <is>
          <t>Unchanged</t>
        </is>
      </c>
      <c r="Q632" s="20" t="inlineStr">
        <is>
          <t>Author assertion</t>
        </is>
      </c>
      <c r="R632" s="5" t="inlineStr"/>
      <c r="S632" s="8" t="inlineStr">
        <is>
          <t>OTHER</t>
        </is>
      </c>
      <c r="T632" s="5" t="inlineStr">
        <is>
          <t>Security / Exception / Recovery</t>
        </is>
      </c>
      <c r="U632" s="8" t="inlineStr"/>
      <c r="V632" s="8" t="inlineStr"/>
      <c r="W632" s="8" t="inlineStr">
        <is>
          <t>CONTROL</t>
        </is>
      </c>
      <c r="X632" s="5" t="inlineStr">
        <is>
          <t>Core</t>
        </is>
      </c>
      <c r="Y632" s="5" t="inlineStr">
        <is>
          <t>System</t>
        </is>
      </c>
      <c r="Z632" s="5" t="inlineStr">
        <is>
          <t>High</t>
        </is>
      </c>
      <c r="AA632" s="5" t="inlineStr">
        <is>
          <t>Medium</t>
        </is>
      </c>
      <c r="AB632" s="8" t="inlineStr">
        <is>
          <t>Medium</t>
        </is>
      </c>
      <c r="AC632" s="8" t="inlineStr">
        <is>
          <t>Pilot</t>
        </is>
      </c>
      <c r="AD632" s="5" t="inlineStr">
        <is>
          <t>Not independently checked</t>
        </is>
      </c>
      <c r="AE632" s="5" t="inlineStr">
        <is>
          <t>Not verified</t>
        </is>
      </c>
      <c r="AF632" s="5" t="inlineStr">
        <is>
          <t>Not verified</t>
        </is>
      </c>
      <c r="AG632" s="5" t="inlineStr">
        <is>
          <t>Not verified</t>
        </is>
      </c>
      <c r="AH632" s="5" t="inlineStr">
        <is>
          <t>Not verified</t>
        </is>
      </c>
      <c r="AI632" s="8" t="inlineStr">
        <is>
          <t>No</t>
        </is>
      </c>
      <c r="AJ632" s="8" t="inlineStr">
        <is>
          <t>Claimed - unverified</t>
        </is>
      </c>
      <c r="AK632" s="8" t="inlineStr">
        <is>
          <t>P1</t>
        </is>
      </c>
      <c r="AL632" s="8" t="n">
        <v>12</v>
      </c>
      <c r="AM632" s="5" t="inlineStr"/>
      <c r="AN632" s="5" t="inlineStr"/>
      <c r="AO632" s="5" t="inlineStr"/>
      <c r="AP632" s="5" t="inlineStr"/>
      <c r="AQ632" s="5" t="inlineStr"/>
      <c r="AR632" s="5" t="inlineStr"/>
      <c r="AS632" s="5" t="inlineStr"/>
      <c r="AT632" s="5" t="inlineStr"/>
      <c r="AU632" s="8" t="inlineStr">
        <is>
          <t>Not run</t>
        </is>
      </c>
    </row>
    <row r="633" ht="32" customHeight="1">
      <c r="A633" s="16" t="inlineStr">
        <is>
          <t>SEC-0632</t>
        </is>
      </c>
      <c r="B633" s="8" t="inlineStr">
        <is>
          <t>SEC</t>
        </is>
      </c>
      <c r="C633" s="5" t="inlineStr">
        <is>
          <t>System Administrator</t>
        </is>
      </c>
      <c r="D633" s="5" t="inlineStr">
        <is>
          <t>Security / Exception / Recovery</t>
        </is>
      </c>
      <c r="E633" s="5" t="inlineStr">
        <is>
          <t>Automated security patch dependency scanner in CI/CD pipeline</t>
        </is>
      </c>
      <c r="F633" s="5" t="inlineStr">
        <is>
          <t>DevOps / Security Engine</t>
        </is>
      </c>
      <c r="G633" s="5" t="inlineStr">
        <is>
          <t>None</t>
        </is>
      </c>
      <c r="H633" s="5" t="inlineStr">
        <is>
          <t>Scan Python pip packages and npm libraries for known CVE security vulnerabilities before production deploy</t>
        </is>
      </c>
      <c r="I633" s="5" t="inlineStr">
        <is>
          <t>Blocks production build if any dependency contains high or critical CVE security vulnerability</t>
        </is>
      </c>
      <c r="J633" s="20" t="inlineStr">
        <is>
          <t>P1</t>
        </is>
      </c>
      <c r="K633" s="20" t="inlineStr">
        <is>
          <t>Validated (Supported)</t>
        </is>
      </c>
      <c r="L633" s="5" t="inlineStr">
        <is>
          <t>GitHub Actions CI/CD pipeline integrating Dependabot, Pip-Audit, and npm audit.</t>
        </is>
      </c>
      <c r="M633" s="8" t="inlineStr">
        <is>
          <t>Strategic expansion</t>
        </is>
      </c>
      <c r="N633" s="8" t="inlineStr">
        <is>
          <t>Platform or theme scope</t>
        </is>
      </c>
      <c r="O633" s="8" t="inlineStr">
        <is>
          <t>P1</t>
        </is>
      </c>
      <c r="P633" s="5" t="inlineStr">
        <is>
          <t>Unchanged</t>
        </is>
      </c>
      <c r="Q633" s="20" t="inlineStr">
        <is>
          <t>Author assertion</t>
        </is>
      </c>
      <c r="R633" s="5" t="inlineStr"/>
      <c r="S633" s="8" t="inlineStr">
        <is>
          <t>OTHER</t>
        </is>
      </c>
      <c r="T633" s="5" t="inlineStr">
        <is>
          <t>Security / Exception / Recovery</t>
        </is>
      </c>
      <c r="U633" s="8" t="inlineStr"/>
      <c r="V633" s="8" t="inlineStr"/>
      <c r="W633" s="8" t="inlineStr">
        <is>
          <t>CONTROL</t>
        </is>
      </c>
      <c r="X633" s="5" t="inlineStr">
        <is>
          <t>Core</t>
        </is>
      </c>
      <c r="Y633" s="5" t="inlineStr">
        <is>
          <t>System</t>
        </is>
      </c>
      <c r="Z633" s="5" t="inlineStr">
        <is>
          <t>High</t>
        </is>
      </c>
      <c r="AA633" s="5" t="inlineStr">
        <is>
          <t>Medium</t>
        </is>
      </c>
      <c r="AB633" s="8" t="inlineStr">
        <is>
          <t>Medium</t>
        </is>
      </c>
      <c r="AC633" s="8" t="inlineStr">
        <is>
          <t>Pilot</t>
        </is>
      </c>
      <c r="AD633" s="5" t="inlineStr">
        <is>
          <t>Not independently checked</t>
        </is>
      </c>
      <c r="AE633" s="5" t="inlineStr">
        <is>
          <t>Not verified</t>
        </is>
      </c>
      <c r="AF633" s="5" t="inlineStr">
        <is>
          <t>Not verified</t>
        </is>
      </c>
      <c r="AG633" s="5" t="inlineStr">
        <is>
          <t>Not verified</t>
        </is>
      </c>
      <c r="AH633" s="5" t="inlineStr">
        <is>
          <t>Not verified</t>
        </is>
      </c>
      <c r="AI633" s="8" t="inlineStr">
        <is>
          <t>No</t>
        </is>
      </c>
      <c r="AJ633" s="8" t="inlineStr">
        <is>
          <t>Claimed - unverified</t>
        </is>
      </c>
      <c r="AK633" s="8" t="inlineStr">
        <is>
          <t>P1</t>
        </is>
      </c>
      <c r="AL633" s="8" t="n">
        <v>12</v>
      </c>
      <c r="AM633" s="5" t="inlineStr"/>
      <c r="AN633" s="5" t="inlineStr"/>
      <c r="AO633" s="5" t="inlineStr"/>
      <c r="AP633" s="5" t="inlineStr"/>
      <c r="AQ633" s="5" t="inlineStr"/>
      <c r="AR633" s="5" t="inlineStr"/>
      <c r="AS633" s="5" t="inlineStr"/>
      <c r="AT633" s="5" t="inlineStr"/>
      <c r="AU633" s="8" t="inlineStr">
        <is>
          <t>Not run</t>
        </is>
      </c>
    </row>
    <row r="634" ht="32" customHeight="1">
      <c r="A634" s="16" t="inlineStr">
        <is>
          <t>SEC-0633</t>
        </is>
      </c>
      <c r="B634" s="8" t="inlineStr">
        <is>
          <t>SEC</t>
        </is>
      </c>
      <c r="C634" s="5" t="inlineStr">
        <is>
          <t>System Administrator</t>
        </is>
      </c>
      <c r="D634" s="5" t="inlineStr">
        <is>
          <t>Security / Exception / Recovery</t>
        </is>
      </c>
      <c r="E634" s="5" t="inlineStr">
        <is>
          <t>API webhook cryptographic HMAC replay attack prevention with timestamp verification</t>
        </is>
      </c>
      <c r="F634" s="5" t="inlineStr">
        <is>
          <t>Webhook Receiver</t>
        </is>
      </c>
      <c r="G634" s="5" t="inlineStr">
        <is>
          <t>Malicious Actor</t>
        </is>
      </c>
      <c r="H634" s="5" t="inlineStr">
        <is>
          <t>Reject replayed webhook payloads captured by network attackers</t>
        </is>
      </c>
      <c r="I634" s="5" t="inlineStr">
        <is>
          <t>Validates webhook timestamp header is within 5 minutes of server time; rejects stale replay requests</t>
        </is>
      </c>
      <c r="J634" s="20" t="inlineStr">
        <is>
          <t>P1</t>
        </is>
      </c>
      <c r="K634" s="20" t="inlineStr">
        <is>
          <t>Validated (Supported)</t>
        </is>
      </c>
      <c r="L634" s="5" t="inlineStr">
        <is>
          <t>Webhook replay defense comparing X-Webhook-Timestamp against current server clock.</t>
        </is>
      </c>
      <c r="M634" s="8" t="inlineStr">
        <is>
          <t>Strategic expansion</t>
        </is>
      </c>
      <c r="N634" s="8" t="inlineStr">
        <is>
          <t>Platform or theme scope</t>
        </is>
      </c>
      <c r="O634" s="8" t="inlineStr">
        <is>
          <t>P1</t>
        </is>
      </c>
      <c r="P634" s="5" t="inlineStr">
        <is>
          <t>Unchanged</t>
        </is>
      </c>
      <c r="Q634" s="20" t="inlineStr">
        <is>
          <t>Author assertion</t>
        </is>
      </c>
      <c r="R634" s="5" t="inlineStr"/>
      <c r="S634" s="8" t="inlineStr">
        <is>
          <t>OTHER</t>
        </is>
      </c>
      <c r="T634" s="5" t="inlineStr">
        <is>
          <t>Security / Exception / Recovery</t>
        </is>
      </c>
      <c r="U634" s="8" t="inlineStr"/>
      <c r="V634" s="8" t="inlineStr"/>
      <c r="W634" s="8" t="inlineStr">
        <is>
          <t>CONTROL</t>
        </is>
      </c>
      <c r="X634" s="5" t="inlineStr">
        <is>
          <t>Core</t>
        </is>
      </c>
      <c r="Y634" s="5" t="inlineStr">
        <is>
          <t>System</t>
        </is>
      </c>
      <c r="Z634" s="5" t="inlineStr">
        <is>
          <t>High</t>
        </is>
      </c>
      <c r="AA634" s="5" t="inlineStr">
        <is>
          <t>Medium</t>
        </is>
      </c>
      <c r="AB634" s="8" t="inlineStr">
        <is>
          <t>Medium</t>
        </is>
      </c>
      <c r="AC634" s="8" t="inlineStr">
        <is>
          <t>Pilot</t>
        </is>
      </c>
      <c r="AD634" s="5" t="inlineStr">
        <is>
          <t>Not independently checked</t>
        </is>
      </c>
      <c r="AE634" s="5" t="inlineStr">
        <is>
          <t>Not verified</t>
        </is>
      </c>
      <c r="AF634" s="5" t="inlineStr">
        <is>
          <t>Not verified</t>
        </is>
      </c>
      <c r="AG634" s="5" t="inlineStr">
        <is>
          <t>Not verified</t>
        </is>
      </c>
      <c r="AH634" s="5" t="inlineStr">
        <is>
          <t>Not verified</t>
        </is>
      </c>
      <c r="AI634" s="8" t="inlineStr">
        <is>
          <t>No</t>
        </is>
      </c>
      <c r="AJ634" s="8" t="inlineStr">
        <is>
          <t>Claimed - unverified</t>
        </is>
      </c>
      <c r="AK634" s="8" t="inlineStr">
        <is>
          <t>P1</t>
        </is>
      </c>
      <c r="AL634" s="8" t="n">
        <v>12</v>
      </c>
      <c r="AM634" s="5" t="inlineStr"/>
      <c r="AN634" s="5" t="inlineStr"/>
      <c r="AO634" s="5" t="inlineStr"/>
      <c r="AP634" s="5" t="inlineStr"/>
      <c r="AQ634" s="5" t="inlineStr"/>
      <c r="AR634" s="5" t="inlineStr"/>
      <c r="AS634" s="5" t="inlineStr"/>
      <c r="AT634" s="5" t="inlineStr"/>
      <c r="AU634" s="8" t="inlineStr">
        <is>
          <t>Not run</t>
        </is>
      </c>
    </row>
    <row r="635" ht="32" customHeight="1">
      <c r="A635" s="16" t="inlineStr">
        <is>
          <t>SEC-0634</t>
        </is>
      </c>
      <c r="B635" s="8" t="inlineStr">
        <is>
          <t>SEC</t>
        </is>
      </c>
      <c r="C635" s="5" t="inlineStr">
        <is>
          <t>System Administrator</t>
        </is>
      </c>
      <c r="D635" s="5" t="inlineStr">
        <is>
          <t>Security / Exception / Recovery</t>
        </is>
      </c>
      <c r="E635" s="5" t="inlineStr">
        <is>
          <t>Multi-factor authorization prompt for high-risk system configuration changes</t>
        </is>
      </c>
      <c r="F635" s="5" t="inlineStr">
        <is>
          <t>Security Guard</t>
        </is>
      </c>
      <c r="G635" s="5" t="inlineStr">
        <is>
          <t>System Administrator</t>
        </is>
      </c>
      <c r="H635" s="5" t="inlineStr">
        <is>
          <t>Re-prompt user for account password or TOTP before changing bank accounts or deleting company records</t>
        </is>
      </c>
      <c r="I635" s="5" t="inlineStr">
        <is>
          <t>Requires password confirmation modal (sudo mode) before executing critical administrative actions</t>
        </is>
      </c>
      <c r="J635" s="20" t="inlineStr">
        <is>
          <t>P1</t>
        </is>
      </c>
      <c r="K635" s="20" t="inlineStr">
        <is>
          <t>Validated (Supported)</t>
        </is>
      </c>
      <c r="L635" s="5" t="inlineStr">
        <is>
          <t>Sudo mode re-authentication decorator on high-risk settings endpoints.</t>
        </is>
      </c>
      <c r="M635" s="8" t="inlineStr">
        <is>
          <t>Strategic expansion</t>
        </is>
      </c>
      <c r="N635" s="8" t="inlineStr">
        <is>
          <t>Platform or theme scope</t>
        </is>
      </c>
      <c r="O635" s="8" t="inlineStr">
        <is>
          <t>P1</t>
        </is>
      </c>
      <c r="P635" s="5" t="inlineStr">
        <is>
          <t>Unchanged</t>
        </is>
      </c>
      <c r="Q635" s="20" t="inlineStr">
        <is>
          <t>Author assertion</t>
        </is>
      </c>
      <c r="R635" s="5" t="inlineStr"/>
      <c r="S635" s="8" t="inlineStr">
        <is>
          <t>OTHER</t>
        </is>
      </c>
      <c r="T635" s="5" t="inlineStr">
        <is>
          <t>Security / Exception / Recovery</t>
        </is>
      </c>
      <c r="U635" s="8" t="inlineStr"/>
      <c r="V635" s="8" t="inlineStr"/>
      <c r="W635" s="8" t="inlineStr">
        <is>
          <t>CONTROL</t>
        </is>
      </c>
      <c r="X635" s="5" t="inlineStr">
        <is>
          <t>Core</t>
        </is>
      </c>
      <c r="Y635" s="5" t="inlineStr">
        <is>
          <t>System</t>
        </is>
      </c>
      <c r="Z635" s="5" t="inlineStr">
        <is>
          <t>High</t>
        </is>
      </c>
      <c r="AA635" s="5" t="inlineStr">
        <is>
          <t>Medium</t>
        </is>
      </c>
      <c r="AB635" s="8" t="inlineStr">
        <is>
          <t>Medium</t>
        </is>
      </c>
      <c r="AC635" s="8" t="inlineStr">
        <is>
          <t>Pilot</t>
        </is>
      </c>
      <c r="AD635" s="5" t="inlineStr">
        <is>
          <t>Not independently checked</t>
        </is>
      </c>
      <c r="AE635" s="5" t="inlineStr">
        <is>
          <t>Not verified</t>
        </is>
      </c>
      <c r="AF635" s="5" t="inlineStr">
        <is>
          <t>Not verified</t>
        </is>
      </c>
      <c r="AG635" s="5" t="inlineStr">
        <is>
          <t>Not verified</t>
        </is>
      </c>
      <c r="AH635" s="5" t="inlineStr">
        <is>
          <t>Not verified</t>
        </is>
      </c>
      <c r="AI635" s="8" t="inlineStr">
        <is>
          <t>No</t>
        </is>
      </c>
      <c r="AJ635" s="8" t="inlineStr">
        <is>
          <t>Claimed - unverified</t>
        </is>
      </c>
      <c r="AK635" s="8" t="inlineStr">
        <is>
          <t>P1</t>
        </is>
      </c>
      <c r="AL635" s="8" t="n">
        <v>12</v>
      </c>
      <c r="AM635" s="5" t="inlineStr"/>
      <c r="AN635" s="5" t="inlineStr"/>
      <c r="AO635" s="5" t="inlineStr"/>
      <c r="AP635" s="5" t="inlineStr"/>
      <c r="AQ635" s="5" t="inlineStr"/>
      <c r="AR635" s="5" t="inlineStr"/>
      <c r="AS635" s="5" t="inlineStr"/>
      <c r="AT635" s="5" t="inlineStr"/>
      <c r="AU635" s="8" t="inlineStr">
        <is>
          <t>Not run</t>
        </is>
      </c>
    </row>
    <row r="636" ht="32" customHeight="1">
      <c r="A636" s="16" t="inlineStr">
        <is>
          <t>SEC-0635</t>
        </is>
      </c>
      <c r="B636" s="8" t="inlineStr">
        <is>
          <t>SEC</t>
        </is>
      </c>
      <c r="C636" s="5" t="inlineStr">
        <is>
          <t>System Administrator</t>
        </is>
      </c>
      <c r="D636" s="5" t="inlineStr">
        <is>
          <t>Security / Exception / Recovery</t>
        </is>
      </c>
      <c r="E636" s="5" t="inlineStr">
        <is>
          <t>Automated dormant user account lockout after 90 days of inactivity</t>
        </is>
      </c>
      <c r="F636" s="5" t="inlineStr">
        <is>
          <t>Security Worker</t>
        </is>
      </c>
      <c r="G636" s="5" t="inlineStr">
        <is>
          <t>Inactive Users</t>
        </is>
      </c>
      <c r="H636" s="5" t="inlineStr">
        <is>
          <t>Automatically disable user accounts that have not logged in for 90 days to minimize attack surface</t>
        </is>
      </c>
      <c r="I636" s="5" t="inlineStr">
        <is>
          <t>Sets is_active=False on dormant users; alerts admin; requires admin re-activation to restore access</t>
        </is>
      </c>
      <c r="J636" s="24" t="inlineStr">
        <is>
          <t>P3</t>
        </is>
      </c>
      <c r="K636" s="20" t="inlineStr">
        <is>
          <t>Validated (Supported)</t>
        </is>
      </c>
      <c r="L636" s="5" t="inlineStr">
        <is>
          <t>Monthly cron job querying User.last_login &lt; now() - 90 days.</t>
        </is>
      </c>
      <c r="M636" s="8" t="inlineStr">
        <is>
          <t>Strategic expansion</t>
        </is>
      </c>
      <c r="N636" s="8" t="inlineStr">
        <is>
          <t>Platform or theme scope</t>
        </is>
      </c>
      <c r="O636" s="8" t="inlineStr">
        <is>
          <t>P2</t>
        </is>
      </c>
      <c r="P636" s="5" t="inlineStr">
        <is>
          <t>Kept P3. The previous workbook had P3. Authored priority was P2.</t>
        </is>
      </c>
      <c r="Q636" s="21" t="inlineStr">
        <is>
          <t>Code symbol found</t>
        </is>
      </c>
      <c r="R636" s="5" t="inlineStr">
        <is>
          <t>Matched last_login in product code. This is not a functional test. Kept P3. The previous workbook had P3. Authored priority was P2.</t>
        </is>
      </c>
      <c r="S636" s="8" t="inlineStr">
        <is>
          <t>OTHER</t>
        </is>
      </c>
      <c r="T636" s="5" t="inlineStr">
        <is>
          <t>Security / Exception / Recovery</t>
        </is>
      </c>
      <c r="U636" s="8" t="inlineStr"/>
      <c r="V636" s="8" t="inlineStr"/>
      <c r="W636" s="8" t="inlineStr">
        <is>
          <t>CONTROL</t>
        </is>
      </c>
      <c r="X636" s="5" t="inlineStr">
        <is>
          <t>Future</t>
        </is>
      </c>
      <c r="Y636" s="5" t="inlineStr">
        <is>
          <t>System</t>
        </is>
      </c>
      <c r="Z636" s="5" t="inlineStr">
        <is>
          <t>Low</t>
        </is>
      </c>
      <c r="AA636" s="5" t="inlineStr">
        <is>
          <t>Low</t>
        </is>
      </c>
      <c r="AB636" s="8" t="inlineStr">
        <is>
          <t>Medium</t>
        </is>
      </c>
      <c r="AC636" s="8" t="inlineStr">
        <is>
          <t>Later</t>
        </is>
      </c>
      <c r="AD636" s="5" t="inlineStr">
        <is>
          <t>Cited in code</t>
        </is>
      </c>
      <c r="AE636" s="5" t="inlineStr">
        <is>
          <t>Not verified</t>
        </is>
      </c>
      <c r="AF636" s="5" t="inlineStr">
        <is>
          <t>Not verified</t>
        </is>
      </c>
      <c r="AG636" s="5" t="inlineStr">
        <is>
          <t>Not verified</t>
        </is>
      </c>
      <c r="AH636" s="5" t="inlineStr">
        <is>
          <t>Not verified</t>
        </is>
      </c>
      <c r="AI636" s="8" t="inlineStr">
        <is>
          <t>No</t>
        </is>
      </c>
      <c r="AJ636" s="8" t="inlineStr">
        <is>
          <t>Built - unverified</t>
        </is>
      </c>
      <c r="AK636" s="8" t="inlineStr">
        <is>
          <t>P3</t>
        </is>
      </c>
      <c r="AL636" s="8" t="n">
        <v>2</v>
      </c>
      <c r="AM636" s="5" t="inlineStr"/>
      <c r="AN636" s="5" t="inlineStr"/>
      <c r="AO636" s="5" t="inlineStr"/>
      <c r="AP636" s="5" t="inlineStr"/>
      <c r="AQ636" s="5" t="inlineStr"/>
      <c r="AR636" s="5" t="inlineStr"/>
      <c r="AS636" s="5" t="inlineStr"/>
      <c r="AT636" s="5" t="inlineStr"/>
      <c r="AU636" s="8" t="inlineStr">
        <is>
          <t>Not run</t>
        </is>
      </c>
    </row>
    <row r="637" ht="32" customHeight="1">
      <c r="A637" s="16" t="inlineStr">
        <is>
          <t>R-0636</t>
        </is>
      </c>
      <c r="B637" s="8" t="inlineStr">
        <is>
          <t>R</t>
        </is>
      </c>
      <c r="C637" s="5" t="inlineStr">
        <is>
          <t>Architecture &amp; Platform</t>
        </is>
      </c>
      <c r="D637" s="5" t="inlineStr">
        <is>
          <t>Customer-to-Cash</t>
        </is>
      </c>
      <c r="E637" s="5" t="inlineStr">
        <is>
          <t>Sub-200ms POS billing checkout latency under continuous queue load</t>
        </is>
      </c>
      <c r="F637" s="5" t="inlineStr">
        <is>
          <t>Billing Clerk / Cashier</t>
        </is>
      </c>
      <c r="G637" s="5" t="inlineStr">
        <is>
          <t>Walk-in Customer</t>
        </is>
      </c>
      <c r="H637" s="5" t="inlineStr">
        <is>
          <t>Cashier can complete sales invoices with &lt; 200ms round-trip API response time during peak festival rush</t>
        </is>
      </c>
      <c r="I637" s="5" t="inlineStr">
        <is>
          <t>Eliminates billing delays; handles 100+ checkouts per minute across store network without lag</t>
        </is>
      </c>
      <c r="J637" s="19" t="inlineStr">
        <is>
          <t>P0</t>
        </is>
      </c>
      <c r="K637" s="20" t="inlineStr">
        <is>
          <t>Validated (Supported)</t>
        </is>
      </c>
      <c r="L637" s="5" t="inlineStr">
        <is>
          <t>Optimized checkout transaction benchmarked via Locust load test to &lt; 200ms P95 latency.</t>
        </is>
      </c>
      <c r="M637" s="8" t="inlineStr">
        <is>
          <t>Strategic expansion</t>
        </is>
      </c>
      <c r="N637" s="8" t="inlineStr">
        <is>
          <t>Platform or theme scope</t>
        </is>
      </c>
      <c r="O637" s="8" t="inlineStr">
        <is>
          <t>P0</t>
        </is>
      </c>
      <c r="P637" s="5" t="inlineStr">
        <is>
          <t>Unchanged</t>
        </is>
      </c>
      <c r="Q637" s="20" t="inlineStr">
        <is>
          <t>Author assertion</t>
        </is>
      </c>
      <c r="R637" s="5" t="inlineStr"/>
      <c r="S637" s="8" t="inlineStr">
        <is>
          <t>C2C</t>
        </is>
      </c>
      <c r="T637" s="5" t="inlineStr">
        <is>
          <t>Customer to cash</t>
        </is>
      </c>
      <c r="U637" s="8" t="inlineStr"/>
      <c r="V637" s="8" t="inlineStr">
        <is>
          <t>sales</t>
        </is>
      </c>
      <c r="W637" s="8" t="inlineStr">
        <is>
          <t>RUN</t>
        </is>
      </c>
      <c r="X637" s="5" t="inlineStr">
        <is>
          <t>Core</t>
        </is>
      </c>
      <c r="Y637" s="5" t="inlineStr">
        <is>
          <t>Platform scope</t>
        </is>
      </c>
      <c r="Z637" s="5" t="inlineStr">
        <is>
          <t>Medium</t>
        </is>
      </c>
      <c r="AA637" s="5" t="inlineStr">
        <is>
          <t>Medium</t>
        </is>
      </c>
      <c r="AB637" s="8" t="inlineStr">
        <is>
          <t>Low</t>
        </is>
      </c>
      <c r="AC637" s="8" t="inlineStr">
        <is>
          <t>MVP</t>
        </is>
      </c>
      <c r="AD637" s="5" t="inlineStr">
        <is>
          <t>Not independently checked</t>
        </is>
      </c>
      <c r="AE637" s="5" t="inlineStr">
        <is>
          <t>Not verified</t>
        </is>
      </c>
      <c r="AF637" s="5" t="inlineStr">
        <is>
          <t>Not verified</t>
        </is>
      </c>
      <c r="AG637" s="5" t="inlineStr">
        <is>
          <t>Not verified</t>
        </is>
      </c>
      <c r="AH637" s="5" t="inlineStr">
        <is>
          <t>Not verified</t>
        </is>
      </c>
      <c r="AI637" s="8" t="inlineStr">
        <is>
          <t>No</t>
        </is>
      </c>
      <c r="AJ637" s="8" t="inlineStr">
        <is>
          <t>Claimed - unverified</t>
        </is>
      </c>
      <c r="AK637" s="8" t="inlineStr">
        <is>
          <t>P0</t>
        </is>
      </c>
      <c r="AL637" s="8" t="n">
        <v>6</v>
      </c>
      <c r="AM637" s="5" t="inlineStr"/>
      <c r="AN637" s="5" t="inlineStr"/>
      <c r="AO637" s="5" t="inlineStr"/>
      <c r="AP637" s="5" t="inlineStr"/>
      <c r="AQ637" s="5" t="inlineStr"/>
      <c r="AR637" s="5" t="inlineStr"/>
      <c r="AS637" s="5" t="inlineStr"/>
      <c r="AT637" s="5" t="inlineStr"/>
      <c r="AU637" s="8" t="inlineStr">
        <is>
          <t>Not run</t>
        </is>
      </c>
    </row>
    <row r="638" ht="32" customHeight="1">
      <c r="A638" s="16" t="inlineStr">
        <is>
          <t>R-0637</t>
        </is>
      </c>
      <c r="B638" s="8" t="inlineStr">
        <is>
          <t>R</t>
        </is>
      </c>
      <c r="C638" s="5" t="inlineStr">
        <is>
          <t>Architecture &amp; Platform</t>
        </is>
      </c>
      <c r="D638" s="5" t="inlineStr">
        <is>
          <t>Inventory Lifecycle</t>
        </is>
      </c>
      <c r="E638" s="5" t="inlineStr">
        <is>
          <t>10,000+ SKU instant client-side catalog search with zero network round-trip</t>
        </is>
      </c>
      <c r="F638" s="5" t="inlineStr">
        <is>
          <t>Billing Clerk</t>
        </is>
      </c>
      <c r="G638" s="5" t="inlineStr">
        <is>
          <t>None</t>
        </is>
      </c>
      <c r="H638" s="5" t="inlineStr">
        <is>
          <t>Instant keystroke SKU filtering across 10,000 products powered by client-side browser indexedDB cache</t>
        </is>
      </c>
      <c r="I638" s="5" t="inlineStr">
        <is>
          <t>Enables instant search results in &lt; 15ms even on low-cost store desktop computers</t>
        </is>
      </c>
      <c r="J638" s="20" t="inlineStr">
        <is>
          <t>P1</t>
        </is>
      </c>
      <c r="K638" s="20" t="inlineStr">
        <is>
          <t>Validated (Supported)</t>
        </is>
      </c>
      <c r="L638" s="5" t="inlineStr">
        <is>
          <t>Client-side IndexedDB caching using Dexie.js with memory-mapped SKU index.</t>
        </is>
      </c>
      <c r="M638" s="8" t="inlineStr">
        <is>
          <t>Strategic expansion</t>
        </is>
      </c>
      <c r="N638" s="8" t="inlineStr">
        <is>
          <t>Platform or theme scope</t>
        </is>
      </c>
      <c r="O638" s="8" t="inlineStr">
        <is>
          <t>P1</t>
        </is>
      </c>
      <c r="P638" s="5" t="inlineStr">
        <is>
          <t>Unchanged</t>
        </is>
      </c>
      <c r="Q638" s="21" t="inlineStr">
        <is>
          <t>Code symbol found</t>
        </is>
      </c>
      <c r="R638" s="5" t="inlineStr">
        <is>
          <t>Matched ndexedDB in product code. This is not a functional test.</t>
        </is>
      </c>
      <c r="S638" s="8" t="inlineStr">
        <is>
          <t>INV</t>
        </is>
      </c>
      <c r="T638" s="5" t="inlineStr">
        <is>
          <t>Inventory lifecycle</t>
        </is>
      </c>
      <c r="U638" s="8" t="inlineStr"/>
      <c r="V638" s="8" t="inlineStr">
        <is>
          <t>inventory</t>
        </is>
      </c>
      <c r="W638" s="8" t="inlineStr">
        <is>
          <t>RUN</t>
        </is>
      </c>
      <c r="X638" s="5" t="inlineStr">
        <is>
          <t>Core</t>
        </is>
      </c>
      <c r="Y638" s="5" t="inlineStr">
        <is>
          <t>Platform scope</t>
        </is>
      </c>
      <c r="Z638" s="5" t="inlineStr">
        <is>
          <t>High</t>
        </is>
      </c>
      <c r="AA638" s="5" t="inlineStr">
        <is>
          <t>High</t>
        </is>
      </c>
      <c r="AB638" s="8" t="inlineStr">
        <is>
          <t>Low</t>
        </is>
      </c>
      <c r="AC638" s="8" t="inlineStr">
        <is>
          <t>Pilot</t>
        </is>
      </c>
      <c r="AD638" s="5" t="inlineStr">
        <is>
          <t>Cited in code</t>
        </is>
      </c>
      <c r="AE638" s="5" t="inlineStr">
        <is>
          <t>Not verified</t>
        </is>
      </c>
      <c r="AF638" s="5" t="inlineStr">
        <is>
          <t>Not verified</t>
        </is>
      </c>
      <c r="AG638" s="5" t="inlineStr">
        <is>
          <t>Not verified</t>
        </is>
      </c>
      <c r="AH638" s="5" t="inlineStr">
        <is>
          <t>Not verified</t>
        </is>
      </c>
      <c r="AI638" s="8" t="inlineStr">
        <is>
          <t>No</t>
        </is>
      </c>
      <c r="AJ638" s="8" t="inlineStr">
        <is>
          <t>Built - unverified</t>
        </is>
      </c>
      <c r="AK638" s="8" t="inlineStr">
        <is>
          <t>P1</t>
        </is>
      </c>
      <c r="AL638" s="8" t="n">
        <v>9</v>
      </c>
      <c r="AM638" s="5" t="inlineStr"/>
      <c r="AN638" s="5" t="inlineStr"/>
      <c r="AO638" s="5" t="inlineStr"/>
      <c r="AP638" s="5" t="inlineStr"/>
      <c r="AQ638" s="5" t="inlineStr"/>
      <c r="AR638" s="5" t="inlineStr"/>
      <c r="AS638" s="5" t="inlineStr"/>
      <c r="AT638" s="5" t="inlineStr"/>
      <c r="AU638" s="8" t="inlineStr">
        <is>
          <t>Not run</t>
        </is>
      </c>
    </row>
    <row r="639" ht="32" customHeight="1">
      <c r="A639" s="16" t="inlineStr">
        <is>
          <t>R-0638</t>
        </is>
      </c>
      <c r="B639" s="8" t="inlineStr">
        <is>
          <t>R</t>
        </is>
      </c>
      <c r="C639" s="5" t="inlineStr">
        <is>
          <t>Architecture &amp; Platform</t>
        </is>
      </c>
      <c r="D639" s="5" t="inlineStr">
        <is>
          <t>Customer-to-Cash</t>
        </is>
      </c>
      <c r="E639" s="5" t="inlineStr">
        <is>
          <t>Offline-first POS billing queue with automatic background sync upon internet recovery</t>
        </is>
      </c>
      <c r="F639" s="5" t="inlineStr">
        <is>
          <t>Billing Clerk</t>
        </is>
      </c>
      <c r="G639" s="5" t="inlineStr">
        <is>
          <t>Customer</t>
        </is>
      </c>
      <c r="H639" s="5" t="inlineStr">
        <is>
          <t>Cashier can continue scanning, billing, and printing thermal receipts when store broadband drops</t>
        </is>
      </c>
      <c r="I639" s="5" t="inlineStr">
        <is>
          <t>Queues bills in local IndexedDB outbox; auto-synchronizes and reconciles with server when internet returns</t>
        </is>
      </c>
      <c r="J639" s="19" t="inlineStr">
        <is>
          <t>P0</t>
        </is>
      </c>
      <c r="K639" s="20" t="inlineStr">
        <is>
          <t>Validated (Supported)</t>
        </is>
      </c>
      <c r="L639" s="5" t="inlineStr">
        <is>
          <t>ServiceWorker offline billing engine with background sync and server idempotency key reconciliation.</t>
        </is>
      </c>
      <c r="M639" s="8" t="inlineStr">
        <is>
          <t>Strategic expansion</t>
        </is>
      </c>
      <c r="N639" s="8" t="inlineStr">
        <is>
          <t>Platform or theme scope</t>
        </is>
      </c>
      <c r="O639" s="8" t="inlineStr">
        <is>
          <t>P0</t>
        </is>
      </c>
      <c r="P639" s="5" t="inlineStr">
        <is>
          <t>Unchanged</t>
        </is>
      </c>
      <c r="Q639" s="20" t="inlineStr">
        <is>
          <t>Author assertion</t>
        </is>
      </c>
      <c r="R639" s="5" t="inlineStr"/>
      <c r="S639" s="8" t="inlineStr">
        <is>
          <t>C2C</t>
        </is>
      </c>
      <c r="T639" s="5" t="inlineStr">
        <is>
          <t>Customer to cash</t>
        </is>
      </c>
      <c r="U639" s="8" t="inlineStr"/>
      <c r="V639" s="8" t="inlineStr">
        <is>
          <t>sales</t>
        </is>
      </c>
      <c r="W639" s="8" t="inlineStr">
        <is>
          <t>RUN</t>
        </is>
      </c>
      <c r="X639" s="5" t="inlineStr">
        <is>
          <t>Core</t>
        </is>
      </c>
      <c r="Y639" s="5" t="inlineStr">
        <is>
          <t>Platform scope</t>
        </is>
      </c>
      <c r="Z639" s="5" t="inlineStr">
        <is>
          <t>Medium</t>
        </is>
      </c>
      <c r="AA639" s="5" t="inlineStr">
        <is>
          <t>Medium</t>
        </is>
      </c>
      <c r="AB639" s="8" t="inlineStr">
        <is>
          <t>Low</t>
        </is>
      </c>
      <c r="AC639" s="8" t="inlineStr">
        <is>
          <t>MVP</t>
        </is>
      </c>
      <c r="AD639" s="5" t="inlineStr">
        <is>
          <t>Not independently checked</t>
        </is>
      </c>
      <c r="AE639" s="5" t="inlineStr">
        <is>
          <t>Not verified</t>
        </is>
      </c>
      <c r="AF639" s="5" t="inlineStr">
        <is>
          <t>Not verified</t>
        </is>
      </c>
      <c r="AG639" s="5" t="inlineStr">
        <is>
          <t>Not verified</t>
        </is>
      </c>
      <c r="AH639" s="5" t="inlineStr">
        <is>
          <t>Not verified</t>
        </is>
      </c>
      <c r="AI639" s="8" t="inlineStr">
        <is>
          <t>No</t>
        </is>
      </c>
      <c r="AJ639" s="8" t="inlineStr">
        <is>
          <t>Claimed - unverified</t>
        </is>
      </c>
      <c r="AK639" s="8" t="inlineStr">
        <is>
          <t>P0</t>
        </is>
      </c>
      <c r="AL639" s="8" t="n">
        <v>6</v>
      </c>
      <c r="AM639" s="5" t="inlineStr"/>
      <c r="AN639" s="5" t="inlineStr"/>
      <c r="AO639" s="5" t="inlineStr"/>
      <c r="AP639" s="5" t="inlineStr"/>
      <c r="AQ639" s="5" t="inlineStr"/>
      <c r="AR639" s="5" t="inlineStr"/>
      <c r="AS639" s="5" t="inlineStr"/>
      <c r="AT639" s="5" t="inlineStr"/>
      <c r="AU639" s="8" t="inlineStr">
        <is>
          <t>Not run</t>
        </is>
      </c>
    </row>
    <row r="640" ht="32" customHeight="1">
      <c r="A640" s="16" t="inlineStr">
        <is>
          <t>R-0639</t>
        </is>
      </c>
      <c r="B640" s="8" t="inlineStr">
        <is>
          <t>R</t>
        </is>
      </c>
      <c r="C640" s="5" t="inlineStr">
        <is>
          <t>Architecture &amp; Platform</t>
        </is>
      </c>
      <c r="D640" s="5" t="inlineStr">
        <is>
          <t>Security / Exception / Recovery</t>
        </is>
      </c>
      <c r="E640" s="5" t="inlineStr">
        <is>
          <t>Idempotent API design guaranteeing zero duplicate orders on network timeout retries</t>
        </is>
      </c>
      <c r="F640" s="5" t="inlineStr">
        <is>
          <t>API Engine</t>
        </is>
      </c>
      <c r="G640" s="5" t="inlineStr">
        <is>
          <t>All Users</t>
        </is>
      </c>
      <c r="H640" s="5" t="inlineStr">
        <is>
          <t>Prevent accidental duplicate billing if user clicks 'Pay' twice or mobile app retries dropped connection</t>
        </is>
      </c>
      <c r="I640" s="5" t="inlineStr">
        <is>
          <t>Uses client-generated X-Idempotency-Key; returns existing transaction if duplicate key is received</t>
        </is>
      </c>
      <c r="J640" s="19" t="inlineStr">
        <is>
          <t>P0</t>
        </is>
      </c>
      <c r="K640" s="20" t="inlineStr">
        <is>
          <t>Validated (Supported)</t>
        </is>
      </c>
      <c r="L640" s="5" t="inlineStr">
        <is>
          <t>Idempotency middleware caching endpoint response in Redis for 120 seconds.</t>
        </is>
      </c>
      <c r="M640" s="8" t="inlineStr">
        <is>
          <t>Strategic expansion</t>
        </is>
      </c>
      <c r="N640" s="8" t="inlineStr">
        <is>
          <t>Platform or theme scope</t>
        </is>
      </c>
      <c r="O640" s="8" t="inlineStr">
        <is>
          <t>P0</t>
        </is>
      </c>
      <c r="P640" s="5" t="inlineStr">
        <is>
          <t>Unchanged</t>
        </is>
      </c>
      <c r="Q640" s="20" t="inlineStr">
        <is>
          <t>Author assertion</t>
        </is>
      </c>
      <c r="R640" s="5" t="inlineStr"/>
      <c r="S640" s="8" t="inlineStr">
        <is>
          <t>OTHER</t>
        </is>
      </c>
      <c r="T640" s="5" t="inlineStr">
        <is>
          <t>Security / Exception / Recovery</t>
        </is>
      </c>
      <c r="U640" s="8" t="inlineStr"/>
      <c r="V640" s="8" t="inlineStr"/>
      <c r="W640" s="8" t="inlineStr">
        <is>
          <t>CONTROL</t>
        </is>
      </c>
      <c r="X640" s="5" t="inlineStr">
        <is>
          <t>Core</t>
        </is>
      </c>
      <c r="Y640" s="5" t="inlineStr">
        <is>
          <t>Platform scope</t>
        </is>
      </c>
      <c r="Z640" s="5" t="inlineStr">
        <is>
          <t>High</t>
        </is>
      </c>
      <c r="AA640" s="5" t="inlineStr">
        <is>
          <t>Medium</t>
        </is>
      </c>
      <c r="AB640" s="8" t="inlineStr">
        <is>
          <t>Medium</t>
        </is>
      </c>
      <c r="AC640" s="8" t="inlineStr">
        <is>
          <t>MVP</t>
        </is>
      </c>
      <c r="AD640" s="5" t="inlineStr">
        <is>
          <t>Not independently checked</t>
        </is>
      </c>
      <c r="AE640" s="5" t="inlineStr">
        <is>
          <t>Not verified</t>
        </is>
      </c>
      <c r="AF640" s="5" t="inlineStr">
        <is>
          <t>Not verified</t>
        </is>
      </c>
      <c r="AG640" s="5" t="inlineStr">
        <is>
          <t>Not verified</t>
        </is>
      </c>
      <c r="AH640" s="5" t="inlineStr">
        <is>
          <t>Not verified</t>
        </is>
      </c>
      <c r="AI640" s="8" t="inlineStr">
        <is>
          <t>No</t>
        </is>
      </c>
      <c r="AJ640" s="8" t="inlineStr">
        <is>
          <t>Claimed - unverified</t>
        </is>
      </c>
      <c r="AK640" s="8" t="inlineStr">
        <is>
          <t>P0</t>
        </is>
      </c>
      <c r="AL640" s="8" t="n">
        <v>12</v>
      </c>
      <c r="AM640" s="5" t="inlineStr"/>
      <c r="AN640" s="5" t="inlineStr"/>
      <c r="AO640" s="5" t="inlineStr"/>
      <c r="AP640" s="5" t="inlineStr"/>
      <c r="AQ640" s="5" t="inlineStr"/>
      <c r="AR640" s="5" t="inlineStr"/>
      <c r="AS640" s="5" t="inlineStr"/>
      <c r="AT640" s="5" t="inlineStr"/>
      <c r="AU640" s="8" t="inlineStr">
        <is>
          <t>Not run</t>
        </is>
      </c>
    </row>
    <row r="641" ht="32" customHeight="1">
      <c r="A641" s="16" t="inlineStr">
        <is>
          <t>R-0640</t>
        </is>
      </c>
      <c r="B641" s="8" t="inlineStr">
        <is>
          <t>R</t>
        </is>
      </c>
      <c r="C641" s="5" t="inlineStr">
        <is>
          <t>Architecture &amp; Platform</t>
        </is>
      </c>
      <c r="D641" s="5" t="inlineStr">
        <is>
          <t>Reporting &amp; Business Intelligence</t>
        </is>
      </c>
      <c r="E641" s="5" t="inlineStr">
        <is>
          <t>Paginated cursor-based API streaming for high-volume ledger exports</t>
        </is>
      </c>
      <c r="F641" s="5" t="inlineStr">
        <is>
          <t>API Engine</t>
        </is>
      </c>
      <c r="G641" s="5" t="inlineStr">
        <is>
          <t>In-house Accountant</t>
        </is>
      </c>
      <c r="H641" s="5" t="inlineStr">
        <is>
          <t>Seamlessly export 100,000+ transaction rows to Excel without causing server Out-Of-Memory (OOM) crash</t>
        </is>
      </c>
      <c r="I641" s="5" t="inlineStr">
        <is>
          <t>Streams records using server-side database cursors and chunked HTTP response; zero RAM spike</t>
        </is>
      </c>
      <c r="J641" s="20" t="inlineStr">
        <is>
          <t>P1</t>
        </is>
      </c>
      <c r="K641" s="20" t="inlineStr">
        <is>
          <t>Validated (Supported)</t>
        </is>
      </c>
      <c r="L641" s="5" t="inlineStr">
        <is>
          <t>PostgreSQL server-side cursor streaming via Django iterator(chunk_size=2000).</t>
        </is>
      </c>
      <c r="M641" s="8" t="inlineStr">
        <is>
          <t>Strategic expansion</t>
        </is>
      </c>
      <c r="N641" s="8" t="inlineStr">
        <is>
          <t>Platform or theme scope</t>
        </is>
      </c>
      <c r="O641" s="8" t="inlineStr">
        <is>
          <t>P1</t>
        </is>
      </c>
      <c r="P641" s="5" t="inlineStr">
        <is>
          <t>Unchanged</t>
        </is>
      </c>
      <c r="Q641" s="21" t="inlineStr">
        <is>
          <t>Code symbol found</t>
        </is>
      </c>
      <c r="R641" s="5" t="inlineStr">
        <is>
          <t>Matched chunk_size in product code. This is not a functional test.</t>
        </is>
      </c>
      <c r="S641" s="8" t="inlineStr">
        <is>
          <t>RPT</t>
        </is>
      </c>
      <c r="T641" s="5" t="inlineStr">
        <is>
          <t>Reporting and business intelligence</t>
        </is>
      </c>
      <c r="U641" s="8" t="inlineStr"/>
      <c r="V641" s="8" t="inlineStr">
        <is>
          <t>reporting</t>
        </is>
      </c>
      <c r="W641" s="8" t="inlineStr">
        <is>
          <t>CONTROL</t>
        </is>
      </c>
      <c r="X641" s="5" t="inlineStr">
        <is>
          <t>Core</t>
        </is>
      </c>
      <c r="Y641" s="5" t="inlineStr">
        <is>
          <t>Platform scope</t>
        </is>
      </c>
      <c r="Z641" s="5" t="inlineStr">
        <is>
          <t>Medium</t>
        </is>
      </c>
      <c r="AA641" s="5" t="inlineStr">
        <is>
          <t>Medium</t>
        </is>
      </c>
      <c r="AB641" s="8" t="inlineStr">
        <is>
          <t>Low</t>
        </is>
      </c>
      <c r="AC641" s="8" t="inlineStr">
        <is>
          <t>Pilot</t>
        </is>
      </c>
      <c r="AD641" s="5" t="inlineStr">
        <is>
          <t>Cited in code</t>
        </is>
      </c>
      <c r="AE641" s="5" t="inlineStr">
        <is>
          <t>Not verified</t>
        </is>
      </c>
      <c r="AF641" s="5" t="inlineStr">
        <is>
          <t>Not verified</t>
        </is>
      </c>
      <c r="AG641" s="5" t="inlineStr">
        <is>
          <t>Not verified</t>
        </is>
      </c>
      <c r="AH641" s="5" t="inlineStr">
        <is>
          <t>Not verified</t>
        </is>
      </c>
      <c r="AI641" s="8" t="inlineStr">
        <is>
          <t>No</t>
        </is>
      </c>
      <c r="AJ641" s="8" t="inlineStr">
        <is>
          <t>Built - unverified</t>
        </is>
      </c>
      <c r="AK641" s="8" t="inlineStr">
        <is>
          <t>P1</t>
        </is>
      </c>
      <c r="AL641" s="8" t="n">
        <v>6</v>
      </c>
      <c r="AM641" s="5" t="inlineStr"/>
      <c r="AN641" s="5" t="inlineStr"/>
      <c r="AO641" s="5" t="inlineStr"/>
      <c r="AP641" s="5" t="inlineStr"/>
      <c r="AQ641" s="5" t="inlineStr"/>
      <c r="AR641" s="5" t="inlineStr"/>
      <c r="AS641" s="5" t="inlineStr"/>
      <c r="AT641" s="5" t="inlineStr"/>
      <c r="AU641" s="8" t="inlineStr">
        <is>
          <t>Not run</t>
        </is>
      </c>
    </row>
    <row r="642" ht="32" customHeight="1">
      <c r="A642" s="16" t="inlineStr">
        <is>
          <t>R-0641</t>
        </is>
      </c>
      <c r="B642" s="8" t="inlineStr">
        <is>
          <t>R</t>
        </is>
      </c>
      <c r="C642" s="5" t="inlineStr">
        <is>
          <t>Architecture &amp; Platform</t>
        </is>
      </c>
      <c r="D642" s="5" t="inlineStr">
        <is>
          <t>Security / Exception / Recovery</t>
        </is>
      </c>
      <c r="E642" s="5" t="inlineStr">
        <is>
          <t>Database connection pooling and keep-alive configuration for sudden traffic spikes</t>
        </is>
      </c>
      <c r="F642" s="5" t="inlineStr">
        <is>
          <t>Database Engine</t>
        </is>
      </c>
      <c r="G642" s="5" t="inlineStr">
        <is>
          <t>All Users</t>
        </is>
      </c>
      <c r="H642" s="5" t="inlineStr">
        <is>
          <t>Prevent 'Too Many Connections' database errors during Diwali/Akshaya Tritiya peak retail rushes</t>
        </is>
      </c>
      <c r="I642" s="5" t="inlineStr">
        <is>
          <t>Maintains PgBouncer connection pool with transaction-level reuse; handles 1,000+ concurrent clients</t>
        </is>
      </c>
      <c r="J642" s="19" t="inlineStr">
        <is>
          <t>P0</t>
        </is>
      </c>
      <c r="K642" s="20" t="inlineStr">
        <is>
          <t>Validated (Supported)</t>
        </is>
      </c>
      <c r="L642" s="5" t="inlineStr">
        <is>
          <t>PgBouncer transaction-mode connection pooler configured in front of PostgreSQL.</t>
        </is>
      </c>
      <c r="M642" s="8" t="inlineStr">
        <is>
          <t>Strategic expansion</t>
        </is>
      </c>
      <c r="N642" s="8" t="inlineStr">
        <is>
          <t>Platform or theme scope</t>
        </is>
      </c>
      <c r="O642" s="8" t="inlineStr">
        <is>
          <t>P0</t>
        </is>
      </c>
      <c r="P642" s="5" t="inlineStr">
        <is>
          <t>Unchanged</t>
        </is>
      </c>
      <c r="Q642" s="21" t="inlineStr">
        <is>
          <t>Code symbol found</t>
        </is>
      </c>
      <c r="R642" s="5" t="inlineStr">
        <is>
          <t>Matched ostgreSQL in product code. This is not a functional test.</t>
        </is>
      </c>
      <c r="S642" s="8" t="inlineStr">
        <is>
          <t>OTHER</t>
        </is>
      </c>
      <c r="T642" s="5" t="inlineStr">
        <is>
          <t>Security / Exception / Recovery</t>
        </is>
      </c>
      <c r="U642" s="8" t="inlineStr"/>
      <c r="V642" s="8" t="inlineStr"/>
      <c r="W642" s="8" t="inlineStr">
        <is>
          <t>CONTROL</t>
        </is>
      </c>
      <c r="X642" s="5" t="inlineStr">
        <is>
          <t>Core</t>
        </is>
      </c>
      <c r="Y642" s="5" t="inlineStr">
        <is>
          <t>Platform scope</t>
        </is>
      </c>
      <c r="Z642" s="5" t="inlineStr">
        <is>
          <t>High</t>
        </is>
      </c>
      <c r="AA642" s="5" t="inlineStr">
        <is>
          <t>Medium</t>
        </is>
      </c>
      <c r="AB642" s="8" t="inlineStr">
        <is>
          <t>Medium</t>
        </is>
      </c>
      <c r="AC642" s="8" t="inlineStr">
        <is>
          <t>MVP</t>
        </is>
      </c>
      <c r="AD642" s="5" t="inlineStr">
        <is>
          <t>Cited in code</t>
        </is>
      </c>
      <c r="AE642" s="5" t="inlineStr">
        <is>
          <t>Not verified</t>
        </is>
      </c>
      <c r="AF642" s="5" t="inlineStr">
        <is>
          <t>Not verified</t>
        </is>
      </c>
      <c r="AG642" s="5" t="inlineStr">
        <is>
          <t>Not verified</t>
        </is>
      </c>
      <c r="AH642" s="5" t="inlineStr">
        <is>
          <t>Not verified</t>
        </is>
      </c>
      <c r="AI642" s="8" t="inlineStr">
        <is>
          <t>No</t>
        </is>
      </c>
      <c r="AJ642" s="8" t="inlineStr">
        <is>
          <t>Built - unverified</t>
        </is>
      </c>
      <c r="AK642" s="8" t="inlineStr">
        <is>
          <t>P0</t>
        </is>
      </c>
      <c r="AL642" s="8" t="n">
        <v>12</v>
      </c>
      <c r="AM642" s="5" t="inlineStr"/>
      <c r="AN642" s="5" t="inlineStr"/>
      <c r="AO642" s="5" t="inlineStr"/>
      <c r="AP642" s="5" t="inlineStr"/>
      <c r="AQ642" s="5" t="inlineStr"/>
      <c r="AR642" s="5" t="inlineStr"/>
      <c r="AS642" s="5" t="inlineStr"/>
      <c r="AT642" s="5" t="inlineStr"/>
      <c r="AU642" s="8" t="inlineStr">
        <is>
          <t>Not run</t>
        </is>
      </c>
    </row>
    <row r="643" ht="32" customHeight="1">
      <c r="A643" s="16" t="inlineStr">
        <is>
          <t>R-0642</t>
        </is>
      </c>
      <c r="B643" s="8" t="inlineStr">
        <is>
          <t>R</t>
        </is>
      </c>
      <c r="C643" s="5" t="inlineStr">
        <is>
          <t>Architecture &amp; Platform</t>
        </is>
      </c>
      <c r="D643" s="5" t="inlineStr">
        <is>
          <t>Security / Exception / Recovery</t>
        </is>
      </c>
      <c r="E643" s="5" t="inlineStr">
        <is>
          <t>Circuit breaker pattern on third-party government and banking API integrations</t>
        </is>
      </c>
      <c r="F643" s="5" t="inlineStr">
        <is>
          <t>Integration Middleware</t>
        </is>
      </c>
      <c r="G643" s="5" t="inlineStr">
        <is>
          <t>Billing Clerk</t>
        </is>
      </c>
      <c r="H643" s="5" t="inlineStr">
        <is>
          <t>Prevent system freezing when government GST portal or NIC E-Way server is down or timing out</t>
        </is>
      </c>
      <c r="I643" s="5" t="inlineStr">
        <is>
          <t>Trips circuit breaker after 3 consecutive timeouts; fails fast; falls back to offline queue without blocking UI</t>
        </is>
      </c>
      <c r="J643" s="20" t="inlineStr">
        <is>
          <t>P1</t>
        </is>
      </c>
      <c r="K643" s="20" t="inlineStr">
        <is>
          <t>Validated (Supported)</t>
        </is>
      </c>
      <c r="L643" s="5" t="inlineStr">
        <is>
          <t>Circuit Breaker pattern implemented via pybreaker on external NIC and bank APIs.</t>
        </is>
      </c>
      <c r="M643" s="8" t="inlineStr">
        <is>
          <t>Strategic expansion</t>
        </is>
      </c>
      <c r="N643" s="8" t="inlineStr">
        <is>
          <t>Platform or theme scope</t>
        </is>
      </c>
      <c r="O643" s="8" t="inlineStr">
        <is>
          <t>P1</t>
        </is>
      </c>
      <c r="P643" s="5" t="inlineStr">
        <is>
          <t>Unchanged</t>
        </is>
      </c>
      <c r="Q643" s="20" t="inlineStr">
        <is>
          <t>Author assertion</t>
        </is>
      </c>
      <c r="R643" s="5" t="inlineStr"/>
      <c r="S643" s="8" t="inlineStr">
        <is>
          <t>OTHER</t>
        </is>
      </c>
      <c r="T643" s="5" t="inlineStr">
        <is>
          <t>Security / Exception / Recovery</t>
        </is>
      </c>
      <c r="U643" s="8" t="inlineStr"/>
      <c r="V643" s="8" t="inlineStr"/>
      <c r="W643" s="8" t="inlineStr">
        <is>
          <t>CONTROL</t>
        </is>
      </c>
      <c r="X643" s="5" t="inlineStr">
        <is>
          <t>Core</t>
        </is>
      </c>
      <c r="Y643" s="5" t="inlineStr">
        <is>
          <t>Platform scope</t>
        </is>
      </c>
      <c r="Z643" s="5" t="inlineStr">
        <is>
          <t>High</t>
        </is>
      </c>
      <c r="AA643" s="5" t="inlineStr">
        <is>
          <t>Medium</t>
        </is>
      </c>
      <c r="AB643" s="8" t="inlineStr">
        <is>
          <t>Medium</t>
        </is>
      </c>
      <c r="AC643" s="8" t="inlineStr">
        <is>
          <t>Pilot</t>
        </is>
      </c>
      <c r="AD643" s="5" t="inlineStr">
        <is>
          <t>Not independently checked</t>
        </is>
      </c>
      <c r="AE643" s="5" t="inlineStr">
        <is>
          <t>Not verified</t>
        </is>
      </c>
      <c r="AF643" s="5" t="inlineStr">
        <is>
          <t>Not verified</t>
        </is>
      </c>
      <c r="AG643" s="5" t="inlineStr">
        <is>
          <t>Not verified</t>
        </is>
      </c>
      <c r="AH643" s="5" t="inlineStr">
        <is>
          <t>Not verified</t>
        </is>
      </c>
      <c r="AI643" s="8" t="inlineStr">
        <is>
          <t>No</t>
        </is>
      </c>
      <c r="AJ643" s="8" t="inlineStr">
        <is>
          <t>Claimed - unverified</t>
        </is>
      </c>
      <c r="AK643" s="8" t="inlineStr">
        <is>
          <t>P1</t>
        </is>
      </c>
      <c r="AL643" s="8" t="n">
        <v>12</v>
      </c>
      <c r="AM643" s="5" t="inlineStr"/>
      <c r="AN643" s="5" t="inlineStr"/>
      <c r="AO643" s="5" t="inlineStr"/>
      <c r="AP643" s="5" t="inlineStr"/>
      <c r="AQ643" s="5" t="inlineStr"/>
      <c r="AR643" s="5" t="inlineStr"/>
      <c r="AS643" s="5" t="inlineStr"/>
      <c r="AT643" s="5" t="inlineStr"/>
      <c r="AU643" s="8" t="inlineStr">
        <is>
          <t>Not run</t>
        </is>
      </c>
    </row>
    <row r="644" ht="32" customHeight="1">
      <c r="A644" s="16" t="inlineStr">
        <is>
          <t>R-0643</t>
        </is>
      </c>
      <c r="B644" s="8" t="inlineStr">
        <is>
          <t>R</t>
        </is>
      </c>
      <c r="C644" s="5" t="inlineStr">
        <is>
          <t>Architecture &amp; Platform</t>
        </is>
      </c>
      <c r="D644" s="5" t="inlineStr">
        <is>
          <t>Security / Exception / Recovery</t>
        </is>
      </c>
      <c r="E644" s="5" t="inlineStr">
        <is>
          <t>Deadlock detection and automatic transaction retry on concurrent stock updates</t>
        </is>
      </c>
      <c r="F644" s="5" t="inlineStr">
        <is>
          <t>Database Engine</t>
        </is>
      </c>
      <c r="G644" s="5" t="inlineStr">
        <is>
          <t>Warehouse / Billing Staff</t>
        </is>
      </c>
      <c r="H644" s="5" t="inlineStr">
        <is>
          <t>Automatically retry database transactions when concurrent warehouse transfers encounter PostgreSQL deadlock</t>
        </is>
      </c>
      <c r="I644" s="5" t="inlineStr">
        <is>
          <t>Catches OperationalError (deadlock detected); re-executes transaction with exponential jitter up to 3 times</t>
        </is>
      </c>
      <c r="J644" s="20" t="inlineStr">
        <is>
          <t>P1</t>
        </is>
      </c>
      <c r="K644" s="20" t="inlineStr">
        <is>
          <t>Validated (Supported)</t>
        </is>
      </c>
      <c r="L644" s="5" t="inlineStr">
        <is>
          <t>Database retry decorator catching deadlock exceptions with randomized backoff.</t>
        </is>
      </c>
      <c r="M644" s="8" t="inlineStr">
        <is>
          <t>Strategic expansion</t>
        </is>
      </c>
      <c r="N644" s="8" t="inlineStr">
        <is>
          <t>Platform or theme scope</t>
        </is>
      </c>
      <c r="O644" s="8" t="inlineStr">
        <is>
          <t>P1</t>
        </is>
      </c>
      <c r="P644" s="5" t="inlineStr">
        <is>
          <t>Unchanged</t>
        </is>
      </c>
      <c r="Q644" s="20" t="inlineStr">
        <is>
          <t>Author assertion</t>
        </is>
      </c>
      <c r="R644" s="5" t="inlineStr"/>
      <c r="S644" s="8" t="inlineStr">
        <is>
          <t>OTHER</t>
        </is>
      </c>
      <c r="T644" s="5" t="inlineStr">
        <is>
          <t>Security / Exception / Recovery</t>
        </is>
      </c>
      <c r="U644" s="8" t="inlineStr"/>
      <c r="V644" s="8" t="inlineStr"/>
      <c r="W644" s="8" t="inlineStr">
        <is>
          <t>CONTROL</t>
        </is>
      </c>
      <c r="X644" s="5" t="inlineStr">
        <is>
          <t>Core</t>
        </is>
      </c>
      <c r="Y644" s="5" t="inlineStr">
        <is>
          <t>Platform scope</t>
        </is>
      </c>
      <c r="Z644" s="5" t="inlineStr">
        <is>
          <t>High</t>
        </is>
      </c>
      <c r="AA644" s="5" t="inlineStr">
        <is>
          <t>Medium</t>
        </is>
      </c>
      <c r="AB644" s="8" t="inlineStr">
        <is>
          <t>Medium</t>
        </is>
      </c>
      <c r="AC644" s="8" t="inlineStr">
        <is>
          <t>Pilot</t>
        </is>
      </c>
      <c r="AD644" s="5" t="inlineStr">
        <is>
          <t>Not independently checked</t>
        </is>
      </c>
      <c r="AE644" s="5" t="inlineStr">
        <is>
          <t>Not verified</t>
        </is>
      </c>
      <c r="AF644" s="5" t="inlineStr">
        <is>
          <t>Not verified</t>
        </is>
      </c>
      <c r="AG644" s="5" t="inlineStr">
        <is>
          <t>Not verified</t>
        </is>
      </c>
      <c r="AH644" s="5" t="inlineStr">
        <is>
          <t>Not verified</t>
        </is>
      </c>
      <c r="AI644" s="8" t="inlineStr">
        <is>
          <t>No</t>
        </is>
      </c>
      <c r="AJ644" s="8" t="inlineStr">
        <is>
          <t>Claimed - unverified</t>
        </is>
      </c>
      <c r="AK644" s="8" t="inlineStr">
        <is>
          <t>P1</t>
        </is>
      </c>
      <c r="AL644" s="8" t="n">
        <v>12</v>
      </c>
      <c r="AM644" s="5" t="inlineStr"/>
      <c r="AN644" s="5" t="inlineStr"/>
      <c r="AO644" s="5" t="inlineStr"/>
      <c r="AP644" s="5" t="inlineStr"/>
      <c r="AQ644" s="5" t="inlineStr"/>
      <c r="AR644" s="5" t="inlineStr"/>
      <c r="AS644" s="5" t="inlineStr"/>
      <c r="AT644" s="5" t="inlineStr"/>
      <c r="AU644" s="8" t="inlineStr">
        <is>
          <t>Not run</t>
        </is>
      </c>
    </row>
    <row r="645" ht="32" customHeight="1">
      <c r="A645" s="16" t="inlineStr">
        <is>
          <t>R-0644</t>
        </is>
      </c>
      <c r="B645" s="8" t="inlineStr">
        <is>
          <t>R</t>
        </is>
      </c>
      <c r="C645" s="5" t="inlineStr">
        <is>
          <t>Architecture &amp; Platform</t>
        </is>
      </c>
      <c r="D645" s="5" t="inlineStr">
        <is>
          <t>Security / Exception / Recovery</t>
        </is>
      </c>
      <c r="E645" s="5" t="inlineStr">
        <is>
          <t>Graceful degradation to read-only mode during scheduled database maintenance</t>
        </is>
      </c>
      <c r="F645" s="5" t="inlineStr">
        <is>
          <t>Platform Engine</t>
        </is>
      </c>
      <c r="G645" s="5" t="inlineStr">
        <is>
          <t>All Users</t>
        </is>
      </c>
      <c r="H645" s="5" t="inlineStr">
        <is>
          <t>Allow users to view customer balances, search prices, and print past invoices while DB migration runs</t>
        </is>
      </c>
      <c r="I645" s="5" t="inlineStr">
        <is>
          <t>Routes read queries to read-replica; displays friendly maintenance banner explaining write freeze</t>
        </is>
      </c>
      <c r="J645" s="24" t="inlineStr">
        <is>
          <t>P3</t>
        </is>
      </c>
      <c r="K645" s="20" t="inlineStr">
        <is>
          <t>Validated (Supported)</t>
        </is>
      </c>
      <c r="L645" s="5" t="inlineStr">
        <is>
          <t>Read-replica routing middleware supporting read-only maintenance mode.</t>
        </is>
      </c>
      <c r="M645" s="8" t="inlineStr">
        <is>
          <t>Strategic expansion</t>
        </is>
      </c>
      <c r="N645" s="8" t="inlineStr">
        <is>
          <t>Platform or theme scope</t>
        </is>
      </c>
      <c r="O645" s="8" t="inlineStr">
        <is>
          <t>P2</t>
        </is>
      </c>
      <c r="P645" s="5" t="inlineStr">
        <is>
          <t>Kept P3. The previous workbook had P3. Authored priority was P2.</t>
        </is>
      </c>
      <c r="Q645" s="20" t="inlineStr">
        <is>
          <t>Author assertion</t>
        </is>
      </c>
      <c r="R645" s="5" t="inlineStr">
        <is>
          <t>Kept P3. The previous workbook had P3. Authored priority was P2.</t>
        </is>
      </c>
      <c r="S645" s="8" t="inlineStr">
        <is>
          <t>OTHER</t>
        </is>
      </c>
      <c r="T645" s="5" t="inlineStr">
        <is>
          <t>Security / Exception / Recovery</t>
        </is>
      </c>
      <c r="U645" s="8" t="inlineStr"/>
      <c r="V645" s="8" t="inlineStr"/>
      <c r="W645" s="8" t="inlineStr">
        <is>
          <t>CONTROL</t>
        </is>
      </c>
      <c r="X645" s="5" t="inlineStr">
        <is>
          <t>Future</t>
        </is>
      </c>
      <c r="Y645" s="5" t="inlineStr">
        <is>
          <t>Platform scope</t>
        </is>
      </c>
      <c r="Z645" s="5" t="inlineStr">
        <is>
          <t>Low</t>
        </is>
      </c>
      <c r="AA645" s="5" t="inlineStr">
        <is>
          <t>Low</t>
        </is>
      </c>
      <c r="AB645" s="8" t="inlineStr">
        <is>
          <t>Medium</t>
        </is>
      </c>
      <c r="AC645" s="8" t="inlineStr">
        <is>
          <t>Later</t>
        </is>
      </c>
      <c r="AD645" s="5" t="inlineStr">
        <is>
          <t>Not independently checked</t>
        </is>
      </c>
      <c r="AE645" s="5" t="inlineStr">
        <is>
          <t>Not verified</t>
        </is>
      </c>
      <c r="AF645" s="5" t="inlineStr">
        <is>
          <t>Not verified</t>
        </is>
      </c>
      <c r="AG645" s="5" t="inlineStr">
        <is>
          <t>Not verified</t>
        </is>
      </c>
      <c r="AH645" s="5" t="inlineStr">
        <is>
          <t>Not verified</t>
        </is>
      </c>
      <c r="AI645" s="8" t="inlineStr">
        <is>
          <t>No</t>
        </is>
      </c>
      <c r="AJ645" s="8" t="inlineStr">
        <is>
          <t>Claimed - unverified</t>
        </is>
      </c>
      <c r="AK645" s="8" t="inlineStr">
        <is>
          <t>P3</t>
        </is>
      </c>
      <c r="AL645" s="8" t="n">
        <v>2</v>
      </c>
      <c r="AM645" s="5" t="inlineStr"/>
      <c r="AN645" s="5" t="inlineStr"/>
      <c r="AO645" s="5" t="inlineStr"/>
      <c r="AP645" s="5" t="inlineStr"/>
      <c r="AQ645" s="5" t="inlineStr"/>
      <c r="AR645" s="5" t="inlineStr"/>
      <c r="AS645" s="5" t="inlineStr"/>
      <c r="AT645" s="5" t="inlineStr"/>
      <c r="AU645" s="8" t="inlineStr">
        <is>
          <t>Not run</t>
        </is>
      </c>
    </row>
    <row r="646" ht="32" customHeight="1">
      <c r="A646" s="16" t="inlineStr">
        <is>
          <t>R-0645</t>
        </is>
      </c>
      <c r="B646" s="8" t="inlineStr">
        <is>
          <t>R</t>
        </is>
      </c>
      <c r="C646" s="5" t="inlineStr">
        <is>
          <t>Architecture &amp; Platform</t>
        </is>
      </c>
      <c r="D646" s="5" t="inlineStr">
        <is>
          <t>Reporting &amp; Business Intelligence</t>
        </is>
      </c>
      <c r="E646" s="5" t="inlineStr">
        <is>
          <t>Pre-computed materialization worker for heavy financial dashboards and reports</t>
        </is>
      </c>
      <c r="F646" s="5" t="inlineStr">
        <is>
          <t>Reporting Engine</t>
        </is>
      </c>
      <c r="G646" s="5" t="inlineStr">
        <is>
          <t>Business Owner</t>
        </is>
      </c>
      <c r="H646" s="5" t="inlineStr">
        <is>
          <t>Instant sub-second loading of multi-month executive sales and margin trend reports</t>
        </is>
      </c>
      <c r="I646" s="5" t="inlineStr">
        <is>
          <t>Pre-aggregates daily metrics into DailyBusinessSummary table; queries pre-computed sums instead of raw rows</t>
        </is>
      </c>
      <c r="J646" s="20" t="inlineStr">
        <is>
          <t>P1</t>
        </is>
      </c>
      <c r="K646" s="20" t="inlineStr">
        <is>
          <t>Validated (Supported)</t>
        </is>
      </c>
      <c r="L646" s="5" t="inlineStr">
        <is>
          <t>DailyBusinessSummary rollup model refreshed asynchronously via Celery beat.</t>
        </is>
      </c>
      <c r="M646" s="8" t="inlineStr">
        <is>
          <t>Strategic expansion</t>
        </is>
      </c>
      <c r="N646" s="8" t="inlineStr">
        <is>
          <t>Platform or theme scope</t>
        </is>
      </c>
      <c r="O646" s="8" t="inlineStr">
        <is>
          <t>P1</t>
        </is>
      </c>
      <c r="P646" s="5" t="inlineStr">
        <is>
          <t>Unchanged</t>
        </is>
      </c>
      <c r="Q646" s="21" t="inlineStr">
        <is>
          <t>Code symbol found</t>
        </is>
      </c>
      <c r="R646" s="5" t="inlineStr">
        <is>
          <t>Matched DailyBusinessSummary in product code. This is not a functional test.</t>
        </is>
      </c>
      <c r="S646" s="8" t="inlineStr">
        <is>
          <t>RPT</t>
        </is>
      </c>
      <c r="T646" s="5" t="inlineStr">
        <is>
          <t>Reporting and business intelligence</t>
        </is>
      </c>
      <c r="U646" s="8" t="inlineStr"/>
      <c r="V646" s="8" t="inlineStr">
        <is>
          <t>reporting</t>
        </is>
      </c>
      <c r="W646" s="8" t="inlineStr">
        <is>
          <t>CONTROL</t>
        </is>
      </c>
      <c r="X646" s="5" t="inlineStr">
        <is>
          <t>Core</t>
        </is>
      </c>
      <c r="Y646" s="5" t="inlineStr">
        <is>
          <t>Platform scope</t>
        </is>
      </c>
      <c r="Z646" s="5" t="inlineStr">
        <is>
          <t>Medium</t>
        </is>
      </c>
      <c r="AA646" s="5" t="inlineStr">
        <is>
          <t>Medium</t>
        </is>
      </c>
      <c r="AB646" s="8" t="inlineStr">
        <is>
          <t>Low</t>
        </is>
      </c>
      <c r="AC646" s="8" t="inlineStr">
        <is>
          <t>Pilot</t>
        </is>
      </c>
      <c r="AD646" s="5" t="inlineStr">
        <is>
          <t>Cited in code</t>
        </is>
      </c>
      <c r="AE646" s="5" t="inlineStr">
        <is>
          <t>Not verified</t>
        </is>
      </c>
      <c r="AF646" s="5" t="inlineStr">
        <is>
          <t>Not verified</t>
        </is>
      </c>
      <c r="AG646" s="5" t="inlineStr">
        <is>
          <t>Not verified</t>
        </is>
      </c>
      <c r="AH646" s="5" t="inlineStr">
        <is>
          <t>Not verified</t>
        </is>
      </c>
      <c r="AI646" s="8" t="inlineStr">
        <is>
          <t>No</t>
        </is>
      </c>
      <c r="AJ646" s="8" t="inlineStr">
        <is>
          <t>Built - unverified</t>
        </is>
      </c>
      <c r="AK646" s="8" t="inlineStr">
        <is>
          <t>P1</t>
        </is>
      </c>
      <c r="AL646" s="8" t="n">
        <v>6</v>
      </c>
      <c r="AM646" s="5" t="inlineStr"/>
      <c r="AN646" s="5" t="inlineStr"/>
      <c r="AO646" s="5" t="inlineStr"/>
      <c r="AP646" s="5" t="inlineStr"/>
      <c r="AQ646" s="5" t="inlineStr"/>
      <c r="AR646" s="5" t="inlineStr"/>
      <c r="AS646" s="5" t="inlineStr"/>
      <c r="AT646" s="5" t="inlineStr"/>
      <c r="AU646" s="8" t="inlineStr">
        <is>
          <t>Not run</t>
        </is>
      </c>
    </row>
    <row r="647" ht="32" customHeight="1">
      <c r="A647" s="16" t="inlineStr">
        <is>
          <t>R-0646</t>
        </is>
      </c>
      <c r="B647" s="8" t="inlineStr">
        <is>
          <t>R</t>
        </is>
      </c>
      <c r="C647" s="5" t="inlineStr">
        <is>
          <t>Architecture &amp; Platform</t>
        </is>
      </c>
      <c r="D647" s="5" t="inlineStr">
        <is>
          <t>Security / Exception / Recovery</t>
        </is>
      </c>
      <c r="E647" s="5" t="inlineStr">
        <is>
          <t>Automated health-check probes for Kubernetes / Docker container self-healing</t>
        </is>
      </c>
      <c r="F647" s="5" t="inlineStr">
        <is>
          <t>DevOps Engine</t>
        </is>
      </c>
      <c r="G647" s="5" t="inlineStr">
        <is>
          <t>System Administrator</t>
        </is>
      </c>
      <c r="H647" s="5" t="inlineStr">
        <is>
          <t>Automatically restart crashed worker processes or web servers within 10 seconds of failure</t>
        </is>
      </c>
      <c r="I647" s="5" t="inlineStr">
        <is>
          <t>Exposes /health/liveness/ and /health/readiness/ endpoints validating database and Redis connectivity</t>
        </is>
      </c>
      <c r="J647" s="19" t="inlineStr">
        <is>
          <t>P0</t>
        </is>
      </c>
      <c r="K647" s="20" t="inlineStr">
        <is>
          <t>Validated (Supported)</t>
        </is>
      </c>
      <c r="L647" s="5" t="inlineStr">
        <is>
          <t>Standard health probe endpoints integrated with Docker Compose / Kubernetes restart policies.</t>
        </is>
      </c>
      <c r="M647" s="8" t="inlineStr">
        <is>
          <t>Strategic expansion</t>
        </is>
      </c>
      <c r="N647" s="8" t="inlineStr">
        <is>
          <t>Platform or theme scope</t>
        </is>
      </c>
      <c r="O647" s="8" t="inlineStr">
        <is>
          <t>P0</t>
        </is>
      </c>
      <c r="P647" s="5" t="inlineStr">
        <is>
          <t>Unchanged</t>
        </is>
      </c>
      <c r="Q647" s="20" t="inlineStr">
        <is>
          <t>Author assertion</t>
        </is>
      </c>
      <c r="R647" s="5" t="inlineStr"/>
      <c r="S647" s="8" t="inlineStr">
        <is>
          <t>OTHER</t>
        </is>
      </c>
      <c r="T647" s="5" t="inlineStr">
        <is>
          <t>Security / Exception / Recovery</t>
        </is>
      </c>
      <c r="U647" s="8" t="inlineStr"/>
      <c r="V647" s="8" t="inlineStr"/>
      <c r="W647" s="8" t="inlineStr">
        <is>
          <t>CONTROL</t>
        </is>
      </c>
      <c r="X647" s="5" t="inlineStr">
        <is>
          <t>Core</t>
        </is>
      </c>
      <c r="Y647" s="5" t="inlineStr">
        <is>
          <t>Platform scope</t>
        </is>
      </c>
      <c r="Z647" s="5" t="inlineStr">
        <is>
          <t>High</t>
        </is>
      </c>
      <c r="AA647" s="5" t="inlineStr">
        <is>
          <t>Medium</t>
        </is>
      </c>
      <c r="AB647" s="8" t="inlineStr">
        <is>
          <t>Medium</t>
        </is>
      </c>
      <c r="AC647" s="8" t="inlineStr">
        <is>
          <t>MVP</t>
        </is>
      </c>
      <c r="AD647" s="5" t="inlineStr">
        <is>
          <t>Not independently checked</t>
        </is>
      </c>
      <c r="AE647" s="5" t="inlineStr">
        <is>
          <t>Not verified</t>
        </is>
      </c>
      <c r="AF647" s="5" t="inlineStr">
        <is>
          <t>Not verified</t>
        </is>
      </c>
      <c r="AG647" s="5" t="inlineStr">
        <is>
          <t>Not verified</t>
        </is>
      </c>
      <c r="AH647" s="5" t="inlineStr">
        <is>
          <t>Not verified</t>
        </is>
      </c>
      <c r="AI647" s="8" t="inlineStr">
        <is>
          <t>No</t>
        </is>
      </c>
      <c r="AJ647" s="8" t="inlineStr">
        <is>
          <t>Claimed - unverified</t>
        </is>
      </c>
      <c r="AK647" s="8" t="inlineStr">
        <is>
          <t>P0</t>
        </is>
      </c>
      <c r="AL647" s="8" t="n">
        <v>12</v>
      </c>
      <c r="AM647" s="5" t="inlineStr"/>
      <c r="AN647" s="5" t="inlineStr"/>
      <c r="AO647" s="5" t="inlineStr"/>
      <c r="AP647" s="5" t="inlineStr"/>
      <c r="AQ647" s="5" t="inlineStr"/>
      <c r="AR647" s="5" t="inlineStr"/>
      <c r="AS647" s="5" t="inlineStr"/>
      <c r="AT647" s="5" t="inlineStr"/>
      <c r="AU647" s="8" t="inlineStr">
        <is>
          <t>Not run</t>
        </is>
      </c>
    </row>
    <row r="648" ht="32" customHeight="1">
      <c r="A648" s="16" t="inlineStr">
        <is>
          <t>R-0647</t>
        </is>
      </c>
      <c r="B648" s="8" t="inlineStr">
        <is>
          <t>R</t>
        </is>
      </c>
      <c r="C648" s="5" t="inlineStr">
        <is>
          <t>Architecture &amp; Platform</t>
        </is>
      </c>
      <c r="D648" s="5" t="inlineStr">
        <is>
          <t>Communication &amp; Integrations</t>
        </is>
      </c>
      <c r="E648" s="5" t="inlineStr">
        <is>
          <t>Exponential backoff retry with dead-letter queue (DLQ) for failed background tasks</t>
        </is>
      </c>
      <c r="F648" s="5" t="inlineStr">
        <is>
          <t>Celery Worker</t>
        </is>
      </c>
      <c r="G648" s="5" t="inlineStr">
        <is>
          <t>System Administrator</t>
        </is>
      </c>
      <c r="H648" s="5" t="inlineStr">
        <is>
          <t>Ensure transient network drops do not drop WhatsApp messages or bank reconciliation jobs</t>
        </is>
      </c>
      <c r="I648" s="5" t="inlineStr">
        <is>
          <t>Retries failed jobs at 1m, 5m, 15m, 1h; moves persistently failing jobs to Dead-Letter Queue for inspection</t>
        </is>
      </c>
      <c r="J648" s="20" t="inlineStr">
        <is>
          <t>P1</t>
        </is>
      </c>
      <c r="K648" s="20" t="inlineStr">
        <is>
          <t>Validated (Supported)</t>
        </is>
      </c>
      <c r="L648" s="5" t="inlineStr">
        <is>
          <t>Celery task retry with exponential backoff and Celery DLQ error alerting.</t>
        </is>
      </c>
      <c r="M648" s="8" t="inlineStr">
        <is>
          <t>Strategic expansion</t>
        </is>
      </c>
      <c r="N648" s="8" t="inlineStr">
        <is>
          <t>Platform or theme scope</t>
        </is>
      </c>
      <c r="O648" s="8" t="inlineStr">
        <is>
          <t>P1</t>
        </is>
      </c>
      <c r="P648" s="5" t="inlineStr">
        <is>
          <t>Unchanged</t>
        </is>
      </c>
      <c r="Q648" s="20" t="inlineStr">
        <is>
          <t>Author assertion</t>
        </is>
      </c>
      <c r="R648" s="5" t="inlineStr"/>
      <c r="S648" s="8" t="inlineStr">
        <is>
          <t>INT</t>
        </is>
      </c>
      <c r="T648" s="5" t="inlineStr">
        <is>
          <t>Communication and integrations</t>
        </is>
      </c>
      <c r="U648" s="8" t="inlineStr"/>
      <c r="V648" s="8" t="inlineStr">
        <is>
          <t>integrations</t>
        </is>
      </c>
      <c r="W648" s="8" t="inlineStr">
        <is>
          <t>KERNEL</t>
        </is>
      </c>
      <c r="X648" s="5" t="inlineStr">
        <is>
          <t>Core</t>
        </is>
      </c>
      <c r="Y648" s="5" t="inlineStr">
        <is>
          <t>Platform scope</t>
        </is>
      </c>
      <c r="Z648" s="5" t="inlineStr">
        <is>
          <t>Medium</t>
        </is>
      </c>
      <c r="AA648" s="5" t="inlineStr">
        <is>
          <t>Medium</t>
        </is>
      </c>
      <c r="AB648" s="8" t="inlineStr">
        <is>
          <t>Low</t>
        </is>
      </c>
      <c r="AC648" s="8" t="inlineStr">
        <is>
          <t>Later</t>
        </is>
      </c>
      <c r="AD648" s="5" t="inlineStr">
        <is>
          <t>Not independently checked</t>
        </is>
      </c>
      <c r="AE648" s="5" t="inlineStr">
        <is>
          <t>Not verified</t>
        </is>
      </c>
      <c r="AF648" s="5" t="inlineStr">
        <is>
          <t>Not verified</t>
        </is>
      </c>
      <c r="AG648" s="5" t="inlineStr">
        <is>
          <t>Not verified</t>
        </is>
      </c>
      <c r="AH648" s="5" t="inlineStr">
        <is>
          <t>Not verified</t>
        </is>
      </c>
      <c r="AI648" s="8" t="inlineStr">
        <is>
          <t>No</t>
        </is>
      </c>
      <c r="AJ648" s="8" t="inlineStr">
        <is>
          <t>Claimed - unverified</t>
        </is>
      </c>
      <c r="AK648" s="8" t="inlineStr">
        <is>
          <t>P1</t>
        </is>
      </c>
      <c r="AL648" s="8" t="n">
        <v>6</v>
      </c>
      <c r="AM648" s="5" t="inlineStr"/>
      <c r="AN648" s="5" t="inlineStr"/>
      <c r="AO648" s="5" t="inlineStr"/>
      <c r="AP648" s="5" t="inlineStr"/>
      <c r="AQ648" s="5" t="inlineStr"/>
      <c r="AR648" s="5" t="inlineStr"/>
      <c r="AS648" s="5" t="inlineStr"/>
      <c r="AT648" s="5" t="inlineStr"/>
      <c r="AU648" s="8" t="inlineStr">
        <is>
          <t>Not run</t>
        </is>
      </c>
    </row>
    <row r="649" ht="32" customHeight="1">
      <c r="A649" s="16" t="inlineStr">
        <is>
          <t>R-0648</t>
        </is>
      </c>
      <c r="B649" s="8" t="inlineStr">
        <is>
          <t>R</t>
        </is>
      </c>
      <c r="C649" s="5" t="inlineStr">
        <is>
          <t>Architecture &amp; Platform</t>
        </is>
      </c>
      <c r="D649" s="5" t="inlineStr">
        <is>
          <t>Master Data &amp; Authorization</t>
        </is>
      </c>
      <c r="E649" s="5" t="inlineStr">
        <is>
          <t>Optimistic locking with version check on concurrent customer master updates</t>
        </is>
      </c>
      <c r="F649" s="5" t="inlineStr">
        <is>
          <t>ORM Guard</t>
        </is>
      </c>
      <c r="G649" s="5" t="inlineStr">
        <is>
          <t>Sales Staff / Admin</t>
        </is>
      </c>
      <c r="H649" s="5" t="inlineStr">
        <is>
          <t>Prevent accidental overwrite when two sales reps edit customer credit limits at the exact same moment</t>
        </is>
      </c>
      <c r="I649" s="5" t="inlineStr">
        <is>
          <t>Stores version integer on Customer model; checks version matching on save; alerts user if changed</t>
        </is>
      </c>
      <c r="J649" s="20" t="inlineStr">
        <is>
          <t>P1</t>
        </is>
      </c>
      <c r="K649" s="20" t="inlineStr">
        <is>
          <t>Validated (Supported)</t>
        </is>
      </c>
      <c r="L649" s="5" t="inlineStr">
        <is>
          <t>Optimistic concurrency control using django-concurrency or version column check.</t>
        </is>
      </c>
      <c r="M649" s="8" t="inlineStr">
        <is>
          <t>Strategic expansion</t>
        </is>
      </c>
      <c r="N649" s="8" t="inlineStr">
        <is>
          <t>Platform or theme scope</t>
        </is>
      </c>
      <c r="O649" s="8" t="inlineStr">
        <is>
          <t>P1</t>
        </is>
      </c>
      <c r="P649" s="5" t="inlineStr">
        <is>
          <t>Restored to authored P1. The previous workbook had P0 after a keyword rebalance.</t>
        </is>
      </c>
      <c r="Q649" s="20" t="inlineStr">
        <is>
          <t>Author assertion</t>
        </is>
      </c>
      <c r="R649" s="5" t="inlineStr">
        <is>
          <t>Restored to authored P1. The previous workbook had P0 after a keyword rebalance.</t>
        </is>
      </c>
      <c r="S649" s="8" t="inlineStr">
        <is>
          <t>MASTER</t>
        </is>
      </c>
      <c r="T649" s="5" t="inlineStr">
        <is>
          <t>Master data and authorization</t>
        </is>
      </c>
      <c r="U649" s="8" t="inlineStr"/>
      <c r="V649" s="8" t="inlineStr">
        <is>
          <t>masters</t>
        </is>
      </c>
      <c r="W649" s="8" t="inlineStr">
        <is>
          <t>KERNEL</t>
        </is>
      </c>
      <c r="X649" s="5" t="inlineStr">
        <is>
          <t>Core</t>
        </is>
      </c>
      <c r="Y649" s="5" t="inlineStr">
        <is>
          <t>Platform scope</t>
        </is>
      </c>
      <c r="Z649" s="5" t="inlineStr">
        <is>
          <t>Medium</t>
        </is>
      </c>
      <c r="AA649" s="5" t="inlineStr">
        <is>
          <t>Medium</t>
        </is>
      </c>
      <c r="AB649" s="8" t="inlineStr">
        <is>
          <t>Low</t>
        </is>
      </c>
      <c r="AC649" s="8" t="inlineStr">
        <is>
          <t>Later</t>
        </is>
      </c>
      <c r="AD649" s="5" t="inlineStr">
        <is>
          <t>Not independently checked</t>
        </is>
      </c>
      <c r="AE649" s="5" t="inlineStr">
        <is>
          <t>Not verified</t>
        </is>
      </c>
      <c r="AF649" s="5" t="inlineStr">
        <is>
          <t>Not verified</t>
        </is>
      </c>
      <c r="AG649" s="5" t="inlineStr">
        <is>
          <t>Not verified</t>
        </is>
      </c>
      <c r="AH649" s="5" t="inlineStr">
        <is>
          <t>Not verified</t>
        </is>
      </c>
      <c r="AI649" s="8" t="inlineStr">
        <is>
          <t>No</t>
        </is>
      </c>
      <c r="AJ649" s="8" t="inlineStr">
        <is>
          <t>Claimed - unverified</t>
        </is>
      </c>
      <c r="AK649" s="8" t="inlineStr">
        <is>
          <t>P1</t>
        </is>
      </c>
      <c r="AL649" s="8" t="n">
        <v>6</v>
      </c>
      <c r="AM649" s="5" t="inlineStr"/>
      <c r="AN649" s="5" t="inlineStr"/>
      <c r="AO649" s="5" t="inlineStr"/>
      <c r="AP649" s="5" t="inlineStr"/>
      <c r="AQ649" s="5" t="inlineStr"/>
      <c r="AR649" s="5" t="inlineStr"/>
      <c r="AS649" s="5" t="inlineStr"/>
      <c r="AT649" s="5" t="inlineStr"/>
      <c r="AU649" s="8" t="inlineStr">
        <is>
          <t>Not run</t>
        </is>
      </c>
    </row>
    <row r="650" ht="32" customHeight="1">
      <c r="A650" s="16" t="inlineStr">
        <is>
          <t>R-0649</t>
        </is>
      </c>
      <c r="B650" s="8" t="inlineStr">
        <is>
          <t>R</t>
        </is>
      </c>
      <c r="C650" s="5" t="inlineStr">
        <is>
          <t>Architecture &amp; Platform</t>
        </is>
      </c>
      <c r="D650" s="5" t="inlineStr">
        <is>
          <t>Import / Export / Period Close</t>
        </is>
      </c>
      <c r="E650" s="5" t="inlineStr">
        <is>
          <t>Chunked multipart file upload engine for massive 50MB customer and product master imports</t>
        </is>
      </c>
      <c r="F650" s="5" t="inlineStr">
        <is>
          <t>Upload Engine</t>
        </is>
      </c>
      <c r="G650" s="5" t="inlineStr">
        <is>
          <t>Accountant / Admin</t>
        </is>
      </c>
      <c r="H650" s="5" t="inlineStr">
        <is>
          <t>Allow reliable upload of massive migration files over flaky 3G/4G broadband connections</t>
        </is>
      </c>
      <c r="I650" s="5" t="inlineStr">
        <is>
          <t>Splits file into 2MB chunks; resumes interrupted uploads automatically from last successful chunk</t>
        </is>
      </c>
      <c r="J650" s="20" t="inlineStr">
        <is>
          <t>P1</t>
        </is>
      </c>
      <c r="K650" s="20" t="inlineStr">
        <is>
          <t>Validated (Supported)</t>
        </is>
      </c>
      <c r="L650" s="5" t="inlineStr">
        <is>
          <t>Tus.io / Chunked upload protocol handling resilient file transfers.</t>
        </is>
      </c>
      <c r="M650" s="8" t="inlineStr">
        <is>
          <t>Strategic expansion</t>
        </is>
      </c>
      <c r="N650" s="8" t="inlineStr">
        <is>
          <t>Platform or theme scope</t>
        </is>
      </c>
      <c r="O650" s="8" t="inlineStr">
        <is>
          <t>P1</t>
        </is>
      </c>
      <c r="P650" s="5" t="inlineStr">
        <is>
          <t>Unchanged</t>
        </is>
      </c>
      <c r="Q650" s="20" t="inlineStr">
        <is>
          <t>Author assertion</t>
        </is>
      </c>
      <c r="R650" s="5" t="inlineStr"/>
      <c r="S650" s="8" t="inlineStr">
        <is>
          <t>CLOSE</t>
        </is>
      </c>
      <c r="T650" s="5" t="inlineStr">
        <is>
          <t>Import, export, and period close</t>
        </is>
      </c>
      <c r="U650" s="8" t="inlineStr"/>
      <c r="V650" s="8" t="inlineStr">
        <is>
          <t>accounting</t>
        </is>
      </c>
      <c r="W650" s="8" t="inlineStr">
        <is>
          <t>CONTROL</t>
        </is>
      </c>
      <c r="X650" s="5" t="inlineStr">
        <is>
          <t>Core</t>
        </is>
      </c>
      <c r="Y650" s="5" t="inlineStr">
        <is>
          <t>Platform scope</t>
        </is>
      </c>
      <c r="Z650" s="5" t="inlineStr">
        <is>
          <t>Medium</t>
        </is>
      </c>
      <c r="AA650" s="5" t="inlineStr">
        <is>
          <t>Medium</t>
        </is>
      </c>
      <c r="AB650" s="8" t="inlineStr">
        <is>
          <t>Low</t>
        </is>
      </c>
      <c r="AC650" s="8" t="inlineStr">
        <is>
          <t>Pilot</t>
        </is>
      </c>
      <c r="AD650" s="5" t="inlineStr">
        <is>
          <t>Not independently checked</t>
        </is>
      </c>
      <c r="AE650" s="5" t="inlineStr">
        <is>
          <t>Not verified</t>
        </is>
      </c>
      <c r="AF650" s="5" t="inlineStr">
        <is>
          <t>Not verified</t>
        </is>
      </c>
      <c r="AG650" s="5" t="inlineStr">
        <is>
          <t>Not verified</t>
        </is>
      </c>
      <c r="AH650" s="5" t="inlineStr">
        <is>
          <t>Not verified</t>
        </is>
      </c>
      <c r="AI650" s="8" t="inlineStr">
        <is>
          <t>No</t>
        </is>
      </c>
      <c r="AJ650" s="8" t="inlineStr">
        <is>
          <t>Claimed - unverified</t>
        </is>
      </c>
      <c r="AK650" s="8" t="inlineStr">
        <is>
          <t>P1</t>
        </is>
      </c>
      <c r="AL650" s="8" t="n">
        <v>6</v>
      </c>
      <c r="AM650" s="5" t="inlineStr"/>
      <c r="AN650" s="5" t="inlineStr"/>
      <c r="AO650" s="5" t="inlineStr"/>
      <c r="AP650" s="5" t="inlineStr"/>
      <c r="AQ650" s="5" t="inlineStr"/>
      <c r="AR650" s="5" t="inlineStr"/>
      <c r="AS650" s="5" t="inlineStr"/>
      <c r="AT650" s="5" t="inlineStr"/>
      <c r="AU650" s="8" t="inlineStr">
        <is>
          <t>Not run</t>
        </is>
      </c>
    </row>
    <row r="651" ht="32" customHeight="1">
      <c r="A651" s="16" t="inlineStr">
        <is>
          <t>R-0650</t>
        </is>
      </c>
      <c r="B651" s="8" t="inlineStr">
        <is>
          <t>R</t>
        </is>
      </c>
      <c r="C651" s="5" t="inlineStr">
        <is>
          <t>Architecture &amp; Platform</t>
        </is>
      </c>
      <c r="D651" s="5" t="inlineStr">
        <is>
          <t>Security / Exception / Recovery</t>
        </is>
      </c>
      <c r="E651" s="5" t="inlineStr">
        <is>
          <t>Automated database index bloat detection and periodic REINDEX maintenance</t>
        </is>
      </c>
      <c r="F651" s="5" t="inlineStr">
        <is>
          <t>Database Maintenance</t>
        </is>
      </c>
      <c r="G651" s="5" t="inlineStr">
        <is>
          <t>System Administrator</t>
        </is>
      </c>
      <c r="H651" s="5" t="inlineStr">
        <is>
          <t>Maintain peak database query speed over years of high-volume invoicing and stock movements</t>
        </is>
      </c>
      <c r="I651" s="5" t="inlineStr">
        <is>
          <t>Detects bloated B-tree indexes; executes REINDEX CONCURRENTLY during off-peak hours without locking tables</t>
        </is>
      </c>
      <c r="J651" s="24" t="inlineStr">
        <is>
          <t>P3</t>
        </is>
      </c>
      <c r="K651" s="20" t="inlineStr">
        <is>
          <t>Validated (Supported)</t>
        </is>
      </c>
      <c r="L651" s="5" t="inlineStr">
        <is>
          <t>Weekly maintenance script analyzing pg_stat_user_indexes and executing concurrent reindexing.</t>
        </is>
      </c>
      <c r="M651" s="8" t="inlineStr">
        <is>
          <t>Strategic expansion</t>
        </is>
      </c>
      <c r="N651" s="8" t="inlineStr">
        <is>
          <t>Platform or theme scope</t>
        </is>
      </c>
      <c r="O651" s="8" t="inlineStr">
        <is>
          <t>P2</t>
        </is>
      </c>
      <c r="P651" s="5" t="inlineStr">
        <is>
          <t>Kept P3. The previous workbook had P3. Authored priority was P2.</t>
        </is>
      </c>
      <c r="Q651" s="20" t="inlineStr">
        <is>
          <t>Author assertion</t>
        </is>
      </c>
      <c r="R651" s="5" t="inlineStr">
        <is>
          <t>Kept P3. The previous workbook had P3. Authored priority was P2.</t>
        </is>
      </c>
      <c r="S651" s="8" t="inlineStr">
        <is>
          <t>OTHER</t>
        </is>
      </c>
      <c r="T651" s="5" t="inlineStr">
        <is>
          <t>Security / Exception / Recovery</t>
        </is>
      </c>
      <c r="U651" s="8" t="inlineStr"/>
      <c r="V651" s="8" t="inlineStr"/>
      <c r="W651" s="8" t="inlineStr">
        <is>
          <t>CONTROL</t>
        </is>
      </c>
      <c r="X651" s="5" t="inlineStr">
        <is>
          <t>Future</t>
        </is>
      </c>
      <c r="Y651" s="5" t="inlineStr">
        <is>
          <t>Platform scope</t>
        </is>
      </c>
      <c r="Z651" s="5" t="inlineStr">
        <is>
          <t>Low</t>
        </is>
      </c>
      <c r="AA651" s="5" t="inlineStr">
        <is>
          <t>Low</t>
        </is>
      </c>
      <c r="AB651" s="8" t="inlineStr">
        <is>
          <t>Medium</t>
        </is>
      </c>
      <c r="AC651" s="8" t="inlineStr">
        <is>
          <t>Later</t>
        </is>
      </c>
      <c r="AD651" s="5" t="inlineStr">
        <is>
          <t>Not independently checked</t>
        </is>
      </c>
      <c r="AE651" s="5" t="inlineStr">
        <is>
          <t>Not verified</t>
        </is>
      </c>
      <c r="AF651" s="5" t="inlineStr">
        <is>
          <t>Not verified</t>
        </is>
      </c>
      <c r="AG651" s="5" t="inlineStr">
        <is>
          <t>Not verified</t>
        </is>
      </c>
      <c r="AH651" s="5" t="inlineStr">
        <is>
          <t>Not verified</t>
        </is>
      </c>
      <c r="AI651" s="8" t="inlineStr">
        <is>
          <t>No</t>
        </is>
      </c>
      <c r="AJ651" s="8" t="inlineStr">
        <is>
          <t>Claimed - unverified</t>
        </is>
      </c>
      <c r="AK651" s="8" t="inlineStr">
        <is>
          <t>P3</t>
        </is>
      </c>
      <c r="AL651" s="8" t="n">
        <v>2</v>
      </c>
      <c r="AM651" s="5" t="inlineStr"/>
      <c r="AN651" s="5" t="inlineStr"/>
      <c r="AO651" s="5" t="inlineStr"/>
      <c r="AP651" s="5" t="inlineStr"/>
      <c r="AQ651" s="5" t="inlineStr"/>
      <c r="AR651" s="5" t="inlineStr"/>
      <c r="AS651" s="5" t="inlineStr"/>
      <c r="AT651" s="5" t="inlineStr"/>
      <c r="AU651" s="8" t="inlineStr">
        <is>
          <t>Not run</t>
        </is>
      </c>
    </row>
    <row r="652" ht="32" customHeight="1">
      <c r="A652" s="16" t="inlineStr">
        <is>
          <t>I-0651</t>
        </is>
      </c>
      <c r="B652" s="8" t="inlineStr">
        <is>
          <t>I</t>
        </is>
      </c>
      <c r="C652" s="5" t="inlineStr">
        <is>
          <t>Hardware Integrations</t>
        </is>
      </c>
      <c r="D652" s="5" t="inlineStr">
        <is>
          <t>Customer-to-Cash</t>
        </is>
      </c>
      <c r="E652" s="5" t="inlineStr">
        <is>
          <t>ESC/POS thermal receipt printer direct driver integration via USB, Bluetooth &amp; Network</t>
        </is>
      </c>
      <c r="F652" s="5" t="inlineStr">
        <is>
          <t>Counter Billing Clerk</t>
        </is>
      </c>
      <c r="G652" s="5" t="inlineStr">
        <is>
          <t>Walk-in Customer</t>
        </is>
      </c>
      <c r="H652" s="5" t="inlineStr">
        <is>
          <t>Sub-second direct silent printing on 2-inch and 3-inch thermal printers without opening browser print dialog</t>
        </is>
      </c>
      <c r="I652" s="5" t="inlineStr">
        <is>
          <t>Sends raw ESC/POS command bytes directly to printer port; automatically triggers cash drawer kick-out</t>
        </is>
      </c>
      <c r="J652" s="19" t="inlineStr">
        <is>
          <t>P0</t>
        </is>
      </c>
      <c r="K652" s="20" t="inlineStr">
        <is>
          <t>Validated (Supported)</t>
        </is>
      </c>
      <c r="L652" s="5" t="inlineStr">
        <is>
          <t>WebUSB and WebBluetooth ESC/POS driver supporting Epson, TVS, and thermal receipt printers.</t>
        </is>
      </c>
      <c r="M652" s="8" t="inlineStr">
        <is>
          <t>Strategic expansion</t>
        </is>
      </c>
      <c r="N652" s="8" t="inlineStr">
        <is>
          <t>Platform or theme scope</t>
        </is>
      </c>
      <c r="O652" s="8" t="inlineStr">
        <is>
          <t>P0</t>
        </is>
      </c>
      <c r="P652" s="5" t="inlineStr">
        <is>
          <t>Unchanged</t>
        </is>
      </c>
      <c r="Q652" s="20" t="inlineStr">
        <is>
          <t>Author assertion</t>
        </is>
      </c>
      <c r="R652" s="5" t="inlineStr"/>
      <c r="S652" s="8" t="inlineStr">
        <is>
          <t>C2C</t>
        </is>
      </c>
      <c r="T652" s="5" t="inlineStr">
        <is>
          <t>Customer to cash</t>
        </is>
      </c>
      <c r="U652" s="8" t="inlineStr"/>
      <c r="V652" s="8" t="inlineStr">
        <is>
          <t>sales</t>
        </is>
      </c>
      <c r="W652" s="8" t="inlineStr">
        <is>
          <t>RUN</t>
        </is>
      </c>
      <c r="X652" s="5" t="inlineStr">
        <is>
          <t>Differentiator</t>
        </is>
      </c>
      <c r="Y652" s="5" t="inlineStr">
        <is>
          <t>Platform scope</t>
        </is>
      </c>
      <c r="Z652" s="5" t="inlineStr">
        <is>
          <t>Medium</t>
        </is>
      </c>
      <c r="AA652" s="5" t="inlineStr">
        <is>
          <t>Medium</t>
        </is>
      </c>
      <c r="AB652" s="8" t="inlineStr">
        <is>
          <t>Low</t>
        </is>
      </c>
      <c r="AC652" s="8" t="inlineStr">
        <is>
          <t>MVP</t>
        </is>
      </c>
      <c r="AD652" s="5" t="inlineStr">
        <is>
          <t>Not independently checked</t>
        </is>
      </c>
      <c r="AE652" s="5" t="inlineStr">
        <is>
          <t>Not verified</t>
        </is>
      </c>
      <c r="AF652" s="5" t="inlineStr">
        <is>
          <t>Not verified</t>
        </is>
      </c>
      <c r="AG652" s="5" t="inlineStr">
        <is>
          <t>Not verified</t>
        </is>
      </c>
      <c r="AH652" s="5" t="inlineStr">
        <is>
          <t>Not verified</t>
        </is>
      </c>
      <c r="AI652" s="8" t="inlineStr">
        <is>
          <t>No</t>
        </is>
      </c>
      <c r="AJ652" s="8" t="inlineStr">
        <is>
          <t>Claimed - unverified</t>
        </is>
      </c>
      <c r="AK652" s="8" t="inlineStr">
        <is>
          <t>P0</t>
        </is>
      </c>
      <c r="AL652" s="8" t="n">
        <v>4</v>
      </c>
      <c r="AM652" s="5" t="inlineStr"/>
      <c r="AN652" s="5" t="inlineStr"/>
      <c r="AO652" s="5" t="inlineStr"/>
      <c r="AP652" s="5" t="inlineStr"/>
      <c r="AQ652" s="5" t="inlineStr"/>
      <c r="AR652" s="5" t="inlineStr"/>
      <c r="AS652" s="5" t="inlineStr"/>
      <c r="AT652" s="5" t="inlineStr"/>
      <c r="AU652" s="8" t="inlineStr">
        <is>
          <t>Not run</t>
        </is>
      </c>
    </row>
    <row r="653" ht="32" customHeight="1">
      <c r="A653" s="16" t="inlineStr">
        <is>
          <t>I-0652</t>
        </is>
      </c>
      <c r="B653" s="8" t="inlineStr">
        <is>
          <t>I</t>
        </is>
      </c>
      <c r="C653" s="5" t="inlineStr">
        <is>
          <t>Hardware Integrations</t>
        </is>
      </c>
      <c r="D653" s="5" t="inlineStr">
        <is>
          <t>Customer-to-Cash</t>
        </is>
      </c>
      <c r="E653" s="5" t="inlineStr">
        <is>
          <t>Physical cash drawer automatic kick-out pulse on cash sale completion</t>
        </is>
      </c>
      <c r="F653" s="5" t="inlineStr">
        <is>
          <t>Counter Billing Clerk</t>
        </is>
      </c>
      <c r="G653" s="5" t="inlineStr">
        <is>
          <t>Walk-in Customer</t>
        </is>
      </c>
      <c r="H653" s="5" t="inlineStr">
        <is>
          <t>Physical cash till drawer springs open automatically when cashier selects Cash payment on POS</t>
        </is>
      </c>
      <c r="I653" s="5" t="inlineStr">
        <is>
          <t>Sends 24V drawer kick pulse via RJ11 printer port; prevents cashier leaving cash drawer unlocked</t>
        </is>
      </c>
      <c r="J653" s="20" t="inlineStr">
        <is>
          <t>P1</t>
        </is>
      </c>
      <c r="K653" s="20" t="inlineStr">
        <is>
          <t>Validated (Supported)</t>
        </is>
      </c>
      <c r="L653" s="5" t="inlineStr">
        <is>
          <t>ESC/POS drawer kick command byte sequence embedded in receipt print stream.</t>
        </is>
      </c>
      <c r="M653" s="8" t="inlineStr">
        <is>
          <t>Strategic expansion</t>
        </is>
      </c>
      <c r="N653" s="8" t="inlineStr">
        <is>
          <t>Platform or theme scope</t>
        </is>
      </c>
      <c r="O653" s="8" t="inlineStr">
        <is>
          <t>P1</t>
        </is>
      </c>
      <c r="P653" s="5" t="inlineStr">
        <is>
          <t>Unchanged</t>
        </is>
      </c>
      <c r="Q653" s="20" t="inlineStr">
        <is>
          <t>Author assertion</t>
        </is>
      </c>
      <c r="R653" s="5" t="inlineStr"/>
      <c r="S653" s="8" t="inlineStr">
        <is>
          <t>C2C</t>
        </is>
      </c>
      <c r="T653" s="5" t="inlineStr">
        <is>
          <t>Customer to cash</t>
        </is>
      </c>
      <c r="U653" s="8" t="inlineStr"/>
      <c r="V653" s="8" t="inlineStr">
        <is>
          <t>sales</t>
        </is>
      </c>
      <c r="W653" s="8" t="inlineStr">
        <is>
          <t>RUN</t>
        </is>
      </c>
      <c r="X653" s="5" t="inlineStr">
        <is>
          <t>Differentiator</t>
        </is>
      </c>
      <c r="Y653" s="5" t="inlineStr">
        <is>
          <t>Platform scope</t>
        </is>
      </c>
      <c r="Z653" s="5" t="inlineStr">
        <is>
          <t>Medium</t>
        </is>
      </c>
      <c r="AA653" s="5" t="inlineStr">
        <is>
          <t>Medium</t>
        </is>
      </c>
      <c r="AB653" s="8" t="inlineStr">
        <is>
          <t>Low</t>
        </is>
      </c>
      <c r="AC653" s="8" t="inlineStr">
        <is>
          <t>Later</t>
        </is>
      </c>
      <c r="AD653" s="5" t="inlineStr">
        <is>
          <t>Not independently checked</t>
        </is>
      </c>
      <c r="AE653" s="5" t="inlineStr">
        <is>
          <t>Not verified</t>
        </is>
      </c>
      <c r="AF653" s="5" t="inlineStr">
        <is>
          <t>Not verified</t>
        </is>
      </c>
      <c r="AG653" s="5" t="inlineStr">
        <is>
          <t>Not verified</t>
        </is>
      </c>
      <c r="AH653" s="5" t="inlineStr">
        <is>
          <t>Not verified</t>
        </is>
      </c>
      <c r="AI653" s="8" t="inlineStr">
        <is>
          <t>No</t>
        </is>
      </c>
      <c r="AJ653" s="8" t="inlineStr">
        <is>
          <t>Claimed - unverified</t>
        </is>
      </c>
      <c r="AK653" s="8" t="inlineStr">
        <is>
          <t>P1</t>
        </is>
      </c>
      <c r="AL653" s="8" t="n">
        <v>4</v>
      </c>
      <c r="AM653" s="5" t="inlineStr"/>
      <c r="AN653" s="5" t="inlineStr"/>
      <c r="AO653" s="5" t="inlineStr"/>
      <c r="AP653" s="5" t="inlineStr"/>
      <c r="AQ653" s="5" t="inlineStr"/>
      <c r="AR653" s="5" t="inlineStr"/>
      <c r="AS653" s="5" t="inlineStr"/>
      <c r="AT653" s="5" t="inlineStr"/>
      <c r="AU653" s="8" t="inlineStr">
        <is>
          <t>Not run</t>
        </is>
      </c>
    </row>
    <row r="654" ht="32" customHeight="1">
      <c r="A654" s="16" t="inlineStr">
        <is>
          <t>I-0653</t>
        </is>
      </c>
      <c r="B654" s="8" t="inlineStr">
        <is>
          <t>I</t>
        </is>
      </c>
      <c r="C654" s="5" t="inlineStr">
        <is>
          <t>Hardware Integrations</t>
        </is>
      </c>
      <c r="D654" s="5" t="inlineStr">
        <is>
          <t>Customer-to-Cash</t>
        </is>
      </c>
      <c r="E654" s="5" t="inlineStr">
        <is>
          <t>Electronic weighing scale RS-232 serial port live weight reading</t>
        </is>
      </c>
      <c r="F654" s="5" t="inlineStr">
        <is>
          <t>Kirana / Grain Cashier</t>
        </is>
      </c>
      <c r="G654" s="5" t="inlineStr">
        <is>
          <t>Walk-in Customer</t>
        </is>
      </c>
      <c r="H654" s="5" t="inlineStr">
        <is>
          <t>Live weight of loose items (vegetables, grains, flour) automatically captured on POS bill line</t>
        </is>
      </c>
      <c r="I654" s="5" t="inlineStr">
        <is>
          <t>Reads RS-232 serial stream via Web Serial API; populates line quantity instantly; prevents manual weight fraud</t>
        </is>
      </c>
      <c r="J654" s="20" t="inlineStr">
        <is>
          <t>P1</t>
        </is>
      </c>
      <c r="K654" s="20" t="inlineStr">
        <is>
          <t>Validated (Supported)</t>
        </is>
      </c>
      <c r="L654" s="5" t="inlineStr">
        <is>
          <t>Web Serial API integration supporting CAS, Essae, and Avery weighing scales.</t>
        </is>
      </c>
      <c r="M654" s="8" t="inlineStr">
        <is>
          <t>Strategic expansion</t>
        </is>
      </c>
      <c r="N654" s="8" t="inlineStr">
        <is>
          <t>Platform or theme scope</t>
        </is>
      </c>
      <c r="O654" s="8" t="inlineStr">
        <is>
          <t>P1</t>
        </is>
      </c>
      <c r="P654" s="5" t="inlineStr">
        <is>
          <t>Unchanged</t>
        </is>
      </c>
      <c r="Q654" s="20" t="inlineStr">
        <is>
          <t>Author assertion</t>
        </is>
      </c>
      <c r="R654" s="5" t="inlineStr"/>
      <c r="S654" s="8" t="inlineStr">
        <is>
          <t>C2C</t>
        </is>
      </c>
      <c r="T654" s="5" t="inlineStr">
        <is>
          <t>Customer to cash</t>
        </is>
      </c>
      <c r="U654" s="8" t="inlineStr"/>
      <c r="V654" s="8" t="inlineStr">
        <is>
          <t>sales</t>
        </is>
      </c>
      <c r="W654" s="8" t="inlineStr">
        <is>
          <t>RUN</t>
        </is>
      </c>
      <c r="X654" s="5" t="inlineStr">
        <is>
          <t>Differentiator</t>
        </is>
      </c>
      <c r="Y654" s="5" t="inlineStr">
        <is>
          <t>Platform scope</t>
        </is>
      </c>
      <c r="Z654" s="5" t="inlineStr">
        <is>
          <t>Medium</t>
        </is>
      </c>
      <c r="AA654" s="5" t="inlineStr">
        <is>
          <t>Medium</t>
        </is>
      </c>
      <c r="AB654" s="8" t="inlineStr">
        <is>
          <t>Low</t>
        </is>
      </c>
      <c r="AC654" s="8" t="inlineStr">
        <is>
          <t>Later</t>
        </is>
      </c>
      <c r="AD654" s="5" t="inlineStr">
        <is>
          <t>Not independently checked</t>
        </is>
      </c>
      <c r="AE654" s="5" t="inlineStr">
        <is>
          <t>Not verified</t>
        </is>
      </c>
      <c r="AF654" s="5" t="inlineStr">
        <is>
          <t>Not verified</t>
        </is>
      </c>
      <c r="AG654" s="5" t="inlineStr">
        <is>
          <t>Not verified</t>
        </is>
      </c>
      <c r="AH654" s="5" t="inlineStr">
        <is>
          <t>Not verified</t>
        </is>
      </c>
      <c r="AI654" s="8" t="inlineStr">
        <is>
          <t>No</t>
        </is>
      </c>
      <c r="AJ654" s="8" t="inlineStr">
        <is>
          <t>Claimed - unverified</t>
        </is>
      </c>
      <c r="AK654" s="8" t="inlineStr">
        <is>
          <t>P1</t>
        </is>
      </c>
      <c r="AL654" s="8" t="n">
        <v>4</v>
      </c>
      <c r="AM654" s="5" t="inlineStr"/>
      <c r="AN654" s="5" t="inlineStr"/>
      <c r="AO654" s="5" t="inlineStr"/>
      <c r="AP654" s="5" t="inlineStr"/>
      <c r="AQ654" s="5" t="inlineStr"/>
      <c r="AR654" s="5" t="inlineStr"/>
      <c r="AS654" s="5" t="inlineStr"/>
      <c r="AT654" s="5" t="inlineStr"/>
      <c r="AU654" s="8" t="inlineStr">
        <is>
          <t>Not run</t>
        </is>
      </c>
    </row>
    <row r="655" ht="32" customHeight="1">
      <c r="A655" s="16" t="inlineStr">
        <is>
          <t>I-0654</t>
        </is>
      </c>
      <c r="B655" s="8" t="inlineStr">
        <is>
          <t>I</t>
        </is>
      </c>
      <c r="C655" s="5" t="inlineStr">
        <is>
          <t>Hardware Integrations</t>
        </is>
      </c>
      <c r="D655" s="5" t="inlineStr">
        <is>
          <t>Customer-to-Cash</t>
        </is>
      </c>
      <c r="E655" s="5" t="inlineStr">
        <is>
          <t>Customer-facing Pole Display / Secondary Screen integration</t>
        </is>
      </c>
      <c r="F655" s="5" t="inlineStr">
        <is>
          <t>Billing Clerk</t>
        </is>
      </c>
      <c r="G655" s="5" t="inlineStr">
        <is>
          <t>Walk-in Customer</t>
        </is>
      </c>
      <c r="H655" s="5" t="inlineStr">
        <is>
          <t>Live display of scanned items, prices, and grand total on secondary customer-facing VFD/LCD screen</t>
        </is>
      </c>
      <c r="I655" s="5" t="inlineStr">
        <is>
          <t>Updates customer display in real time; builds customer trust and reduces counter pricing disputes</t>
        </is>
      </c>
      <c r="J655" s="24" t="inlineStr">
        <is>
          <t>P3</t>
        </is>
      </c>
      <c r="K655" s="20" t="inlineStr">
        <is>
          <t>Validated (Supported)</t>
        </is>
      </c>
      <c r="L655" s="5" t="inlineStr">
        <is>
          <t>Serial VFD 2x20 pole display driver and browser secondary display window output.</t>
        </is>
      </c>
      <c r="M655" s="8" t="inlineStr">
        <is>
          <t>Strategic expansion</t>
        </is>
      </c>
      <c r="N655" s="8" t="inlineStr">
        <is>
          <t>Platform or theme scope</t>
        </is>
      </c>
      <c r="O655" s="8" t="inlineStr">
        <is>
          <t>P2</t>
        </is>
      </c>
      <c r="P655" s="5" t="inlineStr">
        <is>
          <t>Kept P3. The previous workbook had P3. Authored priority was P2.</t>
        </is>
      </c>
      <c r="Q655" s="20" t="inlineStr">
        <is>
          <t>Author assertion</t>
        </is>
      </c>
      <c r="R655" s="5" t="inlineStr">
        <is>
          <t>Kept P3. The previous workbook had P3. Authored priority was P2.</t>
        </is>
      </c>
      <c r="S655" s="8" t="inlineStr">
        <is>
          <t>C2C</t>
        </is>
      </c>
      <c r="T655" s="5" t="inlineStr">
        <is>
          <t>Customer to cash</t>
        </is>
      </c>
      <c r="U655" s="8" t="inlineStr"/>
      <c r="V655" s="8" t="inlineStr">
        <is>
          <t>sales</t>
        </is>
      </c>
      <c r="W655" s="8" t="inlineStr">
        <is>
          <t>RUN</t>
        </is>
      </c>
      <c r="X655" s="5" t="inlineStr">
        <is>
          <t>Future</t>
        </is>
      </c>
      <c r="Y655" s="5" t="inlineStr">
        <is>
          <t>Platform scope</t>
        </is>
      </c>
      <c r="Z655" s="5" t="inlineStr">
        <is>
          <t>Low</t>
        </is>
      </c>
      <c r="AA655" s="5" t="inlineStr">
        <is>
          <t>Low</t>
        </is>
      </c>
      <c r="AB655" s="8" t="inlineStr">
        <is>
          <t>Low</t>
        </is>
      </c>
      <c r="AC655" s="8" t="inlineStr">
        <is>
          <t>Later</t>
        </is>
      </c>
      <c r="AD655" s="5" t="inlineStr">
        <is>
          <t>Not independently checked</t>
        </is>
      </c>
      <c r="AE655" s="5" t="inlineStr">
        <is>
          <t>Not verified</t>
        </is>
      </c>
      <c r="AF655" s="5" t="inlineStr">
        <is>
          <t>Not verified</t>
        </is>
      </c>
      <c r="AG655" s="5" t="inlineStr">
        <is>
          <t>Not verified</t>
        </is>
      </c>
      <c r="AH655" s="5" t="inlineStr">
        <is>
          <t>Not verified</t>
        </is>
      </c>
      <c r="AI655" s="8" t="inlineStr">
        <is>
          <t>No</t>
        </is>
      </c>
      <c r="AJ655" s="8" t="inlineStr">
        <is>
          <t>Claimed - unverified</t>
        </is>
      </c>
      <c r="AK655" s="8" t="inlineStr">
        <is>
          <t>P3</t>
        </is>
      </c>
      <c r="AL655" s="8" t="n">
        <v>1</v>
      </c>
      <c r="AM655" s="5" t="inlineStr"/>
      <c r="AN655" s="5" t="inlineStr"/>
      <c r="AO655" s="5" t="inlineStr"/>
      <c r="AP655" s="5" t="inlineStr"/>
      <c r="AQ655" s="5" t="inlineStr"/>
      <c r="AR655" s="5" t="inlineStr"/>
      <c r="AS655" s="5" t="inlineStr"/>
      <c r="AT655" s="5" t="inlineStr"/>
      <c r="AU655" s="8" t="inlineStr">
        <is>
          <t>Not run</t>
        </is>
      </c>
    </row>
    <row r="656" ht="32" customHeight="1">
      <c r="A656" s="16" t="inlineStr">
        <is>
          <t>I-0655</t>
        </is>
      </c>
      <c r="B656" s="8" t="inlineStr">
        <is>
          <t>I</t>
        </is>
      </c>
      <c r="C656" s="5" t="inlineStr">
        <is>
          <t>Hardware Integrations</t>
        </is>
      </c>
      <c r="D656" s="5" t="inlineStr">
        <is>
          <t>Customer-to-Cash</t>
        </is>
      </c>
      <c r="E656" s="5" t="inlineStr">
        <is>
          <t>Barcode scanner HID USB wedge and 2D QR camera barcode reader</t>
        </is>
      </c>
      <c r="F656" s="5" t="inlineStr">
        <is>
          <t>Billing Clerk / Custodian</t>
        </is>
      </c>
      <c r="G656" s="5" t="inlineStr">
        <is>
          <t>None</t>
        </is>
      </c>
      <c r="H656" s="5" t="inlineStr">
        <is>
          <t>Supports standard handheld 1D laser barcode guns, 2D QR scanners, and mobile device built-in camera</t>
        </is>
      </c>
      <c r="I656" s="5" t="inlineStr">
        <is>
          <t>Captures scanned barcode strings with automatic Enter delimiter; opens product in cart instantly</t>
        </is>
      </c>
      <c r="J656" s="19" t="inlineStr">
        <is>
          <t>P0</t>
        </is>
      </c>
      <c r="K656" s="20" t="inlineStr">
        <is>
          <t>Validated (Supported)</t>
        </is>
      </c>
      <c r="L656" s="5" t="inlineStr">
        <is>
          <t>Universal HID keyboard wedge listener with 50ms keystroke timing heuristic + HTML5 camera scanner.</t>
        </is>
      </c>
      <c r="M656" s="8" t="inlineStr">
        <is>
          <t>Strategic expansion</t>
        </is>
      </c>
      <c r="N656" s="8" t="inlineStr">
        <is>
          <t>Platform or theme scope</t>
        </is>
      </c>
      <c r="O656" s="8" t="inlineStr">
        <is>
          <t>P0</t>
        </is>
      </c>
      <c r="P656" s="5" t="inlineStr">
        <is>
          <t>Unchanged</t>
        </is>
      </c>
      <c r="Q656" s="20" t="inlineStr">
        <is>
          <t>Author assertion</t>
        </is>
      </c>
      <c r="R656" s="5" t="inlineStr"/>
      <c r="S656" s="8" t="inlineStr">
        <is>
          <t>C2C</t>
        </is>
      </c>
      <c r="T656" s="5" t="inlineStr">
        <is>
          <t>Customer to cash</t>
        </is>
      </c>
      <c r="U656" s="8" t="inlineStr"/>
      <c r="V656" s="8" t="inlineStr">
        <is>
          <t>sales</t>
        </is>
      </c>
      <c r="W656" s="8" t="inlineStr">
        <is>
          <t>RUN</t>
        </is>
      </c>
      <c r="X656" s="5" t="inlineStr">
        <is>
          <t>Differentiator</t>
        </is>
      </c>
      <c r="Y656" s="5" t="inlineStr">
        <is>
          <t>Platform scope</t>
        </is>
      </c>
      <c r="Z656" s="5" t="inlineStr">
        <is>
          <t>Medium</t>
        </is>
      </c>
      <c r="AA656" s="5" t="inlineStr">
        <is>
          <t>Medium</t>
        </is>
      </c>
      <c r="AB656" s="8" t="inlineStr">
        <is>
          <t>Low</t>
        </is>
      </c>
      <c r="AC656" s="8" t="inlineStr">
        <is>
          <t>MVP</t>
        </is>
      </c>
      <c r="AD656" s="5" t="inlineStr">
        <is>
          <t>Not independently checked</t>
        </is>
      </c>
      <c r="AE656" s="5" t="inlineStr">
        <is>
          <t>Not verified</t>
        </is>
      </c>
      <c r="AF656" s="5" t="inlineStr">
        <is>
          <t>Not verified</t>
        </is>
      </c>
      <c r="AG656" s="5" t="inlineStr">
        <is>
          <t>Not verified</t>
        </is>
      </c>
      <c r="AH656" s="5" t="inlineStr">
        <is>
          <t>Not verified</t>
        </is>
      </c>
      <c r="AI656" s="8" t="inlineStr">
        <is>
          <t>No</t>
        </is>
      </c>
      <c r="AJ656" s="8" t="inlineStr">
        <is>
          <t>Claimed - unverified</t>
        </is>
      </c>
      <c r="AK656" s="8" t="inlineStr">
        <is>
          <t>P0</t>
        </is>
      </c>
      <c r="AL656" s="8" t="n">
        <v>4</v>
      </c>
      <c r="AM656" s="5" t="inlineStr"/>
      <c r="AN656" s="5" t="inlineStr"/>
      <c r="AO656" s="5" t="inlineStr"/>
      <c r="AP656" s="5" t="inlineStr"/>
      <c r="AQ656" s="5" t="inlineStr"/>
      <c r="AR656" s="5" t="inlineStr"/>
      <c r="AS656" s="5" t="inlineStr"/>
      <c r="AT656" s="5" t="inlineStr"/>
      <c r="AU656" s="8" t="inlineStr">
        <is>
          <t>Not run</t>
        </is>
      </c>
    </row>
    <row r="657" ht="32" customHeight="1">
      <c r="A657" s="16" t="inlineStr">
        <is>
          <t>I-0656</t>
        </is>
      </c>
      <c r="B657" s="8" t="inlineStr">
        <is>
          <t>I</t>
        </is>
      </c>
      <c r="C657" s="5" t="inlineStr">
        <is>
          <t>Hardware Integrations</t>
        </is>
      </c>
      <c r="D657" s="5" t="inlineStr">
        <is>
          <t>Inventory Lifecycle</t>
        </is>
      </c>
      <c r="E657" s="5" t="inlineStr">
        <is>
          <t>ZPL / TSPL thermal barcode label and sticker printer integration</t>
        </is>
      </c>
      <c r="F657" s="5" t="inlineStr">
        <is>
          <t>Warehouse Custodian</t>
        </is>
      </c>
      <c r="G657" s="5" t="inlineStr">
        <is>
          <t>None</t>
        </is>
      </c>
      <c r="H657" s="5" t="inlineStr">
        <is>
          <t>Print product price stickers, barcode labels, and shelf tags directly on Zebra / TSC label printers</t>
        </is>
      </c>
      <c r="I657" s="5" t="inlineStr">
        <is>
          <t>Generates raw ZPL / TSPL command code; prints customizable 50x25mm and 38x25mm barcode stickers</t>
        </is>
      </c>
      <c r="J657" s="20" t="inlineStr">
        <is>
          <t>P1</t>
        </is>
      </c>
      <c r="K657" s="20" t="inlineStr">
        <is>
          <t>Validated (Supported)</t>
        </is>
      </c>
      <c r="L657" s="5" t="inlineStr">
        <is>
          <t>ZPL / TSPL label template generator with barcode symbology encoding (Code 128 / EAN-13).</t>
        </is>
      </c>
      <c r="M657" s="8" t="inlineStr">
        <is>
          <t>Strategic expansion</t>
        </is>
      </c>
      <c r="N657" s="8" t="inlineStr">
        <is>
          <t>Platform or theme scope</t>
        </is>
      </c>
      <c r="O657" s="8" t="inlineStr">
        <is>
          <t>P1</t>
        </is>
      </c>
      <c r="P657" s="5" t="inlineStr">
        <is>
          <t>Unchanged</t>
        </is>
      </c>
      <c r="Q657" s="20" t="inlineStr">
        <is>
          <t>Author assertion</t>
        </is>
      </c>
      <c r="R657" s="5" t="inlineStr"/>
      <c r="S657" s="8" t="inlineStr">
        <is>
          <t>INV</t>
        </is>
      </c>
      <c r="T657" s="5" t="inlineStr">
        <is>
          <t>Inventory lifecycle</t>
        </is>
      </c>
      <c r="U657" s="8" t="inlineStr"/>
      <c r="V657" s="8" t="inlineStr">
        <is>
          <t>inventory</t>
        </is>
      </c>
      <c r="W657" s="8" t="inlineStr">
        <is>
          <t>RUN</t>
        </is>
      </c>
      <c r="X657" s="5" t="inlineStr">
        <is>
          <t>Differentiator</t>
        </is>
      </c>
      <c r="Y657" s="5" t="inlineStr">
        <is>
          <t>Platform scope</t>
        </is>
      </c>
      <c r="Z657" s="5" t="inlineStr">
        <is>
          <t>Medium</t>
        </is>
      </c>
      <c r="AA657" s="5" t="inlineStr">
        <is>
          <t>High</t>
        </is>
      </c>
      <c r="AB657" s="8" t="inlineStr">
        <is>
          <t>Low</t>
        </is>
      </c>
      <c r="AC657" s="8" t="inlineStr">
        <is>
          <t>Later</t>
        </is>
      </c>
      <c r="AD657" s="5" t="inlineStr">
        <is>
          <t>Not independently checked</t>
        </is>
      </c>
      <c r="AE657" s="5" t="inlineStr">
        <is>
          <t>Not verified</t>
        </is>
      </c>
      <c r="AF657" s="5" t="inlineStr">
        <is>
          <t>Not verified</t>
        </is>
      </c>
      <c r="AG657" s="5" t="inlineStr">
        <is>
          <t>Not verified</t>
        </is>
      </c>
      <c r="AH657" s="5" t="inlineStr">
        <is>
          <t>Not verified</t>
        </is>
      </c>
      <c r="AI657" s="8" t="inlineStr">
        <is>
          <t>No</t>
        </is>
      </c>
      <c r="AJ657" s="8" t="inlineStr">
        <is>
          <t>Claimed - unverified</t>
        </is>
      </c>
      <c r="AK657" s="8" t="inlineStr">
        <is>
          <t>P1</t>
        </is>
      </c>
      <c r="AL657" s="8" t="n">
        <v>6</v>
      </c>
      <c r="AM657" s="5" t="inlineStr"/>
      <c r="AN657" s="5" t="inlineStr"/>
      <c r="AO657" s="5" t="inlineStr"/>
      <c r="AP657" s="5" t="inlineStr"/>
      <c r="AQ657" s="5" t="inlineStr"/>
      <c r="AR657" s="5" t="inlineStr"/>
      <c r="AS657" s="5" t="inlineStr"/>
      <c r="AT657" s="5" t="inlineStr"/>
      <c r="AU657" s="8" t="inlineStr">
        <is>
          <t>Not run</t>
        </is>
      </c>
    </row>
    <row r="658" ht="32" customHeight="1">
      <c r="A658" s="16" t="inlineStr">
        <is>
          <t>I-0657</t>
        </is>
      </c>
      <c r="B658" s="8" t="inlineStr">
        <is>
          <t>I</t>
        </is>
      </c>
      <c r="C658" s="5" t="inlineStr">
        <is>
          <t>External Integrations</t>
        </is>
      </c>
      <c r="D658" s="5" t="inlineStr">
        <is>
          <t>Communication &amp; Integrations</t>
        </is>
      </c>
      <c r="E658" s="5" t="inlineStr">
        <is>
          <t>WhatsApp Business Cloud API official automated notification service</t>
        </is>
      </c>
      <c r="F658" s="5" t="inlineStr">
        <is>
          <t>Communication Engine</t>
        </is>
      </c>
      <c r="G658" s="5" t="inlineStr">
        <is>
          <t>Customer / Supplier</t>
        </is>
      </c>
      <c r="H658" s="5" t="inlineStr">
        <is>
          <t>Send verified branded WhatsApp messages with PDF invoices, payment receipts, and delivery updates</t>
        </is>
      </c>
      <c r="I658" s="5" t="inlineStr">
        <is>
          <t>Delivers messages via official Meta Cloud API; tracks delivery and read receipts; supports interactive buttons</t>
        </is>
      </c>
      <c r="J658" s="20" t="inlineStr">
        <is>
          <t>P1</t>
        </is>
      </c>
      <c r="K658" s="20" t="inlineStr">
        <is>
          <t>Validated (Supported)</t>
        </is>
      </c>
      <c r="L658" s="5" t="inlineStr">
        <is>
          <t>Meta WhatsApp Cloud API integration with approved HSM utility templates.</t>
        </is>
      </c>
      <c r="M658" s="8" t="inlineStr">
        <is>
          <t>Strategic expansion</t>
        </is>
      </c>
      <c r="N658" s="8" t="inlineStr">
        <is>
          <t>Platform or theme scope</t>
        </is>
      </c>
      <c r="O658" s="8" t="inlineStr">
        <is>
          <t>P1</t>
        </is>
      </c>
      <c r="P658" s="5" t="inlineStr">
        <is>
          <t>Unchanged</t>
        </is>
      </c>
      <c r="Q658" s="21" t="inlineStr">
        <is>
          <t>Code symbol found</t>
        </is>
      </c>
      <c r="R658" s="5" t="inlineStr">
        <is>
          <t>Matched WhatsApp in product code. This is not a functional test.</t>
        </is>
      </c>
      <c r="S658" s="8" t="inlineStr">
        <is>
          <t>INT</t>
        </is>
      </c>
      <c r="T658" s="5" t="inlineStr">
        <is>
          <t>Communication and integrations</t>
        </is>
      </c>
      <c r="U658" s="8" t="inlineStr"/>
      <c r="V658" s="8" t="inlineStr">
        <is>
          <t>integrations</t>
        </is>
      </c>
      <c r="W658" s="8" t="inlineStr">
        <is>
          <t>KERNEL</t>
        </is>
      </c>
      <c r="X658" s="5" t="inlineStr">
        <is>
          <t>Differentiator</t>
        </is>
      </c>
      <c r="Y658" s="5" t="inlineStr">
        <is>
          <t>Platform scope</t>
        </is>
      </c>
      <c r="Z658" s="5" t="inlineStr">
        <is>
          <t>Medium</t>
        </is>
      </c>
      <c r="AA658" s="5" t="inlineStr">
        <is>
          <t>Medium</t>
        </is>
      </c>
      <c r="AB658" s="8" t="inlineStr">
        <is>
          <t>Low</t>
        </is>
      </c>
      <c r="AC658" s="8" t="inlineStr">
        <is>
          <t>Later</t>
        </is>
      </c>
      <c r="AD658" s="5" t="inlineStr">
        <is>
          <t>Cited in code</t>
        </is>
      </c>
      <c r="AE658" s="5" t="inlineStr">
        <is>
          <t>Not verified</t>
        </is>
      </c>
      <c r="AF658" s="5" t="inlineStr">
        <is>
          <t>Not verified</t>
        </is>
      </c>
      <c r="AG658" s="5" t="inlineStr">
        <is>
          <t>Not verified</t>
        </is>
      </c>
      <c r="AH658" s="5" t="inlineStr">
        <is>
          <t>Not verified</t>
        </is>
      </c>
      <c r="AI658" s="8" t="inlineStr">
        <is>
          <t>No</t>
        </is>
      </c>
      <c r="AJ658" s="8" t="inlineStr">
        <is>
          <t>Built - unverified</t>
        </is>
      </c>
      <c r="AK658" s="8" t="inlineStr">
        <is>
          <t>P1</t>
        </is>
      </c>
      <c r="AL658" s="8" t="n">
        <v>4</v>
      </c>
      <c r="AM658" s="5" t="inlineStr"/>
      <c r="AN658" s="5" t="inlineStr"/>
      <c r="AO658" s="5" t="inlineStr"/>
      <c r="AP658" s="5" t="inlineStr"/>
      <c r="AQ658" s="5" t="inlineStr"/>
      <c r="AR658" s="5" t="inlineStr"/>
      <c r="AS658" s="5" t="inlineStr"/>
      <c r="AT658" s="5" t="inlineStr"/>
      <c r="AU658" s="8" t="inlineStr">
        <is>
          <t>Not run</t>
        </is>
      </c>
    </row>
    <row r="659" ht="32" customHeight="1">
      <c r="A659" s="16" t="inlineStr">
        <is>
          <t>I-0658</t>
        </is>
      </c>
      <c r="B659" s="8" t="inlineStr">
        <is>
          <t>I</t>
        </is>
      </c>
      <c r="C659" s="5" t="inlineStr">
        <is>
          <t>External Integrations</t>
        </is>
      </c>
      <c r="D659" s="5" t="inlineStr">
        <is>
          <t>Payments &amp; Reconciliation</t>
        </is>
      </c>
      <c r="E659" s="5" t="inlineStr">
        <is>
          <t>BharatPe / Paytm / PhonePe Soundbox instant payment audio alert webhook</t>
        </is>
      </c>
      <c r="F659" s="5" t="inlineStr">
        <is>
          <t>Cashier / Counter Clerk</t>
        </is>
      </c>
      <c r="G659" s="5" t="inlineStr">
        <is>
          <t>Customer</t>
        </is>
      </c>
      <c r="H659" s="5" t="inlineStr">
        <is>
          <t>Physical Soundbox on retail counter announces: 'Payment of ₹450 received successfully on UPI'</t>
        </is>
      </c>
      <c r="I659" s="5" t="inlineStr">
        <is>
          <t>Receives gateway webhook; triggers soundbox broadcast; marks POS bill PAID without clerk touching screen</t>
        </is>
      </c>
      <c r="J659" s="20" t="inlineStr">
        <is>
          <t>P1</t>
        </is>
      </c>
      <c r="K659" s="20" t="inlineStr">
        <is>
          <t>Validated (Supported)</t>
        </is>
      </c>
      <c r="L659" s="5" t="inlineStr">
        <is>
          <t>Soundbox webhook listener syncing UPI settlement with POS active register.</t>
        </is>
      </c>
      <c r="M659" s="8" t="inlineStr">
        <is>
          <t>Strategic expansion</t>
        </is>
      </c>
      <c r="N659" s="8" t="inlineStr">
        <is>
          <t>Platform or theme scope</t>
        </is>
      </c>
      <c r="O659" s="8" t="inlineStr">
        <is>
          <t>P1</t>
        </is>
      </c>
      <c r="P659" s="5" t="inlineStr">
        <is>
          <t>Unchanged</t>
        </is>
      </c>
      <c r="Q659" s="20" t="inlineStr">
        <is>
          <t>Author assertion</t>
        </is>
      </c>
      <c r="R659" s="5" t="inlineStr"/>
      <c r="S659" s="8" t="inlineStr">
        <is>
          <t>PAYREC</t>
        </is>
      </c>
      <c r="T659" s="5" t="inlineStr">
        <is>
          <t>Payments and reconciliation</t>
        </is>
      </c>
      <c r="U659" s="8" t="inlineStr"/>
      <c r="V659" s="8" t="inlineStr">
        <is>
          <t>payments</t>
        </is>
      </c>
      <c r="W659" s="8" t="inlineStr">
        <is>
          <t>RUN</t>
        </is>
      </c>
      <c r="X659" s="5" t="inlineStr">
        <is>
          <t>Differentiator</t>
        </is>
      </c>
      <c r="Y659" s="5" t="inlineStr">
        <is>
          <t>Platform scope</t>
        </is>
      </c>
      <c r="Z659" s="5" t="inlineStr">
        <is>
          <t>Medium</t>
        </is>
      </c>
      <c r="AA659" s="5" t="inlineStr">
        <is>
          <t>High</t>
        </is>
      </c>
      <c r="AB659" s="8" t="inlineStr">
        <is>
          <t>Low</t>
        </is>
      </c>
      <c r="AC659" s="8" t="inlineStr">
        <is>
          <t>Later</t>
        </is>
      </c>
      <c r="AD659" s="5" t="inlineStr">
        <is>
          <t>Not independently checked</t>
        </is>
      </c>
      <c r="AE659" s="5" t="inlineStr">
        <is>
          <t>Not verified</t>
        </is>
      </c>
      <c r="AF659" s="5" t="inlineStr">
        <is>
          <t>Not verified</t>
        </is>
      </c>
      <c r="AG659" s="5" t="inlineStr">
        <is>
          <t>Not verified</t>
        </is>
      </c>
      <c r="AH659" s="5" t="inlineStr">
        <is>
          <t>Not verified</t>
        </is>
      </c>
      <c r="AI659" s="8" t="inlineStr">
        <is>
          <t>No</t>
        </is>
      </c>
      <c r="AJ659" s="8" t="inlineStr">
        <is>
          <t>Claimed - unverified</t>
        </is>
      </c>
      <c r="AK659" s="8" t="inlineStr">
        <is>
          <t>P1</t>
        </is>
      </c>
      <c r="AL659" s="8" t="n">
        <v>6</v>
      </c>
      <c r="AM659" s="5" t="inlineStr"/>
      <c r="AN659" s="5" t="inlineStr"/>
      <c r="AO659" s="5" t="inlineStr"/>
      <c r="AP659" s="5" t="inlineStr"/>
      <c r="AQ659" s="5" t="inlineStr"/>
      <c r="AR659" s="5" t="inlineStr"/>
      <c r="AS659" s="5" t="inlineStr"/>
      <c r="AT659" s="5" t="inlineStr"/>
      <c r="AU659" s="8" t="inlineStr">
        <is>
          <t>Not run</t>
        </is>
      </c>
    </row>
    <row r="660" ht="32" customHeight="1">
      <c r="A660" s="16" t="inlineStr">
        <is>
          <t>I-0659</t>
        </is>
      </c>
      <c r="B660" s="8" t="inlineStr">
        <is>
          <t>I</t>
        </is>
      </c>
      <c r="C660" s="5" t="inlineStr">
        <is>
          <t>External Integrations</t>
        </is>
      </c>
      <c r="D660" s="5" t="inlineStr">
        <is>
          <t>Payments &amp; Reconciliation</t>
        </is>
      </c>
      <c r="E660" s="5" t="inlineStr">
        <is>
          <t>Pine Labs / MSwipe / Mosambee EDC credit card swipe terminal integration</t>
        </is>
      </c>
      <c r="F660" s="5" t="inlineStr">
        <is>
          <t>Cashier</t>
        </is>
      </c>
      <c r="G660" s="5" t="inlineStr">
        <is>
          <t>Customer</t>
        </is>
      </c>
      <c r="H660" s="5" t="inlineStr">
        <is>
          <t>Push bill amount directly to card swipe machine; machine captures card and confirms payment back to POS</t>
        </is>
      </c>
      <c r="I660" s="5" t="inlineStr">
        <is>
          <t>Eliminates manual re-typing of transaction amounts on card machine; prevents billing cashier fraud</t>
        </is>
      </c>
      <c r="J660" s="20" t="inlineStr">
        <is>
          <t>P1</t>
        </is>
      </c>
      <c r="K660" s="20" t="inlineStr">
        <is>
          <t>Validated (Supported)</t>
        </is>
      </c>
      <c r="L660" s="5" t="inlineStr">
        <is>
          <t>EDC Cloud POS API integration (Plutus / MSwipe) with automatic charge slip generation.</t>
        </is>
      </c>
      <c r="M660" s="8" t="inlineStr">
        <is>
          <t>Strategic expansion</t>
        </is>
      </c>
      <c r="N660" s="8" t="inlineStr">
        <is>
          <t>Platform or theme scope</t>
        </is>
      </c>
      <c r="O660" s="8" t="inlineStr">
        <is>
          <t>P1</t>
        </is>
      </c>
      <c r="P660" s="5" t="inlineStr">
        <is>
          <t>Unchanged</t>
        </is>
      </c>
      <c r="Q660" s="20" t="inlineStr">
        <is>
          <t>Author assertion</t>
        </is>
      </c>
      <c r="R660" s="5" t="inlineStr"/>
      <c r="S660" s="8" t="inlineStr">
        <is>
          <t>PAYREC</t>
        </is>
      </c>
      <c r="T660" s="5" t="inlineStr">
        <is>
          <t>Payments and reconciliation</t>
        </is>
      </c>
      <c r="U660" s="8" t="inlineStr"/>
      <c r="V660" s="8" t="inlineStr">
        <is>
          <t>payments</t>
        </is>
      </c>
      <c r="W660" s="8" t="inlineStr">
        <is>
          <t>RUN</t>
        </is>
      </c>
      <c r="X660" s="5" t="inlineStr">
        <is>
          <t>Differentiator</t>
        </is>
      </c>
      <c r="Y660" s="5" t="inlineStr">
        <is>
          <t>Platform scope</t>
        </is>
      </c>
      <c r="Z660" s="5" t="inlineStr">
        <is>
          <t>Medium</t>
        </is>
      </c>
      <c r="AA660" s="5" t="inlineStr">
        <is>
          <t>High</t>
        </is>
      </c>
      <c r="AB660" s="8" t="inlineStr">
        <is>
          <t>Low</t>
        </is>
      </c>
      <c r="AC660" s="8" t="inlineStr">
        <is>
          <t>Later</t>
        </is>
      </c>
      <c r="AD660" s="5" t="inlineStr">
        <is>
          <t>Not independently checked</t>
        </is>
      </c>
      <c r="AE660" s="5" t="inlineStr">
        <is>
          <t>Not verified</t>
        </is>
      </c>
      <c r="AF660" s="5" t="inlineStr">
        <is>
          <t>Not verified</t>
        </is>
      </c>
      <c r="AG660" s="5" t="inlineStr">
        <is>
          <t>Not verified</t>
        </is>
      </c>
      <c r="AH660" s="5" t="inlineStr">
        <is>
          <t>Not verified</t>
        </is>
      </c>
      <c r="AI660" s="8" t="inlineStr">
        <is>
          <t>No</t>
        </is>
      </c>
      <c r="AJ660" s="8" t="inlineStr">
        <is>
          <t>Claimed - unverified</t>
        </is>
      </c>
      <c r="AK660" s="8" t="inlineStr">
        <is>
          <t>P1</t>
        </is>
      </c>
      <c r="AL660" s="8" t="n">
        <v>6</v>
      </c>
      <c r="AM660" s="5" t="inlineStr"/>
      <c r="AN660" s="5" t="inlineStr"/>
      <c r="AO660" s="5" t="inlineStr"/>
      <c r="AP660" s="5" t="inlineStr"/>
      <c r="AQ660" s="5" t="inlineStr"/>
      <c r="AR660" s="5" t="inlineStr"/>
      <c r="AS660" s="5" t="inlineStr"/>
      <c r="AT660" s="5" t="inlineStr"/>
      <c r="AU660" s="8" t="inlineStr">
        <is>
          <t>Not run</t>
        </is>
      </c>
    </row>
    <row r="661" ht="32" customHeight="1">
      <c r="A661" s="16" t="inlineStr">
        <is>
          <t>I-0660</t>
        </is>
      </c>
      <c r="B661" s="8" t="inlineStr">
        <is>
          <t>I</t>
        </is>
      </c>
      <c r="C661" s="5" t="inlineStr">
        <is>
          <t>External Integrations</t>
        </is>
      </c>
      <c r="D661" s="5" t="inlineStr">
        <is>
          <t>GST / Tax / Compliance</t>
        </is>
      </c>
      <c r="E661" s="5" t="inlineStr">
        <is>
          <t>NIC GST Portal GSP (GST Suvidha Provider) secure direct API connectivity</t>
        </is>
      </c>
      <c r="F661" s="5" t="inlineStr">
        <is>
          <t>Tax Engine</t>
        </is>
      </c>
      <c r="G661" s="5" t="inlineStr">
        <is>
          <t>External CA / Accountant</t>
        </is>
      </c>
      <c r="H661" s="5" t="inlineStr">
        <is>
          <t>Direct one-click upload of GSTR-1 and download of GSTR-2B JSON without visiting government website</t>
        </is>
      </c>
      <c r="I661" s="5" t="inlineStr">
        <is>
          <t>Authenticates via GSP secure tunnel using encrypted OTP token; pulls live filing status and ledger balances</t>
        </is>
      </c>
      <c r="J661" s="20" t="inlineStr">
        <is>
          <t>P1</t>
        </is>
      </c>
      <c r="K661" s="20" t="inlineStr">
        <is>
          <t>Validated (Supported)</t>
        </is>
      </c>
      <c r="L661" s="5" t="inlineStr">
        <is>
          <t>GSP REST API connector with OAuth2 token caching and payload encryption.</t>
        </is>
      </c>
      <c r="M661" s="8" t="inlineStr">
        <is>
          <t>Strategic expansion</t>
        </is>
      </c>
      <c r="N661" s="8" t="inlineStr">
        <is>
          <t>Platform or theme scope</t>
        </is>
      </c>
      <c r="O661" s="8" t="inlineStr">
        <is>
          <t>P1</t>
        </is>
      </c>
      <c r="P661" s="5" t="inlineStr">
        <is>
          <t>Unchanged</t>
        </is>
      </c>
      <c r="Q661" s="20" t="inlineStr">
        <is>
          <t>Author assertion</t>
        </is>
      </c>
      <c r="R661" s="5" t="inlineStr"/>
      <c r="S661" s="8" t="inlineStr">
        <is>
          <t>GST</t>
        </is>
      </c>
      <c r="T661" s="5" t="inlineStr">
        <is>
          <t>GST and tax compliance</t>
        </is>
      </c>
      <c r="U661" s="8" t="inlineStr"/>
      <c r="V661" s="8" t="inlineStr">
        <is>
          <t>accounting</t>
        </is>
      </c>
      <c r="W661" s="8" t="inlineStr">
        <is>
          <t>CONTROL</t>
        </is>
      </c>
      <c r="X661" s="5" t="inlineStr">
        <is>
          <t>Differentiator</t>
        </is>
      </c>
      <c r="Y661" s="5" t="inlineStr">
        <is>
          <t>Platform scope</t>
        </is>
      </c>
      <c r="Z661" s="5" t="inlineStr">
        <is>
          <t>Critical</t>
        </is>
      </c>
      <c r="AA661" s="5" t="inlineStr">
        <is>
          <t>High</t>
        </is>
      </c>
      <c r="AB661" s="8" t="inlineStr">
        <is>
          <t>High</t>
        </is>
      </c>
      <c r="AC661" s="8" t="inlineStr">
        <is>
          <t>Later</t>
        </is>
      </c>
      <c r="AD661" s="5" t="inlineStr">
        <is>
          <t>Not independently checked</t>
        </is>
      </c>
      <c r="AE661" s="5" t="inlineStr">
        <is>
          <t>Not verified</t>
        </is>
      </c>
      <c r="AF661" s="5" t="inlineStr">
        <is>
          <t>Not verified</t>
        </is>
      </c>
      <c r="AG661" s="5" t="inlineStr">
        <is>
          <t>Not verified</t>
        </is>
      </c>
      <c r="AH661" s="5" t="inlineStr">
        <is>
          <t>Not verified</t>
        </is>
      </c>
      <c r="AI661" s="8" t="inlineStr">
        <is>
          <t>No</t>
        </is>
      </c>
      <c r="AJ661" s="8" t="inlineStr">
        <is>
          <t>Claimed - unverified</t>
        </is>
      </c>
      <c r="AK661" s="8" t="inlineStr">
        <is>
          <t>P1</t>
        </is>
      </c>
      <c r="AL661" s="8" t="n">
        <v>18</v>
      </c>
      <c r="AM661" s="5" t="inlineStr"/>
      <c r="AN661" s="5" t="inlineStr"/>
      <c r="AO661" s="5" t="inlineStr"/>
      <c r="AP661" s="5" t="inlineStr"/>
      <c r="AQ661" s="5" t="inlineStr"/>
      <c r="AR661" s="5" t="inlineStr"/>
      <c r="AS661" s="5" t="inlineStr"/>
      <c r="AT661" s="5" t="inlineStr"/>
      <c r="AU661" s="8" t="inlineStr">
        <is>
          <t>Not run</t>
        </is>
      </c>
    </row>
    <row r="662" ht="32" customHeight="1">
      <c r="A662" s="16" t="inlineStr">
        <is>
          <t>I-0661</t>
        </is>
      </c>
      <c r="B662" s="8" t="inlineStr">
        <is>
          <t>I</t>
        </is>
      </c>
      <c r="C662" s="5" t="inlineStr">
        <is>
          <t>External Integrations</t>
        </is>
      </c>
      <c r="D662" s="5" t="inlineStr">
        <is>
          <t>GST / Tax / Compliance</t>
        </is>
      </c>
      <c r="E662" s="5" t="inlineStr">
        <is>
          <t>National Informatics Centre (NIC) Invoice Registration Portal (IRP) live E-Invoice connector</t>
        </is>
      </c>
      <c r="F662" s="5" t="inlineStr">
        <is>
          <t>Billing Clerk / Tax Engine</t>
        </is>
      </c>
      <c r="G662" s="5" t="inlineStr">
        <is>
          <t>Tax Authority</t>
        </is>
      </c>
      <c r="H662" s="5" t="inlineStr">
        <is>
          <t>Instant sub-second generation of legal B2B IRN and Signed QR code on invoice completion</t>
        </is>
      </c>
      <c r="I662" s="5" t="inlineStr">
        <is>
          <t>Direct API handshake with ClearTax / Masters India / Cygnet IRP endpoints; auto-embeds IRN on PDF</t>
        </is>
      </c>
      <c r="J662" s="19" t="inlineStr">
        <is>
          <t>P0</t>
        </is>
      </c>
      <c r="K662" s="20" t="inlineStr">
        <is>
          <t>Validated (Supported)</t>
        </is>
      </c>
      <c r="L662" s="5" t="inlineStr">
        <is>
          <t>IRP REST client with token lifecycle management and automatic JSON payload signing.</t>
        </is>
      </c>
      <c r="M662" s="8" t="inlineStr">
        <is>
          <t>Strategic expansion</t>
        </is>
      </c>
      <c r="N662" s="8" t="inlineStr">
        <is>
          <t>Platform or theme scope</t>
        </is>
      </c>
      <c r="O662" s="8" t="inlineStr">
        <is>
          <t>P0</t>
        </is>
      </c>
      <c r="P662" s="5" t="inlineStr">
        <is>
          <t>Unchanged</t>
        </is>
      </c>
      <c r="Q662" s="20" t="inlineStr">
        <is>
          <t>Author assertion</t>
        </is>
      </c>
      <c r="R662" s="5" t="inlineStr"/>
      <c r="S662" s="8" t="inlineStr">
        <is>
          <t>GST</t>
        </is>
      </c>
      <c r="T662" s="5" t="inlineStr">
        <is>
          <t>GST and tax compliance</t>
        </is>
      </c>
      <c r="U662" s="8" t="inlineStr"/>
      <c r="V662" s="8" t="inlineStr">
        <is>
          <t>accounting</t>
        </is>
      </c>
      <c r="W662" s="8" t="inlineStr">
        <is>
          <t>CONTROL</t>
        </is>
      </c>
      <c r="X662" s="5" t="inlineStr">
        <is>
          <t>Differentiator</t>
        </is>
      </c>
      <c r="Y662" s="5" t="inlineStr">
        <is>
          <t>Platform scope</t>
        </is>
      </c>
      <c r="Z662" s="5" t="inlineStr">
        <is>
          <t>Critical</t>
        </is>
      </c>
      <c r="AA662" s="5" t="inlineStr">
        <is>
          <t>High</t>
        </is>
      </c>
      <c r="AB662" s="8" t="inlineStr">
        <is>
          <t>High</t>
        </is>
      </c>
      <c r="AC662" s="8" t="inlineStr">
        <is>
          <t>MVP</t>
        </is>
      </c>
      <c r="AD662" s="5" t="inlineStr">
        <is>
          <t>Not independently checked</t>
        </is>
      </c>
      <c r="AE662" s="5" t="inlineStr">
        <is>
          <t>Not verified</t>
        </is>
      </c>
      <c r="AF662" s="5" t="inlineStr">
        <is>
          <t>Not verified</t>
        </is>
      </c>
      <c r="AG662" s="5" t="inlineStr">
        <is>
          <t>Not verified</t>
        </is>
      </c>
      <c r="AH662" s="5" t="inlineStr">
        <is>
          <t>Not verified</t>
        </is>
      </c>
      <c r="AI662" s="8" t="inlineStr">
        <is>
          <t>No</t>
        </is>
      </c>
      <c r="AJ662" s="8" t="inlineStr">
        <is>
          <t>Claimed - unverified</t>
        </is>
      </c>
      <c r="AK662" s="8" t="inlineStr">
        <is>
          <t>P0</t>
        </is>
      </c>
      <c r="AL662" s="8" t="n">
        <v>18</v>
      </c>
      <c r="AM662" s="5" t="inlineStr"/>
      <c r="AN662" s="5" t="inlineStr"/>
      <c r="AO662" s="5" t="inlineStr"/>
      <c r="AP662" s="5" t="inlineStr"/>
      <c r="AQ662" s="5" t="inlineStr"/>
      <c r="AR662" s="5" t="inlineStr"/>
      <c r="AS662" s="5" t="inlineStr"/>
      <c r="AT662" s="5" t="inlineStr"/>
      <c r="AU662" s="8" t="inlineStr">
        <is>
          <t>Not run</t>
        </is>
      </c>
    </row>
    <row r="663" ht="32" customHeight="1">
      <c r="A663" s="16" t="inlineStr">
        <is>
          <t>I-0662</t>
        </is>
      </c>
      <c r="B663" s="8" t="inlineStr">
        <is>
          <t>I</t>
        </is>
      </c>
      <c r="C663" s="5" t="inlineStr">
        <is>
          <t>External Integrations</t>
        </is>
      </c>
      <c r="D663" s="5" t="inlineStr">
        <is>
          <t>Payments &amp; Reconciliation</t>
        </is>
      </c>
      <c r="E663" s="5" t="inlineStr">
        <is>
          <t>ICICI Bank / HDFC Bank Open Banking corporate API integration</t>
        </is>
      </c>
      <c r="F663" s="5" t="inlineStr">
        <is>
          <t>In-house Accountant</t>
        </is>
      </c>
      <c r="G663" s="5" t="inlineStr">
        <is>
          <t>Supplier / Customer</t>
        </is>
      </c>
      <c r="H663" s="5" t="inlineStr">
        <is>
          <t>Execute vendor NEFT/RTGS payments directly from software without logging into bank netbanking portal</t>
        </is>
      </c>
      <c r="I663" s="5" t="inlineStr">
        <is>
          <t>Initiates 2-factor OTP bank transfer; retrieves live statement lines and real-time bank UTR numbers</t>
        </is>
      </c>
      <c r="J663" s="20" t="inlineStr">
        <is>
          <t>P1</t>
        </is>
      </c>
      <c r="K663" s="20" t="inlineStr">
        <is>
          <t>Validated (Supported)</t>
        </is>
      </c>
      <c r="L663" s="5" t="inlineStr">
        <is>
          <t>Corporate Connected Banking API integration with encrypted payload and corporate maker-checker auth.</t>
        </is>
      </c>
      <c r="M663" s="8" t="inlineStr">
        <is>
          <t>Strategic expansion</t>
        </is>
      </c>
      <c r="N663" s="8" t="inlineStr">
        <is>
          <t>Platform or theme scope</t>
        </is>
      </c>
      <c r="O663" s="8" t="inlineStr">
        <is>
          <t>P1</t>
        </is>
      </c>
      <c r="P663" s="5" t="inlineStr">
        <is>
          <t>Unchanged</t>
        </is>
      </c>
      <c r="Q663" s="20" t="inlineStr">
        <is>
          <t>Author assertion</t>
        </is>
      </c>
      <c r="R663" s="5" t="inlineStr"/>
      <c r="S663" s="8" t="inlineStr">
        <is>
          <t>PAYREC</t>
        </is>
      </c>
      <c r="T663" s="5" t="inlineStr">
        <is>
          <t>Payments and reconciliation</t>
        </is>
      </c>
      <c r="U663" s="8" t="inlineStr"/>
      <c r="V663" s="8" t="inlineStr">
        <is>
          <t>payments</t>
        </is>
      </c>
      <c r="W663" s="8" t="inlineStr">
        <is>
          <t>RUN</t>
        </is>
      </c>
      <c r="X663" s="5" t="inlineStr">
        <is>
          <t>Differentiator</t>
        </is>
      </c>
      <c r="Y663" s="5" t="inlineStr">
        <is>
          <t>Platform scope</t>
        </is>
      </c>
      <c r="Z663" s="5" t="inlineStr">
        <is>
          <t>Medium</t>
        </is>
      </c>
      <c r="AA663" s="5" t="inlineStr">
        <is>
          <t>High</t>
        </is>
      </c>
      <c r="AB663" s="8" t="inlineStr">
        <is>
          <t>Low</t>
        </is>
      </c>
      <c r="AC663" s="8" t="inlineStr">
        <is>
          <t>Later</t>
        </is>
      </c>
      <c r="AD663" s="5" t="inlineStr">
        <is>
          <t>Not independently checked</t>
        </is>
      </c>
      <c r="AE663" s="5" t="inlineStr">
        <is>
          <t>Not verified</t>
        </is>
      </c>
      <c r="AF663" s="5" t="inlineStr">
        <is>
          <t>Not verified</t>
        </is>
      </c>
      <c r="AG663" s="5" t="inlineStr">
        <is>
          <t>Not verified</t>
        </is>
      </c>
      <c r="AH663" s="5" t="inlineStr">
        <is>
          <t>Not verified</t>
        </is>
      </c>
      <c r="AI663" s="8" t="inlineStr">
        <is>
          <t>No</t>
        </is>
      </c>
      <c r="AJ663" s="8" t="inlineStr">
        <is>
          <t>Claimed - unverified</t>
        </is>
      </c>
      <c r="AK663" s="8" t="inlineStr">
        <is>
          <t>P1</t>
        </is>
      </c>
      <c r="AL663" s="8" t="n">
        <v>6</v>
      </c>
      <c r="AM663" s="5" t="inlineStr"/>
      <c r="AN663" s="5" t="inlineStr"/>
      <c r="AO663" s="5" t="inlineStr"/>
      <c r="AP663" s="5" t="inlineStr"/>
      <c r="AQ663" s="5" t="inlineStr"/>
      <c r="AR663" s="5" t="inlineStr"/>
      <c r="AS663" s="5" t="inlineStr"/>
      <c r="AT663" s="5" t="inlineStr"/>
      <c r="AU663" s="8" t="inlineStr">
        <is>
          <t>Not run</t>
        </is>
      </c>
    </row>
    <row r="664" ht="32" customHeight="1">
      <c r="A664" s="16" t="inlineStr">
        <is>
          <t>I-0663</t>
        </is>
      </c>
      <c r="B664" s="8" t="inlineStr">
        <is>
          <t>I</t>
        </is>
      </c>
      <c r="C664" s="5" t="inlineStr">
        <is>
          <t>External Integrations</t>
        </is>
      </c>
      <c r="D664" s="5" t="inlineStr">
        <is>
          <t>Master Data &amp; Authorization</t>
        </is>
      </c>
      <c r="E664" s="5" t="inlineStr">
        <is>
          <t>Government GSTIN Verification API auto-fill on customer and supplier creation</t>
        </is>
      </c>
      <c r="F664" s="5" t="inlineStr">
        <is>
          <t>Billing Clerk / Accountant</t>
        </is>
      </c>
      <c r="G664" s="5" t="inlineStr">
        <is>
          <t>New Customer / Supplier</t>
        </is>
      </c>
      <c r="H664" s="5" t="inlineStr">
        <is>
          <t>Type 15-character GSTIN; software automatically fetches legal name, trade name, address, and status</t>
        </is>
      </c>
      <c r="I664" s="5" t="inlineStr">
        <is>
          <t>Eliminates manual typing errors; validates that counterparty GSTIN is active and not cancelled</t>
        </is>
      </c>
      <c r="J664" s="20" t="inlineStr">
        <is>
          <t>P1</t>
        </is>
      </c>
      <c r="K664" s="20" t="inlineStr">
        <is>
          <t>Validated (Supported)</t>
        </is>
      </c>
      <c r="L664" s="5" t="inlineStr">
        <is>
          <t>GSTIN Public Search API integration auto-populating master entity forms.</t>
        </is>
      </c>
      <c r="M664" s="8" t="inlineStr">
        <is>
          <t>Strategic expansion</t>
        </is>
      </c>
      <c r="N664" s="8" t="inlineStr">
        <is>
          <t>Platform or theme scope</t>
        </is>
      </c>
      <c r="O664" s="8" t="inlineStr">
        <is>
          <t>P1</t>
        </is>
      </c>
      <c r="P664" s="5" t="inlineStr">
        <is>
          <t>Unchanged</t>
        </is>
      </c>
      <c r="Q664" s="20" t="inlineStr">
        <is>
          <t>Author assertion</t>
        </is>
      </c>
      <c r="R664" s="5" t="inlineStr"/>
      <c r="S664" s="8" t="inlineStr">
        <is>
          <t>MASTER</t>
        </is>
      </c>
      <c r="T664" s="5" t="inlineStr">
        <is>
          <t>Master data and authorization</t>
        </is>
      </c>
      <c r="U664" s="8" t="inlineStr"/>
      <c r="V664" s="8" t="inlineStr">
        <is>
          <t>masters</t>
        </is>
      </c>
      <c r="W664" s="8" t="inlineStr">
        <is>
          <t>KERNEL</t>
        </is>
      </c>
      <c r="X664" s="5" t="inlineStr">
        <is>
          <t>Differentiator</t>
        </is>
      </c>
      <c r="Y664" s="5" t="inlineStr">
        <is>
          <t>Platform scope</t>
        </is>
      </c>
      <c r="Z664" s="5" t="inlineStr">
        <is>
          <t>Medium</t>
        </is>
      </c>
      <c r="AA664" s="5" t="inlineStr">
        <is>
          <t>Medium</t>
        </is>
      </c>
      <c r="AB664" s="8" t="inlineStr">
        <is>
          <t>Low</t>
        </is>
      </c>
      <c r="AC664" s="8" t="inlineStr">
        <is>
          <t>Later</t>
        </is>
      </c>
      <c r="AD664" s="5" t="inlineStr">
        <is>
          <t>Not independently checked</t>
        </is>
      </c>
      <c r="AE664" s="5" t="inlineStr">
        <is>
          <t>Not verified</t>
        </is>
      </c>
      <c r="AF664" s="5" t="inlineStr">
        <is>
          <t>Not verified</t>
        </is>
      </c>
      <c r="AG664" s="5" t="inlineStr">
        <is>
          <t>Not verified</t>
        </is>
      </c>
      <c r="AH664" s="5" t="inlineStr">
        <is>
          <t>Not verified</t>
        </is>
      </c>
      <c r="AI664" s="8" t="inlineStr">
        <is>
          <t>No</t>
        </is>
      </c>
      <c r="AJ664" s="8" t="inlineStr">
        <is>
          <t>Claimed - unverified</t>
        </is>
      </c>
      <c r="AK664" s="8" t="inlineStr">
        <is>
          <t>P1</t>
        </is>
      </c>
      <c r="AL664" s="8" t="n">
        <v>4</v>
      </c>
      <c r="AM664" s="5" t="inlineStr"/>
      <c r="AN664" s="5" t="inlineStr"/>
      <c r="AO664" s="5" t="inlineStr"/>
      <c r="AP664" s="5" t="inlineStr"/>
      <c r="AQ664" s="5" t="inlineStr"/>
      <c r="AR664" s="5" t="inlineStr"/>
      <c r="AS664" s="5" t="inlineStr"/>
      <c r="AT664" s="5" t="inlineStr"/>
      <c r="AU664" s="8" t="inlineStr">
        <is>
          <t>Not run</t>
        </is>
      </c>
    </row>
    <row r="665" ht="32" customHeight="1">
      <c r="A665" s="16" t="inlineStr">
        <is>
          <t>I-0664</t>
        </is>
      </c>
      <c r="B665" s="8" t="inlineStr">
        <is>
          <t>I</t>
        </is>
      </c>
      <c r="C665" s="5" t="inlineStr">
        <is>
          <t>External Integrations</t>
        </is>
      </c>
      <c r="D665" s="5" t="inlineStr">
        <is>
          <t>Operations, Fleet &amp; Delivery</t>
        </is>
      </c>
      <c r="E665" s="5" t="inlineStr">
        <is>
          <t>Google Maps &amp; OpenStreetMap Directions API route optimization</t>
        </is>
      </c>
      <c r="F665" s="5" t="inlineStr">
        <is>
          <t>Logistics Dispatcher</t>
        </is>
      </c>
      <c r="G665" s="5" t="inlineStr">
        <is>
          <t>Delivery Driver</t>
        </is>
      </c>
      <c r="H665" s="5" t="inlineStr">
        <is>
          <t>Calculate optimal delivery stop sequence and live turn-by-turn navigation distance for delivery tempos</t>
        </is>
      </c>
      <c r="I665" s="5" t="inlineStr">
        <is>
          <t>Optimizes route order; computes accurate delivery transit ETA; minimizes diesel consumption</t>
        </is>
      </c>
      <c r="J665" s="24" t="inlineStr">
        <is>
          <t>P3</t>
        </is>
      </c>
      <c r="K665" s="20" t="inlineStr">
        <is>
          <t>Validated (Supported)</t>
        </is>
      </c>
      <c r="L665" s="5" t="inlineStr">
        <is>
          <t>Google Maps Directions API integration with waypoint sequencing optimization.</t>
        </is>
      </c>
      <c r="M665" s="8" t="inlineStr">
        <is>
          <t>Strategic expansion</t>
        </is>
      </c>
      <c r="N665" s="8" t="inlineStr">
        <is>
          <t>Platform or theme scope</t>
        </is>
      </c>
      <c r="O665" s="8" t="inlineStr">
        <is>
          <t>P2</t>
        </is>
      </c>
      <c r="P665" s="5" t="inlineStr">
        <is>
          <t>Kept P3. The previous workbook had P3. Authored priority was P2.</t>
        </is>
      </c>
      <c r="Q665" s="20" t="inlineStr">
        <is>
          <t>Author assertion</t>
        </is>
      </c>
      <c r="R665" s="5" t="inlineStr">
        <is>
          <t>Kept P3. The previous workbook had P3. Authored priority was P2.</t>
        </is>
      </c>
      <c r="S665" s="8" t="inlineStr">
        <is>
          <t>FLEET</t>
        </is>
      </c>
      <c r="T665" s="5" t="inlineStr">
        <is>
          <t>Fleet and delivery</t>
        </is>
      </c>
      <c r="U665" s="8" t="inlineStr"/>
      <c r="V665" s="8" t="inlineStr">
        <is>
          <t>sales</t>
        </is>
      </c>
      <c r="W665" s="8" t="inlineStr">
        <is>
          <t>RUN</t>
        </is>
      </c>
      <c r="X665" s="5" t="inlineStr">
        <is>
          <t>Future</t>
        </is>
      </c>
      <c r="Y665" s="5" t="inlineStr">
        <is>
          <t>Platform scope</t>
        </is>
      </c>
      <c r="Z665" s="5" t="inlineStr">
        <is>
          <t>Low</t>
        </is>
      </c>
      <c r="AA665" s="5" t="inlineStr">
        <is>
          <t>Low</t>
        </is>
      </c>
      <c r="AB665" s="8" t="inlineStr">
        <is>
          <t>Low</t>
        </is>
      </c>
      <c r="AC665" s="8" t="inlineStr">
        <is>
          <t>Later</t>
        </is>
      </c>
      <c r="AD665" s="5" t="inlineStr">
        <is>
          <t>Not independently checked</t>
        </is>
      </c>
      <c r="AE665" s="5" t="inlineStr">
        <is>
          <t>Not verified</t>
        </is>
      </c>
      <c r="AF665" s="5" t="inlineStr">
        <is>
          <t>Not verified</t>
        </is>
      </c>
      <c r="AG665" s="5" t="inlineStr">
        <is>
          <t>Not verified</t>
        </is>
      </c>
      <c r="AH665" s="5" t="inlineStr">
        <is>
          <t>Not verified</t>
        </is>
      </c>
      <c r="AI665" s="8" t="inlineStr">
        <is>
          <t>No</t>
        </is>
      </c>
      <c r="AJ665" s="8" t="inlineStr">
        <is>
          <t>Claimed - unverified</t>
        </is>
      </c>
      <c r="AK665" s="8" t="inlineStr">
        <is>
          <t>P3</t>
        </is>
      </c>
      <c r="AL665" s="8" t="n">
        <v>1</v>
      </c>
      <c r="AM665" s="5" t="inlineStr"/>
      <c r="AN665" s="5" t="inlineStr"/>
      <c r="AO665" s="5" t="inlineStr"/>
      <c r="AP665" s="5" t="inlineStr"/>
      <c r="AQ665" s="5" t="inlineStr"/>
      <c r="AR665" s="5" t="inlineStr"/>
      <c r="AS665" s="5" t="inlineStr"/>
      <c r="AT665" s="5" t="inlineStr"/>
      <c r="AU665" s="8" t="inlineStr">
        <is>
          <t>Not run</t>
        </is>
      </c>
    </row>
    <row r="666" ht="32" customHeight="1">
      <c r="A666" s="16" t="inlineStr">
        <is>
          <t>I-0665</t>
        </is>
      </c>
      <c r="B666" s="8" t="inlineStr">
        <is>
          <t>I</t>
        </is>
      </c>
      <c r="C666" s="5" t="inlineStr">
        <is>
          <t>External Integrations</t>
        </is>
      </c>
      <c r="D666" s="5" t="inlineStr">
        <is>
          <t>Communication &amp; Integrations</t>
        </is>
      </c>
      <c r="E666" s="5" t="inlineStr">
        <is>
          <t>DLT-approved transactional SMS gateway integration (MSG91 / Fast2SMS)</t>
        </is>
      </c>
      <c r="F666" s="5" t="inlineStr">
        <is>
          <t>Communication Engine</t>
        </is>
      </c>
      <c r="G666" s="5" t="inlineStr">
        <is>
          <t>Customer</t>
        </is>
      </c>
      <c r="H666" s="5" t="inlineStr">
        <is>
          <t>Deliver statutory invoice summary SMS with DLT-registered Header ID and approved 14-digit entity ID</t>
        </is>
      </c>
      <c r="I666" s="5" t="inlineStr">
        <is>
          <t>Dispatches SMS to feature phones and customers without WhatsApp; satisfies TRAI DLT regulations</t>
        </is>
      </c>
      <c r="J666" s="20" t="inlineStr">
        <is>
          <t>P1</t>
        </is>
      </c>
      <c r="K666" s="20" t="inlineStr">
        <is>
          <t>Validated (Supported)</t>
        </is>
      </c>
      <c r="L666" s="5" t="inlineStr">
        <is>
          <t>TRAI DLT compliant SMS gateway connector with approved template ID matching.</t>
        </is>
      </c>
      <c r="M666" s="8" t="inlineStr">
        <is>
          <t>Strategic expansion</t>
        </is>
      </c>
      <c r="N666" s="8" t="inlineStr">
        <is>
          <t>Platform or theme scope</t>
        </is>
      </c>
      <c r="O666" s="8" t="inlineStr">
        <is>
          <t>P1</t>
        </is>
      </c>
      <c r="P666" s="5" t="inlineStr">
        <is>
          <t>Unchanged</t>
        </is>
      </c>
      <c r="Q666" s="20" t="inlineStr">
        <is>
          <t>Author assertion</t>
        </is>
      </c>
      <c r="R666" s="5" t="inlineStr"/>
      <c r="S666" s="8" t="inlineStr">
        <is>
          <t>INT</t>
        </is>
      </c>
      <c r="T666" s="5" t="inlineStr">
        <is>
          <t>Communication and integrations</t>
        </is>
      </c>
      <c r="U666" s="8" t="inlineStr"/>
      <c r="V666" s="8" t="inlineStr">
        <is>
          <t>integrations</t>
        </is>
      </c>
      <c r="W666" s="8" t="inlineStr">
        <is>
          <t>KERNEL</t>
        </is>
      </c>
      <c r="X666" s="5" t="inlineStr">
        <is>
          <t>Differentiator</t>
        </is>
      </c>
      <c r="Y666" s="5" t="inlineStr">
        <is>
          <t>Platform scope</t>
        </is>
      </c>
      <c r="Z666" s="5" t="inlineStr">
        <is>
          <t>Medium</t>
        </is>
      </c>
      <c r="AA666" s="5" t="inlineStr">
        <is>
          <t>Medium</t>
        </is>
      </c>
      <c r="AB666" s="8" t="inlineStr">
        <is>
          <t>Low</t>
        </is>
      </c>
      <c r="AC666" s="8" t="inlineStr">
        <is>
          <t>Later</t>
        </is>
      </c>
      <c r="AD666" s="5" t="inlineStr">
        <is>
          <t>Not independently checked</t>
        </is>
      </c>
      <c r="AE666" s="5" t="inlineStr">
        <is>
          <t>Not verified</t>
        </is>
      </c>
      <c r="AF666" s="5" t="inlineStr">
        <is>
          <t>Not verified</t>
        </is>
      </c>
      <c r="AG666" s="5" t="inlineStr">
        <is>
          <t>Not verified</t>
        </is>
      </c>
      <c r="AH666" s="5" t="inlineStr">
        <is>
          <t>Not verified</t>
        </is>
      </c>
      <c r="AI666" s="8" t="inlineStr">
        <is>
          <t>No</t>
        </is>
      </c>
      <c r="AJ666" s="8" t="inlineStr">
        <is>
          <t>Claimed - unverified</t>
        </is>
      </c>
      <c r="AK666" s="8" t="inlineStr">
        <is>
          <t>P1</t>
        </is>
      </c>
      <c r="AL666" s="8" t="n">
        <v>4</v>
      </c>
      <c r="AM666" s="5" t="inlineStr"/>
      <c r="AN666" s="5" t="inlineStr"/>
      <c r="AO666" s="5" t="inlineStr"/>
      <c r="AP666" s="5" t="inlineStr"/>
      <c r="AQ666" s="5" t="inlineStr"/>
      <c r="AR666" s="5" t="inlineStr"/>
      <c r="AS666" s="5" t="inlineStr"/>
      <c r="AT666" s="5" t="inlineStr"/>
      <c r="AU666" s="8" t="inlineStr">
        <is>
          <t>Not run</t>
        </is>
      </c>
    </row>
    <row r="667" ht="32" customHeight="1">
      <c r="A667" s="16" t="inlineStr">
        <is>
          <t>SaaS-0666</t>
        </is>
      </c>
      <c r="B667" s="8" t="inlineStr">
        <is>
          <t>SaaS</t>
        </is>
      </c>
      <c r="C667" s="5" t="inlineStr">
        <is>
          <t>Platform / SaaS Admin</t>
        </is>
      </c>
      <c r="D667" s="5" t="inlineStr">
        <is>
          <t>Security / Exception / Recovery</t>
        </is>
      </c>
      <c r="E667" s="5" t="inlineStr">
        <is>
          <t>Self-service tenant signup and automated workspace database provisioning</t>
        </is>
      </c>
      <c r="F667" s="5" t="inlineStr">
        <is>
          <t>New Customer (Merchant)</t>
        </is>
      </c>
      <c r="G667" s="5" t="inlineStr">
        <is>
          <t>None</t>
        </is>
      </c>
      <c r="H667" s="5" t="inlineStr">
        <is>
          <t>New merchant signs up on website, verifies phone via OTP, and gets active company workspace in 60s</t>
        </is>
      </c>
      <c r="I667" s="5" t="inlineStr">
        <is>
          <t>Creates Company, initial CompanyUser (OWNER), default Chart of Accounts, and primary Warehouse</t>
        </is>
      </c>
      <c r="J667" s="19" t="inlineStr">
        <is>
          <t>P0</t>
        </is>
      </c>
      <c r="K667" s="20" t="inlineStr">
        <is>
          <t>Validated (Supported)</t>
        </is>
      </c>
      <c r="L667" s="5" t="inlineStr">
        <is>
          <t>Automated tenant onboarding pipeline provisioning company defaults and seed accounts.</t>
        </is>
      </c>
      <c r="M667" s="8" t="inlineStr">
        <is>
          <t>Strategic expansion</t>
        </is>
      </c>
      <c r="N667" s="8" t="inlineStr">
        <is>
          <t>Platform or theme scope</t>
        </is>
      </c>
      <c r="O667" s="8" t="inlineStr">
        <is>
          <t>P0</t>
        </is>
      </c>
      <c r="P667" s="5" t="inlineStr">
        <is>
          <t>Unchanged</t>
        </is>
      </c>
      <c r="Q667" s="20" t="inlineStr">
        <is>
          <t>Author assertion</t>
        </is>
      </c>
      <c r="R667" s="5" t="inlineStr"/>
      <c r="S667" s="8" t="inlineStr">
        <is>
          <t>OTHER</t>
        </is>
      </c>
      <c r="T667" s="5" t="inlineStr">
        <is>
          <t>Security / Exception / Recovery</t>
        </is>
      </c>
      <c r="U667" s="8" t="inlineStr"/>
      <c r="V667" s="8" t="inlineStr"/>
      <c r="W667" s="8" t="inlineStr">
        <is>
          <t>CONTROL</t>
        </is>
      </c>
      <c r="X667" s="5" t="inlineStr">
        <is>
          <t>Adjacent</t>
        </is>
      </c>
      <c r="Y667" s="5" t="inlineStr">
        <is>
          <t>Platform scope</t>
        </is>
      </c>
      <c r="Z667" s="5" t="inlineStr">
        <is>
          <t>Medium</t>
        </is>
      </c>
      <c r="AA667" s="5" t="inlineStr">
        <is>
          <t>Medium</t>
        </is>
      </c>
      <c r="AB667" s="8" t="inlineStr">
        <is>
          <t>Medium</t>
        </is>
      </c>
      <c r="AC667" s="8" t="inlineStr">
        <is>
          <t>MVP</t>
        </is>
      </c>
      <c r="AD667" s="5" t="inlineStr">
        <is>
          <t>Not independently checked</t>
        </is>
      </c>
      <c r="AE667" s="5" t="inlineStr">
        <is>
          <t>Not verified</t>
        </is>
      </c>
      <c r="AF667" s="5" t="inlineStr">
        <is>
          <t>Not verified</t>
        </is>
      </c>
      <c r="AG667" s="5" t="inlineStr">
        <is>
          <t>Not verified</t>
        </is>
      </c>
      <c r="AH667" s="5" t="inlineStr">
        <is>
          <t>Not verified</t>
        </is>
      </c>
      <c r="AI667" s="8" t="inlineStr">
        <is>
          <t>No</t>
        </is>
      </c>
      <c r="AJ667" s="8" t="inlineStr">
        <is>
          <t>Claimed - unverified</t>
        </is>
      </c>
      <c r="AK667" s="8" t="inlineStr">
        <is>
          <t>P0</t>
        </is>
      </c>
      <c r="AL667" s="8" t="n">
        <v>4</v>
      </c>
      <c r="AM667" s="5" t="inlineStr"/>
      <c r="AN667" s="5" t="inlineStr"/>
      <c r="AO667" s="5" t="inlineStr"/>
      <c r="AP667" s="5" t="inlineStr"/>
      <c r="AQ667" s="5" t="inlineStr"/>
      <c r="AR667" s="5" t="inlineStr"/>
      <c r="AS667" s="5" t="inlineStr"/>
      <c r="AT667" s="5" t="inlineStr"/>
      <c r="AU667" s="8" t="inlineStr">
        <is>
          <t>Not run</t>
        </is>
      </c>
    </row>
    <row r="668" ht="32" customHeight="1">
      <c r="A668" s="16" t="inlineStr">
        <is>
          <t>SaaS-0667</t>
        </is>
      </c>
      <c r="B668" s="8" t="inlineStr">
        <is>
          <t>SaaS</t>
        </is>
      </c>
      <c r="C668" s="5" t="inlineStr">
        <is>
          <t>Platform / SaaS Admin</t>
        </is>
      </c>
      <c r="D668" s="5" t="inlineStr">
        <is>
          <t>Master Data &amp; Authorization</t>
        </is>
      </c>
      <c r="E668" s="5" t="inlineStr">
        <is>
          <t>Multi-company workspace switcher for serial entrepreneurs and accounting firms</t>
        </is>
      </c>
      <c r="F668" s="5" t="inlineStr">
        <is>
          <t>Business Owner / CA</t>
        </is>
      </c>
      <c r="G668" s="5" t="inlineStr">
        <is>
          <t>None</t>
        </is>
      </c>
      <c r="H668" s="5" t="inlineStr">
        <is>
          <t>Single login credentials allow switching between multiple registered companies or client accounts</t>
        </is>
      </c>
      <c r="I668" s="5" t="inlineStr">
        <is>
          <t>Toggles active company context in session header; preserves strict data isolation between companies</t>
        </is>
      </c>
      <c r="J668" s="20" t="inlineStr">
        <is>
          <t>P1</t>
        </is>
      </c>
      <c r="K668" s="20" t="inlineStr">
        <is>
          <t>Validated (Supported)</t>
        </is>
      </c>
      <c r="L668" s="5" t="inlineStr">
        <is>
          <t>Tenant context switching middleware evaluating active company_id header with permission check.</t>
        </is>
      </c>
      <c r="M668" s="8" t="inlineStr">
        <is>
          <t>Strategic expansion</t>
        </is>
      </c>
      <c r="N668" s="8" t="inlineStr">
        <is>
          <t>Platform or theme scope</t>
        </is>
      </c>
      <c r="O668" s="8" t="inlineStr">
        <is>
          <t>P1</t>
        </is>
      </c>
      <c r="P668" s="5" t="inlineStr">
        <is>
          <t>Unchanged</t>
        </is>
      </c>
      <c r="Q668" s="20" t="inlineStr">
        <is>
          <t>Author assertion</t>
        </is>
      </c>
      <c r="R668" s="5" t="inlineStr"/>
      <c r="S668" s="8" t="inlineStr">
        <is>
          <t>MASTER</t>
        </is>
      </c>
      <c r="T668" s="5" t="inlineStr">
        <is>
          <t>Master data and authorization</t>
        </is>
      </c>
      <c r="U668" s="8" t="inlineStr"/>
      <c r="V668" s="8" t="inlineStr">
        <is>
          <t>masters</t>
        </is>
      </c>
      <c r="W668" s="8" t="inlineStr">
        <is>
          <t>KERNEL</t>
        </is>
      </c>
      <c r="X668" s="5" t="inlineStr">
        <is>
          <t>Adjacent</t>
        </is>
      </c>
      <c r="Y668" s="5" t="inlineStr">
        <is>
          <t>Platform scope</t>
        </is>
      </c>
      <c r="Z668" s="5" t="inlineStr">
        <is>
          <t>Low</t>
        </is>
      </c>
      <c r="AA668" s="5" t="inlineStr">
        <is>
          <t>Medium</t>
        </is>
      </c>
      <c r="AB668" s="8" t="inlineStr">
        <is>
          <t>Low</t>
        </is>
      </c>
      <c r="AC668" s="8" t="inlineStr">
        <is>
          <t>Later</t>
        </is>
      </c>
      <c r="AD668" s="5" t="inlineStr">
        <is>
          <t>Not independently checked</t>
        </is>
      </c>
      <c r="AE668" s="5" t="inlineStr">
        <is>
          <t>Not verified</t>
        </is>
      </c>
      <c r="AF668" s="5" t="inlineStr">
        <is>
          <t>Not verified</t>
        </is>
      </c>
      <c r="AG668" s="5" t="inlineStr">
        <is>
          <t>Not verified</t>
        </is>
      </c>
      <c r="AH668" s="5" t="inlineStr">
        <is>
          <t>Not verified</t>
        </is>
      </c>
      <c r="AI668" s="8" t="inlineStr">
        <is>
          <t>No</t>
        </is>
      </c>
      <c r="AJ668" s="8" t="inlineStr">
        <is>
          <t>Claimed - unverified</t>
        </is>
      </c>
      <c r="AK668" s="8" t="inlineStr">
        <is>
          <t>P1</t>
        </is>
      </c>
      <c r="AL668" s="8" t="n">
        <v>2</v>
      </c>
      <c r="AM668" s="5" t="inlineStr"/>
      <c r="AN668" s="5" t="inlineStr"/>
      <c r="AO668" s="5" t="inlineStr"/>
      <c r="AP668" s="5" t="inlineStr"/>
      <c r="AQ668" s="5" t="inlineStr"/>
      <c r="AR668" s="5" t="inlineStr"/>
      <c r="AS668" s="5" t="inlineStr"/>
      <c r="AT668" s="5" t="inlineStr"/>
      <c r="AU668" s="8" t="inlineStr">
        <is>
          <t>Not run</t>
        </is>
      </c>
    </row>
    <row r="669" ht="32" customHeight="1">
      <c r="A669" s="16" t="inlineStr">
        <is>
          <t>SaaS-0668</t>
        </is>
      </c>
      <c r="B669" s="8" t="inlineStr">
        <is>
          <t>SaaS</t>
        </is>
      </c>
      <c r="C669" s="5" t="inlineStr">
        <is>
          <t>Platform / SaaS Admin</t>
        </is>
      </c>
      <c r="D669" s="5" t="inlineStr">
        <is>
          <t>Security / Exception / Recovery</t>
        </is>
      </c>
      <c r="E669" s="5" t="inlineStr">
        <is>
          <t>Subscription tier and plan quota enforcement engine (Invoices/month, SKUs, Users)</t>
        </is>
      </c>
      <c r="F669" s="5" t="inlineStr">
        <is>
          <t>Subscription Engine</t>
        </is>
      </c>
      <c r="G669" s="5" t="inlineStr">
        <is>
          <t>All Users</t>
        </is>
      </c>
      <c r="H669" s="5" t="inlineStr">
        <is>
          <t>Enforce commercial plan limits (Free: 100 bills/mo, Pro: 2,000 bills/mo, Enterprise: Unlimited)</t>
        </is>
      </c>
      <c r="I669" s="5" t="inlineStr">
        <is>
          <t>Checks monthly invoice count before invoice completion; prompts 1-click plan upgrade if limit reached</t>
        </is>
      </c>
      <c r="J669" s="19" t="inlineStr">
        <is>
          <t>P0</t>
        </is>
      </c>
      <c r="K669" s="20" t="inlineStr">
        <is>
          <t>Validated (Supported)</t>
        </is>
      </c>
      <c r="L669" s="5" t="inlineStr">
        <is>
          <t>Subscription Plan Quota validator checking tenant usage against active tier limits.</t>
        </is>
      </c>
      <c r="M669" s="8" t="inlineStr">
        <is>
          <t>Strategic expansion</t>
        </is>
      </c>
      <c r="N669" s="8" t="inlineStr">
        <is>
          <t>Platform or theme scope</t>
        </is>
      </c>
      <c r="O669" s="8" t="inlineStr">
        <is>
          <t>P0</t>
        </is>
      </c>
      <c r="P669" s="5" t="inlineStr">
        <is>
          <t>Unchanged</t>
        </is>
      </c>
      <c r="Q669" s="20" t="inlineStr">
        <is>
          <t>Author assertion</t>
        </is>
      </c>
      <c r="R669" s="5" t="inlineStr"/>
      <c r="S669" s="8" t="inlineStr">
        <is>
          <t>OTHER</t>
        </is>
      </c>
      <c r="T669" s="5" t="inlineStr">
        <is>
          <t>Security / Exception / Recovery</t>
        </is>
      </c>
      <c r="U669" s="8" t="inlineStr"/>
      <c r="V669" s="8" t="inlineStr"/>
      <c r="W669" s="8" t="inlineStr">
        <is>
          <t>CONTROL</t>
        </is>
      </c>
      <c r="X669" s="5" t="inlineStr">
        <is>
          <t>Adjacent</t>
        </is>
      </c>
      <c r="Y669" s="5" t="inlineStr">
        <is>
          <t>Platform scope</t>
        </is>
      </c>
      <c r="Z669" s="5" t="inlineStr">
        <is>
          <t>Medium</t>
        </is>
      </c>
      <c r="AA669" s="5" t="inlineStr">
        <is>
          <t>Medium</t>
        </is>
      </c>
      <c r="AB669" s="8" t="inlineStr">
        <is>
          <t>Medium</t>
        </is>
      </c>
      <c r="AC669" s="8" t="inlineStr">
        <is>
          <t>MVP</t>
        </is>
      </c>
      <c r="AD669" s="5" t="inlineStr">
        <is>
          <t>Not independently checked</t>
        </is>
      </c>
      <c r="AE669" s="5" t="inlineStr">
        <is>
          <t>Not verified</t>
        </is>
      </c>
      <c r="AF669" s="5" t="inlineStr">
        <is>
          <t>Not verified</t>
        </is>
      </c>
      <c r="AG669" s="5" t="inlineStr">
        <is>
          <t>Not verified</t>
        </is>
      </c>
      <c r="AH669" s="5" t="inlineStr">
        <is>
          <t>Not verified</t>
        </is>
      </c>
      <c r="AI669" s="8" t="inlineStr">
        <is>
          <t>No</t>
        </is>
      </c>
      <c r="AJ669" s="8" t="inlineStr">
        <is>
          <t>Claimed - unverified</t>
        </is>
      </c>
      <c r="AK669" s="8" t="inlineStr">
        <is>
          <t>P0</t>
        </is>
      </c>
      <c r="AL669" s="8" t="n">
        <v>4</v>
      </c>
      <c r="AM669" s="5" t="inlineStr"/>
      <c r="AN669" s="5" t="inlineStr"/>
      <c r="AO669" s="5" t="inlineStr"/>
      <c r="AP669" s="5" t="inlineStr"/>
      <c r="AQ669" s="5" t="inlineStr"/>
      <c r="AR669" s="5" t="inlineStr"/>
      <c r="AS669" s="5" t="inlineStr"/>
      <c r="AT669" s="5" t="inlineStr"/>
      <c r="AU669" s="8" t="inlineStr">
        <is>
          <t>Not run</t>
        </is>
      </c>
    </row>
    <row r="670" ht="32" customHeight="1">
      <c r="A670" s="16" t="inlineStr">
        <is>
          <t>SaaS-0669</t>
        </is>
      </c>
      <c r="B670" s="8" t="inlineStr">
        <is>
          <t>SaaS</t>
        </is>
      </c>
      <c r="C670" s="5" t="inlineStr">
        <is>
          <t>Platform / SaaS Admin</t>
        </is>
      </c>
      <c r="D670" s="5" t="inlineStr">
        <is>
          <t>Payments &amp; Reconciliation</t>
        </is>
      </c>
      <c r="E670" s="5" t="inlineStr">
        <is>
          <t>Automated recurring subscription billing and GST tax invoice generation via Razorpay Subscriptions</t>
        </is>
      </c>
      <c r="F670" s="5" t="inlineStr">
        <is>
          <t>Billing Engine</t>
        </is>
      </c>
      <c r="G670" s="5" t="inlineStr">
        <is>
          <t>Business Owner</t>
        </is>
      </c>
      <c r="H670" s="5" t="inlineStr">
        <is>
          <t>Automated monthly/annual recurring credit card / UPI auto-debit for software subscription fee</t>
        </is>
      </c>
      <c r="I670" s="5" t="inlineStr">
        <is>
          <t>Charges customer; activates subscription period; automatically emails GST-compliant B2B SaaS tax invoice</t>
        </is>
      </c>
      <c r="J670" s="19" t="inlineStr">
        <is>
          <t>P0</t>
        </is>
      </c>
      <c r="K670" s="20" t="inlineStr">
        <is>
          <t>Validated (Supported)</t>
        </is>
      </c>
      <c r="L670" s="5" t="inlineStr">
        <is>
          <t>Razorpay / Stripe recurring subscription webhook integration with automated invoice delivery.</t>
        </is>
      </c>
      <c r="M670" s="8" t="inlineStr">
        <is>
          <t>Strategic expansion</t>
        </is>
      </c>
      <c r="N670" s="8" t="inlineStr">
        <is>
          <t>Platform or theme scope</t>
        </is>
      </c>
      <c r="O670" s="8" t="inlineStr">
        <is>
          <t>P0</t>
        </is>
      </c>
      <c r="P670" s="5" t="inlineStr">
        <is>
          <t>Unchanged</t>
        </is>
      </c>
      <c r="Q670" s="20" t="inlineStr">
        <is>
          <t>Author assertion</t>
        </is>
      </c>
      <c r="R670" s="5" t="inlineStr"/>
      <c r="S670" s="8" t="inlineStr">
        <is>
          <t>PAYREC</t>
        </is>
      </c>
      <c r="T670" s="5" t="inlineStr">
        <is>
          <t>Payments and reconciliation</t>
        </is>
      </c>
      <c r="U670" s="8" t="inlineStr"/>
      <c r="V670" s="8" t="inlineStr">
        <is>
          <t>payments</t>
        </is>
      </c>
      <c r="W670" s="8" t="inlineStr">
        <is>
          <t>RUN</t>
        </is>
      </c>
      <c r="X670" s="5" t="inlineStr">
        <is>
          <t>Adjacent</t>
        </is>
      </c>
      <c r="Y670" s="5" t="inlineStr">
        <is>
          <t>Platform scope</t>
        </is>
      </c>
      <c r="Z670" s="5" t="inlineStr">
        <is>
          <t>Low</t>
        </is>
      </c>
      <c r="AA670" s="5" t="inlineStr">
        <is>
          <t>High</t>
        </is>
      </c>
      <c r="AB670" s="8" t="inlineStr">
        <is>
          <t>Low</t>
        </is>
      </c>
      <c r="AC670" s="8" t="inlineStr">
        <is>
          <t>MVP</t>
        </is>
      </c>
      <c r="AD670" s="5" t="inlineStr">
        <is>
          <t>Not independently checked</t>
        </is>
      </c>
      <c r="AE670" s="5" t="inlineStr">
        <is>
          <t>Not verified</t>
        </is>
      </c>
      <c r="AF670" s="5" t="inlineStr">
        <is>
          <t>Not verified</t>
        </is>
      </c>
      <c r="AG670" s="5" t="inlineStr">
        <is>
          <t>Not verified</t>
        </is>
      </c>
      <c r="AH670" s="5" t="inlineStr">
        <is>
          <t>Not verified</t>
        </is>
      </c>
      <c r="AI670" s="8" t="inlineStr">
        <is>
          <t>No</t>
        </is>
      </c>
      <c r="AJ670" s="8" t="inlineStr">
        <is>
          <t>Claimed - unverified</t>
        </is>
      </c>
      <c r="AK670" s="8" t="inlineStr">
        <is>
          <t>P0</t>
        </is>
      </c>
      <c r="AL670" s="8" t="n">
        <v>3</v>
      </c>
      <c r="AM670" s="5" t="inlineStr"/>
      <c r="AN670" s="5" t="inlineStr"/>
      <c r="AO670" s="5" t="inlineStr"/>
      <c r="AP670" s="5" t="inlineStr"/>
      <c r="AQ670" s="5" t="inlineStr"/>
      <c r="AR670" s="5" t="inlineStr"/>
      <c r="AS670" s="5" t="inlineStr"/>
      <c r="AT670" s="5" t="inlineStr"/>
      <c r="AU670" s="8" t="inlineStr">
        <is>
          <t>Not run</t>
        </is>
      </c>
    </row>
    <row r="671" ht="32" customHeight="1">
      <c r="A671" s="16" t="inlineStr">
        <is>
          <t>SaaS-0670</t>
        </is>
      </c>
      <c r="B671" s="8" t="inlineStr">
        <is>
          <t>SaaS</t>
        </is>
      </c>
      <c r="C671" s="5" t="inlineStr">
        <is>
          <t>Platform / SaaS Admin</t>
        </is>
      </c>
      <c r="D671" s="5" t="inlineStr">
        <is>
          <t>Security / Exception / Recovery</t>
        </is>
      </c>
      <c r="E671" s="5" t="inlineStr">
        <is>
          <t>Grace period management and automated read-only downgrade on subscription payment failure</t>
        </is>
      </c>
      <c r="F671" s="5" t="inlineStr">
        <is>
          <t>Subscription Engine</t>
        </is>
      </c>
      <c r="G671" s="5" t="inlineStr">
        <is>
          <t>Business Owner</t>
        </is>
      </c>
      <c r="H671" s="5" t="inlineStr">
        <is>
          <t>When credit card payment fails, provide 7-day grace period before shifting account to read-only mode</t>
        </is>
      </c>
      <c r="I671" s="5" t="inlineStr">
        <is>
          <t>Dispatches payment retry alerts; locks write actions after 7 days while preserving access to past records</t>
        </is>
      </c>
      <c r="J671" s="20" t="inlineStr">
        <is>
          <t>P1</t>
        </is>
      </c>
      <c r="K671" s="20" t="inlineStr">
        <is>
          <t>Validated (Supported)</t>
        </is>
      </c>
      <c r="L671" s="5" t="inlineStr">
        <is>
          <t>Automated dunning workflow transitioning tenant status (ACTIVE -&gt; PAST_DUE -&gt; READ_ONLY).</t>
        </is>
      </c>
      <c r="M671" s="8" t="inlineStr">
        <is>
          <t>Strategic expansion</t>
        </is>
      </c>
      <c r="N671" s="8" t="inlineStr">
        <is>
          <t>Platform or theme scope</t>
        </is>
      </c>
      <c r="O671" s="8" t="inlineStr">
        <is>
          <t>P1</t>
        </is>
      </c>
      <c r="P671" s="5" t="inlineStr">
        <is>
          <t>Unchanged</t>
        </is>
      </c>
      <c r="Q671" s="20" t="inlineStr">
        <is>
          <t>Author assertion</t>
        </is>
      </c>
      <c r="R671" s="5" t="inlineStr"/>
      <c r="S671" s="8" t="inlineStr">
        <is>
          <t>OTHER</t>
        </is>
      </c>
      <c r="T671" s="5" t="inlineStr">
        <is>
          <t>Security / Exception / Recovery</t>
        </is>
      </c>
      <c r="U671" s="8" t="inlineStr"/>
      <c r="V671" s="8" t="inlineStr"/>
      <c r="W671" s="8" t="inlineStr">
        <is>
          <t>CONTROL</t>
        </is>
      </c>
      <c r="X671" s="5" t="inlineStr">
        <is>
          <t>Adjacent</t>
        </is>
      </c>
      <c r="Y671" s="5" t="inlineStr">
        <is>
          <t>Platform scope</t>
        </is>
      </c>
      <c r="Z671" s="5" t="inlineStr">
        <is>
          <t>Medium</t>
        </is>
      </c>
      <c r="AA671" s="5" t="inlineStr">
        <is>
          <t>Medium</t>
        </is>
      </c>
      <c r="AB671" s="8" t="inlineStr">
        <is>
          <t>Medium</t>
        </is>
      </c>
      <c r="AC671" s="8" t="inlineStr">
        <is>
          <t>Later</t>
        </is>
      </c>
      <c r="AD671" s="5" t="inlineStr">
        <is>
          <t>Not independently checked</t>
        </is>
      </c>
      <c r="AE671" s="5" t="inlineStr">
        <is>
          <t>Not verified</t>
        </is>
      </c>
      <c r="AF671" s="5" t="inlineStr">
        <is>
          <t>Not verified</t>
        </is>
      </c>
      <c r="AG671" s="5" t="inlineStr">
        <is>
          <t>Not verified</t>
        </is>
      </c>
      <c r="AH671" s="5" t="inlineStr">
        <is>
          <t>Not verified</t>
        </is>
      </c>
      <c r="AI671" s="8" t="inlineStr">
        <is>
          <t>No</t>
        </is>
      </c>
      <c r="AJ671" s="8" t="inlineStr">
        <is>
          <t>Claimed - unverified</t>
        </is>
      </c>
      <c r="AK671" s="8" t="inlineStr">
        <is>
          <t>P1</t>
        </is>
      </c>
      <c r="AL671" s="8" t="n">
        <v>4</v>
      </c>
      <c r="AM671" s="5" t="inlineStr"/>
      <c r="AN671" s="5" t="inlineStr"/>
      <c r="AO671" s="5" t="inlineStr"/>
      <c r="AP671" s="5" t="inlineStr"/>
      <c r="AQ671" s="5" t="inlineStr"/>
      <c r="AR671" s="5" t="inlineStr"/>
      <c r="AS671" s="5" t="inlineStr"/>
      <c r="AT671" s="5" t="inlineStr"/>
      <c r="AU671" s="8" t="inlineStr">
        <is>
          <t>Not run</t>
        </is>
      </c>
    </row>
    <row r="672" ht="32" customHeight="1">
      <c r="A672" s="16" t="inlineStr">
        <is>
          <t>SaaS-0671</t>
        </is>
      </c>
      <c r="B672" s="8" t="inlineStr">
        <is>
          <t>SaaS</t>
        </is>
      </c>
      <c r="C672" s="5" t="inlineStr">
        <is>
          <t>Platform / SaaS Admin</t>
        </is>
      </c>
      <c r="D672" s="5" t="inlineStr">
        <is>
          <t>Master Data &amp; Authorization</t>
        </is>
      </c>
      <c r="E672" s="5" t="inlineStr">
        <is>
          <t>Role license seating and per-user add-on billing management</t>
        </is>
      </c>
      <c r="F672" s="5" t="inlineStr">
        <is>
          <t>System Administrator</t>
        </is>
      </c>
      <c r="G672" s="5" t="inlineStr">
        <is>
          <t>Business Owner</t>
        </is>
      </c>
      <c r="H672" s="5" t="inlineStr">
        <is>
          <t>Manage number of authorized staff login seats (e.g. 3 POS cashiers, 1 accountant, 1 manager)</t>
        </is>
      </c>
      <c r="I672" s="5" t="inlineStr">
        <is>
          <t>Tracks allocated user seats; calculates prorated monthly add-on fee for additional employee logins</t>
        </is>
      </c>
      <c r="J672" s="20" t="inlineStr">
        <is>
          <t>P1</t>
        </is>
      </c>
      <c r="K672" s="20" t="inlineStr">
        <is>
          <t>Validated (Supported)</t>
        </is>
      </c>
      <c r="L672" s="5" t="inlineStr">
        <is>
          <t>User seat quota manager in /settings/billing/ with prorated billing adjustments.</t>
        </is>
      </c>
      <c r="M672" s="8" t="inlineStr">
        <is>
          <t>Strategic expansion</t>
        </is>
      </c>
      <c r="N672" s="8" t="inlineStr">
        <is>
          <t>Platform or theme scope</t>
        </is>
      </c>
      <c r="O672" s="8" t="inlineStr">
        <is>
          <t>P1</t>
        </is>
      </c>
      <c r="P672" s="5" t="inlineStr">
        <is>
          <t>Unchanged</t>
        </is>
      </c>
      <c r="Q672" s="20" t="inlineStr">
        <is>
          <t>Author assertion</t>
        </is>
      </c>
      <c r="R672" s="5" t="inlineStr"/>
      <c r="S672" s="8" t="inlineStr">
        <is>
          <t>MASTER</t>
        </is>
      </c>
      <c r="T672" s="5" t="inlineStr">
        <is>
          <t>Master data and authorization</t>
        </is>
      </c>
      <c r="U672" s="8" t="inlineStr"/>
      <c r="V672" s="8" t="inlineStr">
        <is>
          <t>masters</t>
        </is>
      </c>
      <c r="W672" s="8" t="inlineStr">
        <is>
          <t>KERNEL</t>
        </is>
      </c>
      <c r="X672" s="5" t="inlineStr">
        <is>
          <t>Adjacent</t>
        </is>
      </c>
      <c r="Y672" s="5" t="inlineStr">
        <is>
          <t>Platform scope</t>
        </is>
      </c>
      <c r="Z672" s="5" t="inlineStr">
        <is>
          <t>Low</t>
        </is>
      </c>
      <c r="AA672" s="5" t="inlineStr">
        <is>
          <t>Medium</t>
        </is>
      </c>
      <c r="AB672" s="8" t="inlineStr">
        <is>
          <t>Low</t>
        </is>
      </c>
      <c r="AC672" s="8" t="inlineStr">
        <is>
          <t>Later</t>
        </is>
      </c>
      <c r="AD672" s="5" t="inlineStr">
        <is>
          <t>Not independently checked</t>
        </is>
      </c>
      <c r="AE672" s="5" t="inlineStr">
        <is>
          <t>Not verified</t>
        </is>
      </c>
      <c r="AF672" s="5" t="inlineStr">
        <is>
          <t>Not verified</t>
        </is>
      </c>
      <c r="AG672" s="5" t="inlineStr">
        <is>
          <t>Not verified</t>
        </is>
      </c>
      <c r="AH672" s="5" t="inlineStr">
        <is>
          <t>Not verified</t>
        </is>
      </c>
      <c r="AI672" s="8" t="inlineStr">
        <is>
          <t>No</t>
        </is>
      </c>
      <c r="AJ672" s="8" t="inlineStr">
        <is>
          <t>Claimed - unverified</t>
        </is>
      </c>
      <c r="AK672" s="8" t="inlineStr">
        <is>
          <t>P1</t>
        </is>
      </c>
      <c r="AL672" s="8" t="n">
        <v>2</v>
      </c>
      <c r="AM672" s="5" t="inlineStr"/>
      <c r="AN672" s="5" t="inlineStr"/>
      <c r="AO672" s="5" t="inlineStr"/>
      <c r="AP672" s="5" t="inlineStr"/>
      <c r="AQ672" s="5" t="inlineStr"/>
      <c r="AR672" s="5" t="inlineStr"/>
      <c r="AS672" s="5" t="inlineStr"/>
      <c r="AT672" s="5" t="inlineStr"/>
      <c r="AU672" s="8" t="inlineStr">
        <is>
          <t>Not run</t>
        </is>
      </c>
    </row>
    <row r="673" ht="32" customHeight="1">
      <c r="A673" s="16" t="inlineStr">
        <is>
          <t>SaaS-0672</t>
        </is>
      </c>
      <c r="B673" s="8" t="inlineStr">
        <is>
          <t>SaaS</t>
        </is>
      </c>
      <c r="C673" s="5" t="inlineStr">
        <is>
          <t>Platform / SaaS Admin</t>
        </is>
      </c>
      <c r="D673" s="5" t="inlineStr">
        <is>
          <t>Import / Export / Period Close</t>
        </is>
      </c>
      <c r="E673" s="5" t="inlineStr">
        <is>
          <t>Self-service full tenant data export package upon subscription cancellation</t>
        </is>
      </c>
      <c r="F673" s="5" t="inlineStr">
        <is>
          <t>Business Owner</t>
        </is>
      </c>
      <c r="G673" s="5" t="inlineStr">
        <is>
          <t>None</t>
        </is>
      </c>
      <c r="H673" s="5" t="inlineStr">
        <is>
          <t>Departing customer can download complete backup of all products, customers, invoices, and ledgers in 1 zip</t>
        </is>
      </c>
      <c r="I673" s="5" t="inlineStr">
        <is>
          <t>Generates clean ZIP archive containing all historical Excel books and document PDFs; zero vendor lock-in</t>
        </is>
      </c>
      <c r="J673" s="20" t="inlineStr">
        <is>
          <t>P1</t>
        </is>
      </c>
      <c r="K673" s="20" t="inlineStr">
        <is>
          <t>Validated (Supported)</t>
        </is>
      </c>
      <c r="L673" s="5" t="inlineStr">
        <is>
          <t>Export All Data tool in /settings/privacy/ generating comprehensive tenant data archive.</t>
        </is>
      </c>
      <c r="M673" s="8" t="inlineStr">
        <is>
          <t>Strategic expansion</t>
        </is>
      </c>
      <c r="N673" s="8" t="inlineStr">
        <is>
          <t>Platform or theme scope</t>
        </is>
      </c>
      <c r="O673" s="8" t="inlineStr">
        <is>
          <t>P1</t>
        </is>
      </c>
      <c r="P673" s="5" t="inlineStr">
        <is>
          <t>Unchanged</t>
        </is>
      </c>
      <c r="Q673" s="20" t="inlineStr">
        <is>
          <t>Author assertion</t>
        </is>
      </c>
      <c r="R673" s="5" t="inlineStr"/>
      <c r="S673" s="8" t="inlineStr">
        <is>
          <t>CLOSE</t>
        </is>
      </c>
      <c r="T673" s="5" t="inlineStr">
        <is>
          <t>Import, export, and period close</t>
        </is>
      </c>
      <c r="U673" s="8" t="inlineStr"/>
      <c r="V673" s="8" t="inlineStr">
        <is>
          <t>accounting</t>
        </is>
      </c>
      <c r="W673" s="8" t="inlineStr">
        <is>
          <t>CONTROL</t>
        </is>
      </c>
      <c r="X673" s="5" t="inlineStr">
        <is>
          <t>Adjacent</t>
        </is>
      </c>
      <c r="Y673" s="5" t="inlineStr">
        <is>
          <t>Platform scope</t>
        </is>
      </c>
      <c r="Z673" s="5" t="inlineStr">
        <is>
          <t>Low</t>
        </is>
      </c>
      <c r="AA673" s="5" t="inlineStr">
        <is>
          <t>Medium</t>
        </is>
      </c>
      <c r="AB673" s="8" t="inlineStr">
        <is>
          <t>Low</t>
        </is>
      </c>
      <c r="AC673" s="8" t="inlineStr">
        <is>
          <t>Later</t>
        </is>
      </c>
      <c r="AD673" s="5" t="inlineStr">
        <is>
          <t>Not independently checked</t>
        </is>
      </c>
      <c r="AE673" s="5" t="inlineStr">
        <is>
          <t>Not verified</t>
        </is>
      </c>
      <c r="AF673" s="5" t="inlineStr">
        <is>
          <t>Not verified</t>
        </is>
      </c>
      <c r="AG673" s="5" t="inlineStr">
        <is>
          <t>Not verified</t>
        </is>
      </c>
      <c r="AH673" s="5" t="inlineStr">
        <is>
          <t>Not verified</t>
        </is>
      </c>
      <c r="AI673" s="8" t="inlineStr">
        <is>
          <t>No</t>
        </is>
      </c>
      <c r="AJ673" s="8" t="inlineStr">
        <is>
          <t>Claimed - unverified</t>
        </is>
      </c>
      <c r="AK673" s="8" t="inlineStr">
        <is>
          <t>P1</t>
        </is>
      </c>
      <c r="AL673" s="8" t="n">
        <v>2</v>
      </c>
      <c r="AM673" s="5" t="inlineStr"/>
      <c r="AN673" s="5" t="inlineStr"/>
      <c r="AO673" s="5" t="inlineStr"/>
      <c r="AP673" s="5" t="inlineStr"/>
      <c r="AQ673" s="5" t="inlineStr"/>
      <c r="AR673" s="5" t="inlineStr"/>
      <c r="AS673" s="5" t="inlineStr"/>
      <c r="AT673" s="5" t="inlineStr"/>
      <c r="AU673" s="8" t="inlineStr">
        <is>
          <t>Not run</t>
        </is>
      </c>
    </row>
    <row r="674" ht="32" customHeight="1">
      <c r="A674" s="16" t="inlineStr">
        <is>
          <t>SaaS-0673</t>
        </is>
      </c>
      <c r="B674" s="8" t="inlineStr">
        <is>
          <t>SaaS</t>
        </is>
      </c>
      <c r="C674" s="5" t="inlineStr">
        <is>
          <t>Platform / SaaS Admin</t>
        </is>
      </c>
      <c r="D674" s="5" t="inlineStr">
        <is>
          <t>Security / Exception / Recovery</t>
        </is>
      </c>
      <c r="E674" s="5" t="inlineStr">
        <is>
          <t>Tenant account soft-deletion and 30-day recovery holding period</t>
        </is>
      </c>
      <c r="F674" s="5" t="inlineStr">
        <is>
          <t>System Administrator</t>
        </is>
      </c>
      <c r="G674" s="5" t="inlineStr">
        <is>
          <t>Business Owner</t>
        </is>
      </c>
      <c r="H674" s="5" t="inlineStr">
        <is>
          <t>When merchant deletes account, data is placed in 30-day quarantine before permanent physical purge</t>
        </is>
      </c>
      <c r="I674" s="5" t="inlineStr">
        <is>
          <t>Allows remorseful customer to reactivate account within 30 days; executes permanent purge after 30 days</t>
        </is>
      </c>
      <c r="J674" s="20" t="inlineStr">
        <is>
          <t>P1</t>
        </is>
      </c>
      <c r="K674" s="20" t="inlineStr">
        <is>
          <t>Validated (Supported)</t>
        </is>
      </c>
      <c r="L674" s="5" t="inlineStr">
        <is>
          <t>Soft-delete lifecycle with 30-day cron expiration job executing hard cascade cleanup.</t>
        </is>
      </c>
      <c r="M674" s="8" t="inlineStr">
        <is>
          <t>Strategic expansion</t>
        </is>
      </c>
      <c r="N674" s="8" t="inlineStr">
        <is>
          <t>Platform or theme scope</t>
        </is>
      </c>
      <c r="O674" s="8" t="inlineStr">
        <is>
          <t>P1</t>
        </is>
      </c>
      <c r="P674" s="5" t="inlineStr">
        <is>
          <t>Unchanged</t>
        </is>
      </c>
      <c r="Q674" s="20" t="inlineStr">
        <is>
          <t>Author assertion</t>
        </is>
      </c>
      <c r="R674" s="5" t="inlineStr"/>
      <c r="S674" s="8" t="inlineStr">
        <is>
          <t>OTHER</t>
        </is>
      </c>
      <c r="T674" s="5" t="inlineStr">
        <is>
          <t>Security / Exception / Recovery</t>
        </is>
      </c>
      <c r="U674" s="8" t="inlineStr"/>
      <c r="V674" s="8" t="inlineStr"/>
      <c r="W674" s="8" t="inlineStr">
        <is>
          <t>CONTROL</t>
        </is>
      </c>
      <c r="X674" s="5" t="inlineStr">
        <is>
          <t>Adjacent</t>
        </is>
      </c>
      <c r="Y674" s="5" t="inlineStr">
        <is>
          <t>Platform scope</t>
        </is>
      </c>
      <c r="Z674" s="5" t="inlineStr">
        <is>
          <t>Medium</t>
        </is>
      </c>
      <c r="AA674" s="5" t="inlineStr">
        <is>
          <t>Medium</t>
        </is>
      </c>
      <c r="AB674" s="8" t="inlineStr">
        <is>
          <t>Medium</t>
        </is>
      </c>
      <c r="AC674" s="8" t="inlineStr">
        <is>
          <t>Later</t>
        </is>
      </c>
      <c r="AD674" s="5" t="inlineStr">
        <is>
          <t>Not independently checked</t>
        </is>
      </c>
      <c r="AE674" s="5" t="inlineStr">
        <is>
          <t>Not verified</t>
        </is>
      </c>
      <c r="AF674" s="5" t="inlineStr">
        <is>
          <t>Not verified</t>
        </is>
      </c>
      <c r="AG674" s="5" t="inlineStr">
        <is>
          <t>Not verified</t>
        </is>
      </c>
      <c r="AH674" s="5" t="inlineStr">
        <is>
          <t>Not verified</t>
        </is>
      </c>
      <c r="AI674" s="8" t="inlineStr">
        <is>
          <t>No</t>
        </is>
      </c>
      <c r="AJ674" s="8" t="inlineStr">
        <is>
          <t>Claimed - unverified</t>
        </is>
      </c>
      <c r="AK674" s="8" t="inlineStr">
        <is>
          <t>P1</t>
        </is>
      </c>
      <c r="AL674" s="8" t="n">
        <v>4</v>
      </c>
      <c r="AM674" s="5" t="inlineStr"/>
      <c r="AN674" s="5" t="inlineStr"/>
      <c r="AO674" s="5" t="inlineStr"/>
      <c r="AP674" s="5" t="inlineStr"/>
      <c r="AQ674" s="5" t="inlineStr"/>
      <c r="AR674" s="5" t="inlineStr"/>
      <c r="AS674" s="5" t="inlineStr"/>
      <c r="AT674" s="5" t="inlineStr"/>
      <c r="AU674" s="8" t="inlineStr">
        <is>
          <t>Not run</t>
        </is>
      </c>
    </row>
    <row r="675" ht="32" customHeight="1">
      <c r="A675" s="16" t="inlineStr">
        <is>
          <t>SaaS-0674</t>
        </is>
      </c>
      <c r="B675" s="8" t="inlineStr">
        <is>
          <t>SaaS</t>
        </is>
      </c>
      <c r="C675" s="5" t="inlineStr">
        <is>
          <t>Platform / SaaS Admin</t>
        </is>
      </c>
      <c r="D675" s="5" t="inlineStr">
        <is>
          <t>Master Data &amp; Authorization</t>
        </is>
      </c>
      <c r="E675" s="5" t="inlineStr">
        <is>
          <t>White-label branding and custom domain mapping for enterprise distributors</t>
        </is>
      </c>
      <c r="F675" s="5" t="inlineStr">
        <is>
          <t>Enterprise Admin</t>
        </is>
      </c>
      <c r="G675" s="5" t="inlineStr">
        <is>
          <t>None</t>
        </is>
      </c>
      <c r="H675" s="5" t="inlineStr">
        <is>
          <t>Large distributor can point software to their custom domain (e.g. portal.sharmadistributors.com)</t>
        </is>
      </c>
      <c r="I675" s="5" t="inlineStr">
        <is>
          <t>Customizes portal logo, theme colors, login screen, and outbound customer notification emails</t>
        </is>
      </c>
      <c r="J675" s="24" t="inlineStr">
        <is>
          <t>P3</t>
        </is>
      </c>
      <c r="K675" s="20" t="inlineStr">
        <is>
          <t>Validated (Supported)</t>
        </is>
      </c>
      <c r="L675" s="5" t="inlineStr">
        <is>
          <t>Multi-tenant custom domain CNAME routing with automated Let's Encrypt SSL provisioning.</t>
        </is>
      </c>
      <c r="M675" s="8" t="inlineStr">
        <is>
          <t>Strategic expansion</t>
        </is>
      </c>
      <c r="N675" s="8" t="inlineStr">
        <is>
          <t>Platform or theme scope</t>
        </is>
      </c>
      <c r="O675" s="8" t="inlineStr">
        <is>
          <t>P2</t>
        </is>
      </c>
      <c r="P675" s="5" t="inlineStr">
        <is>
          <t>Kept P3. The previous workbook had P3. Authored priority was P2.</t>
        </is>
      </c>
      <c r="Q675" s="20" t="inlineStr">
        <is>
          <t>Author assertion</t>
        </is>
      </c>
      <c r="R675" s="5" t="inlineStr">
        <is>
          <t>Kept P3. The previous workbook had P3. Authored priority was P2.</t>
        </is>
      </c>
      <c r="S675" s="8" t="inlineStr">
        <is>
          <t>MASTER</t>
        </is>
      </c>
      <c r="T675" s="5" t="inlineStr">
        <is>
          <t>Master data and authorization</t>
        </is>
      </c>
      <c r="U675" s="8" t="inlineStr"/>
      <c r="V675" s="8" t="inlineStr">
        <is>
          <t>masters</t>
        </is>
      </c>
      <c r="W675" s="8" t="inlineStr">
        <is>
          <t>KERNEL</t>
        </is>
      </c>
      <c r="X675" s="5" t="inlineStr">
        <is>
          <t>Future</t>
        </is>
      </c>
      <c r="Y675" s="5" t="inlineStr">
        <is>
          <t>Platform scope</t>
        </is>
      </c>
      <c r="Z675" s="5" t="inlineStr">
        <is>
          <t>Low</t>
        </is>
      </c>
      <c r="AA675" s="5" t="inlineStr">
        <is>
          <t>Low</t>
        </is>
      </c>
      <c r="AB675" s="8" t="inlineStr">
        <is>
          <t>Low</t>
        </is>
      </c>
      <c r="AC675" s="8" t="inlineStr">
        <is>
          <t>Later</t>
        </is>
      </c>
      <c r="AD675" s="5" t="inlineStr">
        <is>
          <t>Not independently checked</t>
        </is>
      </c>
      <c r="AE675" s="5" t="inlineStr">
        <is>
          <t>Not verified</t>
        </is>
      </c>
      <c r="AF675" s="5" t="inlineStr">
        <is>
          <t>Not verified</t>
        </is>
      </c>
      <c r="AG675" s="5" t="inlineStr">
        <is>
          <t>Not verified</t>
        </is>
      </c>
      <c r="AH675" s="5" t="inlineStr">
        <is>
          <t>Not verified</t>
        </is>
      </c>
      <c r="AI675" s="8" t="inlineStr">
        <is>
          <t>No</t>
        </is>
      </c>
      <c r="AJ675" s="8" t="inlineStr">
        <is>
          <t>Claimed - unverified</t>
        </is>
      </c>
      <c r="AK675" s="8" t="inlineStr">
        <is>
          <t>P3</t>
        </is>
      </c>
      <c r="AL675" s="8" t="n">
        <v>1</v>
      </c>
      <c r="AM675" s="5" t="inlineStr"/>
      <c r="AN675" s="5" t="inlineStr"/>
      <c r="AO675" s="5" t="inlineStr"/>
      <c r="AP675" s="5" t="inlineStr"/>
      <c r="AQ675" s="5" t="inlineStr"/>
      <c r="AR675" s="5" t="inlineStr"/>
      <c r="AS675" s="5" t="inlineStr"/>
      <c r="AT675" s="5" t="inlineStr"/>
      <c r="AU675" s="8" t="inlineStr">
        <is>
          <t>Not run</t>
        </is>
      </c>
    </row>
    <row r="676" ht="32" customHeight="1">
      <c r="A676" s="16" t="inlineStr">
        <is>
          <t>SaaS-0675</t>
        </is>
      </c>
      <c r="B676" s="8" t="inlineStr">
        <is>
          <t>SaaS</t>
        </is>
      </c>
      <c r="C676" s="5" t="inlineStr">
        <is>
          <t>Platform / SaaS Admin</t>
        </is>
      </c>
      <c r="D676" s="5" t="inlineStr">
        <is>
          <t>Reporting &amp; Business Intelligence</t>
        </is>
      </c>
      <c r="E676" s="5" t="inlineStr">
        <is>
          <t>SaaS SuperAdmin analytics dashboard (MRR, Churn, DAU, Feature Adoption)</t>
        </is>
      </c>
      <c r="F676" s="5" t="inlineStr">
        <is>
          <t>SaaS Product Manager</t>
        </is>
      </c>
      <c r="G676" s="5" t="inlineStr">
        <is>
          <t>Executive Team</t>
        </is>
      </c>
      <c r="H676" s="5" t="inlineStr">
        <is>
          <t>Track software business metrics: Monthly Recurring Revenue (MRR), churn rate, daily active users (DAU)</t>
        </is>
      </c>
      <c r="I676" s="5" t="inlineStr">
        <is>
          <t>Aggregates anonymized product analytics; identifies popular features and at-risk churn accounts</t>
        </is>
      </c>
      <c r="J676" s="20" t="inlineStr">
        <is>
          <t>P1</t>
        </is>
      </c>
      <c r="K676" s="20" t="inlineStr">
        <is>
          <t>Validated (Supported)</t>
        </is>
      </c>
      <c r="L676" s="5" t="inlineStr">
        <is>
          <t>Internal SaaS SuperAdmin telemetry dashboard tracking Stripe/Razorpay MRR and user activity.</t>
        </is>
      </c>
      <c r="M676" s="8" t="inlineStr">
        <is>
          <t>Strategic expansion</t>
        </is>
      </c>
      <c r="N676" s="8" t="inlineStr">
        <is>
          <t>Platform or theme scope</t>
        </is>
      </c>
      <c r="O676" s="8" t="inlineStr">
        <is>
          <t>P1</t>
        </is>
      </c>
      <c r="P676" s="5" t="inlineStr">
        <is>
          <t>Unchanged</t>
        </is>
      </c>
      <c r="Q676" s="20" t="inlineStr">
        <is>
          <t>Author assertion</t>
        </is>
      </c>
      <c r="R676" s="5" t="inlineStr"/>
      <c r="S676" s="8" t="inlineStr">
        <is>
          <t>RPT</t>
        </is>
      </c>
      <c r="T676" s="5" t="inlineStr">
        <is>
          <t>Reporting and business intelligence</t>
        </is>
      </c>
      <c r="U676" s="8" t="inlineStr"/>
      <c r="V676" s="8" t="inlineStr">
        <is>
          <t>reporting</t>
        </is>
      </c>
      <c r="W676" s="8" t="inlineStr">
        <is>
          <t>CONTROL</t>
        </is>
      </c>
      <c r="X676" s="5" t="inlineStr">
        <is>
          <t>Adjacent</t>
        </is>
      </c>
      <c r="Y676" s="5" t="inlineStr">
        <is>
          <t>Platform scope</t>
        </is>
      </c>
      <c r="Z676" s="5" t="inlineStr">
        <is>
          <t>Low</t>
        </is>
      </c>
      <c r="AA676" s="5" t="inlineStr">
        <is>
          <t>Medium</t>
        </is>
      </c>
      <c r="AB676" s="8" t="inlineStr">
        <is>
          <t>Low</t>
        </is>
      </c>
      <c r="AC676" s="8" t="inlineStr">
        <is>
          <t>Later</t>
        </is>
      </c>
      <c r="AD676" s="5" t="inlineStr">
        <is>
          <t>Not independently checked</t>
        </is>
      </c>
      <c r="AE676" s="5" t="inlineStr">
        <is>
          <t>Not verified</t>
        </is>
      </c>
      <c r="AF676" s="5" t="inlineStr">
        <is>
          <t>Not verified</t>
        </is>
      </c>
      <c r="AG676" s="5" t="inlineStr">
        <is>
          <t>Not verified</t>
        </is>
      </c>
      <c r="AH676" s="5" t="inlineStr">
        <is>
          <t>Not verified</t>
        </is>
      </c>
      <c r="AI676" s="8" t="inlineStr">
        <is>
          <t>No</t>
        </is>
      </c>
      <c r="AJ676" s="8" t="inlineStr">
        <is>
          <t>Claimed - unverified</t>
        </is>
      </c>
      <c r="AK676" s="8" t="inlineStr">
        <is>
          <t>P1</t>
        </is>
      </c>
      <c r="AL676" s="8" t="n">
        <v>2</v>
      </c>
      <c r="AM676" s="5" t="inlineStr"/>
      <c r="AN676" s="5" t="inlineStr"/>
      <c r="AO676" s="5" t="inlineStr"/>
      <c r="AP676" s="5" t="inlineStr"/>
      <c r="AQ676" s="5" t="inlineStr"/>
      <c r="AR676" s="5" t="inlineStr"/>
      <c r="AS676" s="5" t="inlineStr"/>
      <c r="AT676" s="5" t="inlineStr"/>
      <c r="AU676" s="8" t="inlineStr">
        <is>
          <t>Not run</t>
        </is>
      </c>
    </row>
    <row r="677" ht="32" customHeight="1">
      <c r="A677" s="16" t="inlineStr">
        <is>
          <t>SaaS-0676</t>
        </is>
      </c>
      <c r="B677" s="8" t="inlineStr">
        <is>
          <t>SaaS</t>
        </is>
      </c>
      <c r="C677" s="5" t="inlineStr">
        <is>
          <t>Platform / SaaS Admin</t>
        </is>
      </c>
      <c r="D677" s="5" t="inlineStr">
        <is>
          <t>Master Data &amp; Authorization</t>
        </is>
      </c>
      <c r="E677" s="5" t="inlineStr">
        <is>
          <t>Feature flag management and progressive rollout engine across tenant cohorts</t>
        </is>
      </c>
      <c r="F677" s="5" t="inlineStr">
        <is>
          <t>Product Manager / Engineer</t>
        </is>
      </c>
      <c r="G677" s="5" t="inlineStr">
        <is>
          <t>Beta Merchants</t>
        </is>
      </c>
      <c r="H677" s="5" t="inlineStr">
        <is>
          <t>Safely test new capabilities (e.g. new E-Invoice engine) with 5% of pilot merchants before full release</t>
        </is>
      </c>
      <c r="I677" s="5" t="inlineStr">
        <is>
          <t>Enables or disables feature toggles based on tenant ID, plan tier, or opt-in beta program</t>
        </is>
      </c>
      <c r="J677" s="20" t="inlineStr">
        <is>
          <t>P1</t>
        </is>
      </c>
      <c r="K677" s="20" t="inlineStr">
        <is>
          <t>Validated (Supported)</t>
        </is>
      </c>
      <c r="L677" s="5" t="inlineStr">
        <is>
          <t>Feature Flag engine (Waffle/LaunchDarkly pattern) evaluating tenant eligibility in real time.</t>
        </is>
      </c>
      <c r="M677" s="8" t="inlineStr">
        <is>
          <t>Strategic expansion</t>
        </is>
      </c>
      <c r="N677" s="8" t="inlineStr">
        <is>
          <t>Platform or theme scope</t>
        </is>
      </c>
      <c r="O677" s="8" t="inlineStr">
        <is>
          <t>P1</t>
        </is>
      </c>
      <c r="P677" s="5" t="inlineStr">
        <is>
          <t>Restored to authored P1. The previous workbook had P0 after a keyword rebalance.</t>
        </is>
      </c>
      <c r="Q677" s="20" t="inlineStr">
        <is>
          <t>Author assertion</t>
        </is>
      </c>
      <c r="R677" s="5" t="inlineStr">
        <is>
          <t>Restored to authored P1. The previous workbook had P0 after a keyword rebalance.</t>
        </is>
      </c>
      <c r="S677" s="8" t="inlineStr">
        <is>
          <t>MASTER</t>
        </is>
      </c>
      <c r="T677" s="5" t="inlineStr">
        <is>
          <t>Master data and authorization</t>
        </is>
      </c>
      <c r="U677" s="8" t="inlineStr"/>
      <c r="V677" s="8" t="inlineStr">
        <is>
          <t>masters</t>
        </is>
      </c>
      <c r="W677" s="8" t="inlineStr">
        <is>
          <t>KERNEL</t>
        </is>
      </c>
      <c r="X677" s="5" t="inlineStr">
        <is>
          <t>Adjacent</t>
        </is>
      </c>
      <c r="Y677" s="5" t="inlineStr">
        <is>
          <t>Platform scope</t>
        </is>
      </c>
      <c r="Z677" s="5" t="inlineStr">
        <is>
          <t>Low</t>
        </is>
      </c>
      <c r="AA677" s="5" t="inlineStr">
        <is>
          <t>Medium</t>
        </is>
      </c>
      <c r="AB677" s="8" t="inlineStr">
        <is>
          <t>Low</t>
        </is>
      </c>
      <c r="AC677" s="8" t="inlineStr">
        <is>
          <t>Later</t>
        </is>
      </c>
      <c r="AD677" s="5" t="inlineStr">
        <is>
          <t>Not independently checked</t>
        </is>
      </c>
      <c r="AE677" s="5" t="inlineStr">
        <is>
          <t>Not verified</t>
        </is>
      </c>
      <c r="AF677" s="5" t="inlineStr">
        <is>
          <t>Not verified</t>
        </is>
      </c>
      <c r="AG677" s="5" t="inlineStr">
        <is>
          <t>Not verified</t>
        </is>
      </c>
      <c r="AH677" s="5" t="inlineStr">
        <is>
          <t>Not verified</t>
        </is>
      </c>
      <c r="AI677" s="8" t="inlineStr">
        <is>
          <t>No</t>
        </is>
      </c>
      <c r="AJ677" s="8" t="inlineStr">
        <is>
          <t>Claimed - unverified</t>
        </is>
      </c>
      <c r="AK677" s="8" t="inlineStr">
        <is>
          <t>P1</t>
        </is>
      </c>
      <c r="AL677" s="8" t="n">
        <v>2</v>
      </c>
      <c r="AM677" s="5" t="inlineStr"/>
      <c r="AN677" s="5" t="inlineStr"/>
      <c r="AO677" s="5" t="inlineStr"/>
      <c r="AP677" s="5" t="inlineStr"/>
      <c r="AQ677" s="5" t="inlineStr"/>
      <c r="AR677" s="5" t="inlineStr"/>
      <c r="AS677" s="5" t="inlineStr"/>
      <c r="AT677" s="5" t="inlineStr"/>
      <c r="AU677" s="8" t="inlineStr">
        <is>
          <t>Not run</t>
        </is>
      </c>
    </row>
    <row r="678" ht="32" customHeight="1">
      <c r="A678" s="16" t="inlineStr">
        <is>
          <t>SaaS-0677</t>
        </is>
      </c>
      <c r="B678" s="8" t="inlineStr">
        <is>
          <t>SaaS</t>
        </is>
      </c>
      <c r="C678" s="5" t="inlineStr">
        <is>
          <t>Platform / SaaS Admin</t>
        </is>
      </c>
      <c r="D678" s="5" t="inlineStr">
        <is>
          <t>Customer-to-Cash</t>
        </is>
      </c>
      <c r="E678" s="5" t="inlineStr">
        <is>
          <t>14-day full-featured free trial with automated milestone onboarding nudges</t>
        </is>
      </c>
      <c r="F678" s="5" t="inlineStr">
        <is>
          <t>New Customer</t>
        </is>
      </c>
      <c r="G678" s="5" t="inlineStr">
        <is>
          <t>Customer Success Team</t>
        </is>
      </c>
      <c r="H678" s="5" t="inlineStr">
        <is>
          <t>Merchant experiences full software capabilities for 14 days without entering credit card</t>
        </is>
      </c>
      <c r="I678" s="5" t="inlineStr">
        <is>
          <t>Sends automated helpful tips on Day 1 (Add Product), Day 3 (First Bill), Day 7 (GST Report)</t>
        </is>
      </c>
      <c r="J678" s="20" t="inlineStr">
        <is>
          <t>P1</t>
        </is>
      </c>
      <c r="K678" s="20" t="inlineStr">
        <is>
          <t>Validated (Supported)</t>
        </is>
      </c>
      <c r="L678" s="5" t="inlineStr">
        <is>
          <t>Automated trial lifecycle manager with milestone-based email/WhatsApp onboarding triggers.</t>
        </is>
      </c>
      <c r="M678" s="8" t="inlineStr">
        <is>
          <t>Strategic expansion</t>
        </is>
      </c>
      <c r="N678" s="8" t="inlineStr">
        <is>
          <t>Platform or theme scope</t>
        </is>
      </c>
      <c r="O678" s="8" t="inlineStr">
        <is>
          <t>P1</t>
        </is>
      </c>
      <c r="P678" s="5" t="inlineStr">
        <is>
          <t>Unchanged</t>
        </is>
      </c>
      <c r="Q678" s="21" t="inlineStr">
        <is>
          <t>Code symbol found</t>
        </is>
      </c>
      <c r="R678" s="5" t="inlineStr">
        <is>
          <t>Matched WhatsApp in product code. This is not a functional test.</t>
        </is>
      </c>
      <c r="S678" s="8" t="inlineStr">
        <is>
          <t>C2C</t>
        </is>
      </c>
      <c r="T678" s="5" t="inlineStr">
        <is>
          <t>Customer to cash</t>
        </is>
      </c>
      <c r="U678" s="8" t="inlineStr"/>
      <c r="V678" s="8" t="inlineStr">
        <is>
          <t>sales</t>
        </is>
      </c>
      <c r="W678" s="8" t="inlineStr">
        <is>
          <t>RUN</t>
        </is>
      </c>
      <c r="X678" s="5" t="inlineStr">
        <is>
          <t>Adjacent</t>
        </is>
      </c>
      <c r="Y678" s="5" t="inlineStr">
        <is>
          <t>Platform scope</t>
        </is>
      </c>
      <c r="Z678" s="5" t="inlineStr">
        <is>
          <t>Low</t>
        </is>
      </c>
      <c r="AA678" s="5" t="inlineStr">
        <is>
          <t>Medium</t>
        </is>
      </c>
      <c r="AB678" s="8" t="inlineStr">
        <is>
          <t>Low</t>
        </is>
      </c>
      <c r="AC678" s="8" t="inlineStr">
        <is>
          <t>Later</t>
        </is>
      </c>
      <c r="AD678" s="5" t="inlineStr">
        <is>
          <t>Cited in code</t>
        </is>
      </c>
      <c r="AE678" s="5" t="inlineStr">
        <is>
          <t>Not verified</t>
        </is>
      </c>
      <c r="AF678" s="5" t="inlineStr">
        <is>
          <t>Not verified</t>
        </is>
      </c>
      <c r="AG678" s="5" t="inlineStr">
        <is>
          <t>Not verified</t>
        </is>
      </c>
      <c r="AH678" s="5" t="inlineStr">
        <is>
          <t>Not verified</t>
        </is>
      </c>
      <c r="AI678" s="8" t="inlineStr">
        <is>
          <t>No</t>
        </is>
      </c>
      <c r="AJ678" s="8" t="inlineStr">
        <is>
          <t>Built - unverified</t>
        </is>
      </c>
      <c r="AK678" s="8" t="inlineStr">
        <is>
          <t>P1</t>
        </is>
      </c>
      <c r="AL678" s="8" t="n">
        <v>2</v>
      </c>
      <c r="AM678" s="5" t="inlineStr"/>
      <c r="AN678" s="5" t="inlineStr"/>
      <c r="AO678" s="5" t="inlineStr"/>
      <c r="AP678" s="5" t="inlineStr"/>
      <c r="AQ678" s="5" t="inlineStr"/>
      <c r="AR678" s="5" t="inlineStr"/>
      <c r="AS678" s="5" t="inlineStr"/>
      <c r="AT678" s="5" t="inlineStr"/>
      <c r="AU678" s="8" t="inlineStr">
        <is>
          <t>Not run</t>
        </is>
      </c>
    </row>
    <row r="679" ht="32" customHeight="1">
      <c r="A679" s="16" t="inlineStr">
        <is>
          <t>SaaS-0678</t>
        </is>
      </c>
      <c r="B679" s="8" t="inlineStr">
        <is>
          <t>SaaS</t>
        </is>
      </c>
      <c r="C679" s="5" t="inlineStr">
        <is>
          <t>Platform / SaaS Admin</t>
        </is>
      </c>
      <c r="D679" s="5" t="inlineStr">
        <is>
          <t>Security / Exception / Recovery</t>
        </is>
      </c>
      <c r="E679" s="5" t="inlineStr">
        <is>
          <t>Automated tenant data isolation audit and penetration testing verification</t>
        </is>
      </c>
      <c r="F679" s="5" t="inlineStr">
        <is>
          <t>Security Auditor</t>
        </is>
      </c>
      <c r="G679" s="5" t="inlineStr">
        <is>
          <t>SaaS Architect</t>
        </is>
      </c>
      <c r="H679" s="5" t="inlineStr">
        <is>
          <t>Continuous automated testing proving that no tenant can ever execute SQL query accessing another tenant's row</t>
        </is>
      </c>
      <c r="I679" s="5" t="inlineStr">
        <is>
          <t>Executes synthetic multi-tenant test suite simulating cross-tenant query injection attacks</t>
        </is>
      </c>
      <c r="J679" s="19" t="inlineStr">
        <is>
          <t>P0</t>
        </is>
      </c>
      <c r="K679" s="20" t="inlineStr">
        <is>
          <t>Validated (Supported)</t>
        </is>
      </c>
      <c r="L679" s="5" t="inlineStr">
        <is>
          <t>Automated pytest multi-tenant isolation verification test suite running in CI/CD pipeline.</t>
        </is>
      </c>
      <c r="M679" s="8" t="inlineStr">
        <is>
          <t>Strategic expansion</t>
        </is>
      </c>
      <c r="N679" s="8" t="inlineStr">
        <is>
          <t>Platform or theme scope</t>
        </is>
      </c>
      <c r="O679" s="8" t="inlineStr">
        <is>
          <t>P0</t>
        </is>
      </c>
      <c r="P679" s="5" t="inlineStr">
        <is>
          <t>Unchanged</t>
        </is>
      </c>
      <c r="Q679" s="20" t="inlineStr">
        <is>
          <t>Author assertion</t>
        </is>
      </c>
      <c r="R679" s="5" t="inlineStr"/>
      <c r="S679" s="8" t="inlineStr">
        <is>
          <t>OTHER</t>
        </is>
      </c>
      <c r="T679" s="5" t="inlineStr">
        <is>
          <t>Security / Exception / Recovery</t>
        </is>
      </c>
      <c r="U679" s="8" t="inlineStr"/>
      <c r="V679" s="8" t="inlineStr"/>
      <c r="W679" s="8" t="inlineStr">
        <is>
          <t>CONTROL</t>
        </is>
      </c>
      <c r="X679" s="5" t="inlineStr">
        <is>
          <t>Adjacent</t>
        </is>
      </c>
      <c r="Y679" s="5" t="inlineStr">
        <is>
          <t>Platform scope</t>
        </is>
      </c>
      <c r="Z679" s="5" t="inlineStr">
        <is>
          <t>Medium</t>
        </is>
      </c>
      <c r="AA679" s="5" t="inlineStr">
        <is>
          <t>Medium</t>
        </is>
      </c>
      <c r="AB679" s="8" t="inlineStr">
        <is>
          <t>Medium</t>
        </is>
      </c>
      <c r="AC679" s="8" t="inlineStr">
        <is>
          <t>MVP</t>
        </is>
      </c>
      <c r="AD679" s="5" t="inlineStr">
        <is>
          <t>Not independently checked</t>
        </is>
      </c>
      <c r="AE679" s="5" t="inlineStr">
        <is>
          <t>Not verified</t>
        </is>
      </c>
      <c r="AF679" s="5" t="inlineStr">
        <is>
          <t>Not verified</t>
        </is>
      </c>
      <c r="AG679" s="5" t="inlineStr">
        <is>
          <t>Not verified</t>
        </is>
      </c>
      <c r="AH679" s="5" t="inlineStr">
        <is>
          <t>Not verified</t>
        </is>
      </c>
      <c r="AI679" s="8" t="inlineStr">
        <is>
          <t>No</t>
        </is>
      </c>
      <c r="AJ679" s="8" t="inlineStr">
        <is>
          <t>Claimed - unverified</t>
        </is>
      </c>
      <c r="AK679" s="8" t="inlineStr">
        <is>
          <t>P0</t>
        </is>
      </c>
      <c r="AL679" s="8" t="n">
        <v>4</v>
      </c>
      <c r="AM679" s="5" t="inlineStr"/>
      <c r="AN679" s="5" t="inlineStr"/>
      <c r="AO679" s="5" t="inlineStr"/>
      <c r="AP679" s="5" t="inlineStr"/>
      <c r="AQ679" s="5" t="inlineStr"/>
      <c r="AR679" s="5" t="inlineStr"/>
      <c r="AS679" s="5" t="inlineStr"/>
      <c r="AT679" s="5" t="inlineStr"/>
      <c r="AU679" s="8" t="inlineStr">
        <is>
          <t>Not run</t>
        </is>
      </c>
    </row>
    <row r="680" ht="32" customHeight="1">
      <c r="A680" s="16" t="inlineStr">
        <is>
          <t>SaaS-0679</t>
        </is>
      </c>
      <c r="B680" s="8" t="inlineStr">
        <is>
          <t>SaaS</t>
        </is>
      </c>
      <c r="C680" s="5" t="inlineStr">
        <is>
          <t>Platform / SaaS Admin</t>
        </is>
      </c>
      <c r="D680" s="5" t="inlineStr">
        <is>
          <t>Security / Exception / Recovery</t>
        </is>
      </c>
      <c r="E680" s="5" t="inlineStr">
        <is>
          <t>SuperAdmin 'Impersonate Tenant' support capability with mandatory audit logging</t>
        </is>
      </c>
      <c r="F680" s="5" t="inlineStr">
        <is>
          <t>Customer Support Lead</t>
        </is>
      </c>
      <c r="G680" s="5" t="inlineStr">
        <is>
          <t>Troubled Merchant</t>
        </is>
      </c>
      <c r="H680" s="5" t="inlineStr">
        <is>
          <t>Customer support agent can view merchant's screen to troubleshoot bug with merchant's explicit permission</t>
        </is>
      </c>
      <c r="I680" s="5" t="inlineStr">
        <is>
          <t>Generates temporary 15-minute support token; logs every staff action; displays bright 'Support Mode' banner</t>
        </is>
      </c>
      <c r="J680" s="20" t="inlineStr">
        <is>
          <t>P1</t>
        </is>
      </c>
      <c r="K680" s="20" t="inlineStr">
        <is>
          <t>Validated (Supported)</t>
        </is>
      </c>
      <c r="L680" s="5" t="inlineStr">
        <is>
          <t>Sudo impersonation engine requiring time-limited authorization and permanent audit logging.</t>
        </is>
      </c>
      <c r="M680" s="8" t="inlineStr">
        <is>
          <t>Strategic expansion</t>
        </is>
      </c>
      <c r="N680" s="8" t="inlineStr">
        <is>
          <t>Platform or theme scope</t>
        </is>
      </c>
      <c r="O680" s="8" t="inlineStr">
        <is>
          <t>P1</t>
        </is>
      </c>
      <c r="P680" s="5" t="inlineStr">
        <is>
          <t>Unchanged</t>
        </is>
      </c>
      <c r="Q680" s="20" t="inlineStr">
        <is>
          <t>Author assertion</t>
        </is>
      </c>
      <c r="R680" s="5" t="inlineStr"/>
      <c r="S680" s="8" t="inlineStr">
        <is>
          <t>OTHER</t>
        </is>
      </c>
      <c r="T680" s="5" t="inlineStr">
        <is>
          <t>Security / Exception / Recovery</t>
        </is>
      </c>
      <c r="U680" s="8" t="inlineStr"/>
      <c r="V680" s="8" t="inlineStr"/>
      <c r="W680" s="8" t="inlineStr">
        <is>
          <t>CONTROL</t>
        </is>
      </c>
      <c r="X680" s="5" t="inlineStr">
        <is>
          <t>Adjacent</t>
        </is>
      </c>
      <c r="Y680" s="5" t="inlineStr">
        <is>
          <t>Platform scope</t>
        </is>
      </c>
      <c r="Z680" s="5" t="inlineStr">
        <is>
          <t>Medium</t>
        </is>
      </c>
      <c r="AA680" s="5" t="inlineStr">
        <is>
          <t>Medium</t>
        </is>
      </c>
      <c r="AB680" s="8" t="inlineStr">
        <is>
          <t>Medium</t>
        </is>
      </c>
      <c r="AC680" s="8" t="inlineStr">
        <is>
          <t>Later</t>
        </is>
      </c>
      <c r="AD680" s="5" t="inlineStr">
        <is>
          <t>Not independently checked</t>
        </is>
      </c>
      <c r="AE680" s="5" t="inlineStr">
        <is>
          <t>Not verified</t>
        </is>
      </c>
      <c r="AF680" s="5" t="inlineStr">
        <is>
          <t>Not verified</t>
        </is>
      </c>
      <c r="AG680" s="5" t="inlineStr">
        <is>
          <t>Not verified</t>
        </is>
      </c>
      <c r="AH680" s="5" t="inlineStr">
        <is>
          <t>Not verified</t>
        </is>
      </c>
      <c r="AI680" s="8" t="inlineStr">
        <is>
          <t>No</t>
        </is>
      </c>
      <c r="AJ680" s="8" t="inlineStr">
        <is>
          <t>Claimed - unverified</t>
        </is>
      </c>
      <c r="AK680" s="8" t="inlineStr">
        <is>
          <t>P1</t>
        </is>
      </c>
      <c r="AL680" s="8" t="n">
        <v>4</v>
      </c>
      <c r="AM680" s="5" t="inlineStr"/>
      <c r="AN680" s="5" t="inlineStr"/>
      <c r="AO680" s="5" t="inlineStr"/>
      <c r="AP680" s="5" t="inlineStr"/>
      <c r="AQ680" s="5" t="inlineStr"/>
      <c r="AR680" s="5" t="inlineStr"/>
      <c r="AS680" s="5" t="inlineStr"/>
      <c r="AT680" s="5" t="inlineStr"/>
      <c r="AU680" s="8" t="inlineStr">
        <is>
          <t>Not run</t>
        </is>
      </c>
    </row>
    <row r="681" ht="32" customHeight="1">
      <c r="A681" s="16" t="inlineStr">
        <is>
          <t>SaaS-0680</t>
        </is>
      </c>
      <c r="B681" s="8" t="inlineStr">
        <is>
          <t>SaaS</t>
        </is>
      </c>
      <c r="C681" s="5" t="inlineStr">
        <is>
          <t>Platform / SaaS Admin</t>
        </is>
      </c>
      <c r="D681" s="5" t="inlineStr">
        <is>
          <t>Communication &amp; Integrations</t>
        </is>
      </c>
      <c r="E681" s="5" t="inlineStr">
        <is>
          <t>In-app customer feedback, feature request, and bug reporting widget</t>
        </is>
      </c>
      <c r="F681" s="5" t="inlineStr">
        <is>
          <t>Business User</t>
        </is>
      </c>
      <c r="G681" s="5" t="inlineStr">
        <is>
          <t>Product Team</t>
        </is>
      </c>
      <c r="H681" s="5" t="inlineStr">
        <is>
          <t>Users can report issues, attach screenshots, or upvote feature requests directly from app footer</t>
        </is>
      </c>
      <c r="I681" s="5" t="inlineStr">
        <is>
          <t>Routes user feedback directly to product management backlog; updates user when feature ships</t>
        </is>
      </c>
      <c r="J681" s="24" t="inlineStr">
        <is>
          <t>P3</t>
        </is>
      </c>
      <c r="K681" s="20" t="inlineStr">
        <is>
          <t>Validated (Supported)</t>
        </is>
      </c>
      <c r="L681" s="5" t="inlineStr">
        <is>
          <t>In-app feedback modal capturing console logs, screen resolution, and user screenshot.</t>
        </is>
      </c>
      <c r="M681" s="8" t="inlineStr">
        <is>
          <t>Strategic expansion</t>
        </is>
      </c>
      <c r="N681" s="8" t="inlineStr">
        <is>
          <t>Platform or theme scope</t>
        </is>
      </c>
      <c r="O681" s="8" t="inlineStr">
        <is>
          <t>P2</t>
        </is>
      </c>
      <c r="P681" s="5" t="inlineStr">
        <is>
          <t>Kept P3. The previous workbook had P3. Authored priority was P2.</t>
        </is>
      </c>
      <c r="Q681" s="20" t="inlineStr">
        <is>
          <t>Author assertion</t>
        </is>
      </c>
      <c r="R681" s="5" t="inlineStr">
        <is>
          <t>Kept P3. The previous workbook had P3. Authored priority was P2.</t>
        </is>
      </c>
      <c r="S681" s="8" t="inlineStr">
        <is>
          <t>INT</t>
        </is>
      </c>
      <c r="T681" s="5" t="inlineStr">
        <is>
          <t>Communication and integrations</t>
        </is>
      </c>
      <c r="U681" s="8" t="inlineStr"/>
      <c r="V681" s="8" t="inlineStr">
        <is>
          <t>integrations</t>
        </is>
      </c>
      <c r="W681" s="8" t="inlineStr">
        <is>
          <t>KERNEL</t>
        </is>
      </c>
      <c r="X681" s="5" t="inlineStr">
        <is>
          <t>Future</t>
        </is>
      </c>
      <c r="Y681" s="5" t="inlineStr">
        <is>
          <t>Platform scope</t>
        </is>
      </c>
      <c r="Z681" s="5" t="inlineStr">
        <is>
          <t>Low</t>
        </is>
      </c>
      <c r="AA681" s="5" t="inlineStr">
        <is>
          <t>Low</t>
        </is>
      </c>
      <c r="AB681" s="8" t="inlineStr">
        <is>
          <t>Low</t>
        </is>
      </c>
      <c r="AC681" s="8" t="inlineStr">
        <is>
          <t>Later</t>
        </is>
      </c>
      <c r="AD681" s="5" t="inlineStr">
        <is>
          <t>Not independently checked</t>
        </is>
      </c>
      <c r="AE681" s="5" t="inlineStr">
        <is>
          <t>Not verified</t>
        </is>
      </c>
      <c r="AF681" s="5" t="inlineStr">
        <is>
          <t>Not verified</t>
        </is>
      </c>
      <c r="AG681" s="5" t="inlineStr">
        <is>
          <t>Not verified</t>
        </is>
      </c>
      <c r="AH681" s="5" t="inlineStr">
        <is>
          <t>Not verified</t>
        </is>
      </c>
      <c r="AI681" s="8" t="inlineStr">
        <is>
          <t>No</t>
        </is>
      </c>
      <c r="AJ681" s="8" t="inlineStr">
        <is>
          <t>Claimed - unverified</t>
        </is>
      </c>
      <c r="AK681" s="8" t="inlineStr">
        <is>
          <t>P3</t>
        </is>
      </c>
      <c r="AL681" s="8" t="n">
        <v>1</v>
      </c>
      <c r="AM681" s="5" t="inlineStr"/>
      <c r="AN681" s="5" t="inlineStr"/>
      <c r="AO681" s="5" t="inlineStr"/>
      <c r="AP681" s="5" t="inlineStr"/>
      <c r="AQ681" s="5" t="inlineStr"/>
      <c r="AR681" s="5" t="inlineStr"/>
      <c r="AS681" s="5" t="inlineStr"/>
      <c r="AT681" s="5" t="inlineStr"/>
      <c r="AU681" s="8" t="inlineStr">
        <is>
          <t>Not run</t>
        </is>
      </c>
    </row>
    <row r="682" ht="32" customHeight="1">
      <c r="A682" s="16" t="inlineStr">
        <is>
          <t>D-0681</t>
        </is>
      </c>
      <c r="B682" s="8" t="inlineStr">
        <is>
          <t>D</t>
        </is>
      </c>
      <c r="C682" s="5" t="inlineStr">
        <is>
          <t>AI &amp; Differentiation</t>
        </is>
      </c>
      <c r="D682" s="5" t="inlineStr">
        <is>
          <t>Procure-to-Pay</t>
        </is>
      </c>
      <c r="E682" s="5" t="inlineStr">
        <is>
          <t>Deterministic LLM bill extraction: photo of crumpled paper bill → structured draft invoice</t>
        </is>
      </c>
      <c r="F682" s="5" t="inlineStr">
        <is>
          <t>Purchase Staff / Accountant</t>
        </is>
      </c>
      <c r="G682" s="5" t="inlineStr">
        <is>
          <t>Supplier</t>
        </is>
      </c>
      <c r="H682" s="5" t="inlineStr">
        <is>
          <t>Merchant snaps photo of physical vendor bill using mobile camera; AI extracts line items with 99% accuracy</t>
        </is>
      </c>
      <c r="I682" s="5" t="inlineStr">
        <is>
          <t>Parses vendor GSTIN, invoice number, items, HSN, rates, and taxes; pre-fills purchase invoice in 5 seconds</t>
        </is>
      </c>
      <c r="J682" s="19" t="inlineStr">
        <is>
          <t>P0</t>
        </is>
      </c>
      <c r="K682" s="20" t="inlineStr">
        <is>
          <t>Validated (Supported)</t>
        </is>
      </c>
      <c r="L682" s="5" t="inlineStr">
        <is>
          <t>Differentiator vs Tally/Vyapar: Vision LLM + OCR parsing pipeline with deterministic schema validation.</t>
        </is>
      </c>
      <c r="M682" s="8" t="inlineStr">
        <is>
          <t>Strategic expansion</t>
        </is>
      </c>
      <c r="N682" s="8" t="inlineStr">
        <is>
          <t>Platform or theme scope</t>
        </is>
      </c>
      <c r="O682" s="8" t="inlineStr">
        <is>
          <t>P0</t>
        </is>
      </c>
      <c r="P682" s="5" t="inlineStr">
        <is>
          <t>Unchanged</t>
        </is>
      </c>
      <c r="Q682" s="20" t="inlineStr">
        <is>
          <t>Author assertion</t>
        </is>
      </c>
      <c r="R682" s="5" t="inlineStr"/>
      <c r="S682" s="8" t="inlineStr">
        <is>
          <t>P2P</t>
        </is>
      </c>
      <c r="T682" s="5" t="inlineStr">
        <is>
          <t>Procure to pay</t>
        </is>
      </c>
      <c r="U682" s="8" t="inlineStr"/>
      <c r="V682" s="8" t="inlineStr">
        <is>
          <t>purchases</t>
        </is>
      </c>
      <c r="W682" s="8" t="inlineStr">
        <is>
          <t>RUN</t>
        </is>
      </c>
      <c r="X682" s="5" t="inlineStr">
        <is>
          <t>Future</t>
        </is>
      </c>
      <c r="Y682" s="5" t="inlineStr">
        <is>
          <t>Platform scope</t>
        </is>
      </c>
      <c r="Z682" s="5" t="inlineStr">
        <is>
          <t>Low</t>
        </is>
      </c>
      <c r="AA682" s="5" t="inlineStr">
        <is>
          <t>Medium</t>
        </is>
      </c>
      <c r="AB682" s="8" t="inlineStr">
        <is>
          <t>Low</t>
        </is>
      </c>
      <c r="AC682" s="8" t="inlineStr">
        <is>
          <t>MVP</t>
        </is>
      </c>
      <c r="AD682" s="5" t="inlineStr">
        <is>
          <t>Not independently checked</t>
        </is>
      </c>
      <c r="AE682" s="5" t="inlineStr">
        <is>
          <t>Not verified</t>
        </is>
      </c>
      <c r="AF682" s="5" t="inlineStr">
        <is>
          <t>Not verified</t>
        </is>
      </c>
      <c r="AG682" s="5" t="inlineStr">
        <is>
          <t>Not verified</t>
        </is>
      </c>
      <c r="AH682" s="5" t="inlineStr">
        <is>
          <t>Not verified</t>
        </is>
      </c>
      <c r="AI682" s="8" t="inlineStr">
        <is>
          <t>No</t>
        </is>
      </c>
      <c r="AJ682" s="8" t="inlineStr">
        <is>
          <t>Claimed - unverified</t>
        </is>
      </c>
      <c r="AK682" s="8" t="inlineStr">
        <is>
          <t>P0</t>
        </is>
      </c>
      <c r="AL682" s="8" t="n">
        <v>2</v>
      </c>
      <c r="AM682" s="5" t="inlineStr"/>
      <c r="AN682" s="5" t="inlineStr"/>
      <c r="AO682" s="5" t="inlineStr"/>
      <c r="AP682" s="5" t="inlineStr"/>
      <c r="AQ682" s="5" t="inlineStr"/>
      <c r="AR682" s="5" t="inlineStr"/>
      <c r="AS682" s="5" t="inlineStr"/>
      <c r="AT682" s="5" t="inlineStr"/>
      <c r="AU682" s="8" t="inlineStr">
        <is>
          <t>Not run</t>
        </is>
      </c>
    </row>
    <row r="683" ht="32" customHeight="1">
      <c r="A683" s="16" t="inlineStr">
        <is>
          <t>D-0682</t>
        </is>
      </c>
      <c r="B683" s="8" t="inlineStr">
        <is>
          <t>D</t>
        </is>
      </c>
      <c r="C683" s="5" t="inlineStr">
        <is>
          <t>AI &amp; Differentiation</t>
        </is>
      </c>
      <c r="D683" s="5" t="inlineStr">
        <is>
          <t>Customer-to-Cash</t>
        </is>
      </c>
      <c r="E683" s="5" t="inlineStr">
        <is>
          <t>WhatsApp Conversational Khata Bot: customer sends photo of handwritten order list → creates sales order</t>
        </is>
      </c>
      <c r="F683" s="5" t="inlineStr">
        <is>
          <t>Sales Staff / Merchant</t>
        </is>
      </c>
      <c r="G683" s="5" t="inlineStr">
        <is>
          <t>Retail Customer</t>
        </is>
      </c>
      <c r="H683" s="5" t="inlineStr">
        <is>
          <t>Customer sends WhatsApp image of handwritten grocery/hardware slip; AI converts into formal digital order</t>
        </is>
      </c>
      <c r="I683" s="5" t="inlineStr">
        <is>
          <t>Transcribes handwritten items; matches against store product catalog; pre-populates cart for merchant confirmation</t>
        </is>
      </c>
      <c r="J683" s="24" t="inlineStr">
        <is>
          <t>P3</t>
        </is>
      </c>
      <c r="K683" s="20" t="inlineStr">
        <is>
          <t>Validated (Supported)</t>
        </is>
      </c>
      <c r="L683" s="5" t="inlineStr">
        <is>
          <t>Differentiator vs market: Multi-modal handwritten text recognition mapped to tenant SKU catalog.</t>
        </is>
      </c>
      <c r="M683" s="8" t="inlineStr">
        <is>
          <t>Strategic expansion</t>
        </is>
      </c>
      <c r="N683" s="8" t="inlineStr">
        <is>
          <t>Platform or theme scope</t>
        </is>
      </c>
      <c r="O683" s="8" t="inlineStr">
        <is>
          <t>P1</t>
        </is>
      </c>
      <c r="P683" s="5" t="inlineStr">
        <is>
          <t>Kept P3. The previous workbook had P3. Authored priority was P1.</t>
        </is>
      </c>
      <c r="Q683" s="20" t="inlineStr">
        <is>
          <t>Author assertion</t>
        </is>
      </c>
      <c r="R683" s="5" t="inlineStr">
        <is>
          <t>Kept P3. The previous workbook had P3. Authored priority was P1.</t>
        </is>
      </c>
      <c r="S683" s="8" t="inlineStr">
        <is>
          <t>C2C</t>
        </is>
      </c>
      <c r="T683" s="5" t="inlineStr">
        <is>
          <t>Customer to cash</t>
        </is>
      </c>
      <c r="U683" s="8" t="inlineStr"/>
      <c r="V683" s="8" t="inlineStr">
        <is>
          <t>sales</t>
        </is>
      </c>
      <c r="W683" s="8" t="inlineStr">
        <is>
          <t>RUN</t>
        </is>
      </c>
      <c r="X683" s="5" t="inlineStr">
        <is>
          <t>Future</t>
        </is>
      </c>
      <c r="Y683" s="5" t="inlineStr">
        <is>
          <t>Platform scope</t>
        </is>
      </c>
      <c r="Z683" s="5" t="inlineStr">
        <is>
          <t>Low</t>
        </is>
      </c>
      <c r="AA683" s="5" t="inlineStr">
        <is>
          <t>Low</t>
        </is>
      </c>
      <c r="AB683" s="8" t="inlineStr">
        <is>
          <t>Low</t>
        </is>
      </c>
      <c r="AC683" s="8" t="inlineStr">
        <is>
          <t>Later</t>
        </is>
      </c>
      <c r="AD683" s="5" t="inlineStr">
        <is>
          <t>Not independently checked</t>
        </is>
      </c>
      <c r="AE683" s="5" t="inlineStr">
        <is>
          <t>Not verified</t>
        </is>
      </c>
      <c r="AF683" s="5" t="inlineStr">
        <is>
          <t>Not verified</t>
        </is>
      </c>
      <c r="AG683" s="5" t="inlineStr">
        <is>
          <t>Not verified</t>
        </is>
      </c>
      <c r="AH683" s="5" t="inlineStr">
        <is>
          <t>Not verified</t>
        </is>
      </c>
      <c r="AI683" s="8" t="inlineStr">
        <is>
          <t>No</t>
        </is>
      </c>
      <c r="AJ683" s="8" t="inlineStr">
        <is>
          <t>Claimed - unverified</t>
        </is>
      </c>
      <c r="AK683" s="8" t="inlineStr">
        <is>
          <t>P3</t>
        </is>
      </c>
      <c r="AL683" s="8" t="n">
        <v>1</v>
      </c>
      <c r="AM683" s="5" t="inlineStr"/>
      <c r="AN683" s="5" t="inlineStr"/>
      <c r="AO683" s="5" t="inlineStr"/>
      <c r="AP683" s="5" t="inlineStr"/>
      <c r="AQ683" s="5" t="inlineStr"/>
      <c r="AR683" s="5" t="inlineStr"/>
      <c r="AS683" s="5" t="inlineStr"/>
      <c r="AT683" s="5" t="inlineStr"/>
      <c r="AU683" s="8" t="inlineStr">
        <is>
          <t>Not run</t>
        </is>
      </c>
    </row>
    <row r="684" ht="32" customHeight="1">
      <c r="A684" s="16" t="inlineStr">
        <is>
          <t>D-0683</t>
        </is>
      </c>
      <c r="B684" s="8" t="inlineStr">
        <is>
          <t>D</t>
        </is>
      </c>
      <c r="C684" s="5" t="inlineStr">
        <is>
          <t>AI &amp; Differentiation</t>
        </is>
      </c>
      <c r="D684" s="5" t="inlineStr">
        <is>
          <t>Inventory Lifecycle</t>
        </is>
      </c>
      <c r="E684" s="5" t="inlineStr">
        <is>
          <t>Inventory Autopilot: predictive run-rate stockout forecaster with automated vendor PO dispatch</t>
        </is>
      </c>
      <c r="F684" s="5" t="inlineStr">
        <is>
          <t>Inventory Autopilot Engine</t>
        </is>
      </c>
      <c r="G684" s="5" t="inlineStr">
        <is>
          <t>Purchase Manager</t>
        </is>
      </c>
      <c r="H684" s="5" t="inlineStr">
        <is>
          <t>AI predicts exact date product will run out of stock based on seasonal velocity and lead time</t>
        </is>
      </c>
      <c r="I684" s="5" t="inlineStr">
        <is>
          <t>Calculates recommended replenishment order; automatically drafts PO to best-priced supplier before stockout</t>
        </is>
      </c>
      <c r="J684" s="20" t="inlineStr">
        <is>
          <t>P1</t>
        </is>
      </c>
      <c r="K684" s="20" t="inlineStr">
        <is>
          <t>Validated (Supported)</t>
        </is>
      </c>
      <c r="L684" s="5" t="inlineStr">
        <is>
          <t>Differentiator vs static min/max: dynamic velocity-adjusted reorder forecasting algorithm.</t>
        </is>
      </c>
      <c r="M684" s="8" t="inlineStr">
        <is>
          <t>Strategic expansion</t>
        </is>
      </c>
      <c r="N684" s="8" t="inlineStr">
        <is>
          <t>Platform or theme scope</t>
        </is>
      </c>
      <c r="O684" s="8" t="inlineStr">
        <is>
          <t>P1</t>
        </is>
      </c>
      <c r="P684" s="5" t="inlineStr">
        <is>
          <t>Unchanged</t>
        </is>
      </c>
      <c r="Q684" s="20" t="inlineStr">
        <is>
          <t>Author assertion</t>
        </is>
      </c>
      <c r="R684" s="5" t="inlineStr"/>
      <c r="S684" s="8" t="inlineStr">
        <is>
          <t>INV</t>
        </is>
      </c>
      <c r="T684" s="5" t="inlineStr">
        <is>
          <t>Inventory lifecycle</t>
        </is>
      </c>
      <c r="U684" s="8" t="inlineStr"/>
      <c r="V684" s="8" t="inlineStr">
        <is>
          <t>inventory</t>
        </is>
      </c>
      <c r="W684" s="8" t="inlineStr">
        <is>
          <t>RUN</t>
        </is>
      </c>
      <c r="X684" s="5" t="inlineStr">
        <is>
          <t>Future</t>
        </is>
      </c>
      <c r="Y684" s="5" t="inlineStr">
        <is>
          <t>Platform scope</t>
        </is>
      </c>
      <c r="Z684" s="5" t="inlineStr">
        <is>
          <t>Low</t>
        </is>
      </c>
      <c r="AA684" s="5" t="inlineStr">
        <is>
          <t>High</t>
        </is>
      </c>
      <c r="AB684" s="8" t="inlineStr">
        <is>
          <t>Low</t>
        </is>
      </c>
      <c r="AC684" s="8" t="inlineStr">
        <is>
          <t>Later</t>
        </is>
      </c>
      <c r="AD684" s="5" t="inlineStr">
        <is>
          <t>Not independently checked</t>
        </is>
      </c>
      <c r="AE684" s="5" t="inlineStr">
        <is>
          <t>Not verified</t>
        </is>
      </c>
      <c r="AF684" s="5" t="inlineStr">
        <is>
          <t>Not verified</t>
        </is>
      </c>
      <c r="AG684" s="5" t="inlineStr">
        <is>
          <t>Not verified</t>
        </is>
      </c>
      <c r="AH684" s="5" t="inlineStr">
        <is>
          <t>Not verified</t>
        </is>
      </c>
      <c r="AI684" s="8" t="inlineStr">
        <is>
          <t>No</t>
        </is>
      </c>
      <c r="AJ684" s="8" t="inlineStr">
        <is>
          <t>Claimed - unverified</t>
        </is>
      </c>
      <c r="AK684" s="8" t="inlineStr">
        <is>
          <t>P1</t>
        </is>
      </c>
      <c r="AL684" s="8" t="n">
        <v>3</v>
      </c>
      <c r="AM684" s="5" t="inlineStr"/>
      <c r="AN684" s="5" t="inlineStr"/>
      <c r="AO684" s="5" t="inlineStr"/>
      <c r="AP684" s="5" t="inlineStr"/>
      <c r="AQ684" s="5" t="inlineStr"/>
      <c r="AR684" s="5" t="inlineStr"/>
      <c r="AS684" s="5" t="inlineStr"/>
      <c r="AT684" s="5" t="inlineStr"/>
      <c r="AU684" s="8" t="inlineStr">
        <is>
          <t>Not run</t>
        </is>
      </c>
    </row>
    <row r="685" ht="32" customHeight="1">
      <c r="A685" s="16" t="inlineStr">
        <is>
          <t>D-0684</t>
        </is>
      </c>
      <c r="B685" s="8" t="inlineStr">
        <is>
          <t>D</t>
        </is>
      </c>
      <c r="C685" s="5" t="inlineStr">
        <is>
          <t>AI &amp; Differentiation</t>
        </is>
      </c>
      <c r="D685" s="5" t="inlineStr">
        <is>
          <t>Reporting &amp; Business Intelligence</t>
        </is>
      </c>
      <c r="E685" s="5" t="inlineStr">
        <is>
          <t>Predictive cash-flow simulation engine modeling actual debtor payment delay probabilities</t>
        </is>
      </c>
      <c r="F685" s="5" t="inlineStr">
        <is>
          <t>Cashflow Forecast Engine</t>
        </is>
      </c>
      <c r="G685" s="5" t="inlineStr">
        <is>
          <t>Business Owner</t>
        </is>
      </c>
      <c r="H685" s="5" t="inlineStr">
        <is>
          <t>Simulates 30-day cash balance incorporating probabilistic model of which specific debtors pay late</t>
        </is>
      </c>
      <c r="I685" s="5" t="inlineStr">
        <is>
          <t>Warns owner: 'You will face a ₹2.4 Lakh cash deficit on the 22nd due to GST payment; chase Sharma today'</t>
        </is>
      </c>
      <c r="J685" s="19" t="inlineStr">
        <is>
          <t>P0</t>
        </is>
      </c>
      <c r="K685" s="20" t="inlineStr">
        <is>
          <t>Validated (Supported)</t>
        </is>
      </c>
      <c r="L685" s="5" t="inlineStr">
        <is>
          <t>Differentiator vs standard reports: Monte Carlo cashflow simulation factoring historical debtor delay.</t>
        </is>
      </c>
      <c r="M685" s="8" t="inlineStr">
        <is>
          <t>Strategic expansion</t>
        </is>
      </c>
      <c r="N685" s="8" t="inlineStr">
        <is>
          <t>Platform or theme scope</t>
        </is>
      </c>
      <c r="O685" s="8" t="inlineStr">
        <is>
          <t>P0</t>
        </is>
      </c>
      <c r="P685" s="5" t="inlineStr">
        <is>
          <t>Unchanged</t>
        </is>
      </c>
      <c r="Q685" s="20" t="inlineStr">
        <is>
          <t>Author assertion</t>
        </is>
      </c>
      <c r="R685" s="5" t="inlineStr"/>
      <c r="S685" s="8" t="inlineStr">
        <is>
          <t>RPT</t>
        </is>
      </c>
      <c r="T685" s="5" t="inlineStr">
        <is>
          <t>Reporting and business intelligence</t>
        </is>
      </c>
      <c r="U685" s="8" t="inlineStr"/>
      <c r="V685" s="8" t="inlineStr">
        <is>
          <t>reporting</t>
        </is>
      </c>
      <c r="W685" s="8" t="inlineStr">
        <is>
          <t>CONTROL</t>
        </is>
      </c>
      <c r="X685" s="5" t="inlineStr">
        <is>
          <t>Future</t>
        </is>
      </c>
      <c r="Y685" s="5" t="inlineStr">
        <is>
          <t>Platform scope</t>
        </is>
      </c>
      <c r="Z685" s="5" t="inlineStr">
        <is>
          <t>Low</t>
        </is>
      </c>
      <c r="AA685" s="5" t="inlineStr">
        <is>
          <t>Medium</t>
        </is>
      </c>
      <c r="AB685" s="8" t="inlineStr">
        <is>
          <t>Low</t>
        </is>
      </c>
      <c r="AC685" s="8" t="inlineStr">
        <is>
          <t>MVP</t>
        </is>
      </c>
      <c r="AD685" s="5" t="inlineStr">
        <is>
          <t>Not independently checked</t>
        </is>
      </c>
      <c r="AE685" s="5" t="inlineStr">
        <is>
          <t>Not verified</t>
        </is>
      </c>
      <c r="AF685" s="5" t="inlineStr">
        <is>
          <t>Not verified</t>
        </is>
      </c>
      <c r="AG685" s="5" t="inlineStr">
        <is>
          <t>Not verified</t>
        </is>
      </c>
      <c r="AH685" s="5" t="inlineStr">
        <is>
          <t>Not verified</t>
        </is>
      </c>
      <c r="AI685" s="8" t="inlineStr">
        <is>
          <t>No</t>
        </is>
      </c>
      <c r="AJ685" s="8" t="inlineStr">
        <is>
          <t>Claimed - unverified</t>
        </is>
      </c>
      <c r="AK685" s="8" t="inlineStr">
        <is>
          <t>P0</t>
        </is>
      </c>
      <c r="AL685" s="8" t="n">
        <v>2</v>
      </c>
      <c r="AM685" s="5" t="inlineStr"/>
      <c r="AN685" s="5" t="inlineStr"/>
      <c r="AO685" s="5" t="inlineStr"/>
      <c r="AP685" s="5" t="inlineStr"/>
      <c r="AQ685" s="5" t="inlineStr"/>
      <c r="AR685" s="5" t="inlineStr"/>
      <c r="AS685" s="5" t="inlineStr"/>
      <c r="AT685" s="5" t="inlineStr"/>
      <c r="AU685" s="8" t="inlineStr">
        <is>
          <t>Not run</t>
        </is>
      </c>
    </row>
    <row r="686" ht="32" customHeight="1">
      <c r="A686" s="16" t="inlineStr">
        <is>
          <t>D-0685</t>
        </is>
      </c>
      <c r="B686" s="8" t="inlineStr">
        <is>
          <t>D</t>
        </is>
      </c>
      <c r="C686" s="5" t="inlineStr">
        <is>
          <t>AI &amp; Differentiation</t>
        </is>
      </c>
      <c r="D686" s="5" t="inlineStr">
        <is>
          <t>Reporting &amp; Business Intelligence</t>
        </is>
      </c>
      <c r="E686" s="5" t="inlineStr">
        <is>
          <t>Natural language voice and chat conversational assistant ('Ask BizBoard')</t>
        </is>
      </c>
      <c r="F686" s="5" t="inlineStr">
        <is>
          <t>Conversational AI Assistant</t>
        </is>
      </c>
      <c r="G686" s="5" t="inlineStr">
        <is>
          <t>Business Owner ('Sethji')</t>
        </is>
      </c>
      <c r="H686" s="5" t="inlineStr">
        <is>
          <t>Owner speaks in Hindi/English: 'Show me my top 5 debtors' or 'How much did we sell yesterday?' and gets instant chart</t>
        </is>
      </c>
      <c r="I686" s="5" t="inlineStr">
        <is>
          <t>Converts natural language speech into read-only SQL queries; displays formatted card and voice response</t>
        </is>
      </c>
      <c r="J686" s="20" t="inlineStr">
        <is>
          <t>P1</t>
        </is>
      </c>
      <c r="K686" s="20" t="inlineStr">
        <is>
          <t>Validated (Supported)</t>
        </is>
      </c>
      <c r="L686" s="5" t="inlineStr">
        <is>
          <t>Differentiator vs legacy ERP: Voice-enabled natural language analytics agent on mobile app.</t>
        </is>
      </c>
      <c r="M686" s="8" t="inlineStr">
        <is>
          <t>Strategic expansion</t>
        </is>
      </c>
      <c r="N686" s="8" t="inlineStr">
        <is>
          <t>Platform or theme scope</t>
        </is>
      </c>
      <c r="O686" s="8" t="inlineStr">
        <is>
          <t>P1</t>
        </is>
      </c>
      <c r="P686" s="5" t="inlineStr">
        <is>
          <t>Unchanged</t>
        </is>
      </c>
      <c r="Q686" s="20" t="inlineStr">
        <is>
          <t>Author assertion</t>
        </is>
      </c>
      <c r="R686" s="5" t="inlineStr"/>
      <c r="S686" s="8" t="inlineStr">
        <is>
          <t>RPT</t>
        </is>
      </c>
      <c r="T686" s="5" t="inlineStr">
        <is>
          <t>Reporting and business intelligence</t>
        </is>
      </c>
      <c r="U686" s="8" t="inlineStr"/>
      <c r="V686" s="8" t="inlineStr">
        <is>
          <t>reporting</t>
        </is>
      </c>
      <c r="W686" s="8" t="inlineStr">
        <is>
          <t>CONTROL</t>
        </is>
      </c>
      <c r="X686" s="5" t="inlineStr">
        <is>
          <t>Future</t>
        </is>
      </c>
      <c r="Y686" s="5" t="inlineStr">
        <is>
          <t>Platform scope</t>
        </is>
      </c>
      <c r="Z686" s="5" t="inlineStr">
        <is>
          <t>Low</t>
        </is>
      </c>
      <c r="AA686" s="5" t="inlineStr">
        <is>
          <t>Medium</t>
        </is>
      </c>
      <c r="AB686" s="8" t="inlineStr">
        <is>
          <t>Low</t>
        </is>
      </c>
      <c r="AC686" s="8" t="inlineStr">
        <is>
          <t>Later</t>
        </is>
      </c>
      <c r="AD686" s="5" t="inlineStr">
        <is>
          <t>Not independently checked</t>
        </is>
      </c>
      <c r="AE686" s="5" t="inlineStr">
        <is>
          <t>Not verified</t>
        </is>
      </c>
      <c r="AF686" s="5" t="inlineStr">
        <is>
          <t>Not verified</t>
        </is>
      </c>
      <c r="AG686" s="5" t="inlineStr">
        <is>
          <t>Not verified</t>
        </is>
      </c>
      <c r="AH686" s="5" t="inlineStr">
        <is>
          <t>Not verified</t>
        </is>
      </c>
      <c r="AI686" s="8" t="inlineStr">
        <is>
          <t>No</t>
        </is>
      </c>
      <c r="AJ686" s="8" t="inlineStr">
        <is>
          <t>Claimed - unverified</t>
        </is>
      </c>
      <c r="AK686" s="8" t="inlineStr">
        <is>
          <t>P1</t>
        </is>
      </c>
      <c r="AL686" s="8" t="n">
        <v>2</v>
      </c>
      <c r="AM686" s="5" t="inlineStr"/>
      <c r="AN686" s="5" t="inlineStr"/>
      <c r="AO686" s="5" t="inlineStr"/>
      <c r="AP686" s="5" t="inlineStr"/>
      <c r="AQ686" s="5" t="inlineStr"/>
      <c r="AR686" s="5" t="inlineStr"/>
      <c r="AS686" s="5" t="inlineStr"/>
      <c r="AT686" s="5" t="inlineStr"/>
      <c r="AU686" s="8" t="inlineStr">
        <is>
          <t>Not run</t>
        </is>
      </c>
    </row>
    <row r="687" ht="32" customHeight="1">
      <c r="A687" s="16" t="inlineStr">
        <is>
          <t>D-0686</t>
        </is>
      </c>
      <c r="B687" s="8" t="inlineStr">
        <is>
          <t>D</t>
        </is>
      </c>
      <c r="C687" s="5" t="inlineStr">
        <is>
          <t>AI &amp; Differentiation</t>
        </is>
      </c>
      <c r="D687" s="5" t="inlineStr">
        <is>
          <t>Operations, Fleet &amp; Delivery</t>
        </is>
      </c>
      <c r="E687" s="5" t="inlineStr">
        <is>
          <t>Route economics and delivery tempo profitability optimization engine</t>
        </is>
      </c>
      <c r="F687" s="5" t="inlineStr">
        <is>
          <t>Logistics Manager / Owner</t>
        </is>
      </c>
      <c r="G687" s="5" t="inlineStr">
        <is>
          <t>Delivery Driver</t>
        </is>
      </c>
      <c r="H687" s="5" t="inlineStr">
        <is>
          <t>Evaluate profitability of individual delivery runs factoring fuel, driver wage, and order margins</t>
        </is>
      </c>
      <c r="I687" s="5" t="inlineStr">
        <is>
          <t>Flags delivery routes losing money; recommends minimum order value threshold for remote delivery areas</t>
        </is>
      </c>
      <c r="J687" s="20" t="inlineStr">
        <is>
          <t>P1</t>
        </is>
      </c>
      <c r="K687" s="20" t="inlineStr">
        <is>
          <t>Validated (Supported)</t>
        </is>
      </c>
      <c r="L687" s="5" t="inlineStr">
        <is>
          <t>Differentiator vs trade competitors: integrated logistics route costing and margin analysis.</t>
        </is>
      </c>
      <c r="M687" s="8" t="inlineStr">
        <is>
          <t>Strategic expansion</t>
        </is>
      </c>
      <c r="N687" s="8" t="inlineStr">
        <is>
          <t>Platform or theme scope</t>
        </is>
      </c>
      <c r="O687" s="8" t="inlineStr">
        <is>
          <t>P1</t>
        </is>
      </c>
      <c r="P687" s="5" t="inlineStr">
        <is>
          <t>Unchanged</t>
        </is>
      </c>
      <c r="Q687" s="20" t="inlineStr">
        <is>
          <t>Author assertion</t>
        </is>
      </c>
      <c r="R687" s="5" t="inlineStr"/>
      <c r="S687" s="8" t="inlineStr">
        <is>
          <t>FLEET</t>
        </is>
      </c>
      <c r="T687" s="5" t="inlineStr">
        <is>
          <t>Fleet and delivery</t>
        </is>
      </c>
      <c r="U687" s="8" t="inlineStr"/>
      <c r="V687" s="8" t="inlineStr">
        <is>
          <t>sales</t>
        </is>
      </c>
      <c r="W687" s="8" t="inlineStr">
        <is>
          <t>RUN</t>
        </is>
      </c>
      <c r="X687" s="5" t="inlineStr">
        <is>
          <t>Future</t>
        </is>
      </c>
      <c r="Y687" s="5" t="inlineStr">
        <is>
          <t>Platform scope</t>
        </is>
      </c>
      <c r="Z687" s="5" t="inlineStr">
        <is>
          <t>Low</t>
        </is>
      </c>
      <c r="AA687" s="5" t="inlineStr">
        <is>
          <t>Medium</t>
        </is>
      </c>
      <c r="AB687" s="8" t="inlineStr">
        <is>
          <t>Low</t>
        </is>
      </c>
      <c r="AC687" s="8" t="inlineStr">
        <is>
          <t>Later</t>
        </is>
      </c>
      <c r="AD687" s="5" t="inlineStr">
        <is>
          <t>Not independently checked</t>
        </is>
      </c>
      <c r="AE687" s="5" t="inlineStr">
        <is>
          <t>Not verified</t>
        </is>
      </c>
      <c r="AF687" s="5" t="inlineStr">
        <is>
          <t>Not verified</t>
        </is>
      </c>
      <c r="AG687" s="5" t="inlineStr">
        <is>
          <t>Not verified</t>
        </is>
      </c>
      <c r="AH687" s="5" t="inlineStr">
        <is>
          <t>Not verified</t>
        </is>
      </c>
      <c r="AI687" s="8" t="inlineStr">
        <is>
          <t>No</t>
        </is>
      </c>
      <c r="AJ687" s="8" t="inlineStr">
        <is>
          <t>Claimed - unverified</t>
        </is>
      </c>
      <c r="AK687" s="8" t="inlineStr">
        <is>
          <t>P1</t>
        </is>
      </c>
      <c r="AL687" s="8" t="n">
        <v>2</v>
      </c>
      <c r="AM687" s="5" t="inlineStr"/>
      <c r="AN687" s="5" t="inlineStr"/>
      <c r="AO687" s="5" t="inlineStr"/>
      <c r="AP687" s="5" t="inlineStr"/>
      <c r="AQ687" s="5" t="inlineStr"/>
      <c r="AR687" s="5" t="inlineStr"/>
      <c r="AS687" s="5" t="inlineStr"/>
      <c r="AT687" s="5" t="inlineStr"/>
      <c r="AU687" s="8" t="inlineStr">
        <is>
          <t>Not run</t>
        </is>
      </c>
    </row>
    <row r="688" ht="32" customHeight="1">
      <c r="A688" s="16" t="inlineStr">
        <is>
          <t>D-0687</t>
        </is>
      </c>
      <c r="B688" s="8" t="inlineStr">
        <is>
          <t>D</t>
        </is>
      </c>
      <c r="C688" s="5" t="inlineStr">
        <is>
          <t>AI &amp; Differentiation</t>
        </is>
      </c>
      <c r="D688" s="5" t="inlineStr">
        <is>
          <t>Receivables &amp; Payables</t>
        </is>
      </c>
      <c r="E688" s="5" t="inlineStr">
        <is>
          <t>Collections Autopilot: intelligent behavioral debtor chasing with personalized tone modulation</t>
        </is>
      </c>
      <c r="F688" s="5" t="inlineStr">
        <is>
          <t>Collections Engine</t>
        </is>
      </c>
      <c r="G688" s="5" t="inlineStr">
        <is>
          <t>Debtor Customer</t>
        </is>
      </c>
      <c r="H688" s="5" t="inlineStr">
        <is>
          <t>AI customizes payment reminder tone based on customer relationship (polite for VIPs, firm for chronic defaulters)</t>
        </is>
      </c>
      <c r="I688" s="5" t="inlineStr">
        <is>
          <t>Increases collection recovery by 28%; preserves customer goodwill while ensuring timely debt recovery</t>
        </is>
      </c>
      <c r="J688" s="20" t="inlineStr">
        <is>
          <t>P1</t>
        </is>
      </c>
      <c r="K688" s="20" t="inlineStr">
        <is>
          <t>Validated (Supported)</t>
        </is>
      </c>
      <c r="L688" s="5" t="inlineStr">
        <is>
          <t>Differentiator vs spam reminders: dynamic debtor segmentation and personalized payment cadence.</t>
        </is>
      </c>
      <c r="M688" s="8" t="inlineStr">
        <is>
          <t>Strategic expansion</t>
        </is>
      </c>
      <c r="N688" s="8" t="inlineStr">
        <is>
          <t>Platform or theme scope</t>
        </is>
      </c>
      <c r="O688" s="8" t="inlineStr">
        <is>
          <t>P1</t>
        </is>
      </c>
      <c r="P688" s="5" t="inlineStr">
        <is>
          <t>Unchanged</t>
        </is>
      </c>
      <c r="Q688" s="20" t="inlineStr">
        <is>
          <t>Author assertion</t>
        </is>
      </c>
      <c r="R688" s="5" t="inlineStr"/>
      <c r="S688" s="8" t="inlineStr">
        <is>
          <t>ARAP</t>
        </is>
      </c>
      <c r="T688" s="5" t="inlineStr">
        <is>
          <t>Receivables and payables</t>
        </is>
      </c>
      <c r="U688" s="8" t="inlineStr"/>
      <c r="V688" s="8" t="inlineStr">
        <is>
          <t>ledgers</t>
        </is>
      </c>
      <c r="W688" s="8" t="inlineStr">
        <is>
          <t>CONTROL</t>
        </is>
      </c>
      <c r="X688" s="5" t="inlineStr">
        <is>
          <t>Future</t>
        </is>
      </c>
      <c r="Y688" s="5" t="inlineStr">
        <is>
          <t>Platform scope</t>
        </is>
      </c>
      <c r="Z688" s="5" t="inlineStr">
        <is>
          <t>Medium</t>
        </is>
      </c>
      <c r="AA688" s="5" t="inlineStr">
        <is>
          <t>High</t>
        </is>
      </c>
      <c r="AB688" s="8" t="inlineStr">
        <is>
          <t>Medium</t>
        </is>
      </c>
      <c r="AC688" s="8" t="inlineStr">
        <is>
          <t>Later</t>
        </is>
      </c>
      <c r="AD688" s="5" t="inlineStr">
        <is>
          <t>Not independently checked</t>
        </is>
      </c>
      <c r="AE688" s="5" t="inlineStr">
        <is>
          <t>Not verified</t>
        </is>
      </c>
      <c r="AF688" s="5" t="inlineStr">
        <is>
          <t>Not verified</t>
        </is>
      </c>
      <c r="AG688" s="5" t="inlineStr">
        <is>
          <t>Not verified</t>
        </is>
      </c>
      <c r="AH688" s="5" t="inlineStr">
        <is>
          <t>Not verified</t>
        </is>
      </c>
      <c r="AI688" s="8" t="inlineStr">
        <is>
          <t>No</t>
        </is>
      </c>
      <c r="AJ688" s="8" t="inlineStr">
        <is>
          <t>Claimed - unverified</t>
        </is>
      </c>
      <c r="AK688" s="8" t="inlineStr">
        <is>
          <t>P1</t>
        </is>
      </c>
      <c r="AL688" s="8" t="n">
        <v>6</v>
      </c>
      <c r="AM688" s="5" t="inlineStr"/>
      <c r="AN688" s="5" t="inlineStr"/>
      <c r="AO688" s="5" t="inlineStr"/>
      <c r="AP688" s="5" t="inlineStr"/>
      <c r="AQ688" s="5" t="inlineStr"/>
      <c r="AR688" s="5" t="inlineStr"/>
      <c r="AS688" s="5" t="inlineStr"/>
      <c r="AT688" s="5" t="inlineStr"/>
      <c r="AU688" s="8" t="inlineStr">
        <is>
          <t>Not run</t>
        </is>
      </c>
    </row>
    <row r="689" ht="32" customHeight="1">
      <c r="A689" s="16" t="inlineStr">
        <is>
          <t>D-0688</t>
        </is>
      </c>
      <c r="B689" s="8" t="inlineStr">
        <is>
          <t>D</t>
        </is>
      </c>
      <c r="C689" s="5" t="inlineStr">
        <is>
          <t>AI &amp; Differentiation</t>
        </is>
      </c>
      <c r="D689" s="5" t="inlineStr">
        <is>
          <t>Procure-to-Pay</t>
        </is>
      </c>
      <c r="E689" s="5" t="inlineStr">
        <is>
          <t>Supplier Intelligence Scorecard: automated rating on delivery punctuality, price inflation &amp; GST defects</t>
        </is>
      </c>
      <c r="F689" s="5" t="inlineStr">
        <is>
          <t>Vendor Intelligence Engine</t>
        </is>
      </c>
      <c r="G689" s="5" t="inlineStr">
        <is>
          <t>Purchase Manager</t>
        </is>
      </c>
      <c r="H689" s="5" t="inlineStr">
        <is>
          <t>Automatically scores suppliers on a 100-point scale factoring fill rate, price spikes, and missing 2B invoices</t>
        </is>
      </c>
      <c r="I689" s="5" t="inlineStr">
        <is>
          <t>Empowers purchase manager during price negotiations; directs orders to highest-performing vendors</t>
        </is>
      </c>
      <c r="J689" s="20" t="inlineStr">
        <is>
          <t>P1</t>
        </is>
      </c>
      <c r="K689" s="20" t="inlineStr">
        <is>
          <t>Validated (Supported)</t>
        </is>
      </c>
      <c r="L689" s="5" t="inlineStr">
        <is>
          <t>Differentiator vs manual spreadsheets: multi-dimensional algorithmic vendor health scorecard.</t>
        </is>
      </c>
      <c r="M689" s="8" t="inlineStr">
        <is>
          <t>Strategic expansion</t>
        </is>
      </c>
      <c r="N689" s="8" t="inlineStr">
        <is>
          <t>Platform or theme scope</t>
        </is>
      </c>
      <c r="O689" s="8" t="inlineStr">
        <is>
          <t>P1</t>
        </is>
      </c>
      <c r="P689" s="5" t="inlineStr">
        <is>
          <t>Unchanged</t>
        </is>
      </c>
      <c r="Q689" s="20" t="inlineStr">
        <is>
          <t>Author assertion</t>
        </is>
      </c>
      <c r="R689" s="5" t="inlineStr"/>
      <c r="S689" s="8" t="inlineStr">
        <is>
          <t>P2P</t>
        </is>
      </c>
      <c r="T689" s="5" t="inlineStr">
        <is>
          <t>Procure to pay</t>
        </is>
      </c>
      <c r="U689" s="8" t="inlineStr"/>
      <c r="V689" s="8" t="inlineStr">
        <is>
          <t>purchases</t>
        </is>
      </c>
      <c r="W689" s="8" t="inlineStr">
        <is>
          <t>RUN</t>
        </is>
      </c>
      <c r="X689" s="5" t="inlineStr">
        <is>
          <t>Future</t>
        </is>
      </c>
      <c r="Y689" s="5" t="inlineStr">
        <is>
          <t>Platform scope</t>
        </is>
      </c>
      <c r="Z689" s="5" t="inlineStr">
        <is>
          <t>Low</t>
        </is>
      </c>
      <c r="AA689" s="5" t="inlineStr">
        <is>
          <t>Medium</t>
        </is>
      </c>
      <c r="AB689" s="8" t="inlineStr">
        <is>
          <t>Low</t>
        </is>
      </c>
      <c r="AC689" s="8" t="inlineStr">
        <is>
          <t>Later</t>
        </is>
      </c>
      <c r="AD689" s="5" t="inlineStr">
        <is>
          <t>Not independently checked</t>
        </is>
      </c>
      <c r="AE689" s="5" t="inlineStr">
        <is>
          <t>Not verified</t>
        </is>
      </c>
      <c r="AF689" s="5" t="inlineStr">
        <is>
          <t>Not verified</t>
        </is>
      </c>
      <c r="AG689" s="5" t="inlineStr">
        <is>
          <t>Not verified</t>
        </is>
      </c>
      <c r="AH689" s="5" t="inlineStr">
        <is>
          <t>Not verified</t>
        </is>
      </c>
      <c r="AI689" s="8" t="inlineStr">
        <is>
          <t>No</t>
        </is>
      </c>
      <c r="AJ689" s="8" t="inlineStr">
        <is>
          <t>Claimed - unverified</t>
        </is>
      </c>
      <c r="AK689" s="8" t="inlineStr">
        <is>
          <t>P1</t>
        </is>
      </c>
      <c r="AL689" s="8" t="n">
        <v>2</v>
      </c>
      <c r="AM689" s="5" t="inlineStr"/>
      <c r="AN689" s="5" t="inlineStr"/>
      <c r="AO689" s="5" t="inlineStr"/>
      <c r="AP689" s="5" t="inlineStr"/>
      <c r="AQ689" s="5" t="inlineStr"/>
      <c r="AR689" s="5" t="inlineStr"/>
      <c r="AS689" s="5" t="inlineStr"/>
      <c r="AT689" s="5" t="inlineStr"/>
      <c r="AU689" s="8" t="inlineStr">
        <is>
          <t>Not run</t>
        </is>
      </c>
    </row>
    <row r="690" ht="32" customHeight="1">
      <c r="A690" s="16" t="inlineStr">
        <is>
          <t>D-0689</t>
        </is>
      </c>
      <c r="B690" s="8" t="inlineStr">
        <is>
          <t>D</t>
        </is>
      </c>
      <c r="C690" s="5" t="inlineStr">
        <is>
          <t>AI &amp; Differentiation</t>
        </is>
      </c>
      <c r="D690" s="5" t="inlineStr">
        <is>
          <t>Customer-to-Cash</t>
        </is>
      </c>
      <c r="E690" s="5" t="inlineStr">
        <is>
          <t>Dynamic customer-specific volume slab pricing and margin protection guard</t>
        </is>
      </c>
      <c r="F690" s="5" t="inlineStr">
        <is>
          <t>Pricing Engine</t>
        </is>
      </c>
      <c r="G690" s="5" t="inlineStr">
        <is>
          <t>Billing Clerk / Salesperson</t>
        </is>
      </c>
      <c r="H690" s="5" t="inlineStr">
        <is>
          <t>Automatically applies tier pricing (e.g. 1-10 pcs: ₹100, 11-50 pcs: ₹92, 51+ pcs: ₹85) while enforcing min margin</t>
        </is>
      </c>
      <c r="I690" s="5" t="inlineStr">
        <is>
          <t>Ensures volume discounts never drop below mandatory 6% floor margin; alerts manager if breached</t>
        </is>
      </c>
      <c r="J690" s="20" t="inlineStr">
        <is>
          <t>P1</t>
        </is>
      </c>
      <c r="K690" s="20" t="inlineStr">
        <is>
          <t>Validated (Supported)</t>
        </is>
      </c>
      <c r="L690" s="5" t="inlineStr">
        <is>
          <t>Differentiator vs competitors: tiered pricing matrix with automated floor margin protection.</t>
        </is>
      </c>
      <c r="M690" s="8" t="inlineStr">
        <is>
          <t>Strategic expansion</t>
        </is>
      </c>
      <c r="N690" s="8" t="inlineStr">
        <is>
          <t>Platform or theme scope</t>
        </is>
      </c>
      <c r="O690" s="8" t="inlineStr">
        <is>
          <t>P1</t>
        </is>
      </c>
      <c r="P690" s="5" t="inlineStr">
        <is>
          <t>Unchanged</t>
        </is>
      </c>
      <c r="Q690" s="20" t="inlineStr">
        <is>
          <t>Author assertion</t>
        </is>
      </c>
      <c r="R690" s="5" t="inlineStr"/>
      <c r="S690" s="8" t="inlineStr">
        <is>
          <t>C2C</t>
        </is>
      </c>
      <c r="T690" s="5" t="inlineStr">
        <is>
          <t>Customer to cash</t>
        </is>
      </c>
      <c r="U690" s="8" t="inlineStr"/>
      <c r="V690" s="8" t="inlineStr">
        <is>
          <t>sales</t>
        </is>
      </c>
      <c r="W690" s="8" t="inlineStr">
        <is>
          <t>RUN</t>
        </is>
      </c>
      <c r="X690" s="5" t="inlineStr">
        <is>
          <t>Future</t>
        </is>
      </c>
      <c r="Y690" s="5" t="inlineStr">
        <is>
          <t>Platform scope</t>
        </is>
      </c>
      <c r="Z690" s="5" t="inlineStr">
        <is>
          <t>Low</t>
        </is>
      </c>
      <c r="AA690" s="5" t="inlineStr">
        <is>
          <t>Medium</t>
        </is>
      </c>
      <c r="AB690" s="8" t="inlineStr">
        <is>
          <t>Low</t>
        </is>
      </c>
      <c r="AC690" s="8" t="inlineStr">
        <is>
          <t>Later</t>
        </is>
      </c>
      <c r="AD690" s="5" t="inlineStr">
        <is>
          <t>Not independently checked</t>
        </is>
      </c>
      <c r="AE690" s="5" t="inlineStr">
        <is>
          <t>Not verified</t>
        </is>
      </c>
      <c r="AF690" s="5" t="inlineStr">
        <is>
          <t>Not verified</t>
        </is>
      </c>
      <c r="AG690" s="5" t="inlineStr">
        <is>
          <t>Not verified</t>
        </is>
      </c>
      <c r="AH690" s="5" t="inlineStr">
        <is>
          <t>Not verified</t>
        </is>
      </c>
      <c r="AI690" s="8" t="inlineStr">
        <is>
          <t>No</t>
        </is>
      </c>
      <c r="AJ690" s="8" t="inlineStr">
        <is>
          <t>Claimed - unverified</t>
        </is>
      </c>
      <c r="AK690" s="8" t="inlineStr">
        <is>
          <t>P1</t>
        </is>
      </c>
      <c r="AL690" s="8" t="n">
        <v>2</v>
      </c>
      <c r="AM690" s="5" t="inlineStr"/>
      <c r="AN690" s="5" t="inlineStr"/>
      <c r="AO690" s="5" t="inlineStr"/>
      <c r="AP690" s="5" t="inlineStr"/>
      <c r="AQ690" s="5" t="inlineStr"/>
      <c r="AR690" s="5" t="inlineStr"/>
      <c r="AS690" s="5" t="inlineStr"/>
      <c r="AT690" s="5" t="inlineStr"/>
      <c r="AU690" s="8" t="inlineStr">
        <is>
          <t>Not run</t>
        </is>
      </c>
    </row>
    <row r="691" ht="32" customHeight="1">
      <c r="A691" s="16" t="inlineStr">
        <is>
          <t>D-0690</t>
        </is>
      </c>
      <c r="B691" s="8" t="inlineStr">
        <is>
          <t>D</t>
        </is>
      </c>
      <c r="C691" s="5" t="inlineStr">
        <is>
          <t>AI &amp; Differentiation</t>
        </is>
      </c>
      <c r="D691" s="5" t="inlineStr">
        <is>
          <t>GST / Tax / Compliance</t>
        </is>
      </c>
      <c r="E691" s="5" t="inlineStr">
        <is>
          <t>Automated GSTR-2B 'Smart Reconciler' with fuzzy name and fractional rounding matching</t>
        </is>
      </c>
      <c r="F691" s="5" t="inlineStr">
        <is>
          <t>GST Guard Engine</t>
        </is>
      </c>
      <c r="G691" s="5" t="inlineStr">
        <is>
          <t>In-house Accountant</t>
        </is>
      </c>
      <c r="H691" s="5" t="inlineStr">
        <is>
          <t>Fuzzy matching engine that links purchase bills with GSTR-2B even when invoice numbers have dashes or spaces</t>
        </is>
      </c>
      <c r="I691" s="5" t="inlineStr">
        <is>
          <t>Reduces manual reconciliation time by 85%; eliminates false mismatch exceptions caused by slash/dash typos</t>
        </is>
      </c>
      <c r="J691" s="19" t="inlineStr">
        <is>
          <t>P0</t>
        </is>
      </c>
      <c r="K691" s="20" t="inlineStr">
        <is>
          <t>Validated (Supported)</t>
        </is>
      </c>
      <c r="L691" s="5" t="inlineStr">
        <is>
          <t>Differentiator vs Tally: Levenshtein distance fuzzy invoice matcher with date tolerance.</t>
        </is>
      </c>
      <c r="M691" s="8" t="inlineStr">
        <is>
          <t>Strategic expansion</t>
        </is>
      </c>
      <c r="N691" s="8" t="inlineStr">
        <is>
          <t>Platform or theme scope</t>
        </is>
      </c>
      <c r="O691" s="8" t="inlineStr">
        <is>
          <t>P0</t>
        </is>
      </c>
      <c r="P691" s="5" t="inlineStr">
        <is>
          <t>Unchanged</t>
        </is>
      </c>
      <c r="Q691" s="20" t="inlineStr">
        <is>
          <t>Author assertion</t>
        </is>
      </c>
      <c r="R691" s="5" t="inlineStr"/>
      <c r="S691" s="8" t="inlineStr">
        <is>
          <t>GST</t>
        </is>
      </c>
      <c r="T691" s="5" t="inlineStr">
        <is>
          <t>GST and tax compliance</t>
        </is>
      </c>
      <c r="U691" s="8" t="inlineStr"/>
      <c r="V691" s="8" t="inlineStr">
        <is>
          <t>accounting</t>
        </is>
      </c>
      <c r="W691" s="8" t="inlineStr">
        <is>
          <t>CONTROL</t>
        </is>
      </c>
      <c r="X691" s="5" t="inlineStr">
        <is>
          <t>Future</t>
        </is>
      </c>
      <c r="Y691" s="5" t="inlineStr">
        <is>
          <t>Platform scope</t>
        </is>
      </c>
      <c r="Z691" s="5" t="inlineStr">
        <is>
          <t>High</t>
        </is>
      </c>
      <c r="AA691" s="5" t="inlineStr">
        <is>
          <t>High</t>
        </is>
      </c>
      <c r="AB691" s="8" t="inlineStr">
        <is>
          <t>High</t>
        </is>
      </c>
      <c r="AC691" s="8" t="inlineStr">
        <is>
          <t>MVP</t>
        </is>
      </c>
      <c r="AD691" s="5" t="inlineStr">
        <is>
          <t>Not independently checked</t>
        </is>
      </c>
      <c r="AE691" s="5" t="inlineStr">
        <is>
          <t>Not verified</t>
        </is>
      </c>
      <c r="AF691" s="5" t="inlineStr">
        <is>
          <t>Not verified</t>
        </is>
      </c>
      <c r="AG691" s="5" t="inlineStr">
        <is>
          <t>Not verified</t>
        </is>
      </c>
      <c r="AH691" s="5" t="inlineStr">
        <is>
          <t>Not verified</t>
        </is>
      </c>
      <c r="AI691" s="8" t="inlineStr">
        <is>
          <t>No</t>
        </is>
      </c>
      <c r="AJ691" s="8" t="inlineStr">
        <is>
          <t>Claimed - unverified</t>
        </is>
      </c>
      <c r="AK691" s="8" t="inlineStr">
        <is>
          <t>P0</t>
        </is>
      </c>
      <c r="AL691" s="8" t="n">
        <v>9</v>
      </c>
      <c r="AM691" s="5" t="inlineStr"/>
      <c r="AN691" s="5" t="inlineStr"/>
      <c r="AO691" s="5" t="inlineStr"/>
      <c r="AP691" s="5" t="inlineStr"/>
      <c r="AQ691" s="5" t="inlineStr"/>
      <c r="AR691" s="5" t="inlineStr"/>
      <c r="AS691" s="5" t="inlineStr"/>
      <c r="AT691" s="5" t="inlineStr"/>
      <c r="AU691" s="8" t="inlineStr">
        <is>
          <t>Not run</t>
        </is>
      </c>
    </row>
    <row r="692" ht="32" customHeight="1">
      <c r="A692" s="16" t="inlineStr">
        <is>
          <t>D-0691</t>
        </is>
      </c>
      <c r="B692" s="8" t="inlineStr">
        <is>
          <t>D</t>
        </is>
      </c>
      <c r="C692" s="5" t="inlineStr">
        <is>
          <t>AI &amp; Differentiation</t>
        </is>
      </c>
      <c r="D692" s="5" t="inlineStr">
        <is>
          <t>Customer-to-Cash</t>
        </is>
      </c>
      <c r="E692" s="5" t="inlineStr">
        <is>
          <t>Interactive customer self-service invoice magic link with 1-click UPI payment and dispute raise</t>
        </is>
      </c>
      <c r="F692" s="5" t="inlineStr">
        <is>
          <t>Customer / Buyer</t>
        </is>
      </c>
      <c r="G692" s="5" t="inlineStr">
        <is>
          <t>Merchant</t>
        </is>
      </c>
      <c r="H692" s="5" t="inlineStr">
        <is>
          <t>Customer clicks link on WhatsApp; views beautiful interactive invoice; pays via UPI or raises query on 1 item</t>
        </is>
      </c>
      <c r="I692" s="5" t="inlineStr">
        <is>
          <t>Accelerates payment collection; provides self-service PDF download without calling store clerk</t>
        </is>
      </c>
      <c r="J692" s="20" t="inlineStr">
        <is>
          <t>P1</t>
        </is>
      </c>
      <c r="K692" s="20" t="inlineStr">
        <is>
          <t>Validated (Supported)</t>
        </is>
      </c>
      <c r="L692" s="5" t="inlineStr">
        <is>
          <t>Differentiator vs static PDF: interactive mobile web invoice portal with embedded UPI deep-link.</t>
        </is>
      </c>
      <c r="M692" s="8" t="inlineStr">
        <is>
          <t>Strategic expansion</t>
        </is>
      </c>
      <c r="N692" s="8" t="inlineStr">
        <is>
          <t>Platform or theme scope</t>
        </is>
      </c>
      <c r="O692" s="8" t="inlineStr">
        <is>
          <t>P1</t>
        </is>
      </c>
      <c r="P692" s="5" t="inlineStr">
        <is>
          <t>Unchanged</t>
        </is>
      </c>
      <c r="Q692" s="20" t="inlineStr">
        <is>
          <t>Author assertion</t>
        </is>
      </c>
      <c r="R692" s="5" t="inlineStr"/>
      <c r="S692" s="8" t="inlineStr">
        <is>
          <t>C2C</t>
        </is>
      </c>
      <c r="T692" s="5" t="inlineStr">
        <is>
          <t>Customer to cash</t>
        </is>
      </c>
      <c r="U692" s="8" t="inlineStr"/>
      <c r="V692" s="8" t="inlineStr">
        <is>
          <t>sales</t>
        </is>
      </c>
      <c r="W692" s="8" t="inlineStr">
        <is>
          <t>RUN</t>
        </is>
      </c>
      <c r="X692" s="5" t="inlineStr">
        <is>
          <t>Future</t>
        </is>
      </c>
      <c r="Y692" s="5" t="inlineStr">
        <is>
          <t>Platform scope</t>
        </is>
      </c>
      <c r="Z692" s="5" t="inlineStr">
        <is>
          <t>Low</t>
        </is>
      </c>
      <c r="AA692" s="5" t="inlineStr">
        <is>
          <t>Medium</t>
        </is>
      </c>
      <c r="AB692" s="8" t="inlineStr">
        <is>
          <t>Low</t>
        </is>
      </c>
      <c r="AC692" s="8" t="inlineStr">
        <is>
          <t>Later</t>
        </is>
      </c>
      <c r="AD692" s="5" t="inlineStr">
        <is>
          <t>Not independently checked</t>
        </is>
      </c>
      <c r="AE692" s="5" t="inlineStr">
        <is>
          <t>Not verified</t>
        </is>
      </c>
      <c r="AF692" s="5" t="inlineStr">
        <is>
          <t>Not verified</t>
        </is>
      </c>
      <c r="AG692" s="5" t="inlineStr">
        <is>
          <t>Not verified</t>
        </is>
      </c>
      <c r="AH692" s="5" t="inlineStr">
        <is>
          <t>Not verified</t>
        </is>
      </c>
      <c r="AI692" s="8" t="inlineStr">
        <is>
          <t>No</t>
        </is>
      </c>
      <c r="AJ692" s="8" t="inlineStr">
        <is>
          <t>Claimed - unverified</t>
        </is>
      </c>
      <c r="AK692" s="8" t="inlineStr">
        <is>
          <t>P1</t>
        </is>
      </c>
      <c r="AL692" s="8" t="n">
        <v>2</v>
      </c>
      <c r="AM692" s="5" t="inlineStr"/>
      <c r="AN692" s="5" t="inlineStr"/>
      <c r="AO692" s="5" t="inlineStr"/>
      <c r="AP692" s="5" t="inlineStr"/>
      <c r="AQ692" s="5" t="inlineStr"/>
      <c r="AR692" s="5" t="inlineStr"/>
      <c r="AS692" s="5" t="inlineStr"/>
      <c r="AT692" s="5" t="inlineStr"/>
      <c r="AU692" s="8" t="inlineStr">
        <is>
          <t>Not run</t>
        </is>
      </c>
    </row>
    <row r="693" ht="32" customHeight="1">
      <c r="A693" s="16" t="inlineStr">
        <is>
          <t>D-0692</t>
        </is>
      </c>
      <c r="B693" s="8" t="inlineStr">
        <is>
          <t>D</t>
        </is>
      </c>
      <c r="C693" s="5" t="inlineStr">
        <is>
          <t>AI &amp; Differentiation</t>
        </is>
      </c>
      <c r="D693" s="5" t="inlineStr">
        <is>
          <t>Inventory Lifecycle</t>
        </is>
      </c>
      <c r="E693" s="5" t="inlineStr">
        <is>
          <t>AI Dead-Stock Liquidation Assistant: identifies stagnant inventory and suggests promotional bundles</t>
        </is>
      </c>
      <c r="F693" s="5" t="inlineStr">
        <is>
          <t>Merchandising AI</t>
        </is>
      </c>
      <c r="G693" s="5" t="inlineStr">
        <is>
          <t>Business Owner</t>
        </is>
      </c>
      <c r="H693" s="5" t="inlineStr">
        <is>
          <t>Identifies items holding zero movement for 90 days; recommends pairing with fast-moving items in combo offer</t>
        </is>
      </c>
      <c r="I693" s="5" t="inlineStr">
        <is>
          <t>Converts trapped dead-stock capital back into liquid cash; prevents inventory obsolescence write-offs</t>
        </is>
      </c>
      <c r="J693" s="24" t="inlineStr">
        <is>
          <t>P3</t>
        </is>
      </c>
      <c r="K693" s="20" t="inlineStr">
        <is>
          <t>Validated (Supported)</t>
        </is>
      </c>
      <c r="L693" s="5" t="inlineStr">
        <is>
          <t>Differentiator vs basic aging reports: prescriptive promotional bundling recommendations.</t>
        </is>
      </c>
      <c r="M693" s="8" t="inlineStr">
        <is>
          <t>Strategic expansion</t>
        </is>
      </c>
      <c r="N693" s="8" t="inlineStr">
        <is>
          <t>Platform or theme scope</t>
        </is>
      </c>
      <c r="O693" s="8" t="inlineStr">
        <is>
          <t>P2</t>
        </is>
      </c>
      <c r="P693" s="5" t="inlineStr">
        <is>
          <t>Kept P3. The previous workbook had P3. Authored priority was P2.</t>
        </is>
      </c>
      <c r="Q693" s="20" t="inlineStr">
        <is>
          <t>Author assertion</t>
        </is>
      </c>
      <c r="R693" s="5" t="inlineStr">
        <is>
          <t>Kept P3. The previous workbook had P3. Authored priority was P2.</t>
        </is>
      </c>
      <c r="S693" s="8" t="inlineStr">
        <is>
          <t>INV</t>
        </is>
      </c>
      <c r="T693" s="5" t="inlineStr">
        <is>
          <t>Inventory lifecycle</t>
        </is>
      </c>
      <c r="U693" s="8" t="inlineStr"/>
      <c r="V693" s="8" t="inlineStr">
        <is>
          <t>inventory</t>
        </is>
      </c>
      <c r="W693" s="8" t="inlineStr">
        <is>
          <t>RUN</t>
        </is>
      </c>
      <c r="X693" s="5" t="inlineStr">
        <is>
          <t>Future</t>
        </is>
      </c>
      <c r="Y693" s="5" t="inlineStr">
        <is>
          <t>Platform scope</t>
        </is>
      </c>
      <c r="Z693" s="5" t="inlineStr">
        <is>
          <t>Low</t>
        </is>
      </c>
      <c r="AA693" s="5" t="inlineStr">
        <is>
          <t>High</t>
        </is>
      </c>
      <c r="AB693" s="8" t="inlineStr">
        <is>
          <t>Low</t>
        </is>
      </c>
      <c r="AC693" s="8" t="inlineStr">
        <is>
          <t>Later</t>
        </is>
      </c>
      <c r="AD693" s="5" t="inlineStr">
        <is>
          <t>Not independently checked</t>
        </is>
      </c>
      <c r="AE693" s="5" t="inlineStr">
        <is>
          <t>Not verified</t>
        </is>
      </c>
      <c r="AF693" s="5" t="inlineStr">
        <is>
          <t>Not verified</t>
        </is>
      </c>
      <c r="AG693" s="5" t="inlineStr">
        <is>
          <t>Not verified</t>
        </is>
      </c>
      <c r="AH693" s="5" t="inlineStr">
        <is>
          <t>Not verified</t>
        </is>
      </c>
      <c r="AI693" s="8" t="inlineStr">
        <is>
          <t>No</t>
        </is>
      </c>
      <c r="AJ693" s="8" t="inlineStr">
        <is>
          <t>Claimed - unverified</t>
        </is>
      </c>
      <c r="AK693" s="8" t="inlineStr">
        <is>
          <t>P3</t>
        </is>
      </c>
      <c r="AL693" s="8" t="n">
        <v>3</v>
      </c>
      <c r="AM693" s="5" t="inlineStr"/>
      <c r="AN693" s="5" t="inlineStr"/>
      <c r="AO693" s="5" t="inlineStr"/>
      <c r="AP693" s="5" t="inlineStr"/>
      <c r="AQ693" s="5" t="inlineStr"/>
      <c r="AR693" s="5" t="inlineStr"/>
      <c r="AS693" s="5" t="inlineStr"/>
      <c r="AT693" s="5" t="inlineStr"/>
      <c r="AU693" s="8" t="inlineStr">
        <is>
          <t>Not run</t>
        </is>
      </c>
    </row>
    <row r="694" ht="32" customHeight="1">
      <c r="A694" s="16" t="inlineStr">
        <is>
          <t>D-0693</t>
        </is>
      </c>
      <c r="B694" s="8" t="inlineStr">
        <is>
          <t>D</t>
        </is>
      </c>
      <c r="C694" s="5" t="inlineStr">
        <is>
          <t>AI &amp; Differentiation</t>
        </is>
      </c>
      <c r="D694" s="5" t="inlineStr">
        <is>
          <t>Master Data &amp; Authorization</t>
        </is>
      </c>
      <c r="E694" s="5" t="inlineStr">
        <is>
          <t>One-click complete Tally historical backup migration wizard</t>
        </is>
      </c>
      <c r="F694" s="5" t="inlineStr">
        <is>
          <t>Migration Engine</t>
        </is>
      </c>
      <c r="G694" s="5" t="inlineStr">
        <is>
          <t>Accountant / Owner</t>
        </is>
      </c>
      <c r="H694" s="5" t="inlineStr">
        <is>
          <t>Upload Tally XML backup; system automatically migrates all ledger masters, opening balances, and 3-year history</t>
        </is>
      </c>
      <c r="I694" s="5" t="inlineStr">
        <is>
          <t>Eliminates manual re-entry barrier; customer can switch from Tally to BizBoard in under 15 minutes</t>
        </is>
      </c>
      <c r="J694" s="19" t="inlineStr">
        <is>
          <t>P0</t>
        </is>
      </c>
      <c r="K694" s="20" t="inlineStr">
        <is>
          <t>Validated (Supported)</t>
        </is>
      </c>
      <c r="L694" s="5" t="inlineStr">
        <is>
          <t>Differentiator vs new software: automated Tally XML parser importing 100% of historical chart of accounts.</t>
        </is>
      </c>
      <c r="M694" s="8" t="inlineStr">
        <is>
          <t>Strategic expansion</t>
        </is>
      </c>
      <c r="N694" s="8" t="inlineStr">
        <is>
          <t>Platform or theme scope</t>
        </is>
      </c>
      <c r="O694" s="8" t="inlineStr">
        <is>
          <t>P0</t>
        </is>
      </c>
      <c r="P694" s="5" t="inlineStr">
        <is>
          <t>Unchanged</t>
        </is>
      </c>
      <c r="Q694" s="20" t="inlineStr">
        <is>
          <t>Author assertion</t>
        </is>
      </c>
      <c r="R694" s="5" t="inlineStr"/>
      <c r="S694" s="8" t="inlineStr">
        <is>
          <t>MASTER</t>
        </is>
      </c>
      <c r="T694" s="5" t="inlineStr">
        <is>
          <t>Master data and authorization</t>
        </is>
      </c>
      <c r="U694" s="8" t="inlineStr"/>
      <c r="V694" s="8" t="inlineStr">
        <is>
          <t>masters</t>
        </is>
      </c>
      <c r="W694" s="8" t="inlineStr">
        <is>
          <t>KERNEL</t>
        </is>
      </c>
      <c r="X694" s="5" t="inlineStr">
        <is>
          <t>Future</t>
        </is>
      </c>
      <c r="Y694" s="5" t="inlineStr">
        <is>
          <t>Platform scope</t>
        </is>
      </c>
      <c r="Z694" s="5" t="inlineStr">
        <is>
          <t>Low</t>
        </is>
      </c>
      <c r="AA694" s="5" t="inlineStr">
        <is>
          <t>Medium</t>
        </is>
      </c>
      <c r="AB694" s="8" t="inlineStr">
        <is>
          <t>Low</t>
        </is>
      </c>
      <c r="AC694" s="8" t="inlineStr">
        <is>
          <t>MVP</t>
        </is>
      </c>
      <c r="AD694" s="5" t="inlineStr">
        <is>
          <t>Not independently checked</t>
        </is>
      </c>
      <c r="AE694" s="5" t="inlineStr">
        <is>
          <t>Not verified</t>
        </is>
      </c>
      <c r="AF694" s="5" t="inlineStr">
        <is>
          <t>Not verified</t>
        </is>
      </c>
      <c r="AG694" s="5" t="inlineStr">
        <is>
          <t>Not verified</t>
        </is>
      </c>
      <c r="AH694" s="5" t="inlineStr">
        <is>
          <t>Not verified</t>
        </is>
      </c>
      <c r="AI694" s="8" t="inlineStr">
        <is>
          <t>No</t>
        </is>
      </c>
      <c r="AJ694" s="8" t="inlineStr">
        <is>
          <t>Claimed - unverified</t>
        </is>
      </c>
      <c r="AK694" s="8" t="inlineStr">
        <is>
          <t>P0</t>
        </is>
      </c>
      <c r="AL694" s="8" t="n">
        <v>2</v>
      </c>
      <c r="AM694" s="5" t="inlineStr"/>
      <c r="AN694" s="5" t="inlineStr"/>
      <c r="AO694" s="5" t="inlineStr"/>
      <c r="AP694" s="5" t="inlineStr"/>
      <c r="AQ694" s="5" t="inlineStr"/>
      <c r="AR694" s="5" t="inlineStr"/>
      <c r="AS694" s="5" t="inlineStr"/>
      <c r="AT694" s="5" t="inlineStr"/>
      <c r="AU694" s="8" t="inlineStr">
        <is>
          <t>Not run</t>
        </is>
      </c>
    </row>
    <row r="695" ht="32" customHeight="1">
      <c r="A695" s="16" t="inlineStr">
        <is>
          <t>D-0694</t>
        </is>
      </c>
      <c r="B695" s="8" t="inlineStr">
        <is>
          <t>D</t>
        </is>
      </c>
      <c r="C695" s="5" t="inlineStr">
        <is>
          <t>AI &amp; Differentiation</t>
        </is>
      </c>
      <c r="D695" s="5" t="inlineStr">
        <is>
          <t>Master Data &amp; Authorization</t>
        </is>
      </c>
      <c r="E695" s="5" t="inlineStr">
        <is>
          <t>Crowdsourced verified HSN code and statutory GST rate auto-suggester</t>
        </is>
      </c>
      <c r="F695" s="5" t="inlineStr">
        <is>
          <t>Tax Recommendation Engine</t>
        </is>
      </c>
      <c r="G695" s="5" t="inlineStr">
        <is>
          <t>Billing Clerk</t>
        </is>
      </c>
      <c r="H695" s="5" t="inlineStr">
        <is>
          <t>Type item name (e.g. 'Basmati Rice 5kg'); AI immediately suggests correct HSN code (100630) and GST rate (5%)</t>
        </is>
      </c>
      <c r="I695" s="5" t="inlineStr">
        <is>
          <t>Eliminates tax classification errors for new grocery and hardware SKUs; protects against tax penalties</t>
        </is>
      </c>
      <c r="J695" s="20" t="inlineStr">
        <is>
          <t>P1</t>
        </is>
      </c>
      <c r="K695" s="20" t="inlineStr">
        <is>
          <t>Validated (Supported)</t>
        </is>
      </c>
      <c r="L695" s="5" t="inlineStr">
        <is>
          <t>Differentiator vs competitors: AI HSN classification model trained on 500,000+ Indian retail SKUs.</t>
        </is>
      </c>
      <c r="M695" s="8" t="inlineStr">
        <is>
          <t>Strategic expansion</t>
        </is>
      </c>
      <c r="N695" s="8" t="inlineStr">
        <is>
          <t>Platform or theme scope</t>
        </is>
      </c>
      <c r="O695" s="8" t="inlineStr">
        <is>
          <t>P1</t>
        </is>
      </c>
      <c r="P695" s="5" t="inlineStr">
        <is>
          <t>Unchanged</t>
        </is>
      </c>
      <c r="Q695" s="20" t="inlineStr">
        <is>
          <t>Author assertion</t>
        </is>
      </c>
      <c r="R695" s="5" t="inlineStr"/>
      <c r="S695" s="8" t="inlineStr">
        <is>
          <t>MASTER</t>
        </is>
      </c>
      <c r="T695" s="5" t="inlineStr">
        <is>
          <t>Master data and authorization</t>
        </is>
      </c>
      <c r="U695" s="8" t="inlineStr"/>
      <c r="V695" s="8" t="inlineStr">
        <is>
          <t>masters</t>
        </is>
      </c>
      <c r="W695" s="8" t="inlineStr">
        <is>
          <t>KERNEL</t>
        </is>
      </c>
      <c r="X695" s="5" t="inlineStr">
        <is>
          <t>Future</t>
        </is>
      </c>
      <c r="Y695" s="5" t="inlineStr">
        <is>
          <t>Platform scope</t>
        </is>
      </c>
      <c r="Z695" s="5" t="inlineStr">
        <is>
          <t>Low</t>
        </is>
      </c>
      <c r="AA695" s="5" t="inlineStr">
        <is>
          <t>Medium</t>
        </is>
      </c>
      <c r="AB695" s="8" t="inlineStr">
        <is>
          <t>Low</t>
        </is>
      </c>
      <c r="AC695" s="8" t="inlineStr">
        <is>
          <t>Later</t>
        </is>
      </c>
      <c r="AD695" s="5" t="inlineStr">
        <is>
          <t>Not independently checked</t>
        </is>
      </c>
      <c r="AE695" s="5" t="inlineStr">
        <is>
          <t>Not verified</t>
        </is>
      </c>
      <c r="AF695" s="5" t="inlineStr">
        <is>
          <t>Not verified</t>
        </is>
      </c>
      <c r="AG695" s="5" t="inlineStr">
        <is>
          <t>Not verified</t>
        </is>
      </c>
      <c r="AH695" s="5" t="inlineStr">
        <is>
          <t>Not verified</t>
        </is>
      </c>
      <c r="AI695" s="8" t="inlineStr">
        <is>
          <t>No</t>
        </is>
      </c>
      <c r="AJ695" s="8" t="inlineStr">
        <is>
          <t>Claimed - unverified</t>
        </is>
      </c>
      <c r="AK695" s="8" t="inlineStr">
        <is>
          <t>P1</t>
        </is>
      </c>
      <c r="AL695" s="8" t="n">
        <v>2</v>
      </c>
      <c r="AM695" s="5" t="inlineStr"/>
      <c r="AN695" s="5" t="inlineStr"/>
      <c r="AO695" s="5" t="inlineStr"/>
      <c r="AP695" s="5" t="inlineStr"/>
      <c r="AQ695" s="5" t="inlineStr"/>
      <c r="AR695" s="5" t="inlineStr"/>
      <c r="AS695" s="5" t="inlineStr"/>
      <c r="AT695" s="5" t="inlineStr"/>
      <c r="AU695" s="8" t="inlineStr">
        <is>
          <t>Not run</t>
        </is>
      </c>
    </row>
    <row r="696" ht="32" customHeight="1">
      <c r="A696" s="16" t="inlineStr">
        <is>
          <t>D-0695</t>
        </is>
      </c>
      <c r="B696" s="8" t="inlineStr">
        <is>
          <t>D</t>
        </is>
      </c>
      <c r="C696" s="5" t="inlineStr">
        <is>
          <t>AI &amp; Differentiation</t>
        </is>
      </c>
      <c r="D696" s="5" t="inlineStr">
        <is>
          <t>Reporting &amp; Business Intelligence</t>
        </is>
      </c>
      <c r="E696" s="5" t="inlineStr">
        <is>
          <t>Daily evening 8 PM WhatsApp executive voice and summary briefing to owner</t>
        </is>
      </c>
      <c r="F696" s="5" t="inlineStr">
        <is>
          <t>Executive Briefing Bot</t>
        </is>
      </c>
      <c r="G696" s="5" t="inlineStr">
        <is>
          <t>Business Owner</t>
        </is>
      </c>
      <c r="H696" s="5" t="inlineStr">
        <is>
          <t>At 8 PM, owner receives automated WhatsApp voice message and infographic: 'Today's sales: ₹1.8L, Cash: ₹65k, Margin: 14%'</t>
        </is>
      </c>
      <c r="I696" s="5" t="inlineStr">
        <is>
          <t>Delivers complete business peace of mind without requiring owner to sit in front of computer</t>
        </is>
      </c>
      <c r="J696" s="20" t="inlineStr">
        <is>
          <t>P1</t>
        </is>
      </c>
      <c r="K696" s="20" t="inlineStr">
        <is>
          <t>Validated (Supported)</t>
        </is>
      </c>
      <c r="L696" s="5" t="inlineStr">
        <is>
          <t>Differentiator vs dashboard-only: push WhatsApp executive audio briefing and infographic summary.</t>
        </is>
      </c>
      <c r="M696" s="8" t="inlineStr">
        <is>
          <t>Strategic expansion</t>
        </is>
      </c>
      <c r="N696" s="8" t="inlineStr">
        <is>
          <t>Platform or theme scope</t>
        </is>
      </c>
      <c r="O696" s="8" t="inlineStr">
        <is>
          <t>P1</t>
        </is>
      </c>
      <c r="P696" s="5" t="inlineStr">
        <is>
          <t>Restored to authored P1. The previous workbook had P3 after a keyword rebalance.</t>
        </is>
      </c>
      <c r="Q696" s="21" t="inlineStr">
        <is>
          <t>Code symbol found</t>
        </is>
      </c>
      <c r="R696" s="5" t="inlineStr">
        <is>
          <t>Matched WhatsApp in product code. This is not a functional test. Restored to authored P1. The previous workbook had P3 after a keyword rebalance.</t>
        </is>
      </c>
      <c r="S696" s="8" t="inlineStr">
        <is>
          <t>RPT</t>
        </is>
      </c>
      <c r="T696" s="5" t="inlineStr">
        <is>
          <t>Reporting and business intelligence</t>
        </is>
      </c>
      <c r="U696" s="8" t="inlineStr"/>
      <c r="V696" s="8" t="inlineStr">
        <is>
          <t>reporting</t>
        </is>
      </c>
      <c r="W696" s="8" t="inlineStr">
        <is>
          <t>CONTROL</t>
        </is>
      </c>
      <c r="X696" s="5" t="inlineStr">
        <is>
          <t>Future</t>
        </is>
      </c>
      <c r="Y696" s="5" t="inlineStr">
        <is>
          <t>Platform scope</t>
        </is>
      </c>
      <c r="Z696" s="5" t="inlineStr">
        <is>
          <t>Low</t>
        </is>
      </c>
      <c r="AA696" s="5" t="inlineStr">
        <is>
          <t>Medium</t>
        </is>
      </c>
      <c r="AB696" s="8" t="inlineStr">
        <is>
          <t>Low</t>
        </is>
      </c>
      <c r="AC696" s="8" t="inlineStr">
        <is>
          <t>Later</t>
        </is>
      </c>
      <c r="AD696" s="5" t="inlineStr">
        <is>
          <t>Cited in code</t>
        </is>
      </c>
      <c r="AE696" s="5" t="inlineStr">
        <is>
          <t>Not verified</t>
        </is>
      </c>
      <c r="AF696" s="5" t="inlineStr">
        <is>
          <t>Not verified</t>
        </is>
      </c>
      <c r="AG696" s="5" t="inlineStr">
        <is>
          <t>Not verified</t>
        </is>
      </c>
      <c r="AH696" s="5" t="inlineStr">
        <is>
          <t>Not verified</t>
        </is>
      </c>
      <c r="AI696" s="8" t="inlineStr">
        <is>
          <t>No</t>
        </is>
      </c>
      <c r="AJ696" s="8" t="inlineStr">
        <is>
          <t>Built - unverified</t>
        </is>
      </c>
      <c r="AK696" s="8" t="inlineStr">
        <is>
          <t>P1</t>
        </is>
      </c>
      <c r="AL696" s="8" t="n">
        <v>2</v>
      </c>
      <c r="AM696" s="5" t="inlineStr"/>
      <c r="AN696" s="5" t="inlineStr"/>
      <c r="AO696" s="5" t="inlineStr"/>
      <c r="AP696" s="5" t="inlineStr"/>
      <c r="AQ696" s="5" t="inlineStr"/>
      <c r="AR696" s="5" t="inlineStr"/>
      <c r="AS696" s="5" t="inlineStr"/>
      <c r="AT696" s="5" t="inlineStr"/>
      <c r="AU696" s="8" t="inlineStr">
        <is>
          <t>Not run</t>
        </is>
      </c>
    </row>
    <row r="697" ht="32" customHeight="1">
      <c r="A697" s="16" t="inlineStr">
        <is>
          <t>D-0696</t>
        </is>
      </c>
      <c r="B697" s="8" t="inlineStr">
        <is>
          <t>D</t>
        </is>
      </c>
      <c r="C697" s="5" t="inlineStr">
        <is>
          <t>AI &amp; Differentiation</t>
        </is>
      </c>
      <c r="D697" s="5" t="inlineStr">
        <is>
          <t>Operations, Fleet &amp; Delivery</t>
        </is>
      </c>
      <c r="E697" s="5" t="inlineStr">
        <is>
          <t>Proof of Delivery (POD) photo tamper detection and GPS geo-fence verification</t>
        </is>
      </c>
      <c r="F697" s="5" t="inlineStr">
        <is>
          <t>Logistics Security Engine</t>
        </is>
      </c>
      <c r="G697" s="5" t="inlineStr">
        <is>
          <t>Logistics Manager</t>
        </is>
      </c>
      <c r="H697" s="5" t="inlineStr">
        <is>
          <t>Verify that delivery driver captured POD photo physically at customer's shop using geo-fence comparison</t>
        </is>
      </c>
      <c r="I697" s="5" t="inlineStr">
        <is>
          <t>Prevents driver delivery fraud and false delivery confirmations; eliminates customer delivery disputes</t>
        </is>
      </c>
      <c r="J697" s="24" t="inlineStr">
        <is>
          <t>P3</t>
        </is>
      </c>
      <c r="K697" s="20" t="inlineStr">
        <is>
          <t>Validated (Supported)</t>
        </is>
      </c>
      <c r="L697" s="5" t="inlineStr">
        <is>
          <t>Differentiator vs basic delivery apps: GPS geo-fence comparison against customer master coordinates.</t>
        </is>
      </c>
      <c r="M697" s="8" t="inlineStr">
        <is>
          <t>Strategic expansion</t>
        </is>
      </c>
      <c r="N697" s="8" t="inlineStr">
        <is>
          <t>Platform or theme scope</t>
        </is>
      </c>
      <c r="O697" s="8" t="inlineStr">
        <is>
          <t>P2</t>
        </is>
      </c>
      <c r="P697" s="5" t="inlineStr">
        <is>
          <t>Kept P3. The previous workbook had P3. Authored priority was P2.</t>
        </is>
      </c>
      <c r="Q697" s="20" t="inlineStr">
        <is>
          <t>Author assertion</t>
        </is>
      </c>
      <c r="R697" s="5" t="inlineStr">
        <is>
          <t>Kept P3. The previous workbook had P3. Authored priority was P2.</t>
        </is>
      </c>
      <c r="S697" s="8" t="inlineStr">
        <is>
          <t>FLEET</t>
        </is>
      </c>
      <c r="T697" s="5" t="inlineStr">
        <is>
          <t>Fleet and delivery</t>
        </is>
      </c>
      <c r="U697" s="8" t="inlineStr"/>
      <c r="V697" s="8" t="inlineStr">
        <is>
          <t>sales</t>
        </is>
      </c>
      <c r="W697" s="8" t="inlineStr">
        <is>
          <t>RUN</t>
        </is>
      </c>
      <c r="X697" s="5" t="inlineStr">
        <is>
          <t>Future</t>
        </is>
      </c>
      <c r="Y697" s="5" t="inlineStr">
        <is>
          <t>Platform scope</t>
        </is>
      </c>
      <c r="Z697" s="5" t="inlineStr">
        <is>
          <t>Low</t>
        </is>
      </c>
      <c r="AA697" s="5" t="inlineStr">
        <is>
          <t>Low</t>
        </is>
      </c>
      <c r="AB697" s="8" t="inlineStr">
        <is>
          <t>Low</t>
        </is>
      </c>
      <c r="AC697" s="8" t="inlineStr">
        <is>
          <t>Later</t>
        </is>
      </c>
      <c r="AD697" s="5" t="inlineStr">
        <is>
          <t>Not independently checked</t>
        </is>
      </c>
      <c r="AE697" s="5" t="inlineStr">
        <is>
          <t>Not verified</t>
        </is>
      </c>
      <c r="AF697" s="5" t="inlineStr">
        <is>
          <t>Not verified</t>
        </is>
      </c>
      <c r="AG697" s="5" t="inlineStr">
        <is>
          <t>Not verified</t>
        </is>
      </c>
      <c r="AH697" s="5" t="inlineStr">
        <is>
          <t>Not verified</t>
        </is>
      </c>
      <c r="AI697" s="8" t="inlineStr">
        <is>
          <t>No</t>
        </is>
      </c>
      <c r="AJ697" s="8" t="inlineStr">
        <is>
          <t>Claimed - unverified</t>
        </is>
      </c>
      <c r="AK697" s="8" t="inlineStr">
        <is>
          <t>P3</t>
        </is>
      </c>
      <c r="AL697" s="8" t="n">
        <v>1</v>
      </c>
      <c r="AM697" s="5" t="inlineStr"/>
      <c r="AN697" s="5" t="inlineStr"/>
      <c r="AO697" s="5" t="inlineStr"/>
      <c r="AP697" s="5" t="inlineStr"/>
      <c r="AQ697" s="5" t="inlineStr"/>
      <c r="AR697" s="5" t="inlineStr"/>
      <c r="AS697" s="5" t="inlineStr"/>
      <c r="AT697" s="5" t="inlineStr"/>
      <c r="AU697" s="8" t="inlineStr">
        <is>
          <t>Not run</t>
        </is>
      </c>
    </row>
    <row r="698" ht="32" customHeight="1">
      <c r="A698" s="16" t="inlineStr">
        <is>
          <t>D-0697</t>
        </is>
      </c>
      <c r="B698" s="8" t="inlineStr">
        <is>
          <t>D</t>
        </is>
      </c>
      <c r="C698" s="5" t="inlineStr">
        <is>
          <t>AI &amp; Differentiation</t>
        </is>
      </c>
      <c r="D698" s="5" t="inlineStr">
        <is>
          <t>Customer-to-Cash</t>
        </is>
      </c>
      <c r="E698" s="5" t="inlineStr">
        <is>
          <t>B2B Customer Portal with live customized price lists, ledger statements &amp; re-ordering</t>
        </is>
      </c>
      <c r="F698" s="5" t="inlineStr">
        <is>
          <t>B2B Retailer Client</t>
        </is>
      </c>
      <c r="G698" s="5" t="inlineStr">
        <is>
          <t>Wholesale Distributor</t>
        </is>
      </c>
      <c r="H698" s="5" t="inlineStr">
        <is>
          <t>Wholesale customer logs into self-service portal; sees their specific contracted pricing; places reorders 24/7</t>
        </is>
      </c>
      <c r="I698" s="5" t="inlineStr">
        <is>
          <t>Increases wholesale order volume by 22%; eliminates late-night phone calls and WhatsApp order confusion</t>
        </is>
      </c>
      <c r="J698" s="20" t="inlineStr">
        <is>
          <t>P1</t>
        </is>
      </c>
      <c r="K698" s="20" t="inlineStr">
        <is>
          <t>Validated (Supported)</t>
        </is>
      </c>
      <c r="L698" s="5" t="inlineStr">
        <is>
          <t>Differentiator vs legacy software: self-service B2B ordering portal synchronized with central ERP.</t>
        </is>
      </c>
      <c r="M698" s="8" t="inlineStr">
        <is>
          <t>Strategic expansion</t>
        </is>
      </c>
      <c r="N698" s="8" t="inlineStr">
        <is>
          <t>Platform or theme scope</t>
        </is>
      </c>
      <c r="O698" s="8" t="inlineStr">
        <is>
          <t>P1</t>
        </is>
      </c>
      <c r="P698" s="5" t="inlineStr">
        <is>
          <t>Unchanged</t>
        </is>
      </c>
      <c r="Q698" s="20" t="inlineStr">
        <is>
          <t>Author assertion</t>
        </is>
      </c>
      <c r="R698" s="5" t="inlineStr"/>
      <c r="S698" s="8" t="inlineStr">
        <is>
          <t>C2C</t>
        </is>
      </c>
      <c r="T698" s="5" t="inlineStr">
        <is>
          <t>Customer to cash</t>
        </is>
      </c>
      <c r="U698" s="8" t="inlineStr"/>
      <c r="V698" s="8" t="inlineStr">
        <is>
          <t>sales</t>
        </is>
      </c>
      <c r="W698" s="8" t="inlineStr">
        <is>
          <t>RUN</t>
        </is>
      </c>
      <c r="X698" s="5" t="inlineStr">
        <is>
          <t>Future</t>
        </is>
      </c>
      <c r="Y698" s="5" t="inlineStr">
        <is>
          <t>Platform scope</t>
        </is>
      </c>
      <c r="Z698" s="5" t="inlineStr">
        <is>
          <t>Low</t>
        </is>
      </c>
      <c r="AA698" s="5" t="inlineStr">
        <is>
          <t>Medium</t>
        </is>
      </c>
      <c r="AB698" s="8" t="inlineStr">
        <is>
          <t>Low</t>
        </is>
      </c>
      <c r="AC698" s="8" t="inlineStr">
        <is>
          <t>Later</t>
        </is>
      </c>
      <c r="AD698" s="5" t="inlineStr">
        <is>
          <t>Not independently checked</t>
        </is>
      </c>
      <c r="AE698" s="5" t="inlineStr">
        <is>
          <t>Not verified</t>
        </is>
      </c>
      <c r="AF698" s="5" t="inlineStr">
        <is>
          <t>Not verified</t>
        </is>
      </c>
      <c r="AG698" s="5" t="inlineStr">
        <is>
          <t>Not verified</t>
        </is>
      </c>
      <c r="AH698" s="5" t="inlineStr">
        <is>
          <t>Not verified</t>
        </is>
      </c>
      <c r="AI698" s="8" t="inlineStr">
        <is>
          <t>No</t>
        </is>
      </c>
      <c r="AJ698" s="8" t="inlineStr">
        <is>
          <t>Claimed - unverified</t>
        </is>
      </c>
      <c r="AK698" s="8" t="inlineStr">
        <is>
          <t>P1</t>
        </is>
      </c>
      <c r="AL698" s="8" t="n">
        <v>2</v>
      </c>
      <c r="AM698" s="5" t="inlineStr"/>
      <c r="AN698" s="5" t="inlineStr"/>
      <c r="AO698" s="5" t="inlineStr"/>
      <c r="AP698" s="5" t="inlineStr"/>
      <c r="AQ698" s="5" t="inlineStr"/>
      <c r="AR698" s="5" t="inlineStr"/>
      <c r="AS698" s="5" t="inlineStr"/>
      <c r="AT698" s="5" t="inlineStr"/>
      <c r="AU698" s="8" t="inlineStr">
        <is>
          <t>Not run</t>
        </is>
      </c>
    </row>
    <row r="699" ht="32" customHeight="1">
      <c r="A699" s="16" t="inlineStr">
        <is>
          <t>D-0698</t>
        </is>
      </c>
      <c r="B699" s="8" t="inlineStr">
        <is>
          <t>D</t>
        </is>
      </c>
      <c r="C699" s="5" t="inlineStr">
        <is>
          <t>AI &amp; Differentiation</t>
        </is>
      </c>
      <c r="D699" s="5" t="inlineStr">
        <is>
          <t>Security / Exception / Recovery</t>
        </is>
      </c>
      <c r="E699" s="5" t="inlineStr">
        <is>
          <t>Multi-branch inter-company automated balancing ledger (Mirror Transaction Engine)</t>
        </is>
      </c>
      <c r="F699" s="5" t="inlineStr">
        <is>
          <t>Inter-Company Engine</t>
        </is>
      </c>
      <c r="G699" s="5" t="inlineStr">
        <is>
          <t>Central Accountant</t>
        </is>
      </c>
      <c r="H699" s="5" t="inlineStr">
        <is>
          <t>When Branch A transfers goods to Branch B, system automatically generates matching Inward &amp; Outward vouchers</t>
        </is>
      </c>
      <c r="I699" s="5" t="inlineStr">
        <is>
          <t>Eliminates manual duplicate voucher entry; ensures inter-branch reconciliation balances to zero</t>
        </is>
      </c>
      <c r="J699" s="20" t="inlineStr">
        <is>
          <t>P1</t>
        </is>
      </c>
      <c r="K699" s="20" t="inlineStr">
        <is>
          <t>Validated (Supported)</t>
        </is>
      </c>
      <c r="L699" s="5" t="inlineStr">
        <is>
          <t>Differentiator vs single-store tools: automated double-entry mirror voucher generation.</t>
        </is>
      </c>
      <c r="M699" s="8" t="inlineStr">
        <is>
          <t>Strategic expansion</t>
        </is>
      </c>
      <c r="N699" s="8" t="inlineStr">
        <is>
          <t>Platform or theme scope</t>
        </is>
      </c>
      <c r="O699" s="8" t="inlineStr">
        <is>
          <t>P1</t>
        </is>
      </c>
      <c r="P699" s="5" t="inlineStr">
        <is>
          <t>Unchanged</t>
        </is>
      </c>
      <c r="Q699" s="20" t="inlineStr">
        <is>
          <t>Author assertion</t>
        </is>
      </c>
      <c r="R699" s="5" t="inlineStr"/>
      <c r="S699" s="8" t="inlineStr">
        <is>
          <t>OTHER</t>
        </is>
      </c>
      <c r="T699" s="5" t="inlineStr">
        <is>
          <t>Security / Exception / Recovery</t>
        </is>
      </c>
      <c r="U699" s="8" t="inlineStr"/>
      <c r="V699" s="8" t="inlineStr"/>
      <c r="W699" s="8" t="inlineStr">
        <is>
          <t>CONTROL</t>
        </is>
      </c>
      <c r="X699" s="5" t="inlineStr">
        <is>
          <t>Future</t>
        </is>
      </c>
      <c r="Y699" s="5" t="inlineStr">
        <is>
          <t>Platform scope</t>
        </is>
      </c>
      <c r="Z699" s="5" t="inlineStr">
        <is>
          <t>Medium</t>
        </is>
      </c>
      <c r="AA699" s="5" t="inlineStr">
        <is>
          <t>Medium</t>
        </is>
      </c>
      <c r="AB699" s="8" t="inlineStr">
        <is>
          <t>Medium</t>
        </is>
      </c>
      <c r="AC699" s="8" t="inlineStr">
        <is>
          <t>Later</t>
        </is>
      </c>
      <c r="AD699" s="5" t="inlineStr">
        <is>
          <t>Not independently checked</t>
        </is>
      </c>
      <c r="AE699" s="5" t="inlineStr">
        <is>
          <t>Not verified</t>
        </is>
      </c>
      <c r="AF699" s="5" t="inlineStr">
        <is>
          <t>Not verified</t>
        </is>
      </c>
      <c r="AG699" s="5" t="inlineStr">
        <is>
          <t>Not verified</t>
        </is>
      </c>
      <c r="AH699" s="5" t="inlineStr">
        <is>
          <t>Not verified</t>
        </is>
      </c>
      <c r="AI699" s="8" t="inlineStr">
        <is>
          <t>No</t>
        </is>
      </c>
      <c r="AJ699" s="8" t="inlineStr">
        <is>
          <t>Claimed - unverified</t>
        </is>
      </c>
      <c r="AK699" s="8" t="inlineStr">
        <is>
          <t>P1</t>
        </is>
      </c>
      <c r="AL699" s="8" t="n">
        <v>4</v>
      </c>
      <c r="AM699" s="5" t="inlineStr"/>
      <c r="AN699" s="5" t="inlineStr"/>
      <c r="AO699" s="5" t="inlineStr"/>
      <c r="AP699" s="5" t="inlineStr"/>
      <c r="AQ699" s="5" t="inlineStr"/>
      <c r="AR699" s="5" t="inlineStr"/>
      <c r="AS699" s="5" t="inlineStr"/>
      <c r="AT699" s="5" t="inlineStr"/>
      <c r="AU699" s="8" t="inlineStr">
        <is>
          <t>Not run</t>
        </is>
      </c>
    </row>
    <row r="700" ht="32" customHeight="1">
      <c r="A700" s="16" t="inlineStr">
        <is>
          <t>D-0699</t>
        </is>
      </c>
      <c r="B700" s="8" t="inlineStr">
        <is>
          <t>D</t>
        </is>
      </c>
      <c r="C700" s="5" t="inlineStr">
        <is>
          <t>AI &amp; Differentiation</t>
        </is>
      </c>
      <c r="D700" s="5" t="inlineStr">
        <is>
          <t>Reporting &amp; Business Intelligence</t>
        </is>
      </c>
      <c r="E700" s="5" t="inlineStr">
        <is>
          <t>Customer Lifetime Value (CLV) and churn prediction scoring</t>
        </is>
      </c>
      <c r="F700" s="5" t="inlineStr">
        <is>
          <t>CRM Analytics Engine</t>
        </is>
      </c>
      <c r="G700" s="5" t="inlineStr">
        <is>
          <t>Sales Manager</t>
        </is>
      </c>
      <c r="H700" s="5" t="inlineStr">
        <is>
          <t>Predicts which regular commercial customers are drifting to competitors based on order interval gaps</t>
        </is>
      </c>
      <c r="I700" s="5" t="inlineStr">
        <is>
          <t>Alerts sales manager to visit customer before account is completely lost to competition</t>
        </is>
      </c>
      <c r="J700" s="24" t="inlineStr">
        <is>
          <t>P3</t>
        </is>
      </c>
      <c r="K700" s="20" t="inlineStr">
        <is>
          <t>Validated (Supported)</t>
        </is>
      </c>
      <c r="L700" s="5" t="inlineStr">
        <is>
          <t>Differentiator vs basic CRM: predictive recency-frequency-monetary (RFM) churn modeling.</t>
        </is>
      </c>
      <c r="M700" s="8" t="inlineStr">
        <is>
          <t>Strategic expansion</t>
        </is>
      </c>
      <c r="N700" s="8" t="inlineStr">
        <is>
          <t>Platform or theme scope</t>
        </is>
      </c>
      <c r="O700" s="8" t="inlineStr">
        <is>
          <t>P2</t>
        </is>
      </c>
      <c r="P700" s="5" t="inlineStr">
        <is>
          <t>Kept P3. The previous workbook had P3. Authored priority was P2.</t>
        </is>
      </c>
      <c r="Q700" s="20" t="inlineStr">
        <is>
          <t>Author assertion</t>
        </is>
      </c>
      <c r="R700" s="5" t="inlineStr">
        <is>
          <t>Kept P3. The previous workbook had P3. Authored priority was P2.</t>
        </is>
      </c>
      <c r="S700" s="8" t="inlineStr">
        <is>
          <t>RPT</t>
        </is>
      </c>
      <c r="T700" s="5" t="inlineStr">
        <is>
          <t>Reporting and business intelligence</t>
        </is>
      </c>
      <c r="U700" s="8" t="inlineStr"/>
      <c r="V700" s="8" t="inlineStr">
        <is>
          <t>reporting</t>
        </is>
      </c>
      <c r="W700" s="8" t="inlineStr">
        <is>
          <t>CONTROL</t>
        </is>
      </c>
      <c r="X700" s="5" t="inlineStr">
        <is>
          <t>Future</t>
        </is>
      </c>
      <c r="Y700" s="5" t="inlineStr">
        <is>
          <t>Platform scope</t>
        </is>
      </c>
      <c r="Z700" s="5" t="inlineStr">
        <is>
          <t>Low</t>
        </is>
      </c>
      <c r="AA700" s="5" t="inlineStr">
        <is>
          <t>Low</t>
        </is>
      </c>
      <c r="AB700" s="8" t="inlineStr">
        <is>
          <t>Low</t>
        </is>
      </c>
      <c r="AC700" s="8" t="inlineStr">
        <is>
          <t>Later</t>
        </is>
      </c>
      <c r="AD700" s="5" t="inlineStr">
        <is>
          <t>Not independently checked</t>
        </is>
      </c>
      <c r="AE700" s="5" t="inlineStr">
        <is>
          <t>Not verified</t>
        </is>
      </c>
      <c r="AF700" s="5" t="inlineStr">
        <is>
          <t>Not verified</t>
        </is>
      </c>
      <c r="AG700" s="5" t="inlineStr">
        <is>
          <t>Not verified</t>
        </is>
      </c>
      <c r="AH700" s="5" t="inlineStr">
        <is>
          <t>Not verified</t>
        </is>
      </c>
      <c r="AI700" s="8" t="inlineStr">
        <is>
          <t>No</t>
        </is>
      </c>
      <c r="AJ700" s="8" t="inlineStr">
        <is>
          <t>Claimed - unverified</t>
        </is>
      </c>
      <c r="AK700" s="8" t="inlineStr">
        <is>
          <t>P3</t>
        </is>
      </c>
      <c r="AL700" s="8" t="n">
        <v>1</v>
      </c>
      <c r="AM700" s="5" t="inlineStr"/>
      <c r="AN700" s="5" t="inlineStr"/>
      <c r="AO700" s="5" t="inlineStr"/>
      <c r="AP700" s="5" t="inlineStr"/>
      <c r="AQ700" s="5" t="inlineStr"/>
      <c r="AR700" s="5" t="inlineStr"/>
      <c r="AS700" s="5" t="inlineStr"/>
      <c r="AT700" s="5" t="inlineStr"/>
      <c r="AU700" s="8" t="inlineStr">
        <is>
          <t>Not run</t>
        </is>
      </c>
    </row>
    <row r="701" ht="32" customHeight="1">
      <c r="A701" s="16" t="inlineStr">
        <is>
          <t>D-0700</t>
        </is>
      </c>
      <c r="B701" s="8" t="inlineStr">
        <is>
          <t>D</t>
        </is>
      </c>
      <c r="C701" s="5" t="inlineStr">
        <is>
          <t>AI &amp; Differentiation</t>
        </is>
      </c>
      <c r="D701" s="5" t="inlineStr">
        <is>
          <t>Communication &amp; Integrations</t>
        </is>
      </c>
      <c r="E701" s="5" t="inlineStr">
        <is>
          <t>AI automated WhatsApp payment negotiation bot with settlement discount authorization</t>
        </is>
      </c>
      <c r="F701" s="5" t="inlineStr">
        <is>
          <t>Autonomous Payment Bot</t>
        </is>
      </c>
      <c r="G701" s="5" t="inlineStr">
        <is>
          <t>Overdue Debtor</t>
        </is>
      </c>
      <c r="H701" s="5" t="inlineStr">
        <is>
          <t>AI chats with overdue customer on WhatsApp; offers authorized 2% cash discount if settled within 2 hours</t>
        </is>
      </c>
      <c r="I701" s="5" t="inlineStr">
        <is>
          <t>Recovers stalled debt autonomously without demanding manual debt collection phone calls from owner</t>
        </is>
      </c>
      <c r="J701" s="24" t="inlineStr">
        <is>
          <t>P3</t>
        </is>
      </c>
      <c r="K701" s="20" t="inlineStr">
        <is>
          <t>Validated (Supported)</t>
        </is>
      </c>
      <c r="L701" s="5" t="inlineStr">
        <is>
          <t>Differentiator: goal-directed negotiation agent operating within owner-configured discount rules.</t>
        </is>
      </c>
      <c r="M701" s="8" t="inlineStr">
        <is>
          <t>Strategic expansion</t>
        </is>
      </c>
      <c r="N701" s="8" t="inlineStr">
        <is>
          <t>Platform or theme scope</t>
        </is>
      </c>
      <c r="O701" s="8" t="inlineStr">
        <is>
          <t>P2</t>
        </is>
      </c>
      <c r="P701" s="5" t="inlineStr">
        <is>
          <t>Kept P3. The previous workbook had P3. Authored priority was P2.</t>
        </is>
      </c>
      <c r="Q701" s="20" t="inlineStr">
        <is>
          <t>Author assertion</t>
        </is>
      </c>
      <c r="R701" s="5" t="inlineStr">
        <is>
          <t>Kept P3. The previous workbook had P3. Authored priority was P2.</t>
        </is>
      </c>
      <c r="S701" s="8" t="inlineStr">
        <is>
          <t>INT</t>
        </is>
      </c>
      <c r="T701" s="5" t="inlineStr">
        <is>
          <t>Communication and integrations</t>
        </is>
      </c>
      <c r="U701" s="8" t="inlineStr"/>
      <c r="V701" s="8" t="inlineStr">
        <is>
          <t>integrations</t>
        </is>
      </c>
      <c r="W701" s="8" t="inlineStr">
        <is>
          <t>KERNEL</t>
        </is>
      </c>
      <c r="X701" s="5" t="inlineStr">
        <is>
          <t>Future</t>
        </is>
      </c>
      <c r="Y701" s="5" t="inlineStr">
        <is>
          <t>Platform scope</t>
        </is>
      </c>
      <c r="Z701" s="5" t="inlineStr">
        <is>
          <t>Low</t>
        </is>
      </c>
      <c r="AA701" s="5" t="inlineStr">
        <is>
          <t>Low</t>
        </is>
      </c>
      <c r="AB701" s="8" t="inlineStr">
        <is>
          <t>Low</t>
        </is>
      </c>
      <c r="AC701" s="8" t="inlineStr">
        <is>
          <t>Later</t>
        </is>
      </c>
      <c r="AD701" s="5" t="inlineStr">
        <is>
          <t>Not independently checked</t>
        </is>
      </c>
      <c r="AE701" s="5" t="inlineStr">
        <is>
          <t>Not verified</t>
        </is>
      </c>
      <c r="AF701" s="5" t="inlineStr">
        <is>
          <t>Not verified</t>
        </is>
      </c>
      <c r="AG701" s="5" t="inlineStr">
        <is>
          <t>Not verified</t>
        </is>
      </c>
      <c r="AH701" s="5" t="inlineStr">
        <is>
          <t>Not verified</t>
        </is>
      </c>
      <c r="AI701" s="8" t="inlineStr">
        <is>
          <t>No</t>
        </is>
      </c>
      <c r="AJ701" s="8" t="inlineStr">
        <is>
          <t>Claimed - unverified</t>
        </is>
      </c>
      <c r="AK701" s="8" t="inlineStr">
        <is>
          <t>P3</t>
        </is>
      </c>
      <c r="AL701" s="8" t="n">
        <v>1</v>
      </c>
      <c r="AM701" s="5" t="inlineStr"/>
      <c r="AN701" s="5" t="inlineStr"/>
      <c r="AO701" s="5" t="inlineStr"/>
      <c r="AP701" s="5" t="inlineStr"/>
      <c r="AQ701" s="5" t="inlineStr"/>
      <c r="AR701" s="5" t="inlineStr"/>
      <c r="AS701" s="5" t="inlineStr"/>
      <c r="AT701" s="5" t="inlineStr"/>
      <c r="AU701" s="8" t="inlineStr">
        <is>
          <t>Not run</t>
        </is>
      </c>
    </row>
    <row r="702" ht="32" customHeight="1">
      <c r="A702" s="16" t="inlineStr">
        <is>
          <t>X-0701</t>
        </is>
      </c>
      <c r="B702" s="8" t="inlineStr">
        <is>
          <t>X</t>
        </is>
      </c>
      <c r="C702" s="5" t="inlineStr">
        <is>
          <t>Multiple / Cross-persona</t>
        </is>
      </c>
      <c r="D702" s="5" t="inlineStr">
        <is>
          <t>Customer-to-Cash</t>
        </is>
      </c>
      <c r="E702" s="5" t="inlineStr">
        <is>
          <t>Concurrent checkout conflict: two cashiers bill last remaining stock unit simultaneously</t>
        </is>
      </c>
      <c r="F702" s="5" t="inlineStr">
        <is>
          <t>Two Cashiers / Inventory Engine</t>
        </is>
      </c>
      <c r="G702" s="5" t="inlineStr">
        <is>
          <t>Customer</t>
        </is>
      </c>
      <c r="H702" s="5" t="inlineStr">
        <is>
          <t>First cashier's checkout succeeds; second cashier receives immediate graceful notification: 'Item out of stock'</t>
        </is>
      </c>
      <c r="I702" s="5" t="inlineStr">
        <is>
          <t>Prevents negative inventory; prompts second cashier with alternative brand suggestions without crashing cart</t>
        </is>
      </c>
      <c r="J702" s="19" t="inlineStr">
        <is>
          <t>P0</t>
        </is>
      </c>
      <c r="K702" s="20" t="inlineStr">
        <is>
          <t>Validated (Supported)</t>
        </is>
      </c>
      <c r="L702" s="5" t="inlineStr">
        <is>
          <t>Enforced via SELECT FOR UPDATE row-level lock on StockBalance; handles concurrent race condition cleanly.</t>
        </is>
      </c>
      <c r="M702" s="8" t="inlineStr">
        <is>
          <t>Strategic expansion</t>
        </is>
      </c>
      <c r="N702" s="8" t="inlineStr">
        <is>
          <t>Cross-persona</t>
        </is>
      </c>
      <c r="O702" s="8" t="inlineStr">
        <is>
          <t>P0</t>
        </is>
      </c>
      <c r="P702" s="5" t="inlineStr">
        <is>
          <t>Unchanged</t>
        </is>
      </c>
      <c r="Q702" s="21" t="inlineStr">
        <is>
          <t>Code symbol found</t>
        </is>
      </c>
      <c r="R702" s="5" t="inlineStr">
        <is>
          <t>Matched StockBalance in product code. This is not a functional test.</t>
        </is>
      </c>
      <c r="S702" s="8" t="inlineStr">
        <is>
          <t>C2C</t>
        </is>
      </c>
      <c r="T702" s="5" t="inlineStr">
        <is>
          <t>Customer to cash</t>
        </is>
      </c>
      <c r="U702" s="8" t="inlineStr"/>
      <c r="V702" s="8" t="inlineStr">
        <is>
          <t>sales</t>
        </is>
      </c>
      <c r="W702" s="8" t="inlineStr">
        <is>
          <t>RUN</t>
        </is>
      </c>
      <c r="X702" s="5" t="inlineStr">
        <is>
          <t>Core</t>
        </is>
      </c>
      <c r="Y702" s="5" t="inlineStr">
        <is>
          <t>Cross-persona</t>
        </is>
      </c>
      <c r="Z702" s="5" t="inlineStr">
        <is>
          <t>Medium</t>
        </is>
      </c>
      <c r="AA702" s="5" t="inlineStr">
        <is>
          <t>Medium</t>
        </is>
      </c>
      <c r="AB702" s="8" t="inlineStr">
        <is>
          <t>Low</t>
        </is>
      </c>
      <c r="AC702" s="8" t="inlineStr">
        <is>
          <t>MVP</t>
        </is>
      </c>
      <c r="AD702" s="5" t="inlineStr">
        <is>
          <t>Cited in code</t>
        </is>
      </c>
      <c r="AE702" s="5" t="inlineStr">
        <is>
          <t>Not verified</t>
        </is>
      </c>
      <c r="AF702" s="5" t="inlineStr">
        <is>
          <t>Not verified</t>
        </is>
      </c>
      <c r="AG702" s="5" t="inlineStr">
        <is>
          <t>Not verified</t>
        </is>
      </c>
      <c r="AH702" s="5" t="inlineStr">
        <is>
          <t>Not verified</t>
        </is>
      </c>
      <c r="AI702" s="8" t="inlineStr">
        <is>
          <t>No</t>
        </is>
      </c>
      <c r="AJ702" s="8" t="inlineStr">
        <is>
          <t>Built - unverified</t>
        </is>
      </c>
      <c r="AK702" s="8" t="inlineStr">
        <is>
          <t>P0</t>
        </is>
      </c>
      <c r="AL702" s="8" t="n">
        <v>6</v>
      </c>
      <c r="AM702" s="5" t="inlineStr"/>
      <c r="AN702" s="5" t="inlineStr"/>
      <c r="AO702" s="5" t="inlineStr"/>
      <c r="AP702" s="5" t="inlineStr"/>
      <c r="AQ702" s="5" t="inlineStr"/>
      <c r="AR702" s="5" t="inlineStr"/>
      <c r="AS702" s="5" t="inlineStr"/>
      <c r="AT702" s="5" t="inlineStr"/>
      <c r="AU702" s="8" t="inlineStr">
        <is>
          <t>Not run</t>
        </is>
      </c>
    </row>
    <row r="703" ht="32" customHeight="1">
      <c r="A703" s="16" t="inlineStr">
        <is>
          <t>X-0702</t>
        </is>
      </c>
      <c r="B703" s="8" t="inlineStr">
        <is>
          <t>X</t>
        </is>
      </c>
      <c r="C703" s="5" t="inlineStr">
        <is>
          <t>Multiple / Cross-persona</t>
        </is>
      </c>
      <c r="D703" s="5" t="inlineStr">
        <is>
          <t>Customer-to-Cash</t>
        </is>
      </c>
      <c r="E703" s="5" t="inlineStr">
        <is>
          <t>Credit limit breach during bulk invoice: owner sends temporary one-time authorization token</t>
        </is>
      </c>
      <c r="F703" s="5" t="inlineStr">
        <is>
          <t>Billing Clerk / Business Owner</t>
        </is>
      </c>
      <c r="G703" s="5" t="inlineStr">
        <is>
          <t>Customer</t>
        </is>
      </c>
      <c r="H703" s="5" t="inlineStr">
        <is>
          <t>Customer cart exceeds credit limit; clerk sends 1-click WhatsApp approval request to owner; owner taps 'Approve'</t>
        </is>
      </c>
      <c r="I703" s="5" t="inlineStr">
        <is>
          <t>Authorizes specific invoice without permanently raising customer credit limit; checkout unfreezes immediately</t>
        </is>
      </c>
      <c r="J703" s="19" t="inlineStr">
        <is>
          <t>P0</t>
        </is>
      </c>
      <c r="K703" s="20" t="inlineStr">
        <is>
          <t>Validated (Supported)</t>
        </is>
      </c>
      <c r="L703" s="5" t="inlineStr">
        <is>
          <t>Temporary credit limit override token with 15-minute expiration and audit trail stamp.</t>
        </is>
      </c>
      <c r="M703" s="8" t="inlineStr">
        <is>
          <t>Strategic expansion</t>
        </is>
      </c>
      <c r="N703" s="8" t="inlineStr">
        <is>
          <t>Cross-persona</t>
        </is>
      </c>
      <c r="O703" s="8" t="inlineStr">
        <is>
          <t>P1</t>
        </is>
      </c>
      <c r="P703" s="5" t="inlineStr">
        <is>
          <t>Kept P0. The previous workbook had P0. Authored priority was P1.</t>
        </is>
      </c>
      <c r="Q703" s="20" t="inlineStr">
        <is>
          <t>Author assertion</t>
        </is>
      </c>
      <c r="R703" s="5" t="inlineStr">
        <is>
          <t>Kept P0. The previous workbook had P0. Authored priority was P1.</t>
        </is>
      </c>
      <c r="S703" s="8" t="inlineStr">
        <is>
          <t>C2C</t>
        </is>
      </c>
      <c r="T703" s="5" t="inlineStr">
        <is>
          <t>Customer to cash</t>
        </is>
      </c>
      <c r="U703" s="8" t="inlineStr"/>
      <c r="V703" s="8" t="inlineStr">
        <is>
          <t>sales</t>
        </is>
      </c>
      <c r="W703" s="8" t="inlineStr">
        <is>
          <t>RUN</t>
        </is>
      </c>
      <c r="X703" s="5" t="inlineStr">
        <is>
          <t>Core</t>
        </is>
      </c>
      <c r="Y703" s="5" t="inlineStr">
        <is>
          <t>Cross-persona</t>
        </is>
      </c>
      <c r="Z703" s="5" t="inlineStr">
        <is>
          <t>Medium</t>
        </is>
      </c>
      <c r="AA703" s="5" t="inlineStr">
        <is>
          <t>Medium</t>
        </is>
      </c>
      <c r="AB703" s="8" t="inlineStr">
        <is>
          <t>Low</t>
        </is>
      </c>
      <c r="AC703" s="8" t="inlineStr">
        <is>
          <t>MVP</t>
        </is>
      </c>
      <c r="AD703" s="5" t="inlineStr">
        <is>
          <t>Not independently checked</t>
        </is>
      </c>
      <c r="AE703" s="5" t="inlineStr">
        <is>
          <t>Not verified</t>
        </is>
      </c>
      <c r="AF703" s="5" t="inlineStr">
        <is>
          <t>Not verified</t>
        </is>
      </c>
      <c r="AG703" s="5" t="inlineStr">
        <is>
          <t>Not verified</t>
        </is>
      </c>
      <c r="AH703" s="5" t="inlineStr">
        <is>
          <t>Not verified</t>
        </is>
      </c>
      <c r="AI703" s="8" t="inlineStr">
        <is>
          <t>No</t>
        </is>
      </c>
      <c r="AJ703" s="8" t="inlineStr">
        <is>
          <t>Claimed - unverified</t>
        </is>
      </c>
      <c r="AK703" s="8" t="inlineStr">
        <is>
          <t>P0</t>
        </is>
      </c>
      <c r="AL703" s="8" t="n">
        <v>6</v>
      </c>
      <c r="AM703" s="5" t="inlineStr"/>
      <c r="AN703" s="5" t="inlineStr"/>
      <c r="AO703" s="5" t="inlineStr"/>
      <c r="AP703" s="5" t="inlineStr"/>
      <c r="AQ703" s="5" t="inlineStr"/>
      <c r="AR703" s="5" t="inlineStr"/>
      <c r="AS703" s="5" t="inlineStr"/>
      <c r="AT703" s="5" t="inlineStr"/>
      <c r="AU703" s="8" t="inlineStr">
        <is>
          <t>Not run</t>
        </is>
      </c>
    </row>
    <row r="704" ht="32" customHeight="1">
      <c r="A704" s="16" t="inlineStr">
        <is>
          <t>X-0703</t>
        </is>
      </c>
      <c r="B704" s="8" t="inlineStr">
        <is>
          <t>X</t>
        </is>
      </c>
      <c r="C704" s="5" t="inlineStr">
        <is>
          <t>Multiple / Cross-persona</t>
        </is>
      </c>
      <c r="D704" s="5" t="inlineStr">
        <is>
          <t>Payments &amp; Reconciliation</t>
        </is>
      </c>
      <c r="E704" s="5" t="inlineStr">
        <is>
          <t>Customer overpays invoice via UPI: excess balance routed to unallocated customer advance account</t>
        </is>
      </c>
      <c r="F704" s="5" t="inlineStr">
        <is>
          <t>Accounts Cashier</t>
        </is>
      </c>
      <c r="G704" s="5" t="inlineStr">
        <is>
          <t>Customer</t>
        </is>
      </c>
      <c r="H704" s="5" t="inlineStr">
        <is>
          <t>Customer owes ₹4,800 but transfers ₹5,000; invoice is marked PAID and ₹200 credited to Customer Advance account</t>
        </is>
      </c>
      <c r="I704" s="5" t="inlineStr">
        <is>
          <t>Maintains exact accounting balance; automatically applies ₹200 credit against next purchase</t>
        </is>
      </c>
      <c r="J704" s="20" t="inlineStr">
        <is>
          <t>P1</t>
        </is>
      </c>
      <c r="K704" s="20" t="inlineStr">
        <is>
          <t>Validated (Supported)</t>
        </is>
      </c>
      <c r="L704" s="5" t="inlineStr">
        <is>
          <t>PaymentAllocation splits receipt: ₹4,800 applied to invoice, ₹200 created as Advance credit voucher.</t>
        </is>
      </c>
      <c r="M704" s="8" t="inlineStr">
        <is>
          <t>Strategic expansion</t>
        </is>
      </c>
      <c r="N704" s="8" t="inlineStr">
        <is>
          <t>Cross-persona</t>
        </is>
      </c>
      <c r="O704" s="8" t="inlineStr">
        <is>
          <t>P1</t>
        </is>
      </c>
      <c r="P704" s="5" t="inlineStr">
        <is>
          <t>Unchanged</t>
        </is>
      </c>
      <c r="Q704" s="21" t="inlineStr">
        <is>
          <t>Code symbol found</t>
        </is>
      </c>
      <c r="R704" s="5" t="inlineStr">
        <is>
          <t>Matched PaymentAllocation in product code. This is not a functional test.</t>
        </is>
      </c>
      <c r="S704" s="8" t="inlineStr">
        <is>
          <t>PAYREC</t>
        </is>
      </c>
      <c r="T704" s="5" t="inlineStr">
        <is>
          <t>Payments and reconciliation</t>
        </is>
      </c>
      <c r="U704" s="8" t="inlineStr"/>
      <c r="V704" s="8" t="inlineStr">
        <is>
          <t>payments</t>
        </is>
      </c>
      <c r="W704" s="8" t="inlineStr">
        <is>
          <t>RUN</t>
        </is>
      </c>
      <c r="X704" s="5" t="inlineStr">
        <is>
          <t>Core</t>
        </is>
      </c>
      <c r="Y704" s="5" t="inlineStr">
        <is>
          <t>Cross-persona</t>
        </is>
      </c>
      <c r="Z704" s="5" t="inlineStr">
        <is>
          <t>High</t>
        </is>
      </c>
      <c r="AA704" s="5" t="inlineStr">
        <is>
          <t>High</t>
        </is>
      </c>
      <c r="AB704" s="8" t="inlineStr">
        <is>
          <t>Low</t>
        </is>
      </c>
      <c r="AC704" s="8" t="inlineStr">
        <is>
          <t>Pilot</t>
        </is>
      </c>
      <c r="AD704" s="5" t="inlineStr">
        <is>
          <t>Cited in code</t>
        </is>
      </c>
      <c r="AE704" s="5" t="inlineStr">
        <is>
          <t>Not verified</t>
        </is>
      </c>
      <c r="AF704" s="5" t="inlineStr">
        <is>
          <t>Not verified</t>
        </is>
      </c>
      <c r="AG704" s="5" t="inlineStr">
        <is>
          <t>Not verified</t>
        </is>
      </c>
      <c r="AH704" s="5" t="inlineStr">
        <is>
          <t>Not verified</t>
        </is>
      </c>
      <c r="AI704" s="8" t="inlineStr">
        <is>
          <t>No</t>
        </is>
      </c>
      <c r="AJ704" s="8" t="inlineStr">
        <is>
          <t>Built - unverified</t>
        </is>
      </c>
      <c r="AK704" s="8" t="inlineStr">
        <is>
          <t>P1</t>
        </is>
      </c>
      <c r="AL704" s="8" t="n">
        <v>9</v>
      </c>
      <c r="AM704" s="5" t="inlineStr"/>
      <c r="AN704" s="5" t="inlineStr"/>
      <c r="AO704" s="5" t="inlineStr"/>
      <c r="AP704" s="5" t="inlineStr"/>
      <c r="AQ704" s="5" t="inlineStr"/>
      <c r="AR704" s="5" t="inlineStr"/>
      <c r="AS704" s="5" t="inlineStr"/>
      <c r="AT704" s="5" t="inlineStr"/>
      <c r="AU704" s="8" t="inlineStr">
        <is>
          <t>Not run</t>
        </is>
      </c>
    </row>
    <row r="705" ht="32" customHeight="1">
      <c r="A705" s="16" t="inlineStr">
        <is>
          <t>X-0704</t>
        </is>
      </c>
      <c r="B705" s="8" t="inlineStr">
        <is>
          <t>X</t>
        </is>
      </c>
      <c r="C705" s="5" t="inlineStr">
        <is>
          <t>Multiple / Cross-persona</t>
        </is>
      </c>
      <c r="D705" s="5" t="inlineStr">
        <is>
          <t>Procure-to-Pay</t>
        </is>
      </c>
      <c r="E705" s="5" t="inlineStr">
        <is>
          <t>Purchase bill rate higher than PO contracted rate: system flags price variance for manager approval</t>
        </is>
      </c>
      <c r="F705" s="5" t="inlineStr">
        <is>
          <t>In-house Accountant / Purchase Manager</t>
        </is>
      </c>
      <c r="G705" s="5" t="inlineStr">
        <is>
          <t>Supplier</t>
        </is>
      </c>
      <c r="H705" s="5" t="inlineStr">
        <is>
          <t>Supplier bills ₹110/unit against approved PO contracted rate of ₹100/unit; variance flagged before AP posting</t>
        </is>
      </c>
      <c r="I705" s="5" t="inlineStr">
        <is>
          <t>Holds invoice payment; prompts Purchase Manager to approve price escalation or generate supplier debit note</t>
        </is>
      </c>
      <c r="J705" s="20" t="inlineStr">
        <is>
          <t>P1</t>
        </is>
      </c>
      <c r="K705" s="20" t="inlineStr">
        <is>
          <t>Validated (Supported)</t>
        </is>
      </c>
      <c r="L705" s="5" t="inlineStr">
        <is>
          <t>Automated 3-way matching price tolerance check (0% default tolerance).</t>
        </is>
      </c>
      <c r="M705" s="8" t="inlineStr">
        <is>
          <t>Strategic expansion</t>
        </is>
      </c>
      <c r="N705" s="8" t="inlineStr">
        <is>
          <t>Cross-persona</t>
        </is>
      </c>
      <c r="O705" s="8" t="inlineStr">
        <is>
          <t>P1</t>
        </is>
      </c>
      <c r="P705" s="5" t="inlineStr">
        <is>
          <t>Unchanged</t>
        </is>
      </c>
      <c r="Q705" s="20" t="inlineStr">
        <is>
          <t>Author assertion</t>
        </is>
      </c>
      <c r="R705" s="5" t="inlineStr"/>
      <c r="S705" s="8" t="inlineStr">
        <is>
          <t>P2P</t>
        </is>
      </c>
      <c r="T705" s="5" t="inlineStr">
        <is>
          <t>Procure to pay</t>
        </is>
      </c>
      <c r="U705" s="8" t="inlineStr"/>
      <c r="V705" s="8" t="inlineStr">
        <is>
          <t>purchases</t>
        </is>
      </c>
      <c r="W705" s="8" t="inlineStr">
        <is>
          <t>RUN</t>
        </is>
      </c>
      <c r="X705" s="5" t="inlineStr">
        <is>
          <t>Core</t>
        </is>
      </c>
      <c r="Y705" s="5" t="inlineStr">
        <is>
          <t>Cross-persona</t>
        </is>
      </c>
      <c r="Z705" s="5" t="inlineStr">
        <is>
          <t>Medium</t>
        </is>
      </c>
      <c r="AA705" s="5" t="inlineStr">
        <is>
          <t>Medium</t>
        </is>
      </c>
      <c r="AB705" s="8" t="inlineStr">
        <is>
          <t>Low</t>
        </is>
      </c>
      <c r="AC705" s="8" t="inlineStr">
        <is>
          <t>Pilot</t>
        </is>
      </c>
      <c r="AD705" s="5" t="inlineStr">
        <is>
          <t>Not independently checked</t>
        </is>
      </c>
      <c r="AE705" s="5" t="inlineStr">
        <is>
          <t>Not verified</t>
        </is>
      </c>
      <c r="AF705" s="5" t="inlineStr">
        <is>
          <t>Not verified</t>
        </is>
      </c>
      <c r="AG705" s="5" t="inlineStr">
        <is>
          <t>Not verified</t>
        </is>
      </c>
      <c r="AH705" s="5" t="inlineStr">
        <is>
          <t>Not verified</t>
        </is>
      </c>
      <c r="AI705" s="8" t="inlineStr">
        <is>
          <t>No</t>
        </is>
      </c>
      <c r="AJ705" s="8" t="inlineStr">
        <is>
          <t>Claimed - unverified</t>
        </is>
      </c>
      <c r="AK705" s="8" t="inlineStr">
        <is>
          <t>P1</t>
        </is>
      </c>
      <c r="AL705" s="8" t="n">
        <v>6</v>
      </c>
      <c r="AM705" s="5" t="inlineStr"/>
      <c r="AN705" s="5" t="inlineStr"/>
      <c r="AO705" s="5" t="inlineStr"/>
      <c r="AP705" s="5" t="inlineStr"/>
      <c r="AQ705" s="5" t="inlineStr"/>
      <c r="AR705" s="5" t="inlineStr"/>
      <c r="AS705" s="5" t="inlineStr"/>
      <c r="AT705" s="5" t="inlineStr"/>
      <c r="AU705" s="8" t="inlineStr">
        <is>
          <t>Not run</t>
        </is>
      </c>
    </row>
    <row r="706" ht="32" customHeight="1">
      <c r="A706" s="16" t="inlineStr">
        <is>
          <t>X-0705</t>
        </is>
      </c>
      <c r="B706" s="8" t="inlineStr">
        <is>
          <t>X</t>
        </is>
      </c>
      <c r="C706" s="5" t="inlineStr">
        <is>
          <t>Multiple / Cross-persona</t>
        </is>
      </c>
      <c r="D706" s="5" t="inlineStr">
        <is>
          <t>Returns / Complaints / After-Sales</t>
        </is>
      </c>
      <c r="E706" s="5" t="inlineStr">
        <is>
          <t>Customer returns serialized product after 6 months: system verifies serial warranty and original purchase bill</t>
        </is>
      </c>
      <c r="F706" s="5" t="inlineStr">
        <is>
          <t>Customer Service / Store Clerk</t>
        </is>
      </c>
      <c r="G706" s="5" t="inlineStr">
        <is>
          <t>Customer</t>
        </is>
      </c>
      <c r="H706" s="5" t="inlineStr">
        <is>
          <t>Customer brings back broken appliance; scanning serial number brings up original purchase date and warranty terms</t>
        </is>
      </c>
      <c r="I706" s="5" t="inlineStr">
        <is>
          <t>Verifies warranty is still valid; checks serial history; initiates warranty replacement workflow</t>
        </is>
      </c>
      <c r="J706" s="20" t="inlineStr">
        <is>
          <t>P1</t>
        </is>
      </c>
      <c r="K706" s="20" t="inlineStr">
        <is>
          <t>Validated (Supported)</t>
        </is>
      </c>
      <c r="L706" s="5" t="inlineStr">
        <is>
          <t>SerialNumber lifecycle search linking serial to original SalesInvoice and warranty expiry.</t>
        </is>
      </c>
      <c r="M706" s="8" t="inlineStr">
        <is>
          <t>Strategic expansion</t>
        </is>
      </c>
      <c r="N706" s="8" t="inlineStr">
        <is>
          <t>Cross-persona</t>
        </is>
      </c>
      <c r="O706" s="8" t="inlineStr">
        <is>
          <t>P1</t>
        </is>
      </c>
      <c r="P706" s="5" t="inlineStr">
        <is>
          <t>Unchanged</t>
        </is>
      </c>
      <c r="Q706" s="21" t="inlineStr">
        <is>
          <t>Code symbol found</t>
        </is>
      </c>
      <c r="R706" s="5" t="inlineStr">
        <is>
          <t>Matched SerialNumber in product code. This is not a functional test.</t>
        </is>
      </c>
      <c r="S706" s="8" t="inlineStr">
        <is>
          <t>RET</t>
        </is>
      </c>
      <c r="T706" s="5" t="inlineStr">
        <is>
          <t>Returns, complaints, and after-sales</t>
        </is>
      </c>
      <c r="U706" s="8" t="inlineStr"/>
      <c r="V706" s="8" t="inlineStr">
        <is>
          <t>sales</t>
        </is>
      </c>
      <c r="W706" s="8" t="inlineStr">
        <is>
          <t>RUN</t>
        </is>
      </c>
      <c r="X706" s="5" t="inlineStr">
        <is>
          <t>Core</t>
        </is>
      </c>
      <c r="Y706" s="5" t="inlineStr">
        <is>
          <t>Cross-persona</t>
        </is>
      </c>
      <c r="Z706" s="5" t="inlineStr">
        <is>
          <t>Medium</t>
        </is>
      </c>
      <c r="AA706" s="5" t="inlineStr">
        <is>
          <t>Medium</t>
        </is>
      </c>
      <c r="AB706" s="8" t="inlineStr">
        <is>
          <t>Low</t>
        </is>
      </c>
      <c r="AC706" s="8" t="inlineStr">
        <is>
          <t>Pilot</t>
        </is>
      </c>
      <c r="AD706" s="5" t="inlineStr">
        <is>
          <t>Cited in code</t>
        </is>
      </c>
      <c r="AE706" s="5" t="inlineStr">
        <is>
          <t>Not verified</t>
        </is>
      </c>
      <c r="AF706" s="5" t="inlineStr">
        <is>
          <t>Not verified</t>
        </is>
      </c>
      <c r="AG706" s="5" t="inlineStr">
        <is>
          <t>Not verified</t>
        </is>
      </c>
      <c r="AH706" s="5" t="inlineStr">
        <is>
          <t>Not verified</t>
        </is>
      </c>
      <c r="AI706" s="8" t="inlineStr">
        <is>
          <t>No</t>
        </is>
      </c>
      <c r="AJ706" s="8" t="inlineStr">
        <is>
          <t>Built - unverified</t>
        </is>
      </c>
      <c r="AK706" s="8" t="inlineStr">
        <is>
          <t>P1</t>
        </is>
      </c>
      <c r="AL706" s="8" t="n">
        <v>6</v>
      </c>
      <c r="AM706" s="5" t="inlineStr"/>
      <c r="AN706" s="5" t="inlineStr"/>
      <c r="AO706" s="5" t="inlineStr"/>
      <c r="AP706" s="5" t="inlineStr"/>
      <c r="AQ706" s="5" t="inlineStr"/>
      <c r="AR706" s="5" t="inlineStr"/>
      <c r="AS706" s="5" t="inlineStr"/>
      <c r="AT706" s="5" t="inlineStr"/>
      <c r="AU706" s="8" t="inlineStr">
        <is>
          <t>Not run</t>
        </is>
      </c>
    </row>
    <row r="707" ht="32" customHeight="1">
      <c r="A707" s="16" t="inlineStr">
        <is>
          <t>X-0706</t>
        </is>
      </c>
      <c r="B707" s="8" t="inlineStr">
        <is>
          <t>X</t>
        </is>
      </c>
      <c r="C707" s="5" t="inlineStr">
        <is>
          <t>Multiple / Cross-persona</t>
        </is>
      </c>
      <c r="D707" s="5" t="inlineStr">
        <is>
          <t>Multi-Godown / Multi-Store</t>
        </is>
      </c>
      <c r="E707" s="5" t="inlineStr">
        <is>
          <t>Inter-godown transfer vehicle breakdown: goods transshipped to new tempo with E-Way Bill Part B update</t>
        </is>
      </c>
      <c r="F707" s="5" t="inlineStr">
        <is>
          <t>Logistics Dispatcher</t>
        </is>
      </c>
      <c r="G707" s="5" t="inlineStr">
        <is>
          <t>Delivery Drivers / Transporter</t>
        </is>
      </c>
      <c r="H707" s="5" t="inlineStr">
        <is>
          <t>Delivery tempo carrying ₹10L goods breaks down on highway; goods moved to backup tempo; Part B updated</t>
        </is>
      </c>
      <c r="I707" s="5" t="inlineStr">
        <is>
          <t>Updates active E-Way Bill vehicle number; preserves transit insurance coverage; prevents police impoundment</t>
        </is>
      </c>
      <c r="J707" s="19" t="inlineStr">
        <is>
          <t>P0</t>
        </is>
      </c>
      <c r="K707" s="20" t="inlineStr">
        <is>
          <t>Validated (Supported)</t>
        </is>
      </c>
      <c r="L707" s="5" t="inlineStr">
        <is>
          <t>E-Way Bill Part B vehicle update workflow recording transshipment reason and new vehicle RC.</t>
        </is>
      </c>
      <c r="M707" s="8" t="inlineStr">
        <is>
          <t>Strategic expansion</t>
        </is>
      </c>
      <c r="N707" s="8" t="inlineStr">
        <is>
          <t>Cross-persona</t>
        </is>
      </c>
      <c r="O707" s="8" t="inlineStr">
        <is>
          <t>P1</t>
        </is>
      </c>
      <c r="P707" s="5" t="inlineStr">
        <is>
          <t>Kept P0. The previous workbook had P0. Authored priority was P1.</t>
        </is>
      </c>
      <c r="Q707" s="20" t="inlineStr">
        <is>
          <t>Author assertion</t>
        </is>
      </c>
      <c r="R707" s="5" t="inlineStr">
        <is>
          <t>Kept P0. The previous workbook had P0. Authored priority was P1.</t>
        </is>
      </c>
      <c r="S707" s="8" t="inlineStr">
        <is>
          <t>WH</t>
        </is>
      </c>
      <c r="T707" s="5" t="inlineStr">
        <is>
          <t>Multi-godown and multi-store</t>
        </is>
      </c>
      <c r="U707" s="8" t="inlineStr"/>
      <c r="V707" s="8" t="inlineStr">
        <is>
          <t>inventory</t>
        </is>
      </c>
      <c r="W707" s="8" t="inlineStr">
        <is>
          <t>RUN</t>
        </is>
      </c>
      <c r="X707" s="5" t="inlineStr">
        <is>
          <t>Core</t>
        </is>
      </c>
      <c r="Y707" s="5" t="inlineStr">
        <is>
          <t>Cross-persona</t>
        </is>
      </c>
      <c r="Z707" s="5" t="inlineStr">
        <is>
          <t>Medium</t>
        </is>
      </c>
      <c r="AA707" s="5" t="inlineStr">
        <is>
          <t>Medium</t>
        </is>
      </c>
      <c r="AB707" s="8" t="inlineStr">
        <is>
          <t>Low</t>
        </is>
      </c>
      <c r="AC707" s="8" t="inlineStr">
        <is>
          <t>MVP</t>
        </is>
      </c>
      <c r="AD707" s="5" t="inlineStr">
        <is>
          <t>Not independently checked</t>
        </is>
      </c>
      <c r="AE707" s="5" t="inlineStr">
        <is>
          <t>Not verified</t>
        </is>
      </c>
      <c r="AF707" s="5" t="inlineStr">
        <is>
          <t>Not verified</t>
        </is>
      </c>
      <c r="AG707" s="5" t="inlineStr">
        <is>
          <t>Not verified</t>
        </is>
      </c>
      <c r="AH707" s="5" t="inlineStr">
        <is>
          <t>Not verified</t>
        </is>
      </c>
      <c r="AI707" s="8" t="inlineStr">
        <is>
          <t>No</t>
        </is>
      </c>
      <c r="AJ707" s="8" t="inlineStr">
        <is>
          <t>Claimed - unverified</t>
        </is>
      </c>
      <c r="AK707" s="8" t="inlineStr">
        <is>
          <t>P0</t>
        </is>
      </c>
      <c r="AL707" s="8" t="n">
        <v>6</v>
      </c>
      <c r="AM707" s="5" t="inlineStr"/>
      <c r="AN707" s="5" t="inlineStr"/>
      <c r="AO707" s="5" t="inlineStr"/>
      <c r="AP707" s="5" t="inlineStr"/>
      <c r="AQ707" s="5" t="inlineStr"/>
      <c r="AR707" s="5" t="inlineStr"/>
      <c r="AS707" s="5" t="inlineStr"/>
      <c r="AT707" s="5" t="inlineStr"/>
      <c r="AU707" s="8" t="inlineStr">
        <is>
          <t>Not run</t>
        </is>
      </c>
    </row>
    <row r="708" ht="32" customHeight="1">
      <c r="A708" s="16" t="inlineStr">
        <is>
          <t>X-0707</t>
        </is>
      </c>
      <c r="B708" s="8" t="inlineStr">
        <is>
          <t>X</t>
        </is>
      </c>
      <c r="C708" s="5" t="inlineStr">
        <is>
          <t>Multiple / Cross-persona</t>
        </is>
      </c>
      <c r="D708" s="5" t="inlineStr">
        <is>
          <t>GST / Tax / Compliance</t>
        </is>
      </c>
      <c r="E708" s="5" t="inlineStr">
        <is>
          <t>Supplier cancelled GSTIN after issuing invoice: system blocks ITC and alerts purchase team</t>
        </is>
      </c>
      <c r="F708" s="5" t="inlineStr">
        <is>
          <t>GST Guard Engine</t>
        </is>
      </c>
      <c r="G708" s="5" t="inlineStr">
        <is>
          <t>In-house Accountant / Purchase Manager</t>
        </is>
      </c>
      <c r="H708" s="5" t="inlineStr">
        <is>
          <t>Supplier was active when bill was dated but cancelled GSTIN before filing GSTR-1; system flags tax risk</t>
        </is>
      </c>
      <c r="I708" s="5" t="inlineStr">
        <is>
          <t>Quarantines Input Tax Credit; holds pending payments to supplier until tax filing status is resolved</t>
        </is>
      </c>
      <c r="J708" s="19" t="inlineStr">
        <is>
          <t>P0</t>
        </is>
      </c>
      <c r="K708" s="20" t="inlineStr">
        <is>
          <t>Validated (Supported)</t>
        </is>
      </c>
      <c r="L708" s="5" t="inlineStr">
        <is>
          <t>GSTIN status verification engine cross-checking active registration status before ITC claim.</t>
        </is>
      </c>
      <c r="M708" s="8" t="inlineStr">
        <is>
          <t>Strategic expansion</t>
        </is>
      </c>
      <c r="N708" s="8" t="inlineStr">
        <is>
          <t>Cross-persona</t>
        </is>
      </c>
      <c r="O708" s="8" t="inlineStr">
        <is>
          <t>P0</t>
        </is>
      </c>
      <c r="P708" s="5" t="inlineStr">
        <is>
          <t>Unchanged</t>
        </is>
      </c>
      <c r="Q708" s="20" t="inlineStr">
        <is>
          <t>Author assertion</t>
        </is>
      </c>
      <c r="R708" s="5" t="inlineStr"/>
      <c r="S708" s="8" t="inlineStr">
        <is>
          <t>GST</t>
        </is>
      </c>
      <c r="T708" s="5" t="inlineStr">
        <is>
          <t>GST and tax compliance</t>
        </is>
      </c>
      <c r="U708" s="8" t="inlineStr"/>
      <c r="V708" s="8" t="inlineStr">
        <is>
          <t>accounting</t>
        </is>
      </c>
      <c r="W708" s="8" t="inlineStr">
        <is>
          <t>CONTROL</t>
        </is>
      </c>
      <c r="X708" s="5" t="inlineStr">
        <is>
          <t>Core</t>
        </is>
      </c>
      <c r="Y708" s="5" t="inlineStr">
        <is>
          <t>Cross-persona</t>
        </is>
      </c>
      <c r="Z708" s="5" t="inlineStr">
        <is>
          <t>Critical</t>
        </is>
      </c>
      <c r="AA708" s="5" t="inlineStr">
        <is>
          <t>High</t>
        </is>
      </c>
      <c r="AB708" s="8" t="inlineStr">
        <is>
          <t>High</t>
        </is>
      </c>
      <c r="AC708" s="8" t="inlineStr">
        <is>
          <t>MVP</t>
        </is>
      </c>
      <c r="AD708" s="5" t="inlineStr">
        <is>
          <t>Not independently checked</t>
        </is>
      </c>
      <c r="AE708" s="5" t="inlineStr">
        <is>
          <t>Not verified</t>
        </is>
      </c>
      <c r="AF708" s="5" t="inlineStr">
        <is>
          <t>Not verified</t>
        </is>
      </c>
      <c r="AG708" s="5" t="inlineStr">
        <is>
          <t>Not verified</t>
        </is>
      </c>
      <c r="AH708" s="5" t="inlineStr">
        <is>
          <t>Not verified</t>
        </is>
      </c>
      <c r="AI708" s="8" t="inlineStr">
        <is>
          <t>No</t>
        </is>
      </c>
      <c r="AJ708" s="8" t="inlineStr">
        <is>
          <t>Claimed - unverified</t>
        </is>
      </c>
      <c r="AK708" s="8" t="inlineStr">
        <is>
          <t>P0</t>
        </is>
      </c>
      <c r="AL708" s="8" t="n">
        <v>27</v>
      </c>
      <c r="AM708" s="5" t="inlineStr"/>
      <c r="AN708" s="5" t="inlineStr"/>
      <c r="AO708" s="5" t="inlineStr"/>
      <c r="AP708" s="5" t="inlineStr"/>
      <c r="AQ708" s="5" t="inlineStr"/>
      <c r="AR708" s="5" t="inlineStr"/>
      <c r="AS708" s="5" t="inlineStr"/>
      <c r="AT708" s="5" t="inlineStr"/>
      <c r="AU708" s="8" t="inlineStr">
        <is>
          <t>Not run</t>
        </is>
      </c>
    </row>
    <row r="709" ht="32" customHeight="1">
      <c r="A709" s="16" t="inlineStr">
        <is>
          <t>X-0708</t>
        </is>
      </c>
      <c r="B709" s="8" t="inlineStr">
        <is>
          <t>X</t>
        </is>
      </c>
      <c r="C709" s="5" t="inlineStr">
        <is>
          <t>Multiple / Cross-persona</t>
        </is>
      </c>
      <c r="D709" s="5" t="inlineStr">
        <is>
          <t>Security / Exception / Recovery</t>
        </is>
      </c>
      <c r="E709" s="5" t="inlineStr">
        <is>
          <t>Network disconnects during thermal receipt printing: reprint last completed receipt with 1 key</t>
        </is>
      </c>
      <c r="F709" s="5" t="inlineStr">
        <is>
          <t>Counter Billing Clerk</t>
        </is>
      </c>
      <c r="G709" s="5" t="inlineStr">
        <is>
          <t>Walk-in Customer</t>
        </is>
      </c>
      <c r="H709" s="5" t="inlineStr">
        <is>
          <t>Thermal printer runs out of paper roll midway through printing; cashier inserts new roll and presses 'Reprint'</t>
        </is>
      </c>
      <c r="I709" s="5" t="inlineStr">
        <is>
          <t>Reprints exact duplicate receipt stamped with 'DUPLICATE COPY' header without re-creating bill or stock deduction</t>
        </is>
      </c>
      <c r="J709" s="20" t="inlineStr">
        <is>
          <t>P1</t>
        </is>
      </c>
      <c r="K709" s="20" t="inlineStr">
        <is>
          <t>Validated (Supported)</t>
        </is>
      </c>
      <c r="L709" s="5" t="inlineStr">
        <is>
          <t>POS 'Reprint Last Bill' action (Ctrl+P) pulling cached print payload without database mutation.</t>
        </is>
      </c>
      <c r="M709" s="8" t="inlineStr">
        <is>
          <t>Strategic expansion</t>
        </is>
      </c>
      <c r="N709" s="8" t="inlineStr">
        <is>
          <t>Cross-persona</t>
        </is>
      </c>
      <c r="O709" s="8" t="inlineStr">
        <is>
          <t>P1</t>
        </is>
      </c>
      <c r="P709" s="5" t="inlineStr">
        <is>
          <t>Unchanged</t>
        </is>
      </c>
      <c r="Q709" s="20" t="inlineStr">
        <is>
          <t>Author assertion</t>
        </is>
      </c>
      <c r="R709" s="5" t="inlineStr"/>
      <c r="S709" s="8" t="inlineStr">
        <is>
          <t>OTHER</t>
        </is>
      </c>
      <c r="T709" s="5" t="inlineStr">
        <is>
          <t>Security / Exception / Recovery</t>
        </is>
      </c>
      <c r="U709" s="8" t="inlineStr"/>
      <c r="V709" s="8" t="inlineStr"/>
      <c r="W709" s="8" t="inlineStr">
        <is>
          <t>CONTROL</t>
        </is>
      </c>
      <c r="X709" s="5" t="inlineStr">
        <is>
          <t>Core</t>
        </is>
      </c>
      <c r="Y709" s="5" t="inlineStr">
        <is>
          <t>Cross-persona</t>
        </is>
      </c>
      <c r="Z709" s="5" t="inlineStr">
        <is>
          <t>High</t>
        </is>
      </c>
      <c r="AA709" s="5" t="inlineStr">
        <is>
          <t>Medium</t>
        </is>
      </c>
      <c r="AB709" s="8" t="inlineStr">
        <is>
          <t>Medium</t>
        </is>
      </c>
      <c r="AC709" s="8" t="inlineStr">
        <is>
          <t>Pilot</t>
        </is>
      </c>
      <c r="AD709" s="5" t="inlineStr">
        <is>
          <t>Not independently checked</t>
        </is>
      </c>
      <c r="AE709" s="5" t="inlineStr">
        <is>
          <t>Not verified</t>
        </is>
      </c>
      <c r="AF709" s="5" t="inlineStr">
        <is>
          <t>Not verified</t>
        </is>
      </c>
      <c r="AG709" s="5" t="inlineStr">
        <is>
          <t>Not verified</t>
        </is>
      </c>
      <c r="AH709" s="5" t="inlineStr">
        <is>
          <t>Not verified</t>
        </is>
      </c>
      <c r="AI709" s="8" t="inlineStr">
        <is>
          <t>No</t>
        </is>
      </c>
      <c r="AJ709" s="8" t="inlineStr">
        <is>
          <t>Claimed - unverified</t>
        </is>
      </c>
      <c r="AK709" s="8" t="inlineStr">
        <is>
          <t>P1</t>
        </is>
      </c>
      <c r="AL709" s="8" t="n">
        <v>12</v>
      </c>
      <c r="AM709" s="5" t="inlineStr"/>
      <c r="AN709" s="5" t="inlineStr"/>
      <c r="AO709" s="5" t="inlineStr"/>
      <c r="AP709" s="5" t="inlineStr"/>
      <c r="AQ709" s="5" t="inlineStr"/>
      <c r="AR709" s="5" t="inlineStr"/>
      <c r="AS709" s="5" t="inlineStr"/>
      <c r="AT709" s="5" t="inlineStr"/>
      <c r="AU709" s="8" t="inlineStr">
        <is>
          <t>Not run</t>
        </is>
      </c>
    </row>
    <row r="710" ht="32" customHeight="1">
      <c r="A710" s="16" t="inlineStr">
        <is>
          <t>X-0709</t>
        </is>
      </c>
      <c r="B710" s="8" t="inlineStr">
        <is>
          <t>X</t>
        </is>
      </c>
      <c r="C710" s="5" t="inlineStr">
        <is>
          <t>Multiple / Cross-persona</t>
        </is>
      </c>
      <c r="D710" s="5" t="inlineStr">
        <is>
          <t>Receivables &amp; Payables</t>
        </is>
      </c>
      <c r="E710" s="5" t="inlineStr">
        <is>
          <t>Customer disputed line item on ₹1,00,000 bill: customer pays ₹90,000; ₹10,000 routed to dispute resolution</t>
        </is>
      </c>
      <c r="F710" s="5" t="inlineStr">
        <is>
          <t>Credit Controller / Cashier</t>
        </is>
      </c>
      <c r="G710" s="5" t="inlineStr">
        <is>
          <t>Customer</t>
        </is>
      </c>
      <c r="H710" s="5" t="inlineStr">
        <is>
          <t>Customer disputes ₹10,000 freight charge; pays ₹90,000 undisputed goods cost immediately</t>
        </is>
      </c>
      <c r="I710" s="5" t="inlineStr">
        <is>
          <t>Allocates ₹90,000 payment; isolates ₹10,000 dispute; keeps customer account active without credit lock</t>
        </is>
      </c>
      <c r="J710" s="20" t="inlineStr">
        <is>
          <t>P1</t>
        </is>
      </c>
      <c r="K710" s="20" t="inlineStr">
        <is>
          <t>Validated (Supported)</t>
        </is>
      </c>
      <c r="L710" s="5" t="inlineStr">
        <is>
          <t>Line-item dispute flag allowing partial settlement without triggering credit limit block.</t>
        </is>
      </c>
      <c r="M710" s="8" t="inlineStr">
        <is>
          <t>Strategic expansion</t>
        </is>
      </c>
      <c r="N710" s="8" t="inlineStr">
        <is>
          <t>Cross-persona</t>
        </is>
      </c>
      <c r="O710" s="8" t="inlineStr">
        <is>
          <t>P1</t>
        </is>
      </c>
      <c r="P710" s="5" t="inlineStr">
        <is>
          <t>Restored to authored P1. The previous workbook had P0 after a keyword rebalance.</t>
        </is>
      </c>
      <c r="Q710" s="20" t="inlineStr">
        <is>
          <t>Author assertion</t>
        </is>
      </c>
      <c r="R710" s="5" t="inlineStr">
        <is>
          <t>Restored to authored P1. The previous workbook had P0 after a keyword rebalance.</t>
        </is>
      </c>
      <c r="S710" s="8" t="inlineStr">
        <is>
          <t>ARAP</t>
        </is>
      </c>
      <c r="T710" s="5" t="inlineStr">
        <is>
          <t>Receivables and payables</t>
        </is>
      </c>
      <c r="U710" s="8" t="inlineStr"/>
      <c r="V710" s="8" t="inlineStr">
        <is>
          <t>ledgers</t>
        </is>
      </c>
      <c r="W710" s="8" t="inlineStr">
        <is>
          <t>CONTROL</t>
        </is>
      </c>
      <c r="X710" s="5" t="inlineStr">
        <is>
          <t>Core</t>
        </is>
      </c>
      <c r="Y710" s="5" t="inlineStr">
        <is>
          <t>Cross-persona</t>
        </is>
      </c>
      <c r="Z710" s="5" t="inlineStr">
        <is>
          <t>Critical</t>
        </is>
      </c>
      <c r="AA710" s="5" t="inlineStr">
        <is>
          <t>High</t>
        </is>
      </c>
      <c r="AB710" s="8" t="inlineStr">
        <is>
          <t>Medium</t>
        </is>
      </c>
      <c r="AC710" s="8" t="inlineStr">
        <is>
          <t>Pilot</t>
        </is>
      </c>
      <c r="AD710" s="5" t="inlineStr">
        <is>
          <t>Not independently checked</t>
        </is>
      </c>
      <c r="AE710" s="5" t="inlineStr">
        <is>
          <t>Not verified</t>
        </is>
      </c>
      <c r="AF710" s="5" t="inlineStr">
        <is>
          <t>Not verified</t>
        </is>
      </c>
      <c r="AG710" s="5" t="inlineStr">
        <is>
          <t>Not verified</t>
        </is>
      </c>
      <c r="AH710" s="5" t="inlineStr">
        <is>
          <t>Not verified</t>
        </is>
      </c>
      <c r="AI710" s="8" t="inlineStr">
        <is>
          <t>No</t>
        </is>
      </c>
      <c r="AJ710" s="8" t="inlineStr">
        <is>
          <t>Claimed - unverified</t>
        </is>
      </c>
      <c r="AK710" s="8" t="inlineStr">
        <is>
          <t>P1</t>
        </is>
      </c>
      <c r="AL710" s="8" t="n">
        <v>18</v>
      </c>
      <c r="AM710" s="5" t="inlineStr"/>
      <c r="AN710" s="5" t="inlineStr"/>
      <c r="AO710" s="5" t="inlineStr"/>
      <c r="AP710" s="5" t="inlineStr"/>
      <c r="AQ710" s="5" t="inlineStr"/>
      <c r="AR710" s="5" t="inlineStr"/>
      <c r="AS710" s="5" t="inlineStr"/>
      <c r="AT710" s="5" t="inlineStr"/>
      <c r="AU710" s="8" t="inlineStr">
        <is>
          <t>Not run</t>
        </is>
      </c>
    </row>
    <row r="711" ht="32" customHeight="1">
      <c r="A711" s="16" t="inlineStr">
        <is>
          <t>X-0710</t>
        </is>
      </c>
      <c r="B711" s="8" t="inlineStr">
        <is>
          <t>X</t>
        </is>
      </c>
      <c r="C711" s="5" t="inlineStr">
        <is>
          <t>Multiple / Cross-persona</t>
        </is>
      </c>
      <c r="D711" s="5" t="inlineStr">
        <is>
          <t>Inventory Lifecycle</t>
        </is>
      </c>
      <c r="E711" s="5" t="inlineStr">
        <is>
          <t>Batch stock expired overnight: system automatically removes expired batch from active billing terminals</t>
        </is>
      </c>
      <c r="F711" s="5" t="inlineStr">
        <is>
          <t>Inventory Watchdog / Cron</t>
        </is>
      </c>
      <c r="G711" s="5" t="inlineStr">
        <is>
          <t>Counter Cashier / Pharmacist</t>
        </is>
      </c>
      <c r="H711" s="5" t="inlineStr">
        <is>
          <t>Batch reaches 1st of month expiration; morning billing terminals instantly hide batch from checkout selection</t>
        </is>
      </c>
      <c r="I711" s="5" t="inlineStr">
        <is>
          <t>Prevents cashier accidentally selling expired medicine/food; creates quarantine movement to Expired Bin</t>
        </is>
      </c>
      <c r="J711" s="19" t="inlineStr">
        <is>
          <t>P0</t>
        </is>
      </c>
      <c r="K711" s="20" t="inlineStr">
        <is>
          <t>Validated (Supported)</t>
        </is>
      </c>
      <c r="L711" s="5" t="inlineStr">
        <is>
          <t>Midnight cron worker scanning batch_lot.expiry_date &lt; today; sets is_active=False on expired lots.</t>
        </is>
      </c>
      <c r="M711" s="8" t="inlineStr">
        <is>
          <t>Strategic expansion</t>
        </is>
      </c>
      <c r="N711" s="8" t="inlineStr">
        <is>
          <t>Cross-persona</t>
        </is>
      </c>
      <c r="O711" s="8" t="inlineStr">
        <is>
          <t>P0</t>
        </is>
      </c>
      <c r="P711" s="5" t="inlineStr">
        <is>
          <t>Unchanged</t>
        </is>
      </c>
      <c r="Q711" s="21" t="inlineStr">
        <is>
          <t>Code symbol found</t>
        </is>
      </c>
      <c r="R711" s="5" t="inlineStr">
        <is>
          <t>Matched expiry_date in product code. This is not a functional test.</t>
        </is>
      </c>
      <c r="S711" s="8" t="inlineStr">
        <is>
          <t>INV</t>
        </is>
      </c>
      <c r="T711" s="5" t="inlineStr">
        <is>
          <t>Inventory lifecycle</t>
        </is>
      </c>
      <c r="U711" s="8" t="inlineStr"/>
      <c r="V711" s="8" t="inlineStr">
        <is>
          <t>inventory</t>
        </is>
      </c>
      <c r="W711" s="8" t="inlineStr">
        <is>
          <t>RUN</t>
        </is>
      </c>
      <c r="X711" s="5" t="inlineStr">
        <is>
          <t>Core</t>
        </is>
      </c>
      <c r="Y711" s="5" t="inlineStr">
        <is>
          <t>Cross-persona</t>
        </is>
      </c>
      <c r="Z711" s="5" t="inlineStr">
        <is>
          <t>High</t>
        </is>
      </c>
      <c r="AA711" s="5" t="inlineStr">
        <is>
          <t>High</t>
        </is>
      </c>
      <c r="AB711" s="8" t="inlineStr">
        <is>
          <t>Low</t>
        </is>
      </c>
      <c r="AC711" s="8" t="inlineStr">
        <is>
          <t>MVP</t>
        </is>
      </c>
      <c r="AD711" s="5" t="inlineStr">
        <is>
          <t>Cited in code</t>
        </is>
      </c>
      <c r="AE711" s="5" t="inlineStr">
        <is>
          <t>Not verified</t>
        </is>
      </c>
      <c r="AF711" s="5" t="inlineStr">
        <is>
          <t>Not verified</t>
        </is>
      </c>
      <c r="AG711" s="5" t="inlineStr">
        <is>
          <t>Not verified</t>
        </is>
      </c>
      <c r="AH711" s="5" t="inlineStr">
        <is>
          <t>Not verified</t>
        </is>
      </c>
      <c r="AI711" s="8" t="inlineStr">
        <is>
          <t>No</t>
        </is>
      </c>
      <c r="AJ711" s="8" t="inlineStr">
        <is>
          <t>Built - unverified</t>
        </is>
      </c>
      <c r="AK711" s="8" t="inlineStr">
        <is>
          <t>P0</t>
        </is>
      </c>
      <c r="AL711" s="8" t="n">
        <v>9</v>
      </c>
      <c r="AM711" s="5" t="inlineStr"/>
      <c r="AN711" s="5" t="inlineStr"/>
      <c r="AO711" s="5" t="inlineStr"/>
      <c r="AP711" s="5" t="inlineStr"/>
      <c r="AQ711" s="5" t="inlineStr"/>
      <c r="AR711" s="5" t="inlineStr"/>
      <c r="AS711" s="5" t="inlineStr"/>
      <c r="AT711" s="5" t="inlineStr"/>
      <c r="AU711" s="8" t="inlineStr">
        <is>
          <t>Not run</t>
        </is>
      </c>
    </row>
    <row r="712" ht="32" customHeight="1">
      <c r="A712" s="16" t="inlineStr">
        <is>
          <t>X-0711</t>
        </is>
      </c>
      <c r="B712" s="8" t="inlineStr">
        <is>
          <t>X</t>
        </is>
      </c>
      <c r="C712" s="5" t="inlineStr">
        <is>
          <t>Multiple / Cross-persona</t>
        </is>
      </c>
      <c r="D712" s="5" t="inlineStr">
        <is>
          <t>Import / Export / Period Close</t>
        </is>
      </c>
      <c r="E712" s="5" t="inlineStr">
        <is>
          <t>Accountant discovers missing purchase invoice in locked accounting period: authorized supplementary entry</t>
        </is>
      </c>
      <c r="F712" s="5" t="inlineStr">
        <is>
          <t>In-house Accountant / Business Owner</t>
        </is>
      </c>
      <c r="G712" s="5" t="inlineStr">
        <is>
          <t>External CA</t>
        </is>
      </c>
      <c r="H712" s="5" t="inlineStr">
        <is>
          <t>Vendor invoice from previously closed month arrives late; accountant records supplementary voucher in current open period</t>
        </is>
      </c>
      <c r="I712" s="5" t="inlineStr">
        <is>
          <t>Preserves locked period integrity; records invoice in current period with statutory explanation note</t>
        </is>
      </c>
      <c r="J712" s="20" t="inlineStr">
        <is>
          <t>P1</t>
        </is>
      </c>
      <c r="K712" s="20" t="inlineStr">
        <is>
          <t>Validated (Supported)</t>
        </is>
      </c>
      <c r="L712" s="5" t="inlineStr">
        <is>
          <t>AccountingPeriod governance allowing current-period entry of prior-period expenses with audit note.</t>
        </is>
      </c>
      <c r="M712" s="8" t="inlineStr">
        <is>
          <t>Strategic expansion</t>
        </is>
      </c>
      <c r="N712" s="8" t="inlineStr">
        <is>
          <t>Cross-persona</t>
        </is>
      </c>
      <c r="O712" s="8" t="inlineStr">
        <is>
          <t>P1</t>
        </is>
      </c>
      <c r="P712" s="5" t="inlineStr">
        <is>
          <t>Unchanged</t>
        </is>
      </c>
      <c r="Q712" s="21" t="inlineStr">
        <is>
          <t>Code symbol found</t>
        </is>
      </c>
      <c r="R712" s="5" t="inlineStr">
        <is>
          <t>Matched AccountingPeriod in product code. This is not a functional test.</t>
        </is>
      </c>
      <c r="S712" s="8" t="inlineStr">
        <is>
          <t>CLOSE</t>
        </is>
      </c>
      <c r="T712" s="5" t="inlineStr">
        <is>
          <t>Import, export, and period close</t>
        </is>
      </c>
      <c r="U712" s="8" t="inlineStr"/>
      <c r="V712" s="8" t="inlineStr">
        <is>
          <t>accounting</t>
        </is>
      </c>
      <c r="W712" s="8" t="inlineStr">
        <is>
          <t>CONTROL</t>
        </is>
      </c>
      <c r="X712" s="5" t="inlineStr">
        <is>
          <t>Core</t>
        </is>
      </c>
      <c r="Y712" s="5" t="inlineStr">
        <is>
          <t>Cross-persona</t>
        </is>
      </c>
      <c r="Z712" s="5" t="inlineStr">
        <is>
          <t>Medium</t>
        </is>
      </c>
      <c r="AA712" s="5" t="inlineStr">
        <is>
          <t>Medium</t>
        </is>
      </c>
      <c r="AB712" s="8" t="inlineStr">
        <is>
          <t>Low</t>
        </is>
      </c>
      <c r="AC712" s="8" t="inlineStr">
        <is>
          <t>Pilot</t>
        </is>
      </c>
      <c r="AD712" s="5" t="inlineStr">
        <is>
          <t>Cited in code</t>
        </is>
      </c>
      <c r="AE712" s="5" t="inlineStr">
        <is>
          <t>Not verified</t>
        </is>
      </c>
      <c r="AF712" s="5" t="inlineStr">
        <is>
          <t>Not verified</t>
        </is>
      </c>
      <c r="AG712" s="5" t="inlineStr">
        <is>
          <t>Not verified</t>
        </is>
      </c>
      <c r="AH712" s="5" t="inlineStr">
        <is>
          <t>Not verified</t>
        </is>
      </c>
      <c r="AI712" s="8" t="inlineStr">
        <is>
          <t>No</t>
        </is>
      </c>
      <c r="AJ712" s="8" t="inlineStr">
        <is>
          <t>Built - unverified</t>
        </is>
      </c>
      <c r="AK712" s="8" t="inlineStr">
        <is>
          <t>P1</t>
        </is>
      </c>
      <c r="AL712" s="8" t="n">
        <v>6</v>
      </c>
      <c r="AM712" s="5" t="inlineStr"/>
      <c r="AN712" s="5" t="inlineStr"/>
      <c r="AO712" s="5" t="inlineStr"/>
      <c r="AP712" s="5" t="inlineStr"/>
      <c r="AQ712" s="5" t="inlineStr"/>
      <c r="AR712" s="5" t="inlineStr"/>
      <c r="AS712" s="5" t="inlineStr"/>
      <c r="AT712" s="5" t="inlineStr"/>
      <c r="AU712" s="8" t="inlineStr">
        <is>
          <t>Not run</t>
        </is>
      </c>
    </row>
    <row r="713" ht="32" customHeight="1">
      <c r="A713" s="16" t="inlineStr">
        <is>
          <t>X-0712</t>
        </is>
      </c>
      <c r="B713" s="8" t="inlineStr">
        <is>
          <t>X</t>
        </is>
      </c>
      <c r="C713" s="5" t="inlineStr">
        <is>
          <t>Multiple / Cross-persona</t>
        </is>
      </c>
      <c r="D713" s="5" t="inlineStr">
        <is>
          <t>Security / Exception / Recovery</t>
        </is>
      </c>
      <c r="E713" s="5" t="inlineStr">
        <is>
          <t>Employee accidentally deletes 20 line items in bulk order: 1-click draft revision rollback</t>
        </is>
      </c>
      <c r="F713" s="5" t="inlineStr">
        <is>
          <t>Billing Clerk / Salesperson</t>
        </is>
      </c>
      <c r="G713" s="5" t="inlineStr">
        <is>
          <t>Customer</t>
        </is>
      </c>
      <c r="H713" s="5" t="inlineStr">
        <is>
          <t>Accidental bulk deletion in large 100-line distributor order; clerk restores previous draft version in 1 click</t>
        </is>
      </c>
      <c r="I713" s="5" t="inlineStr">
        <is>
          <t>Restores previous version snapshot from audit log; recovers all line quantities, prices, and discounts</t>
        </is>
      </c>
      <c r="J713" s="20" t="inlineStr">
        <is>
          <t>P1</t>
        </is>
      </c>
      <c r="K713" s="20" t="inlineStr">
        <is>
          <t>Validated (Supported)</t>
        </is>
      </c>
      <c r="L713" s="5" t="inlineStr">
        <is>
          <t>Document draft version history allowing rollback to any previous auto-save snapshot.</t>
        </is>
      </c>
      <c r="M713" s="8" t="inlineStr">
        <is>
          <t>Strategic expansion</t>
        </is>
      </c>
      <c r="N713" s="8" t="inlineStr">
        <is>
          <t>Cross-persona</t>
        </is>
      </c>
      <c r="O713" s="8" t="inlineStr">
        <is>
          <t>P1</t>
        </is>
      </c>
      <c r="P713" s="5" t="inlineStr">
        <is>
          <t>Unchanged</t>
        </is>
      </c>
      <c r="Q713" s="20" t="inlineStr">
        <is>
          <t>Author assertion</t>
        </is>
      </c>
      <c r="R713" s="5" t="inlineStr"/>
      <c r="S713" s="8" t="inlineStr">
        <is>
          <t>OTHER</t>
        </is>
      </c>
      <c r="T713" s="5" t="inlineStr">
        <is>
          <t>Security / Exception / Recovery</t>
        </is>
      </c>
      <c r="U713" s="8" t="inlineStr"/>
      <c r="V713" s="8" t="inlineStr"/>
      <c r="W713" s="8" t="inlineStr">
        <is>
          <t>CONTROL</t>
        </is>
      </c>
      <c r="X713" s="5" t="inlineStr">
        <is>
          <t>Core</t>
        </is>
      </c>
      <c r="Y713" s="5" t="inlineStr">
        <is>
          <t>Cross-persona</t>
        </is>
      </c>
      <c r="Z713" s="5" t="inlineStr">
        <is>
          <t>High</t>
        </is>
      </c>
      <c r="AA713" s="5" t="inlineStr">
        <is>
          <t>Medium</t>
        </is>
      </c>
      <c r="AB713" s="8" t="inlineStr">
        <is>
          <t>Medium</t>
        </is>
      </c>
      <c r="AC713" s="8" t="inlineStr">
        <is>
          <t>Pilot</t>
        </is>
      </c>
      <c r="AD713" s="5" t="inlineStr">
        <is>
          <t>Not independently checked</t>
        </is>
      </c>
      <c r="AE713" s="5" t="inlineStr">
        <is>
          <t>Not verified</t>
        </is>
      </c>
      <c r="AF713" s="5" t="inlineStr">
        <is>
          <t>Not verified</t>
        </is>
      </c>
      <c r="AG713" s="5" t="inlineStr">
        <is>
          <t>Not verified</t>
        </is>
      </c>
      <c r="AH713" s="5" t="inlineStr">
        <is>
          <t>Not verified</t>
        </is>
      </c>
      <c r="AI713" s="8" t="inlineStr">
        <is>
          <t>No</t>
        </is>
      </c>
      <c r="AJ713" s="8" t="inlineStr">
        <is>
          <t>Claimed - unverified</t>
        </is>
      </c>
      <c r="AK713" s="8" t="inlineStr">
        <is>
          <t>P1</t>
        </is>
      </c>
      <c r="AL713" s="8" t="n">
        <v>12</v>
      </c>
      <c r="AM713" s="5" t="inlineStr"/>
      <c r="AN713" s="5" t="inlineStr"/>
      <c r="AO713" s="5" t="inlineStr"/>
      <c r="AP713" s="5" t="inlineStr"/>
      <c r="AQ713" s="5" t="inlineStr"/>
      <c r="AR713" s="5" t="inlineStr"/>
      <c r="AS713" s="5" t="inlineStr"/>
      <c r="AT713" s="5" t="inlineStr"/>
      <c r="AU713" s="8" t="inlineStr">
        <is>
          <t>Not run</t>
        </is>
      </c>
    </row>
    <row r="714" ht="32" customHeight="1">
      <c r="A714" s="16" t="inlineStr">
        <is>
          <t>X-0713</t>
        </is>
      </c>
      <c r="B714" s="8" t="inlineStr">
        <is>
          <t>X</t>
        </is>
      </c>
      <c r="C714" s="5" t="inlineStr">
        <is>
          <t>Multiple / Cross-persona</t>
        </is>
      </c>
      <c r="D714" s="5" t="inlineStr">
        <is>
          <t>Payments &amp; Reconciliation</t>
        </is>
      </c>
      <c r="E714" s="5" t="inlineStr">
        <is>
          <t>Customer cheque dishonoured after 5 days: automated accounting reversal and bank fee debit</t>
        </is>
      </c>
      <c r="F714" s="5" t="inlineStr">
        <is>
          <t>In-house Accountant</t>
        </is>
      </c>
      <c r="G714" s="5" t="inlineStr">
        <is>
          <t>Customer / Bank</t>
        </is>
      </c>
      <c r="H714" s="5" t="inlineStr">
        <is>
          <t>₹50,000 cheque bounces; system reverses invoice payment, marks bill UNPAID, debits ₹350 bank bounce fee to customer</t>
        </is>
      </c>
      <c r="I714" s="5" t="inlineStr">
        <is>
          <t>Generates formal legal cheque bounce notice under Section 138 of Negotiable Instruments Act; alerts owner</t>
        </is>
      </c>
      <c r="J714" s="19" t="inlineStr">
        <is>
          <t>P0</t>
        </is>
      </c>
      <c r="K714" s="20" t="inlineStr">
        <is>
          <t>Validated (Supported)</t>
        </is>
      </c>
      <c r="L714" s="5" t="inlineStr">
        <is>
          <t>Automated Cheque Dishonour workflow with Section 138 statutory notice letter generator.</t>
        </is>
      </c>
      <c r="M714" s="8" t="inlineStr">
        <is>
          <t>Strategic expansion</t>
        </is>
      </c>
      <c r="N714" s="8" t="inlineStr">
        <is>
          <t>Cross-persona</t>
        </is>
      </c>
      <c r="O714" s="8" t="inlineStr">
        <is>
          <t>P0</t>
        </is>
      </c>
      <c r="P714" s="5" t="inlineStr">
        <is>
          <t>Unchanged</t>
        </is>
      </c>
      <c r="Q714" s="20" t="inlineStr">
        <is>
          <t>Author assertion</t>
        </is>
      </c>
      <c r="R714" s="5" t="inlineStr"/>
      <c r="S714" s="8" t="inlineStr">
        <is>
          <t>PAYREC</t>
        </is>
      </c>
      <c r="T714" s="5" t="inlineStr">
        <is>
          <t>Payments and reconciliation</t>
        </is>
      </c>
      <c r="U714" s="8" t="inlineStr"/>
      <c r="V714" s="8" t="inlineStr">
        <is>
          <t>payments</t>
        </is>
      </c>
      <c r="W714" s="8" t="inlineStr">
        <is>
          <t>RUN</t>
        </is>
      </c>
      <c r="X714" s="5" t="inlineStr">
        <is>
          <t>Core</t>
        </is>
      </c>
      <c r="Y714" s="5" t="inlineStr">
        <is>
          <t>Cross-persona</t>
        </is>
      </c>
      <c r="Z714" s="5" t="inlineStr">
        <is>
          <t>High</t>
        </is>
      </c>
      <c r="AA714" s="5" t="inlineStr">
        <is>
          <t>High</t>
        </is>
      </c>
      <c r="AB714" s="8" t="inlineStr">
        <is>
          <t>Low</t>
        </is>
      </c>
      <c r="AC714" s="8" t="inlineStr">
        <is>
          <t>MVP</t>
        </is>
      </c>
      <c r="AD714" s="5" t="inlineStr">
        <is>
          <t>Not independently checked</t>
        </is>
      </c>
      <c r="AE714" s="5" t="inlineStr">
        <is>
          <t>Not verified</t>
        </is>
      </c>
      <c r="AF714" s="5" t="inlineStr">
        <is>
          <t>Not verified</t>
        </is>
      </c>
      <c r="AG714" s="5" t="inlineStr">
        <is>
          <t>Not verified</t>
        </is>
      </c>
      <c r="AH714" s="5" t="inlineStr">
        <is>
          <t>Not verified</t>
        </is>
      </c>
      <c r="AI714" s="8" t="inlineStr">
        <is>
          <t>No</t>
        </is>
      </c>
      <c r="AJ714" s="8" t="inlineStr">
        <is>
          <t>Claimed - unverified</t>
        </is>
      </c>
      <c r="AK714" s="8" t="inlineStr">
        <is>
          <t>P0</t>
        </is>
      </c>
      <c r="AL714" s="8" t="n">
        <v>9</v>
      </c>
      <c r="AM714" s="5" t="inlineStr"/>
      <c r="AN714" s="5" t="inlineStr"/>
      <c r="AO714" s="5" t="inlineStr"/>
      <c r="AP714" s="5" t="inlineStr"/>
      <c r="AQ714" s="5" t="inlineStr"/>
      <c r="AR714" s="5" t="inlineStr"/>
      <c r="AS714" s="5" t="inlineStr"/>
      <c r="AT714" s="5" t="inlineStr"/>
      <c r="AU714" s="8" t="inlineStr">
        <is>
          <t>Not run</t>
        </is>
      </c>
    </row>
    <row r="715" ht="32" customHeight="1">
      <c r="A715" s="16" t="inlineStr">
        <is>
          <t>X-0714</t>
        </is>
      </c>
      <c r="B715" s="8" t="inlineStr">
        <is>
          <t>X</t>
        </is>
      </c>
      <c r="C715" s="5" t="inlineStr">
        <is>
          <t>Multiple / Cross-persona</t>
        </is>
      </c>
      <c r="D715" s="5" t="inlineStr">
        <is>
          <t>Operations, Fleet &amp; Delivery</t>
        </is>
      </c>
      <c r="E715" s="5" t="inlineStr">
        <is>
          <t>Doorstep customer cash refusal: driver captures reason and routes goods back to godown receiving</t>
        </is>
      </c>
      <c r="F715" s="5" t="inlineStr">
        <is>
          <t>Delivery Driver / Cashier</t>
        </is>
      </c>
      <c r="G715" s="5" t="inlineStr">
        <is>
          <t>Customer / Godown Custodian</t>
        </is>
      </c>
      <c r="H715" s="5" t="inlineStr">
        <is>
          <t>Retailer refuses to accept shipment due to cash shortage; driver tags 'CUSTOMER_CASH_SHORTAGE' on mobile PWA</t>
        </is>
      </c>
      <c r="I715" s="5" t="inlineStr">
        <is>
          <t>Updates delivery status to FAILED_ATTEMPT; keeps goods in driver transit custody until evening godown return</t>
        </is>
      </c>
      <c r="J715" s="20" t="inlineStr">
        <is>
          <t>P1</t>
        </is>
      </c>
      <c r="K715" s="20" t="inlineStr">
        <is>
          <t>Validated (Supported)</t>
        </is>
      </c>
      <c r="L715" s="5" t="inlineStr">
        <is>
          <t>Delivery failure exception workflow with driver custody transfer back to warehouse.</t>
        </is>
      </c>
      <c r="M715" s="8" t="inlineStr">
        <is>
          <t>Strategic expansion</t>
        </is>
      </c>
      <c r="N715" s="8" t="inlineStr">
        <is>
          <t>Cross-persona</t>
        </is>
      </c>
      <c r="O715" s="8" t="inlineStr">
        <is>
          <t>P1</t>
        </is>
      </c>
      <c r="P715" s="5" t="inlineStr">
        <is>
          <t>Unchanged</t>
        </is>
      </c>
      <c r="Q715" s="20" t="inlineStr">
        <is>
          <t>Author assertion</t>
        </is>
      </c>
      <c r="R715" s="5" t="inlineStr"/>
      <c r="S715" s="8" t="inlineStr">
        <is>
          <t>FLEET</t>
        </is>
      </c>
      <c r="T715" s="5" t="inlineStr">
        <is>
          <t>Fleet and delivery</t>
        </is>
      </c>
      <c r="U715" s="8" t="inlineStr"/>
      <c r="V715" s="8" t="inlineStr">
        <is>
          <t>sales</t>
        </is>
      </c>
      <c r="W715" s="8" t="inlineStr">
        <is>
          <t>RUN</t>
        </is>
      </c>
      <c r="X715" s="5" t="inlineStr">
        <is>
          <t>Core</t>
        </is>
      </c>
      <c r="Y715" s="5" t="inlineStr">
        <is>
          <t>Cross-persona</t>
        </is>
      </c>
      <c r="Z715" s="5" t="inlineStr">
        <is>
          <t>Medium</t>
        </is>
      </c>
      <c r="AA715" s="5" t="inlineStr">
        <is>
          <t>Medium</t>
        </is>
      </c>
      <c r="AB715" s="8" t="inlineStr">
        <is>
          <t>Low</t>
        </is>
      </c>
      <c r="AC715" s="8" t="inlineStr">
        <is>
          <t>Pilot</t>
        </is>
      </c>
      <c r="AD715" s="5" t="inlineStr">
        <is>
          <t>Not independently checked</t>
        </is>
      </c>
      <c r="AE715" s="5" t="inlineStr">
        <is>
          <t>Not verified</t>
        </is>
      </c>
      <c r="AF715" s="5" t="inlineStr">
        <is>
          <t>Not verified</t>
        </is>
      </c>
      <c r="AG715" s="5" t="inlineStr">
        <is>
          <t>Not verified</t>
        </is>
      </c>
      <c r="AH715" s="5" t="inlineStr">
        <is>
          <t>Not verified</t>
        </is>
      </c>
      <c r="AI715" s="8" t="inlineStr">
        <is>
          <t>No</t>
        </is>
      </c>
      <c r="AJ715" s="8" t="inlineStr">
        <is>
          <t>Claimed - unverified</t>
        </is>
      </c>
      <c r="AK715" s="8" t="inlineStr">
        <is>
          <t>P1</t>
        </is>
      </c>
      <c r="AL715" s="8" t="n">
        <v>6</v>
      </c>
      <c r="AM715" s="5" t="inlineStr"/>
      <c r="AN715" s="5" t="inlineStr"/>
      <c r="AO715" s="5" t="inlineStr"/>
      <c r="AP715" s="5" t="inlineStr"/>
      <c r="AQ715" s="5" t="inlineStr"/>
      <c r="AR715" s="5" t="inlineStr"/>
      <c r="AS715" s="5" t="inlineStr"/>
      <c r="AT715" s="5" t="inlineStr"/>
      <c r="AU715" s="8" t="inlineStr">
        <is>
          <t>Not run</t>
        </is>
      </c>
    </row>
    <row r="716" ht="32" customHeight="1">
      <c r="A716" s="16" t="inlineStr">
        <is>
          <t>X-0715</t>
        </is>
      </c>
      <c r="B716" s="8" t="inlineStr">
        <is>
          <t>X</t>
        </is>
      </c>
      <c r="C716" s="5" t="inlineStr">
        <is>
          <t>Multiple / Cross-persona</t>
        </is>
      </c>
      <c r="D716" s="5" t="inlineStr">
        <is>
          <t>Master Data &amp; Authorization</t>
        </is>
      </c>
      <c r="E716" s="5" t="inlineStr">
        <is>
          <t>Customer changes legal name and registered address: system updates master while preserving historical invoices</t>
        </is>
      </c>
      <c r="F716" s="5" t="inlineStr">
        <is>
          <t>Admin / Sales Staff</t>
        </is>
      </c>
      <c r="G716" s="5" t="inlineStr">
        <is>
          <t>Customer</t>
        </is>
      </c>
      <c r="H716" s="5" t="inlineStr">
        <is>
          <t>Customer moves to new premises and updates GSTIN; new invoices use new address, historical invoices preserve old address</t>
        </is>
      </c>
      <c r="I716" s="5" t="inlineStr">
        <is>
          <t>Updates Customer master; historical completed SalesInvoice headers retain immutable address snapshot</t>
        </is>
      </c>
      <c r="J716" s="19" t="inlineStr">
        <is>
          <t>P0</t>
        </is>
      </c>
      <c r="K716" s="20" t="inlineStr">
        <is>
          <t>Validated (Supported)</t>
        </is>
      </c>
      <c r="L716" s="5" t="inlineStr">
        <is>
          <t>Core data invariant: invoice headers store immutable address snapshot; master updates do not corrupt historical bills.</t>
        </is>
      </c>
      <c r="M716" s="8" t="inlineStr">
        <is>
          <t>Strategic expansion</t>
        </is>
      </c>
      <c r="N716" s="8" t="inlineStr">
        <is>
          <t>Cross-persona</t>
        </is>
      </c>
      <c r="O716" s="8" t="inlineStr">
        <is>
          <t>P0</t>
        </is>
      </c>
      <c r="P716" s="5" t="inlineStr">
        <is>
          <t>Unchanged</t>
        </is>
      </c>
      <c r="Q716" s="20" t="inlineStr">
        <is>
          <t>Author assertion</t>
        </is>
      </c>
      <c r="R716" s="5" t="inlineStr"/>
      <c r="S716" s="8" t="inlineStr">
        <is>
          <t>MASTER</t>
        </is>
      </c>
      <c r="T716" s="5" t="inlineStr">
        <is>
          <t>Master data and authorization</t>
        </is>
      </c>
      <c r="U716" s="8" t="inlineStr"/>
      <c r="V716" s="8" t="inlineStr">
        <is>
          <t>masters</t>
        </is>
      </c>
      <c r="W716" s="8" t="inlineStr">
        <is>
          <t>KERNEL</t>
        </is>
      </c>
      <c r="X716" s="5" t="inlineStr">
        <is>
          <t>Core</t>
        </is>
      </c>
      <c r="Y716" s="5" t="inlineStr">
        <is>
          <t>Cross-persona</t>
        </is>
      </c>
      <c r="Z716" s="5" t="inlineStr">
        <is>
          <t>Medium</t>
        </is>
      </c>
      <c r="AA716" s="5" t="inlineStr">
        <is>
          <t>Medium</t>
        </is>
      </c>
      <c r="AB716" s="8" t="inlineStr">
        <is>
          <t>Low</t>
        </is>
      </c>
      <c r="AC716" s="8" t="inlineStr">
        <is>
          <t>MVP</t>
        </is>
      </c>
      <c r="AD716" s="5" t="inlineStr">
        <is>
          <t>Not independently checked</t>
        </is>
      </c>
      <c r="AE716" s="5" t="inlineStr">
        <is>
          <t>Not verified</t>
        </is>
      </c>
      <c r="AF716" s="5" t="inlineStr">
        <is>
          <t>Not verified</t>
        </is>
      </c>
      <c r="AG716" s="5" t="inlineStr">
        <is>
          <t>Not verified</t>
        </is>
      </c>
      <c r="AH716" s="5" t="inlineStr">
        <is>
          <t>Not verified</t>
        </is>
      </c>
      <c r="AI716" s="8" t="inlineStr">
        <is>
          <t>No</t>
        </is>
      </c>
      <c r="AJ716" s="8" t="inlineStr">
        <is>
          <t>Claimed - unverified</t>
        </is>
      </c>
      <c r="AK716" s="8" t="inlineStr">
        <is>
          <t>P0</t>
        </is>
      </c>
      <c r="AL716" s="8" t="n">
        <v>6</v>
      </c>
      <c r="AM716" s="5" t="inlineStr"/>
      <c r="AN716" s="5" t="inlineStr"/>
      <c r="AO716" s="5" t="inlineStr"/>
      <c r="AP716" s="5" t="inlineStr"/>
      <c r="AQ716" s="5" t="inlineStr"/>
      <c r="AR716" s="5" t="inlineStr"/>
      <c r="AS716" s="5" t="inlineStr"/>
      <c r="AT716" s="5" t="inlineStr"/>
      <c r="AU716" s="8" t="inlineStr">
        <is>
          <t>Not run</t>
        </is>
      </c>
    </row>
    <row r="717" ht="32" customHeight="1">
      <c r="A717" s="16" t="inlineStr">
        <is>
          <t>GOS-0716</t>
        </is>
      </c>
      <c r="B717" s="8" t="inlineStr">
        <is>
          <t>G-OS</t>
        </is>
      </c>
      <c r="C717" s="5" t="inlineStr">
        <is>
          <t>Growth Lead / Head of Marketing</t>
        </is>
      </c>
      <c r="D717" s="5" t="inlineStr">
        <is>
          <t>Growth OS - Campaigns &amp; Marketing</t>
        </is>
      </c>
      <c r="E717" s="5" t="inlineStr">
        <is>
          <t>Multi-Channel Marketing Campaign Setup &amp; Budget Allocation</t>
        </is>
      </c>
      <c r="F717" s="5" t="inlineStr">
        <is>
          <t>Growth Lead / Marketing Manager</t>
        </is>
      </c>
      <c r="G717" s="5" t="inlineStr">
        <is>
          <t>Business Owner, Finance Manager</t>
        </is>
      </c>
      <c r="H717" s="5" t="inlineStr">
        <is>
          <t>Enables configuration of multi-channel marketing campaigns (WhatsApp broadcasts, trade exhibitions, Google Ads, print collateral) with discrete allocated budgets, target revenue goals, and expected outcomes.</t>
        </is>
      </c>
      <c r="I717" s="5" t="inlineStr">
        <is>
          <t>Establishes financial tracking boundaries; links directly with incoming CRM leads, sales opportunities, and completed sales invoices to calculate real-time campaign customer acquisition cost (CAC).</t>
        </is>
      </c>
      <c r="J717" s="20" t="inlineStr">
        <is>
          <t>P1</t>
        </is>
      </c>
      <c r="K717" s="22" t="inlineStr">
        <is>
          <t>Code Complete &amp; Verified</t>
        </is>
      </c>
      <c r="L717" s="5" t="inlineStr">
        <is>
          <t>Implements Campaign model from web/src/api/growth.ts (createCampaign, updateCampaign) with budget, targetRevenue, and status transitions.</t>
        </is>
      </c>
      <c r="M717" s="8" t="inlineStr">
        <is>
          <t>Growth OS</t>
        </is>
      </c>
      <c r="N717" s="8" t="inlineStr">
        <is>
          <t>Growth role</t>
        </is>
      </c>
      <c r="O717" s="8" t="inlineStr">
        <is>
          <t>P1</t>
        </is>
      </c>
      <c r="P717" s="5" t="inlineStr">
        <is>
          <t>Unchanged</t>
        </is>
      </c>
      <c r="Q717" s="21" t="inlineStr">
        <is>
          <t>Code symbol found</t>
        </is>
      </c>
      <c r="R717" s="5" t="inlineStr">
        <is>
          <t>Matched createCampaign in product code. This is not a functional test.</t>
        </is>
      </c>
      <c r="S717" s="8" t="inlineStr">
        <is>
          <t>GOS-CAM</t>
        </is>
      </c>
      <c r="T717" s="5" t="inlineStr">
        <is>
          <t>Growth campaigns</t>
        </is>
      </c>
      <c r="U717" s="8" t="inlineStr"/>
      <c r="V717" s="8" t="inlineStr">
        <is>
          <t>crm</t>
        </is>
      </c>
      <c r="W717" s="8" t="inlineStr">
        <is>
          <t>GROW</t>
        </is>
      </c>
      <c r="X717" s="5" t="inlineStr">
        <is>
          <t>Core</t>
        </is>
      </c>
      <c r="Y717" s="5" t="inlineStr">
        <is>
          <t>Growth</t>
        </is>
      </c>
      <c r="Z717" s="5" t="inlineStr">
        <is>
          <t>Medium</t>
        </is>
      </c>
      <c r="AA717" s="5" t="inlineStr">
        <is>
          <t>Medium</t>
        </is>
      </c>
      <c r="AB717" s="8" t="inlineStr">
        <is>
          <t>Low</t>
        </is>
      </c>
      <c r="AC717" s="8" t="inlineStr">
        <is>
          <t>Later</t>
        </is>
      </c>
      <c r="AD717" s="5" t="inlineStr">
        <is>
          <t>Cited in code</t>
        </is>
      </c>
      <c r="AE717" s="5" t="inlineStr">
        <is>
          <t>Not verified</t>
        </is>
      </c>
      <c r="AF717" s="5" t="inlineStr">
        <is>
          <t>Not verified</t>
        </is>
      </c>
      <c r="AG717" s="5" t="inlineStr">
        <is>
          <t>Not verified</t>
        </is>
      </c>
      <c r="AH717" s="5" t="inlineStr">
        <is>
          <t>Not verified</t>
        </is>
      </c>
      <c r="AI717" s="8" t="inlineStr">
        <is>
          <t>No</t>
        </is>
      </c>
      <c r="AJ717" s="8" t="inlineStr">
        <is>
          <t>Built - unverified</t>
        </is>
      </c>
      <c r="AK717" s="8" t="inlineStr">
        <is>
          <t>P1</t>
        </is>
      </c>
      <c r="AL717" s="8" t="n">
        <v>6</v>
      </c>
      <c r="AM717" s="5" t="inlineStr"/>
      <c r="AN717" s="5" t="inlineStr"/>
      <c r="AO717" s="5" t="inlineStr"/>
      <c r="AP717" s="5" t="inlineStr"/>
      <c r="AQ717" s="5" t="inlineStr"/>
      <c r="AR717" s="5" t="inlineStr"/>
      <c r="AS717" s="5" t="inlineStr"/>
      <c r="AT717" s="5" t="inlineStr"/>
      <c r="AU717" s="8" t="inlineStr">
        <is>
          <t>Not run</t>
        </is>
      </c>
    </row>
    <row r="718" ht="32" customHeight="1">
      <c r="A718" s="16" t="inlineStr">
        <is>
          <t>GOS-0717</t>
        </is>
      </c>
      <c r="B718" s="8" t="inlineStr">
        <is>
          <t>G-OS</t>
        </is>
      </c>
      <c r="C718" s="5" t="inlineStr">
        <is>
          <t>Growth Lead / Head of Marketing</t>
        </is>
      </c>
      <c r="D718" s="5" t="inlineStr">
        <is>
          <t>Growth OS - Campaigns &amp; Marketing</t>
        </is>
      </c>
      <c r="E718" s="5" t="inlineStr">
        <is>
          <t>Multi-Stage Campaign Funnel Tracking &amp; Stage Conversion</t>
        </is>
      </c>
      <c r="F718" s="5" t="inlineStr">
        <is>
          <t>Growth Lead / Marketing Manager</t>
        </is>
      </c>
      <c r="G718" s="5" t="inlineStr">
        <is>
          <t>Sales Representative</t>
        </is>
      </c>
      <c r="H718" s="5" t="inlineStr">
        <is>
          <t>Visualizes real-time conversion velocity across pipeline stages: Inbound Leads -&gt; Open Opportunities -&gt; Won Opportunities with step-level drop-off rates.</t>
        </is>
      </c>
      <c r="I718" s="5" t="inlineStr">
        <is>
          <t>Identifies marketing channel drop-off points; triggers automatic notifications to sales leadership when lead-to-opportunity conversion drops below target thresholds.</t>
        </is>
      </c>
      <c r="J718" s="20" t="inlineStr">
        <is>
          <t>P1</t>
        </is>
      </c>
      <c r="K718" s="22" t="inlineStr">
        <is>
          <t>Code Complete &amp; Verified</t>
        </is>
      </c>
      <c r="L718" s="5" t="inlineStr">
        <is>
          <t>Implements getCampaignFunnel API from web/src/api/growth.ts aggregating total leads, opportunities, won opportunities, and funnel stage variance.</t>
        </is>
      </c>
      <c r="M718" s="8" t="inlineStr">
        <is>
          <t>Growth OS</t>
        </is>
      </c>
      <c r="N718" s="8" t="inlineStr">
        <is>
          <t>Growth role</t>
        </is>
      </c>
      <c r="O718" s="8" t="inlineStr">
        <is>
          <t>P1</t>
        </is>
      </c>
      <c r="P718" s="5" t="inlineStr">
        <is>
          <t>Unchanged</t>
        </is>
      </c>
      <c r="Q718" s="21" t="inlineStr">
        <is>
          <t>Code symbol found</t>
        </is>
      </c>
      <c r="R718" s="5" t="inlineStr">
        <is>
          <t>Matched getCampaignFunnel in product code. This is not a functional test.</t>
        </is>
      </c>
      <c r="S718" s="8" t="inlineStr">
        <is>
          <t>GOS-CAM</t>
        </is>
      </c>
      <c r="T718" s="5" t="inlineStr">
        <is>
          <t>Growth campaigns</t>
        </is>
      </c>
      <c r="U718" s="8" t="inlineStr"/>
      <c r="V718" s="8" t="inlineStr">
        <is>
          <t>crm</t>
        </is>
      </c>
      <c r="W718" s="8" t="inlineStr">
        <is>
          <t>GROW</t>
        </is>
      </c>
      <c r="X718" s="5" t="inlineStr">
        <is>
          <t>Core</t>
        </is>
      </c>
      <c r="Y718" s="5" t="inlineStr">
        <is>
          <t>Growth</t>
        </is>
      </c>
      <c r="Z718" s="5" t="inlineStr">
        <is>
          <t>Medium</t>
        </is>
      </c>
      <c r="AA718" s="5" t="inlineStr">
        <is>
          <t>Medium</t>
        </is>
      </c>
      <c r="AB718" s="8" t="inlineStr">
        <is>
          <t>Low</t>
        </is>
      </c>
      <c r="AC718" s="8" t="inlineStr">
        <is>
          <t>Later</t>
        </is>
      </c>
      <c r="AD718" s="5" t="inlineStr">
        <is>
          <t>Cited in code</t>
        </is>
      </c>
      <c r="AE718" s="5" t="inlineStr">
        <is>
          <t>Not verified</t>
        </is>
      </c>
      <c r="AF718" s="5" t="inlineStr">
        <is>
          <t>Not verified</t>
        </is>
      </c>
      <c r="AG718" s="5" t="inlineStr">
        <is>
          <t>Not verified</t>
        </is>
      </c>
      <c r="AH718" s="5" t="inlineStr">
        <is>
          <t>Not verified</t>
        </is>
      </c>
      <c r="AI718" s="8" t="inlineStr">
        <is>
          <t>No</t>
        </is>
      </c>
      <c r="AJ718" s="8" t="inlineStr">
        <is>
          <t>Built - unverified</t>
        </is>
      </c>
      <c r="AK718" s="8" t="inlineStr">
        <is>
          <t>P1</t>
        </is>
      </c>
      <c r="AL718" s="8" t="n">
        <v>6</v>
      </c>
      <c r="AM718" s="5" t="inlineStr"/>
      <c r="AN718" s="5" t="inlineStr"/>
      <c r="AO718" s="5" t="inlineStr"/>
      <c r="AP718" s="5" t="inlineStr"/>
      <c r="AQ718" s="5" t="inlineStr"/>
      <c r="AR718" s="5" t="inlineStr"/>
      <c r="AS718" s="5" t="inlineStr"/>
      <c r="AT718" s="5" t="inlineStr"/>
      <c r="AU718" s="8" t="inlineStr">
        <is>
          <t>Not run</t>
        </is>
      </c>
    </row>
    <row r="719" ht="32" customHeight="1">
      <c r="A719" s="16" t="inlineStr">
        <is>
          <t>GOS-0718</t>
        </is>
      </c>
      <c r="B719" s="8" t="inlineStr">
        <is>
          <t>G-OS</t>
        </is>
      </c>
      <c r="C719" s="5" t="inlineStr">
        <is>
          <t>Growth Lead / Head of Marketing</t>
        </is>
      </c>
      <c r="D719" s="5" t="inlineStr">
        <is>
          <t>Growth OS - Campaigns &amp; Marketing</t>
        </is>
      </c>
      <c r="E719" s="5" t="inlineStr">
        <is>
          <t>Marketing Campaign ROI Ratio &amp; Revenue Variance Calculation</t>
        </is>
      </c>
      <c r="F719" s="5" t="inlineStr">
        <is>
          <t>Growth Lead / Marketing Manager</t>
        </is>
      </c>
      <c r="G719" s="5" t="inlineStr">
        <is>
          <t>Finance Manager, Business Owner</t>
        </is>
      </c>
      <c r="H719" s="5" t="inlineStr">
        <is>
          <t>Computes real-time Return on Investment (ROI) ratio: ((Realized Invoiced Revenue - Budget) / Budget) and calculates positive/negative revenue variance against initial targets.</t>
        </is>
      </c>
      <c r="I719" s="5" t="inlineStr">
        <is>
          <t>Feeds marketing spend effectiveness into executive P&amp;L dashboard; automatically flags underperforming campaigns where customer acquisition cost exceeds 30-day gross margin.</t>
        </is>
      </c>
      <c r="J719" s="20" t="inlineStr">
        <is>
          <t>P1</t>
        </is>
      </c>
      <c r="K719" s="22" t="inlineStr">
        <is>
          <t>Code Complete &amp; Verified</t>
        </is>
      </c>
      <c r="L719" s="5" t="inlineStr">
        <is>
          <t>Directly calculates roiRatio and variance metrics defined in Funnel type in web/src/api/growth.ts.</t>
        </is>
      </c>
      <c r="M719" s="8" t="inlineStr">
        <is>
          <t>Growth OS</t>
        </is>
      </c>
      <c r="N719" s="8" t="inlineStr">
        <is>
          <t>Growth role</t>
        </is>
      </c>
      <c r="O719" s="8" t="inlineStr">
        <is>
          <t>P1</t>
        </is>
      </c>
      <c r="P719" s="5" t="inlineStr">
        <is>
          <t>Unchanged</t>
        </is>
      </c>
      <c r="Q719" s="21" t="inlineStr">
        <is>
          <t>Code symbol found</t>
        </is>
      </c>
      <c r="R719" s="5" t="inlineStr">
        <is>
          <t>Matched roiRatio in product code. This is not a functional test.</t>
        </is>
      </c>
      <c r="S719" s="8" t="inlineStr">
        <is>
          <t>GOS-CAM</t>
        </is>
      </c>
      <c r="T719" s="5" t="inlineStr">
        <is>
          <t>Growth campaigns</t>
        </is>
      </c>
      <c r="U719" s="8" t="inlineStr"/>
      <c r="V719" s="8" t="inlineStr">
        <is>
          <t>crm</t>
        </is>
      </c>
      <c r="W719" s="8" t="inlineStr">
        <is>
          <t>GROW</t>
        </is>
      </c>
      <c r="X719" s="5" t="inlineStr">
        <is>
          <t>Core</t>
        </is>
      </c>
      <c r="Y719" s="5" t="inlineStr">
        <is>
          <t>Growth</t>
        </is>
      </c>
      <c r="Z719" s="5" t="inlineStr">
        <is>
          <t>Medium</t>
        </is>
      </c>
      <c r="AA719" s="5" t="inlineStr">
        <is>
          <t>Medium</t>
        </is>
      </c>
      <c r="AB719" s="8" t="inlineStr">
        <is>
          <t>Low</t>
        </is>
      </c>
      <c r="AC719" s="8" t="inlineStr">
        <is>
          <t>Later</t>
        </is>
      </c>
      <c r="AD719" s="5" t="inlineStr">
        <is>
          <t>Cited in code</t>
        </is>
      </c>
      <c r="AE719" s="5" t="inlineStr">
        <is>
          <t>Not verified</t>
        </is>
      </c>
      <c r="AF719" s="5" t="inlineStr">
        <is>
          <t>Not verified</t>
        </is>
      </c>
      <c r="AG719" s="5" t="inlineStr">
        <is>
          <t>Not verified</t>
        </is>
      </c>
      <c r="AH719" s="5" t="inlineStr">
        <is>
          <t>Not verified</t>
        </is>
      </c>
      <c r="AI719" s="8" t="inlineStr">
        <is>
          <t>No</t>
        </is>
      </c>
      <c r="AJ719" s="8" t="inlineStr">
        <is>
          <t>Built - unverified</t>
        </is>
      </c>
      <c r="AK719" s="8" t="inlineStr">
        <is>
          <t>P1</t>
        </is>
      </c>
      <c r="AL719" s="8" t="n">
        <v>6</v>
      </c>
      <c r="AM719" s="5" t="inlineStr"/>
      <c r="AN719" s="5" t="inlineStr"/>
      <c r="AO719" s="5" t="inlineStr"/>
      <c r="AP719" s="5" t="inlineStr"/>
      <c r="AQ719" s="5" t="inlineStr"/>
      <c r="AR719" s="5" t="inlineStr"/>
      <c r="AS719" s="5" t="inlineStr"/>
      <c r="AT719" s="5" t="inlineStr"/>
      <c r="AU719" s="8" t="inlineStr">
        <is>
          <t>Not run</t>
        </is>
      </c>
    </row>
    <row r="720" ht="32" customHeight="1">
      <c r="A720" s="16" t="inlineStr">
        <is>
          <t>GOS-0719</t>
        </is>
      </c>
      <c r="B720" s="8" t="inlineStr">
        <is>
          <t>G-OS</t>
        </is>
      </c>
      <c r="C720" s="5" t="inlineStr">
        <is>
          <t>Growth Lead / Head of Marketing</t>
        </is>
      </c>
      <c r="D720" s="5" t="inlineStr">
        <is>
          <t>Growth OS - Campaigns &amp; Marketing</t>
        </is>
      </c>
      <c r="E720" s="5" t="inlineStr">
        <is>
          <t>Parent-Child Campaign Hierarchy &amp; Multi-Territory Rollup</t>
        </is>
      </c>
      <c r="F720" s="5" t="inlineStr">
        <is>
          <t>Growth Lead / Marketing Manager</t>
        </is>
      </c>
      <c r="G720" s="5" t="inlineStr">
        <is>
          <t>Regional Branch Manager</t>
        </is>
      </c>
      <c r="H720" s="5" t="inlineStr">
        <is>
          <t>Supports structuring overarching marketing umbrellas (e.g., Annual Diwali Expo) with nested sub-campaigns (e.g., North Zone WhatsApp Promo, South Zone Catalog Distribution) with automatic budget and revenue rollups.</t>
        </is>
      </c>
      <c r="I720" s="5" t="inlineStr">
        <is>
          <t>Aggregates multi-territory campaign performance up to parent campaign totals without manual Excel reconciliation or double-counting.</t>
        </is>
      </c>
      <c r="J720" s="22" t="inlineStr">
        <is>
          <t>P2</t>
        </is>
      </c>
      <c r="K720" s="22" t="inlineStr">
        <is>
          <t>Code Complete &amp; Verified</t>
        </is>
      </c>
      <c r="L720" s="5" t="inlineStr">
        <is>
          <t>Implements parent-child campaign relationships with rollup object support from web/src/api/growth.ts.</t>
        </is>
      </c>
      <c r="M720" s="8" t="inlineStr">
        <is>
          <t>Growth OS</t>
        </is>
      </c>
      <c r="N720" s="8" t="inlineStr">
        <is>
          <t>Growth role</t>
        </is>
      </c>
      <c r="O720" s="8" t="inlineStr">
        <is>
          <t>P2</t>
        </is>
      </c>
      <c r="P720" s="5" t="inlineStr">
        <is>
          <t>Unchanged</t>
        </is>
      </c>
      <c r="Q720" s="20" t="inlineStr">
        <is>
          <t>Author assertion</t>
        </is>
      </c>
      <c r="R720" s="5" t="inlineStr"/>
      <c r="S720" s="8" t="inlineStr">
        <is>
          <t>GOS-CAM</t>
        </is>
      </c>
      <c r="T720" s="5" t="inlineStr">
        <is>
          <t>Growth campaigns</t>
        </is>
      </c>
      <c r="U720" s="8" t="inlineStr"/>
      <c r="V720" s="8" t="inlineStr">
        <is>
          <t>crm</t>
        </is>
      </c>
      <c r="W720" s="8" t="inlineStr">
        <is>
          <t>GROW</t>
        </is>
      </c>
      <c r="X720" s="5" t="inlineStr">
        <is>
          <t>Core</t>
        </is>
      </c>
      <c r="Y720" s="5" t="inlineStr">
        <is>
          <t>Growth</t>
        </is>
      </c>
      <c r="Z720" s="5" t="inlineStr">
        <is>
          <t>Medium</t>
        </is>
      </c>
      <c r="AA720" s="5" t="inlineStr">
        <is>
          <t>Medium</t>
        </is>
      </c>
      <c r="AB720" s="8" t="inlineStr">
        <is>
          <t>Low</t>
        </is>
      </c>
      <c r="AC720" s="8" t="inlineStr">
        <is>
          <t>Later</t>
        </is>
      </c>
      <c r="AD720" s="5" t="inlineStr">
        <is>
          <t>Cited in code</t>
        </is>
      </c>
      <c r="AE720" s="5" t="inlineStr">
        <is>
          <t>Not verified</t>
        </is>
      </c>
      <c r="AF720" s="5" t="inlineStr">
        <is>
          <t>Not verified</t>
        </is>
      </c>
      <c r="AG720" s="5" t="inlineStr">
        <is>
          <t>Not verified</t>
        </is>
      </c>
      <c r="AH720" s="5" t="inlineStr">
        <is>
          <t>Not verified</t>
        </is>
      </c>
      <c r="AI720" s="8" t="inlineStr">
        <is>
          <t>No</t>
        </is>
      </c>
      <c r="AJ720" s="8" t="inlineStr">
        <is>
          <t>Built - unverified</t>
        </is>
      </c>
      <c r="AK720" s="8" t="inlineStr">
        <is>
          <t>P2</t>
        </is>
      </c>
      <c r="AL720" s="8" t="n">
        <v>6</v>
      </c>
      <c r="AM720" s="5" t="inlineStr"/>
      <c r="AN720" s="5" t="inlineStr"/>
      <c r="AO720" s="5" t="inlineStr"/>
      <c r="AP720" s="5" t="inlineStr"/>
      <c r="AQ720" s="5" t="inlineStr"/>
      <c r="AR720" s="5" t="inlineStr"/>
      <c r="AS720" s="5" t="inlineStr"/>
      <c r="AT720" s="5" t="inlineStr"/>
      <c r="AU720" s="8" t="inlineStr">
        <is>
          <t>Not run</t>
        </is>
      </c>
    </row>
    <row r="721" ht="32" customHeight="1">
      <c r="A721" s="16" t="inlineStr">
        <is>
          <t>GOS-0720</t>
        </is>
      </c>
      <c r="B721" s="8" t="inlineStr">
        <is>
          <t>G-OS</t>
        </is>
      </c>
      <c r="C721" s="5" t="inlineStr">
        <is>
          <t>Inside Sales / Web Lead Specialist</t>
        </is>
      </c>
      <c r="D721" s="5" t="inlineStr">
        <is>
          <t>Growth OS - Lead Ingestion &amp; Pipeline</t>
        </is>
      </c>
      <c r="E721" s="5" t="inlineStr">
        <is>
          <t>Public Embeddable Web-to-Lead Ingestion Form</t>
        </is>
      </c>
      <c r="F721" s="5" t="inlineStr">
        <is>
          <t>Inside Sales / Web Lead Specialist</t>
        </is>
      </c>
      <c r="G721" s="5" t="inlineStr">
        <is>
          <t>System Administrator</t>
        </is>
      </c>
      <c r="H721" s="5" t="inlineStr">
        <is>
          <t>Provides a lightweight, mobile-responsive public lead capture form (/public/lead-form/) with honeypot spam filtering, CORS validation, and instant CRM lead creation.</t>
        </is>
      </c>
      <c r="I721" s="5" t="inlineStr">
        <is>
          <t>Auto-ingests inbound trade inquiries from corporate websites, landing pages, and digital QR codes directly into CRM Leads table within 500ms.</t>
        </is>
      </c>
      <c r="J721" s="20" t="inlineStr">
        <is>
          <t>P1</t>
        </is>
      </c>
      <c r="K721" s="22" t="inlineStr">
        <is>
          <t>Code Complete &amp; Verified</t>
        </is>
      </c>
      <c r="L721" s="5" t="inlineStr">
        <is>
          <t>Implements LeadFormPage.tsx and web-to-lead API endpoint with rate limiting and automated sanitization.</t>
        </is>
      </c>
      <c r="M721" s="8" t="inlineStr">
        <is>
          <t>Growth OS</t>
        </is>
      </c>
      <c r="N721" s="8" t="inlineStr">
        <is>
          <t>Growth role</t>
        </is>
      </c>
      <c r="O721" s="8" t="inlineStr">
        <is>
          <t>P1</t>
        </is>
      </c>
      <c r="P721" s="5" t="inlineStr">
        <is>
          <t>Unchanged</t>
        </is>
      </c>
      <c r="Q721" s="21" t="inlineStr">
        <is>
          <t>Code symbol found</t>
        </is>
      </c>
      <c r="R721" s="5" t="inlineStr">
        <is>
          <t>Matched LeadFormPage in product code. This is not a functional test.</t>
        </is>
      </c>
      <c r="S721" s="8" t="inlineStr">
        <is>
          <t>GOS-LEAD</t>
        </is>
      </c>
      <c r="T721" s="5" t="inlineStr">
        <is>
          <t>Growth leads</t>
        </is>
      </c>
      <c r="U721" s="8" t="inlineStr"/>
      <c r="V721" s="8" t="inlineStr">
        <is>
          <t>crm</t>
        </is>
      </c>
      <c r="W721" s="8" t="inlineStr">
        <is>
          <t>GROW</t>
        </is>
      </c>
      <c r="X721" s="5" t="inlineStr">
        <is>
          <t>Core</t>
        </is>
      </c>
      <c r="Y721" s="5" t="inlineStr">
        <is>
          <t>Growth</t>
        </is>
      </c>
      <c r="Z721" s="5" t="inlineStr">
        <is>
          <t>Medium</t>
        </is>
      </c>
      <c r="AA721" s="5" t="inlineStr">
        <is>
          <t>Medium</t>
        </is>
      </c>
      <c r="AB721" s="8" t="inlineStr">
        <is>
          <t>Low</t>
        </is>
      </c>
      <c r="AC721" s="8" t="inlineStr">
        <is>
          <t>Later</t>
        </is>
      </c>
      <c r="AD721" s="5" t="inlineStr">
        <is>
          <t>Cited in code</t>
        </is>
      </c>
      <c r="AE721" s="5" t="inlineStr">
        <is>
          <t>Not verified</t>
        </is>
      </c>
      <c r="AF721" s="5" t="inlineStr">
        <is>
          <t>Not verified</t>
        </is>
      </c>
      <c r="AG721" s="5" t="inlineStr">
        <is>
          <t>Not verified</t>
        </is>
      </c>
      <c r="AH721" s="5" t="inlineStr">
        <is>
          <t>Not verified</t>
        </is>
      </c>
      <c r="AI721" s="8" t="inlineStr">
        <is>
          <t>No</t>
        </is>
      </c>
      <c r="AJ721" s="8" t="inlineStr">
        <is>
          <t>Built - unverified</t>
        </is>
      </c>
      <c r="AK721" s="8" t="inlineStr">
        <is>
          <t>P1</t>
        </is>
      </c>
      <c r="AL721" s="8" t="n">
        <v>6</v>
      </c>
      <c r="AM721" s="5" t="inlineStr"/>
      <c r="AN721" s="5" t="inlineStr"/>
      <c r="AO721" s="5" t="inlineStr"/>
      <c r="AP721" s="5" t="inlineStr"/>
      <c r="AQ721" s="5" t="inlineStr"/>
      <c r="AR721" s="5" t="inlineStr"/>
      <c r="AS721" s="5" t="inlineStr"/>
      <c r="AT721" s="5" t="inlineStr"/>
      <c r="AU721" s="8" t="inlineStr">
        <is>
          <t>Not run</t>
        </is>
      </c>
    </row>
    <row r="722" ht="32" customHeight="1">
      <c r="A722" s="16" t="inlineStr">
        <is>
          <t>GOS-0721</t>
        </is>
      </c>
      <c r="B722" s="8" t="inlineStr">
        <is>
          <t>G-OS</t>
        </is>
      </c>
      <c r="C722" s="5" t="inlineStr">
        <is>
          <t>Inside Sales / Web Lead Specialist</t>
        </is>
      </c>
      <c r="D722" s="5" t="inlineStr">
        <is>
          <t>Growth OS - Lead Ingestion &amp; Pipeline</t>
        </is>
      </c>
      <c r="E722" s="5" t="inlineStr">
        <is>
          <t>Inbound Lead Exact-Match Deduplication &amp; Conflict Prevention</t>
        </is>
      </c>
      <c r="F722" s="5" t="inlineStr">
        <is>
          <t>Inside Sales / Web Lead Specialist</t>
        </is>
      </c>
      <c r="G722" s="5" t="inlineStr">
        <is>
          <t>Sales Representative</t>
        </is>
      </c>
      <c r="H722" s="5" t="inlineStr">
        <is>
          <t>Enforces strict deduplication on incoming leads using normalized E.164 phone numbers and lowercase email addresses against existing CRM leads and active Customer masters.</t>
        </is>
      </c>
      <c r="I722" s="5" t="inlineStr">
        <is>
          <t>Prevents multi-rep outreach collisions; appends new inquiry details and campaign tags to existing lead activity timeline rather than creating duplicate customer profiles.</t>
        </is>
      </c>
      <c r="J722" s="19" t="inlineStr">
        <is>
          <t>P0</t>
        </is>
      </c>
      <c r="K722" s="22" t="inlineStr">
        <is>
          <t>Code Complete &amp; Verified</t>
        </is>
      </c>
      <c r="L722" s="5" t="inlineStr">
        <is>
          <t>Enforces database uniqueness constraints and deduplication matching rules across backend/crm/ models.</t>
        </is>
      </c>
      <c r="M722" s="8" t="inlineStr">
        <is>
          <t>Growth OS</t>
        </is>
      </c>
      <c r="N722" s="8" t="inlineStr">
        <is>
          <t>Growth role</t>
        </is>
      </c>
      <c r="O722" s="8" t="inlineStr">
        <is>
          <t>P0</t>
        </is>
      </c>
      <c r="P722" s="5" t="inlineStr">
        <is>
          <t>Unchanged</t>
        </is>
      </c>
      <c r="Q722" s="20" t="inlineStr">
        <is>
          <t>Author assertion</t>
        </is>
      </c>
      <c r="R722" s="5" t="inlineStr"/>
      <c r="S722" s="8" t="inlineStr">
        <is>
          <t>GOS-LEAD</t>
        </is>
      </c>
      <c r="T722" s="5" t="inlineStr">
        <is>
          <t>Growth leads</t>
        </is>
      </c>
      <c r="U722" s="8" t="inlineStr"/>
      <c r="V722" s="8" t="inlineStr">
        <is>
          <t>crm</t>
        </is>
      </c>
      <c r="W722" s="8" t="inlineStr">
        <is>
          <t>GROW</t>
        </is>
      </c>
      <c r="X722" s="5" t="inlineStr">
        <is>
          <t>Core</t>
        </is>
      </c>
      <c r="Y722" s="5" t="inlineStr">
        <is>
          <t>Growth</t>
        </is>
      </c>
      <c r="Z722" s="5" t="inlineStr">
        <is>
          <t>Medium</t>
        </is>
      </c>
      <c r="AA722" s="5" t="inlineStr">
        <is>
          <t>Medium</t>
        </is>
      </c>
      <c r="AB722" s="8" t="inlineStr">
        <is>
          <t>Low</t>
        </is>
      </c>
      <c r="AC722" s="8" t="inlineStr">
        <is>
          <t>MVP</t>
        </is>
      </c>
      <c r="AD722" s="5" t="inlineStr">
        <is>
          <t>Cited in code</t>
        </is>
      </c>
      <c r="AE722" s="5" t="inlineStr">
        <is>
          <t>Not verified</t>
        </is>
      </c>
      <c r="AF722" s="5" t="inlineStr">
        <is>
          <t>Not verified</t>
        </is>
      </c>
      <c r="AG722" s="5" t="inlineStr">
        <is>
          <t>Not verified</t>
        </is>
      </c>
      <c r="AH722" s="5" t="inlineStr">
        <is>
          <t>Not verified</t>
        </is>
      </c>
      <c r="AI722" s="8" t="inlineStr">
        <is>
          <t>No</t>
        </is>
      </c>
      <c r="AJ722" s="8" t="inlineStr">
        <is>
          <t>Built - unverified</t>
        </is>
      </c>
      <c r="AK722" s="8" t="inlineStr">
        <is>
          <t>P0</t>
        </is>
      </c>
      <c r="AL722" s="8" t="n">
        <v>6</v>
      </c>
      <c r="AM722" s="5" t="inlineStr"/>
      <c r="AN722" s="5" t="inlineStr"/>
      <c r="AO722" s="5" t="inlineStr"/>
      <c r="AP722" s="5" t="inlineStr"/>
      <c r="AQ722" s="5" t="inlineStr"/>
      <c r="AR722" s="5" t="inlineStr"/>
      <c r="AS722" s="5" t="inlineStr"/>
      <c r="AT722" s="5" t="inlineStr"/>
      <c r="AU722" s="8" t="inlineStr">
        <is>
          <t>Not run</t>
        </is>
      </c>
    </row>
    <row r="723" ht="32" customHeight="1">
      <c r="A723" s="16" t="inlineStr">
        <is>
          <t>GOS-0722</t>
        </is>
      </c>
      <c r="B723" s="8" t="inlineStr">
        <is>
          <t>G-OS</t>
        </is>
      </c>
      <c r="C723" s="5" t="inlineStr">
        <is>
          <t>Sales Manager / Team Lead</t>
        </is>
      </c>
      <c r="D723" s="5" t="inlineStr">
        <is>
          <t>Growth OS - Lead Ingestion &amp; Pipeline</t>
        </is>
      </c>
      <c r="E723" s="5" t="inlineStr">
        <is>
          <t>Automated Round-Robin Lead Assignment &amp; 2-Hour SLA Timer</t>
        </is>
      </c>
      <c r="F723" s="5" t="inlineStr">
        <is>
          <t>Sales Manager / Team Lead</t>
        </is>
      </c>
      <c r="G723" s="5" t="inlineStr">
        <is>
          <t>Sales Representative</t>
        </is>
      </c>
      <c r="H723" s="5" t="inlineStr">
        <is>
          <t>Automatically routes newly qualified inbound leads to on-duty sales representatives via round-robin allocation, initiating a 2-hour first-touch SLA countdown timer.</t>
        </is>
      </c>
      <c r="I723" s="5" t="inlineStr">
        <is>
          <t>Sends instant WhatsApp/push alerts to assigned sales reps; triggers managerial escalation if a high-intent lead remains uncontacted past the 2-hour window.</t>
        </is>
      </c>
      <c r="J723" s="20" t="inlineStr">
        <is>
          <t>P1</t>
        </is>
      </c>
      <c r="K723" s="22" t="inlineStr">
        <is>
          <t>Code Complete &amp; Verified</t>
        </is>
      </c>
      <c r="L723" s="5" t="inlineStr">
        <is>
          <t>Implements automated assignment logic and response time tracking defined in CRM service layer.</t>
        </is>
      </c>
      <c r="M723" s="8" t="inlineStr">
        <is>
          <t>Growth OS</t>
        </is>
      </c>
      <c r="N723" s="8" t="inlineStr">
        <is>
          <t>Growth role</t>
        </is>
      </c>
      <c r="O723" s="8" t="inlineStr">
        <is>
          <t>P1</t>
        </is>
      </c>
      <c r="P723" s="5" t="inlineStr">
        <is>
          <t>Unchanged</t>
        </is>
      </c>
      <c r="Q723" s="20" t="inlineStr">
        <is>
          <t>Author assertion</t>
        </is>
      </c>
      <c r="R723" s="5" t="inlineStr"/>
      <c r="S723" s="8" t="inlineStr">
        <is>
          <t>GOS-LEAD</t>
        </is>
      </c>
      <c r="T723" s="5" t="inlineStr">
        <is>
          <t>Growth leads</t>
        </is>
      </c>
      <c r="U723" s="8" t="inlineStr"/>
      <c r="V723" s="8" t="inlineStr">
        <is>
          <t>crm</t>
        </is>
      </c>
      <c r="W723" s="8" t="inlineStr">
        <is>
          <t>GROW</t>
        </is>
      </c>
      <c r="X723" s="5" t="inlineStr">
        <is>
          <t>Core</t>
        </is>
      </c>
      <c r="Y723" s="5" t="inlineStr">
        <is>
          <t>Sales</t>
        </is>
      </c>
      <c r="Z723" s="5" t="inlineStr">
        <is>
          <t>Medium</t>
        </is>
      </c>
      <c r="AA723" s="5" t="inlineStr">
        <is>
          <t>Medium</t>
        </is>
      </c>
      <c r="AB723" s="8" t="inlineStr">
        <is>
          <t>Low</t>
        </is>
      </c>
      <c r="AC723" s="8" t="inlineStr">
        <is>
          <t>Later</t>
        </is>
      </c>
      <c r="AD723" s="5" t="inlineStr">
        <is>
          <t>Cited in code</t>
        </is>
      </c>
      <c r="AE723" s="5" t="inlineStr">
        <is>
          <t>Not verified</t>
        </is>
      </c>
      <c r="AF723" s="5" t="inlineStr">
        <is>
          <t>Not verified</t>
        </is>
      </c>
      <c r="AG723" s="5" t="inlineStr">
        <is>
          <t>Not verified</t>
        </is>
      </c>
      <c r="AH723" s="5" t="inlineStr">
        <is>
          <t>Not verified</t>
        </is>
      </c>
      <c r="AI723" s="8" t="inlineStr">
        <is>
          <t>No</t>
        </is>
      </c>
      <c r="AJ723" s="8" t="inlineStr">
        <is>
          <t>Built - unverified</t>
        </is>
      </c>
      <c r="AK723" s="8" t="inlineStr">
        <is>
          <t>P1</t>
        </is>
      </c>
      <c r="AL723" s="8" t="n">
        <v>6</v>
      </c>
      <c r="AM723" s="5" t="inlineStr"/>
      <c r="AN723" s="5" t="inlineStr"/>
      <c r="AO723" s="5" t="inlineStr"/>
      <c r="AP723" s="5" t="inlineStr"/>
      <c r="AQ723" s="5" t="inlineStr"/>
      <c r="AR723" s="5" t="inlineStr"/>
      <c r="AS723" s="5" t="inlineStr"/>
      <c r="AT723" s="5" t="inlineStr"/>
      <c r="AU723" s="8" t="inlineStr">
        <is>
          <t>Not run</t>
        </is>
      </c>
    </row>
    <row r="724" ht="32" customHeight="1">
      <c r="A724" s="16" t="inlineStr">
        <is>
          <t>GOS-0723</t>
        </is>
      </c>
      <c r="B724" s="8" t="inlineStr">
        <is>
          <t>G-OS</t>
        </is>
      </c>
      <c r="C724" s="5" t="inlineStr">
        <is>
          <t>Sales Representative</t>
        </is>
      </c>
      <c r="D724" s="5" t="inlineStr">
        <is>
          <t>Growth OS - Lead Ingestion &amp; Pipeline</t>
        </is>
      </c>
      <c r="E724" s="5" t="inlineStr">
        <is>
          <t>Qualified Lead-to-Customer &amp; Opportunity One-Click Conversion</t>
        </is>
      </c>
      <c r="F724" s="5" t="inlineStr">
        <is>
          <t>Sales Representative</t>
        </is>
      </c>
      <c r="G724" s="5" t="inlineStr">
        <is>
          <t>Finance Manager, Store Cashier</t>
        </is>
      </c>
      <c r="H724" s="5" t="inlineStr">
        <is>
          <t>Converts a qualified lead into an official Customer master record while simultaneously creating a linked Opportunity with complete carry-forward of activity notes and interaction logs.</t>
        </is>
      </c>
      <c r="I724" s="5" t="inlineStr">
        <is>
          <t>Seamlessly bridges top-of-funnel marketing inquiry into bottom-of-funnel accounting and billing workflows without manual data re-entry.</t>
        </is>
      </c>
      <c r="J724" s="20" t="inlineStr">
        <is>
          <t>P1</t>
        </is>
      </c>
      <c r="K724" s="22" t="inlineStr">
        <is>
          <t>Code Complete &amp; Verified</t>
        </is>
      </c>
      <c r="L724" s="5" t="inlineStr">
        <is>
          <t>Implements convert_lead() service method and UI transition workflow verified in test_sprint_b_crm_convert.py.</t>
        </is>
      </c>
      <c r="M724" s="8" t="inlineStr">
        <is>
          <t>Growth OS</t>
        </is>
      </c>
      <c r="N724" s="8" t="inlineStr">
        <is>
          <t>Growth role</t>
        </is>
      </c>
      <c r="O724" s="8" t="inlineStr">
        <is>
          <t>P1</t>
        </is>
      </c>
      <c r="P724" s="5" t="inlineStr">
        <is>
          <t>Unchanged</t>
        </is>
      </c>
      <c r="Q724" s="21" t="inlineStr">
        <is>
          <t>Code symbol found</t>
        </is>
      </c>
      <c r="R724" s="5" t="inlineStr">
        <is>
          <t>Matched convert_lead in product code. This is not a functional test.</t>
        </is>
      </c>
      <c r="S724" s="8" t="inlineStr">
        <is>
          <t>GOS-LEAD</t>
        </is>
      </c>
      <c r="T724" s="5" t="inlineStr">
        <is>
          <t>Growth leads</t>
        </is>
      </c>
      <c r="U724" s="8" t="inlineStr"/>
      <c r="V724" s="8" t="inlineStr">
        <is>
          <t>crm</t>
        </is>
      </c>
      <c r="W724" s="8" t="inlineStr">
        <is>
          <t>GROW</t>
        </is>
      </c>
      <c r="X724" s="5" t="inlineStr">
        <is>
          <t>Core</t>
        </is>
      </c>
      <c r="Y724" s="5" t="inlineStr">
        <is>
          <t>Sales</t>
        </is>
      </c>
      <c r="Z724" s="5" t="inlineStr">
        <is>
          <t>Medium</t>
        </is>
      </c>
      <c r="AA724" s="5" t="inlineStr">
        <is>
          <t>Medium</t>
        </is>
      </c>
      <c r="AB724" s="8" t="inlineStr">
        <is>
          <t>Low</t>
        </is>
      </c>
      <c r="AC724" s="8" t="inlineStr">
        <is>
          <t>Later</t>
        </is>
      </c>
      <c r="AD724" s="5" t="inlineStr">
        <is>
          <t>Cited in code</t>
        </is>
      </c>
      <c r="AE724" s="5" t="inlineStr">
        <is>
          <t>Not verified</t>
        </is>
      </c>
      <c r="AF724" s="5" t="inlineStr">
        <is>
          <t>Not verified</t>
        </is>
      </c>
      <c r="AG724" s="5" t="inlineStr">
        <is>
          <t>Not verified</t>
        </is>
      </c>
      <c r="AH724" s="5" t="inlineStr">
        <is>
          <t>Not verified</t>
        </is>
      </c>
      <c r="AI724" s="8" t="inlineStr">
        <is>
          <t>No</t>
        </is>
      </c>
      <c r="AJ724" s="8" t="inlineStr">
        <is>
          <t>Built - unverified</t>
        </is>
      </c>
      <c r="AK724" s="8" t="inlineStr">
        <is>
          <t>P1</t>
        </is>
      </c>
      <c r="AL724" s="8" t="n">
        <v>6</v>
      </c>
      <c r="AM724" s="5" t="inlineStr"/>
      <c r="AN724" s="5" t="inlineStr"/>
      <c r="AO724" s="5" t="inlineStr"/>
      <c r="AP724" s="5" t="inlineStr"/>
      <c r="AQ724" s="5" t="inlineStr"/>
      <c r="AR724" s="5" t="inlineStr"/>
      <c r="AS724" s="5" t="inlineStr"/>
      <c r="AT724" s="5" t="inlineStr"/>
      <c r="AU724" s="8" t="inlineStr">
        <is>
          <t>Not run</t>
        </is>
      </c>
    </row>
    <row r="725" ht="32" customHeight="1">
      <c r="A725" s="16" t="inlineStr">
        <is>
          <t>GOS-0724</t>
        </is>
      </c>
      <c r="B725" s="8" t="inlineStr">
        <is>
          <t>G-OS</t>
        </is>
      </c>
      <c r="C725" s="5" t="inlineStr">
        <is>
          <t>Sales Representative</t>
        </is>
      </c>
      <c r="D725" s="5" t="inlineStr">
        <is>
          <t>Growth OS - Opportunity Management</t>
        </is>
      </c>
      <c r="E725" s="5" t="inlineStr">
        <is>
          <t>Line-Item Product Requirement Specification on Opportunities</t>
        </is>
      </c>
      <c r="F725" s="5" t="inlineStr">
        <is>
          <t>Sales Representative</t>
        </is>
      </c>
      <c r="G725" s="5" t="inlineStr">
        <is>
          <t>Inventory Manager</t>
        </is>
      </c>
      <c r="H725" s="5" t="inlineStr">
        <is>
          <t>Allows sales representatives to attach specific product SKUs, estimated purchase quantities, and target unit prices directly to an Opportunity pipeline record.</t>
        </is>
      </c>
      <c r="I725" s="5" t="inlineStr">
        <is>
          <t>Enables inventory demand forecasting and procurement pre-planning before sales orders are officially confirmed; feeds realistic bottom-up value into sales pipeline.</t>
        </is>
      </c>
      <c r="J725" s="20" t="inlineStr">
        <is>
          <t>P1</t>
        </is>
      </c>
      <c r="K725" s="22" t="inlineStr">
        <is>
          <t>Code Complete &amp; Verified</t>
        </is>
      </c>
      <c r="L725" s="5" t="inlineStr">
        <is>
          <t>Implements OpportunityLine CRUD APIs (createOpportunityLine, deleteOpportunityLine) from web/src/api/growth.ts.</t>
        </is>
      </c>
      <c r="M725" s="8" t="inlineStr">
        <is>
          <t>Growth OS</t>
        </is>
      </c>
      <c r="N725" s="8" t="inlineStr">
        <is>
          <t>Growth role</t>
        </is>
      </c>
      <c r="O725" s="8" t="inlineStr">
        <is>
          <t>P1</t>
        </is>
      </c>
      <c r="P725" s="5" t="inlineStr">
        <is>
          <t>Unchanged</t>
        </is>
      </c>
      <c r="Q725" s="21" t="inlineStr">
        <is>
          <t>Code symbol found</t>
        </is>
      </c>
      <c r="R725" s="5" t="inlineStr">
        <is>
          <t>Matched createOpportunityLine in product code. This is not a functional test.</t>
        </is>
      </c>
      <c r="S725" s="8" t="inlineStr">
        <is>
          <t>GOS-OPP</t>
        </is>
      </c>
      <c r="T725" s="5" t="inlineStr">
        <is>
          <t>Growth opportunities</t>
        </is>
      </c>
      <c r="U725" s="8" t="inlineStr"/>
      <c r="V725" s="8" t="inlineStr">
        <is>
          <t>crm</t>
        </is>
      </c>
      <c r="W725" s="8" t="inlineStr">
        <is>
          <t>GROW</t>
        </is>
      </c>
      <c r="X725" s="5" t="inlineStr">
        <is>
          <t>Core</t>
        </is>
      </c>
      <c r="Y725" s="5" t="inlineStr">
        <is>
          <t>Sales</t>
        </is>
      </c>
      <c r="Z725" s="5" t="inlineStr">
        <is>
          <t>Medium</t>
        </is>
      </c>
      <c r="AA725" s="5" t="inlineStr">
        <is>
          <t>Medium</t>
        </is>
      </c>
      <c r="AB725" s="8" t="inlineStr">
        <is>
          <t>Low</t>
        </is>
      </c>
      <c r="AC725" s="8" t="inlineStr">
        <is>
          <t>Later</t>
        </is>
      </c>
      <c r="AD725" s="5" t="inlineStr">
        <is>
          <t>Cited in code</t>
        </is>
      </c>
      <c r="AE725" s="5" t="inlineStr">
        <is>
          <t>Not verified</t>
        </is>
      </c>
      <c r="AF725" s="5" t="inlineStr">
        <is>
          <t>Not verified</t>
        </is>
      </c>
      <c r="AG725" s="5" t="inlineStr">
        <is>
          <t>Not verified</t>
        </is>
      </c>
      <c r="AH725" s="5" t="inlineStr">
        <is>
          <t>Not verified</t>
        </is>
      </c>
      <c r="AI725" s="8" t="inlineStr">
        <is>
          <t>No</t>
        </is>
      </c>
      <c r="AJ725" s="8" t="inlineStr">
        <is>
          <t>Built - unverified</t>
        </is>
      </c>
      <c r="AK725" s="8" t="inlineStr">
        <is>
          <t>P1</t>
        </is>
      </c>
      <c r="AL725" s="8" t="n">
        <v>6</v>
      </c>
      <c r="AM725" s="5" t="inlineStr"/>
      <c r="AN725" s="5" t="inlineStr"/>
      <c r="AO725" s="5" t="inlineStr"/>
      <c r="AP725" s="5" t="inlineStr"/>
      <c r="AQ725" s="5" t="inlineStr"/>
      <c r="AR725" s="5" t="inlineStr"/>
      <c r="AS725" s="5" t="inlineStr"/>
      <c r="AT725" s="5" t="inlineStr"/>
      <c r="AU725" s="8" t="inlineStr">
        <is>
          <t>Not run</t>
        </is>
      </c>
    </row>
    <row r="726" ht="32" customHeight="1">
      <c r="A726" s="16" t="inlineStr">
        <is>
          <t>GOS-0725</t>
        </is>
      </c>
      <c r="B726" s="8" t="inlineStr">
        <is>
          <t>G-OS</t>
        </is>
      </c>
      <c r="C726" s="5" t="inlineStr">
        <is>
          <t>Sales Manager / Head of Sales</t>
        </is>
      </c>
      <c r="D726" s="5" t="inlineStr">
        <is>
          <t>Growth OS - Opportunity Management</t>
        </is>
      </c>
      <c r="E726" s="5" t="inlineStr">
        <is>
          <t>Weighted Opportunity Pipeline Stage Forecasting</t>
        </is>
      </c>
      <c r="F726" s="5" t="inlineStr">
        <is>
          <t>Sales Manager / Head of Sales</t>
        </is>
      </c>
      <c r="G726" s="5" t="inlineStr">
        <is>
          <t>Finance Manager, Business Owner</t>
        </is>
      </c>
      <c r="H726" s="5" t="inlineStr">
        <is>
          <t>Computes monthly weighted pipeline revenue forecasts by multiplying deal amount by stage probability (e.g., Prospecting 10%, Demo 40%, Negotiation 80%, Won 100%).</t>
        </is>
      </c>
      <c r="I726" s="5" t="inlineStr">
        <is>
          <t>Feeds forward-looking revenue projections into cashflow and procurement models; surfaces expected closing dates across next 30/60/90 days.</t>
        </is>
      </c>
      <c r="J726" s="20" t="inlineStr">
        <is>
          <t>P1</t>
        </is>
      </c>
      <c r="K726" s="22" t="inlineStr">
        <is>
          <t>Code Complete &amp; Verified</t>
        </is>
      </c>
      <c r="L726" s="5" t="inlineStr">
        <is>
          <t>Implements getForecast() API in web/src/api/growth.ts returning monthly forecast buckets and unscheduled deal volumes.</t>
        </is>
      </c>
      <c r="M726" s="8" t="inlineStr">
        <is>
          <t>Growth OS</t>
        </is>
      </c>
      <c r="N726" s="8" t="inlineStr">
        <is>
          <t>Growth role</t>
        </is>
      </c>
      <c r="O726" s="8" t="inlineStr">
        <is>
          <t>P1</t>
        </is>
      </c>
      <c r="P726" s="5" t="inlineStr">
        <is>
          <t>Unchanged</t>
        </is>
      </c>
      <c r="Q726" s="21" t="inlineStr">
        <is>
          <t>Code symbol found</t>
        </is>
      </c>
      <c r="R726" s="5" t="inlineStr">
        <is>
          <t>Matched getForecast in product code. This is not a functional test.</t>
        </is>
      </c>
      <c r="S726" s="8" t="inlineStr">
        <is>
          <t>GOS-OPP</t>
        </is>
      </c>
      <c r="T726" s="5" t="inlineStr">
        <is>
          <t>Growth opportunities</t>
        </is>
      </c>
      <c r="U726" s="8" t="inlineStr"/>
      <c r="V726" s="8" t="inlineStr">
        <is>
          <t>crm</t>
        </is>
      </c>
      <c r="W726" s="8" t="inlineStr">
        <is>
          <t>GROW</t>
        </is>
      </c>
      <c r="X726" s="5" t="inlineStr">
        <is>
          <t>Core</t>
        </is>
      </c>
      <c r="Y726" s="5" t="inlineStr">
        <is>
          <t>Sales</t>
        </is>
      </c>
      <c r="Z726" s="5" t="inlineStr">
        <is>
          <t>Medium</t>
        </is>
      </c>
      <c r="AA726" s="5" t="inlineStr">
        <is>
          <t>Medium</t>
        </is>
      </c>
      <c r="AB726" s="8" t="inlineStr">
        <is>
          <t>Low</t>
        </is>
      </c>
      <c r="AC726" s="8" t="inlineStr">
        <is>
          <t>Later</t>
        </is>
      </c>
      <c r="AD726" s="5" t="inlineStr">
        <is>
          <t>Cited in code</t>
        </is>
      </c>
      <c r="AE726" s="5" t="inlineStr">
        <is>
          <t>Not verified</t>
        </is>
      </c>
      <c r="AF726" s="5" t="inlineStr">
        <is>
          <t>Not verified</t>
        </is>
      </c>
      <c r="AG726" s="5" t="inlineStr">
        <is>
          <t>Not verified</t>
        </is>
      </c>
      <c r="AH726" s="5" t="inlineStr">
        <is>
          <t>Not verified</t>
        </is>
      </c>
      <c r="AI726" s="8" t="inlineStr">
        <is>
          <t>No</t>
        </is>
      </c>
      <c r="AJ726" s="8" t="inlineStr">
        <is>
          <t>Built - unverified</t>
        </is>
      </c>
      <c r="AK726" s="8" t="inlineStr">
        <is>
          <t>P1</t>
        </is>
      </c>
      <c r="AL726" s="8" t="n">
        <v>6</v>
      </c>
      <c r="AM726" s="5" t="inlineStr"/>
      <c r="AN726" s="5" t="inlineStr"/>
      <c r="AO726" s="5" t="inlineStr"/>
      <c r="AP726" s="5" t="inlineStr"/>
      <c r="AQ726" s="5" t="inlineStr"/>
      <c r="AR726" s="5" t="inlineStr"/>
      <c r="AS726" s="5" t="inlineStr"/>
      <c r="AT726" s="5" t="inlineStr"/>
      <c r="AU726" s="8" t="inlineStr">
        <is>
          <t>Not run</t>
        </is>
      </c>
    </row>
    <row r="727" ht="32" customHeight="1">
      <c r="A727" s="16" t="inlineStr">
        <is>
          <t>GOS-0726</t>
        </is>
      </c>
      <c r="B727" s="8" t="inlineStr">
        <is>
          <t>G-OS</t>
        </is>
      </c>
      <c r="C727" s="5" t="inlineStr">
        <is>
          <t>Finance Manager / Sales Ops</t>
        </is>
      </c>
      <c r="D727" s="5" t="inlineStr">
        <is>
          <t>Growth OS - Opportunity Management</t>
        </is>
      </c>
      <c r="E727" s="5" t="inlineStr">
        <is>
          <t>Won-Versus-Invoiced Revenue Gap &amp; Leakage Analytics</t>
        </is>
      </c>
      <c r="F727" s="5" t="inlineStr">
        <is>
          <t>Finance Manager / Sales Ops</t>
        </is>
      </c>
      <c r="G727" s="5" t="inlineStr">
        <is>
          <t>Sales Manager, Business Owner</t>
        </is>
      </c>
      <c r="H727" s="5" t="inlineStr">
        <is>
          <t>Performs automated monthly reconciliation between won opportunity contract values and actual posted Sales Invoices (getWonVersusInvoices).</t>
        </is>
      </c>
      <c r="I727" s="5" t="inlineStr">
        <is>
          <t>Detects revenue leakage, delayed billing, and unfulfilled customer commitments; alerts sales and finance leadership when invoiced revenue lags won pipeline by &gt; 15%.</t>
        </is>
      </c>
      <c r="J727" s="20" t="inlineStr">
        <is>
          <t>P1</t>
        </is>
      </c>
      <c r="K727" s="22" t="inlineStr">
        <is>
          <t>Code Complete &amp; Verified</t>
        </is>
      </c>
      <c r="L727" s="5" t="inlineStr">
        <is>
          <t>Implements getWonVersusInvoices endpoint comparing closed-won CRM commitments against realized ledger revenue.</t>
        </is>
      </c>
      <c r="M727" s="8" t="inlineStr">
        <is>
          <t>Growth OS</t>
        </is>
      </c>
      <c r="N727" s="8" t="inlineStr">
        <is>
          <t>Growth role</t>
        </is>
      </c>
      <c r="O727" s="8" t="inlineStr">
        <is>
          <t>P1</t>
        </is>
      </c>
      <c r="P727" s="5" t="inlineStr">
        <is>
          <t>Unchanged</t>
        </is>
      </c>
      <c r="Q727" s="21" t="inlineStr">
        <is>
          <t>Code symbol found</t>
        </is>
      </c>
      <c r="R727" s="5" t="inlineStr">
        <is>
          <t>Matched getWonVersusInvoices in product code. This is not a functional test.</t>
        </is>
      </c>
      <c r="S727" s="8" t="inlineStr">
        <is>
          <t>GOS-OPP</t>
        </is>
      </c>
      <c r="T727" s="5" t="inlineStr">
        <is>
          <t>Growth opportunities</t>
        </is>
      </c>
      <c r="U727" s="8" t="inlineStr"/>
      <c r="V727" s="8" t="inlineStr">
        <is>
          <t>crm</t>
        </is>
      </c>
      <c r="W727" s="8" t="inlineStr">
        <is>
          <t>GROW</t>
        </is>
      </c>
      <c r="X727" s="5" t="inlineStr">
        <is>
          <t>Core</t>
        </is>
      </c>
      <c r="Y727" s="5" t="inlineStr">
        <is>
          <t>Named role</t>
        </is>
      </c>
      <c r="Z727" s="5" t="inlineStr">
        <is>
          <t>Medium</t>
        </is>
      </c>
      <c r="AA727" s="5" t="inlineStr">
        <is>
          <t>Medium</t>
        </is>
      </c>
      <c r="AB727" s="8" t="inlineStr">
        <is>
          <t>Low</t>
        </is>
      </c>
      <c r="AC727" s="8" t="inlineStr">
        <is>
          <t>Later</t>
        </is>
      </c>
      <c r="AD727" s="5" t="inlineStr">
        <is>
          <t>Cited in code</t>
        </is>
      </c>
      <c r="AE727" s="5" t="inlineStr">
        <is>
          <t>Not verified</t>
        </is>
      </c>
      <c r="AF727" s="5" t="inlineStr">
        <is>
          <t>Not verified</t>
        </is>
      </c>
      <c r="AG727" s="5" t="inlineStr">
        <is>
          <t>Not verified</t>
        </is>
      </c>
      <c r="AH727" s="5" t="inlineStr">
        <is>
          <t>Not verified</t>
        </is>
      </c>
      <c r="AI727" s="8" t="inlineStr">
        <is>
          <t>No</t>
        </is>
      </c>
      <c r="AJ727" s="8" t="inlineStr">
        <is>
          <t>Built - unverified</t>
        </is>
      </c>
      <c r="AK727" s="8" t="inlineStr">
        <is>
          <t>P1</t>
        </is>
      </c>
      <c r="AL727" s="8" t="n">
        <v>6</v>
      </c>
      <c r="AM727" s="5" t="inlineStr"/>
      <c r="AN727" s="5" t="inlineStr"/>
      <c r="AO727" s="5" t="inlineStr"/>
      <c r="AP727" s="5" t="inlineStr"/>
      <c r="AQ727" s="5" t="inlineStr"/>
      <c r="AR727" s="5" t="inlineStr"/>
      <c r="AS727" s="5" t="inlineStr"/>
      <c r="AT727" s="5" t="inlineStr"/>
      <c r="AU727" s="8" t="inlineStr">
        <is>
          <t>Not run</t>
        </is>
      </c>
    </row>
    <row r="728" ht="32" customHeight="1">
      <c r="A728" s="16" t="inlineStr">
        <is>
          <t>GOS-0727</t>
        </is>
      </c>
      <c r="B728" s="8" t="inlineStr">
        <is>
          <t>G-OS</t>
        </is>
      </c>
      <c r="C728" s="5" t="inlineStr">
        <is>
          <t>Sales Manager / Head of Sales</t>
        </is>
      </c>
      <c r="D728" s="5" t="inlineStr">
        <is>
          <t>Growth OS - Opportunity Management</t>
        </is>
      </c>
      <c r="E728" s="5" t="inlineStr">
        <is>
          <t>Competitor Win/Loss Analytics &amp; Opportunity Loss Tracking</t>
        </is>
      </c>
      <c r="F728" s="5" t="inlineStr">
        <is>
          <t>Sales Manager / Head of Sales</t>
        </is>
      </c>
      <c r="G728" s="5" t="inlineStr">
        <is>
          <t>Product Strategist, Business Owner</t>
        </is>
      </c>
      <c r="H728" s="5" t="inlineStr">
        <is>
          <t>Captures primary winning competitor, loss reason category (pricing, feature gap, delivery delay, credit terms), and qualitative debrief notes upon marking an opportunity as LOST.</t>
        </is>
      </c>
      <c r="I728" s="5" t="inlineStr">
        <is>
          <t>Populates executive competitive loss matrix; identifies systematic product or pricing weaknesses causing lost revenue to specific market rivals.</t>
        </is>
      </c>
      <c r="J728" s="22" t="inlineStr">
        <is>
          <t>P2</t>
        </is>
      </c>
      <c r="K728" s="22" t="inlineStr">
        <is>
          <t>Code Complete &amp; Verified</t>
        </is>
      </c>
      <c r="L728" s="5" t="inlineStr">
        <is>
          <t>Supported by competitor and stage fields in OpportunityRow schema in web/src/api/growth.ts.</t>
        </is>
      </c>
      <c r="M728" s="8" t="inlineStr">
        <is>
          <t>Growth OS</t>
        </is>
      </c>
      <c r="N728" s="8" t="inlineStr">
        <is>
          <t>Growth role</t>
        </is>
      </c>
      <c r="O728" s="8" t="inlineStr">
        <is>
          <t>P2</t>
        </is>
      </c>
      <c r="P728" s="5" t="inlineStr">
        <is>
          <t>Unchanged</t>
        </is>
      </c>
      <c r="Q728" s="21" t="inlineStr">
        <is>
          <t>Code symbol found</t>
        </is>
      </c>
      <c r="R728" s="5" t="inlineStr">
        <is>
          <t>Matched OpportunityRow in product code. This is not a functional test.</t>
        </is>
      </c>
      <c r="S728" s="8" t="inlineStr">
        <is>
          <t>GOS-OPP</t>
        </is>
      </c>
      <c r="T728" s="5" t="inlineStr">
        <is>
          <t>Growth opportunities</t>
        </is>
      </c>
      <c r="U728" s="8" t="inlineStr"/>
      <c r="V728" s="8" t="inlineStr">
        <is>
          <t>crm</t>
        </is>
      </c>
      <c r="W728" s="8" t="inlineStr">
        <is>
          <t>GROW</t>
        </is>
      </c>
      <c r="X728" s="5" t="inlineStr">
        <is>
          <t>Core</t>
        </is>
      </c>
      <c r="Y728" s="5" t="inlineStr">
        <is>
          <t>Sales</t>
        </is>
      </c>
      <c r="Z728" s="5" t="inlineStr">
        <is>
          <t>Medium</t>
        </is>
      </c>
      <c r="AA728" s="5" t="inlineStr">
        <is>
          <t>Medium</t>
        </is>
      </c>
      <c r="AB728" s="8" t="inlineStr">
        <is>
          <t>Low</t>
        </is>
      </c>
      <c r="AC728" s="8" t="inlineStr">
        <is>
          <t>Later</t>
        </is>
      </c>
      <c r="AD728" s="5" t="inlineStr">
        <is>
          <t>Cited in code</t>
        </is>
      </c>
      <c r="AE728" s="5" t="inlineStr">
        <is>
          <t>Not verified</t>
        </is>
      </c>
      <c r="AF728" s="5" t="inlineStr">
        <is>
          <t>Not verified</t>
        </is>
      </c>
      <c r="AG728" s="5" t="inlineStr">
        <is>
          <t>Not verified</t>
        </is>
      </c>
      <c r="AH728" s="5" t="inlineStr">
        <is>
          <t>Not verified</t>
        </is>
      </c>
      <c r="AI728" s="8" t="inlineStr">
        <is>
          <t>No</t>
        </is>
      </c>
      <c r="AJ728" s="8" t="inlineStr">
        <is>
          <t>Built - unverified</t>
        </is>
      </c>
      <c r="AK728" s="8" t="inlineStr">
        <is>
          <t>P2</t>
        </is>
      </c>
      <c r="AL728" s="8" t="n">
        <v>6</v>
      </c>
      <c r="AM728" s="5" t="inlineStr"/>
      <c r="AN728" s="5" t="inlineStr"/>
      <c r="AO728" s="5" t="inlineStr"/>
      <c r="AP728" s="5" t="inlineStr"/>
      <c r="AQ728" s="5" t="inlineStr"/>
      <c r="AR728" s="5" t="inlineStr"/>
      <c r="AS728" s="5" t="inlineStr"/>
      <c r="AT728" s="5" t="inlineStr"/>
      <c r="AU728" s="8" t="inlineStr">
        <is>
          <t>Not run</t>
        </is>
      </c>
    </row>
    <row r="729" ht="32" customHeight="1">
      <c r="A729" s="16" t="inlineStr">
        <is>
          <t>GOS-0728</t>
        </is>
      </c>
      <c r="B729" s="8" t="inlineStr">
        <is>
          <t>G-OS</t>
        </is>
      </c>
      <c r="C729" s="5" t="inlineStr">
        <is>
          <t>Customer Success / Growth Lead</t>
        </is>
      </c>
      <c r="D729" s="5" t="inlineStr">
        <is>
          <t>Growth OS - Referral &amp; Advocate Engine</t>
        </is>
      </c>
      <c r="E729" s="5" t="inlineStr">
        <is>
          <t>Advocate Unique Referral Code Generation &amp; Link Sharing</t>
        </is>
      </c>
      <c r="F729" s="5" t="inlineStr">
        <is>
          <t>Customer Success / Growth Lead</t>
        </is>
      </c>
      <c r="G729" s="5" t="inlineStr">
        <is>
          <t>Sales Representative</t>
        </is>
      </c>
      <c r="H729" s="5" t="inlineStr">
        <is>
          <t>Generates unique alphanumeric referral tracking codes and one-click WhatsApp sharing links for existing satisfied customers, brand advocates, or sales affiliates.</t>
        </is>
      </c>
      <c r="I729" s="5" t="inlineStr">
        <is>
          <t>Tracks inbound viral loops; automatically attributes new lead registrations and customer signups to the originating advocate.</t>
        </is>
      </c>
      <c r="J729" s="20" t="inlineStr">
        <is>
          <t>P1</t>
        </is>
      </c>
      <c r="K729" s="22" t="inlineStr">
        <is>
          <t>Code Complete &amp; Verified</t>
        </is>
      </c>
      <c r="L729" s="5" t="inlineStr">
        <is>
          <t>Implements issueReferralCode API in web/src/api/growth.ts supporting customer and employee advocate types.</t>
        </is>
      </c>
      <c r="M729" s="8" t="inlineStr">
        <is>
          <t>Growth OS</t>
        </is>
      </c>
      <c r="N729" s="8" t="inlineStr">
        <is>
          <t>Growth role</t>
        </is>
      </c>
      <c r="O729" s="8" t="inlineStr">
        <is>
          <t>P1</t>
        </is>
      </c>
      <c r="P729" s="5" t="inlineStr">
        <is>
          <t>Unchanged</t>
        </is>
      </c>
      <c r="Q729" s="21" t="inlineStr">
        <is>
          <t>Code symbol found</t>
        </is>
      </c>
      <c r="R729" s="5" t="inlineStr">
        <is>
          <t>Matched issueReferralCode in product code. This is not a functional test.</t>
        </is>
      </c>
      <c r="S729" s="8" t="inlineStr">
        <is>
          <t>GOS-REF</t>
        </is>
      </c>
      <c r="T729" s="5" t="inlineStr">
        <is>
          <t>Growth referrals</t>
        </is>
      </c>
      <c r="U729" s="8" t="inlineStr"/>
      <c r="V729" s="8" t="inlineStr">
        <is>
          <t>crm</t>
        </is>
      </c>
      <c r="W729" s="8" t="inlineStr">
        <is>
          <t>GROW</t>
        </is>
      </c>
      <c r="X729" s="5" t="inlineStr">
        <is>
          <t>Core</t>
        </is>
      </c>
      <c r="Y729" s="5" t="inlineStr">
        <is>
          <t>Growth</t>
        </is>
      </c>
      <c r="Z729" s="5" t="inlineStr">
        <is>
          <t>Medium</t>
        </is>
      </c>
      <c r="AA729" s="5" t="inlineStr">
        <is>
          <t>Medium</t>
        </is>
      </c>
      <c r="AB729" s="8" t="inlineStr">
        <is>
          <t>Low</t>
        </is>
      </c>
      <c r="AC729" s="8" t="inlineStr">
        <is>
          <t>Later</t>
        </is>
      </c>
      <c r="AD729" s="5" t="inlineStr">
        <is>
          <t>Cited in code</t>
        </is>
      </c>
      <c r="AE729" s="5" t="inlineStr">
        <is>
          <t>Not verified</t>
        </is>
      </c>
      <c r="AF729" s="5" t="inlineStr">
        <is>
          <t>Not verified</t>
        </is>
      </c>
      <c r="AG729" s="5" t="inlineStr">
        <is>
          <t>Not verified</t>
        </is>
      </c>
      <c r="AH729" s="5" t="inlineStr">
        <is>
          <t>Not verified</t>
        </is>
      </c>
      <c r="AI729" s="8" t="inlineStr">
        <is>
          <t>No</t>
        </is>
      </c>
      <c r="AJ729" s="8" t="inlineStr">
        <is>
          <t>Built - unverified</t>
        </is>
      </c>
      <c r="AK729" s="8" t="inlineStr">
        <is>
          <t>P1</t>
        </is>
      </c>
      <c r="AL729" s="8" t="n">
        <v>6</v>
      </c>
      <c r="AM729" s="5" t="inlineStr"/>
      <c r="AN729" s="5" t="inlineStr"/>
      <c r="AO729" s="5" t="inlineStr"/>
      <c r="AP729" s="5" t="inlineStr"/>
      <c r="AQ729" s="5" t="inlineStr"/>
      <c r="AR729" s="5" t="inlineStr"/>
      <c r="AS729" s="5" t="inlineStr"/>
      <c r="AT729" s="5" t="inlineStr"/>
      <c r="AU729" s="8" t="inlineStr">
        <is>
          <t>Not run</t>
        </is>
      </c>
    </row>
    <row r="730" ht="32" customHeight="1">
      <c r="A730" s="16" t="inlineStr">
        <is>
          <t>GOS-0729</t>
        </is>
      </c>
      <c r="B730" s="8" t="inlineStr">
        <is>
          <t>G-OS</t>
        </is>
      </c>
      <c r="C730" s="5" t="inlineStr">
        <is>
          <t>System / Automated Growth Engine</t>
        </is>
      </c>
      <c r="D730" s="5" t="inlineStr">
        <is>
          <t>Growth OS - Referral &amp; Advocate Engine</t>
        </is>
      </c>
      <c r="E730" s="5" t="inlineStr">
        <is>
          <t>Automated Referral Reward Generation on First Invoice Payment</t>
        </is>
      </c>
      <c r="F730" s="5" t="inlineStr">
        <is>
          <t>System / Automated Growth Engine</t>
        </is>
      </c>
      <c r="G730" s="5" t="inlineStr">
        <is>
          <t>Finance Manager</t>
        </is>
      </c>
      <c r="H730" s="5" t="inlineStr">
        <is>
          <t>Monitors sales payment receipts; upon successful full settlement of a referred customer's first completed sales invoice, automatically instantiates a pending ReferralReward record.</t>
        </is>
      </c>
      <c r="I730" s="5" t="inlineStr">
        <is>
          <t>Enforces fraud prevention rules (minimum invoice value, non-cancelled order, distinct GSTIN/PAN); notifies the referrer via WhatsApp that their reward is pending audit.</t>
        </is>
      </c>
      <c r="J730" s="20" t="inlineStr">
        <is>
          <t>P1</t>
        </is>
      </c>
      <c r="K730" s="22" t="inlineStr">
        <is>
          <t>Code Complete &amp; Verified</t>
        </is>
      </c>
      <c r="L730" s="5" t="inlineStr">
        <is>
          <t>Event-driven hook connecting payments.Receipt allocation with ReferralReward table.</t>
        </is>
      </c>
      <c r="M730" s="8" t="inlineStr">
        <is>
          <t>Growth OS</t>
        </is>
      </c>
      <c r="N730" s="8" t="inlineStr">
        <is>
          <t>Growth role</t>
        </is>
      </c>
      <c r="O730" s="8" t="inlineStr">
        <is>
          <t>P1</t>
        </is>
      </c>
      <c r="P730" s="5" t="inlineStr">
        <is>
          <t>Unchanged</t>
        </is>
      </c>
      <c r="Q730" s="21" t="inlineStr">
        <is>
          <t>Code symbol found</t>
        </is>
      </c>
      <c r="R730" s="5" t="inlineStr">
        <is>
          <t>Matched ReferralReward in product code. This is not a functional test.</t>
        </is>
      </c>
      <c r="S730" s="8" t="inlineStr">
        <is>
          <t>GOS-REF</t>
        </is>
      </c>
      <c r="T730" s="5" t="inlineStr">
        <is>
          <t>Growth referrals</t>
        </is>
      </c>
      <c r="U730" s="8" t="inlineStr"/>
      <c r="V730" s="8" t="inlineStr">
        <is>
          <t>crm</t>
        </is>
      </c>
      <c r="W730" s="8" t="inlineStr">
        <is>
          <t>GROW</t>
        </is>
      </c>
      <c r="X730" s="5" t="inlineStr">
        <is>
          <t>Core</t>
        </is>
      </c>
      <c r="Y730" s="5" t="inlineStr">
        <is>
          <t>System</t>
        </is>
      </c>
      <c r="Z730" s="5" t="inlineStr">
        <is>
          <t>Medium</t>
        </is>
      </c>
      <c r="AA730" s="5" t="inlineStr">
        <is>
          <t>Medium</t>
        </is>
      </c>
      <c r="AB730" s="8" t="inlineStr">
        <is>
          <t>Low</t>
        </is>
      </c>
      <c r="AC730" s="8" t="inlineStr">
        <is>
          <t>Later</t>
        </is>
      </c>
      <c r="AD730" s="5" t="inlineStr">
        <is>
          <t>Cited in code</t>
        </is>
      </c>
      <c r="AE730" s="5" t="inlineStr">
        <is>
          <t>Not verified</t>
        </is>
      </c>
      <c r="AF730" s="5" t="inlineStr">
        <is>
          <t>Not verified</t>
        </is>
      </c>
      <c r="AG730" s="5" t="inlineStr">
        <is>
          <t>Not verified</t>
        </is>
      </c>
      <c r="AH730" s="5" t="inlineStr">
        <is>
          <t>Not verified</t>
        </is>
      </c>
      <c r="AI730" s="8" t="inlineStr">
        <is>
          <t>No</t>
        </is>
      </c>
      <c r="AJ730" s="8" t="inlineStr">
        <is>
          <t>Built - unverified</t>
        </is>
      </c>
      <c r="AK730" s="8" t="inlineStr">
        <is>
          <t>P1</t>
        </is>
      </c>
      <c r="AL730" s="8" t="n">
        <v>6</v>
      </c>
      <c r="AM730" s="5" t="inlineStr"/>
      <c r="AN730" s="5" t="inlineStr"/>
      <c r="AO730" s="5" t="inlineStr"/>
      <c r="AP730" s="5" t="inlineStr"/>
      <c r="AQ730" s="5" t="inlineStr"/>
      <c r="AR730" s="5" t="inlineStr"/>
      <c r="AS730" s="5" t="inlineStr"/>
      <c r="AT730" s="5" t="inlineStr"/>
      <c r="AU730" s="8" t="inlineStr">
        <is>
          <t>Not run</t>
        </is>
      </c>
    </row>
    <row r="731" ht="32" customHeight="1">
      <c r="A731" s="16" t="inlineStr">
        <is>
          <t>GOS-0730</t>
        </is>
      </c>
      <c r="B731" s="8" t="inlineStr">
        <is>
          <t>G-OS</t>
        </is>
      </c>
      <c r="C731" s="5" t="inlineStr">
        <is>
          <t>Finance Manager / Accounts Lead</t>
        </is>
      </c>
      <c r="D731" s="5" t="inlineStr">
        <is>
          <t>Growth OS - Referral &amp; Advocate Engine</t>
        </is>
      </c>
      <c r="E731" s="5" t="inlineStr">
        <is>
          <t>Referral Reward Audit, Approval &amp; Idempotent Payout Workflow</t>
        </is>
      </c>
      <c r="F731" s="5" t="inlineStr">
        <is>
          <t>Finance Manager / Accounts Lead</t>
        </is>
      </c>
      <c r="G731" s="5" t="inlineStr">
        <is>
          <t>Business Owner</t>
        </is>
      </c>
      <c r="H731" s="5" t="inlineStr">
        <is>
          <t>Provides a multi-step review workflow to inspect, approve, reject with audit reason, or execute payout for earned referral commissions (decideReferralReward).</t>
        </is>
      </c>
      <c r="I731" s="5" t="inlineStr">
        <is>
          <t>Guarantees financial integrity via idempotency headers; creates linked expense vouchers or customer ledger credit notes upon payout execution.</t>
        </is>
      </c>
      <c r="J731" s="20" t="inlineStr">
        <is>
          <t>P1</t>
        </is>
      </c>
      <c r="K731" s="22" t="inlineStr">
        <is>
          <t>Code Complete &amp; Verified</t>
        </is>
      </c>
      <c r="L731" s="5" t="inlineStr">
        <is>
          <t>Implements decideReferralReward with idempotencyHeaders from web/src/api/growth.ts.</t>
        </is>
      </c>
      <c r="M731" s="8" t="inlineStr">
        <is>
          <t>Growth OS</t>
        </is>
      </c>
      <c r="N731" s="8" t="inlineStr">
        <is>
          <t>Growth role</t>
        </is>
      </c>
      <c r="O731" s="8" t="inlineStr">
        <is>
          <t>P1</t>
        </is>
      </c>
      <c r="P731" s="5" t="inlineStr">
        <is>
          <t>Unchanged</t>
        </is>
      </c>
      <c r="Q731" s="21" t="inlineStr">
        <is>
          <t>Code symbol found</t>
        </is>
      </c>
      <c r="R731" s="5" t="inlineStr">
        <is>
          <t>Matched decideReferralReward in product code. This is not a functional test.</t>
        </is>
      </c>
      <c r="S731" s="8" t="inlineStr">
        <is>
          <t>GOS-REF</t>
        </is>
      </c>
      <c r="T731" s="5" t="inlineStr">
        <is>
          <t>Growth referrals</t>
        </is>
      </c>
      <c r="U731" s="8" t="inlineStr"/>
      <c r="V731" s="8" t="inlineStr">
        <is>
          <t>crm</t>
        </is>
      </c>
      <c r="W731" s="8" t="inlineStr">
        <is>
          <t>GROW</t>
        </is>
      </c>
      <c r="X731" s="5" t="inlineStr">
        <is>
          <t>Core</t>
        </is>
      </c>
      <c r="Y731" s="5" t="inlineStr">
        <is>
          <t>Named role</t>
        </is>
      </c>
      <c r="Z731" s="5" t="inlineStr">
        <is>
          <t>Medium</t>
        </is>
      </c>
      <c r="AA731" s="5" t="inlineStr">
        <is>
          <t>Medium</t>
        </is>
      </c>
      <c r="AB731" s="8" t="inlineStr">
        <is>
          <t>Low</t>
        </is>
      </c>
      <c r="AC731" s="8" t="inlineStr">
        <is>
          <t>Later</t>
        </is>
      </c>
      <c r="AD731" s="5" t="inlineStr">
        <is>
          <t>Cited in code</t>
        </is>
      </c>
      <c r="AE731" s="5" t="inlineStr">
        <is>
          <t>Not verified</t>
        </is>
      </c>
      <c r="AF731" s="5" t="inlineStr">
        <is>
          <t>Not verified</t>
        </is>
      </c>
      <c r="AG731" s="5" t="inlineStr">
        <is>
          <t>Not verified</t>
        </is>
      </c>
      <c r="AH731" s="5" t="inlineStr">
        <is>
          <t>Not verified</t>
        </is>
      </c>
      <c r="AI731" s="8" t="inlineStr">
        <is>
          <t>No</t>
        </is>
      </c>
      <c r="AJ731" s="8" t="inlineStr">
        <is>
          <t>Built - unverified</t>
        </is>
      </c>
      <c r="AK731" s="8" t="inlineStr">
        <is>
          <t>P1</t>
        </is>
      </c>
      <c r="AL731" s="8" t="n">
        <v>6</v>
      </c>
      <c r="AM731" s="5" t="inlineStr"/>
      <c r="AN731" s="5" t="inlineStr"/>
      <c r="AO731" s="5" t="inlineStr"/>
      <c r="AP731" s="5" t="inlineStr"/>
      <c r="AQ731" s="5" t="inlineStr"/>
      <c r="AR731" s="5" t="inlineStr"/>
      <c r="AS731" s="5" t="inlineStr"/>
      <c r="AT731" s="5" t="inlineStr"/>
      <c r="AU731" s="8" t="inlineStr">
        <is>
          <t>Not run</t>
        </is>
      </c>
    </row>
    <row r="732" ht="32" customHeight="1">
      <c r="A732" s="16" t="inlineStr">
        <is>
          <t>GOS-0731</t>
        </is>
      </c>
      <c r="B732" s="8" t="inlineStr">
        <is>
          <t>G-OS</t>
        </is>
      </c>
      <c r="C732" s="5" t="inlineStr">
        <is>
          <t>Growth Lead / Head of Sales</t>
        </is>
      </c>
      <c r="D732" s="5" t="inlineStr">
        <is>
          <t>Growth OS - Referral &amp; Advocate Engine</t>
        </is>
      </c>
      <c r="E732" s="5" t="inlineStr">
        <is>
          <t>Customer Advocate Referral Performance Leaderboard</t>
        </is>
      </c>
      <c r="F732" s="5" t="inlineStr">
        <is>
          <t>Growth Lead / Head of Sales</t>
        </is>
      </c>
      <c r="G732" s="5" t="inlineStr">
        <is>
          <t>Business Owner</t>
        </is>
      </c>
      <c r="H732" s="5" t="inlineStr">
        <is>
          <t>Maintains an updated public/internal leaderboard ranking top customer referrers and sales partners by count of successful conversions and total approved reward payout value.</t>
        </is>
      </c>
      <c r="I732" s="5" t="inlineStr">
        <is>
          <t>Gamifies customer advocacy; identifies high-value brand champions suitable for VIP partner discounts and co-marketing case studies.</t>
        </is>
      </c>
      <c r="J732" s="22" t="inlineStr">
        <is>
          <t>P2</t>
        </is>
      </c>
      <c r="K732" s="22" t="inlineStr">
        <is>
          <t>Code Complete &amp; Verified</t>
        </is>
      </c>
      <c r="L732" s="5" t="inlineStr">
        <is>
          <t>Implements referralLeaderboard API endpoint from web/src/api/growth.ts.</t>
        </is>
      </c>
      <c r="M732" s="8" t="inlineStr">
        <is>
          <t>Growth OS</t>
        </is>
      </c>
      <c r="N732" s="8" t="inlineStr">
        <is>
          <t>Growth role</t>
        </is>
      </c>
      <c r="O732" s="8" t="inlineStr">
        <is>
          <t>P2</t>
        </is>
      </c>
      <c r="P732" s="5" t="inlineStr">
        <is>
          <t>Unchanged</t>
        </is>
      </c>
      <c r="Q732" s="21" t="inlineStr">
        <is>
          <t>Code symbol found</t>
        </is>
      </c>
      <c r="R732" s="5" t="inlineStr">
        <is>
          <t>Matched referralLeaderboard in product code. This is not a functional test.</t>
        </is>
      </c>
      <c r="S732" s="8" t="inlineStr">
        <is>
          <t>GOS-REF</t>
        </is>
      </c>
      <c r="T732" s="5" t="inlineStr">
        <is>
          <t>Growth referrals</t>
        </is>
      </c>
      <c r="U732" s="8" t="inlineStr"/>
      <c r="V732" s="8" t="inlineStr">
        <is>
          <t>crm</t>
        </is>
      </c>
      <c r="W732" s="8" t="inlineStr">
        <is>
          <t>GROW</t>
        </is>
      </c>
      <c r="X732" s="5" t="inlineStr">
        <is>
          <t>Core</t>
        </is>
      </c>
      <c r="Y732" s="5" t="inlineStr">
        <is>
          <t>Growth</t>
        </is>
      </c>
      <c r="Z732" s="5" t="inlineStr">
        <is>
          <t>Medium</t>
        </is>
      </c>
      <c r="AA732" s="5" t="inlineStr">
        <is>
          <t>Medium</t>
        </is>
      </c>
      <c r="AB732" s="8" t="inlineStr">
        <is>
          <t>Low</t>
        </is>
      </c>
      <c r="AC732" s="8" t="inlineStr">
        <is>
          <t>Later</t>
        </is>
      </c>
      <c r="AD732" s="5" t="inlineStr">
        <is>
          <t>Cited in code</t>
        </is>
      </c>
      <c r="AE732" s="5" t="inlineStr">
        <is>
          <t>Not verified</t>
        </is>
      </c>
      <c r="AF732" s="5" t="inlineStr">
        <is>
          <t>Not verified</t>
        </is>
      </c>
      <c r="AG732" s="5" t="inlineStr">
        <is>
          <t>Not verified</t>
        </is>
      </c>
      <c r="AH732" s="5" t="inlineStr">
        <is>
          <t>Not verified</t>
        </is>
      </c>
      <c r="AI732" s="8" t="inlineStr">
        <is>
          <t>No</t>
        </is>
      </c>
      <c r="AJ732" s="8" t="inlineStr">
        <is>
          <t>Built - unverified</t>
        </is>
      </c>
      <c r="AK732" s="8" t="inlineStr">
        <is>
          <t>P2</t>
        </is>
      </c>
      <c r="AL732" s="8" t="n">
        <v>6</v>
      </c>
      <c r="AM732" s="5" t="inlineStr"/>
      <c r="AN732" s="5" t="inlineStr"/>
      <c r="AO732" s="5" t="inlineStr"/>
      <c r="AP732" s="5" t="inlineStr"/>
      <c r="AQ732" s="5" t="inlineStr"/>
      <c r="AR732" s="5" t="inlineStr"/>
      <c r="AS732" s="5" t="inlineStr"/>
      <c r="AT732" s="5" t="inlineStr"/>
      <c r="AU732" s="8" t="inlineStr">
        <is>
          <t>Not run</t>
        </is>
      </c>
    </row>
    <row r="733" ht="32" customHeight="1">
      <c r="A733" s="16" t="inlineStr">
        <is>
          <t>GOS-0732</t>
        </is>
      </c>
      <c r="B733" s="8" t="inlineStr">
        <is>
          <t>G-OS</t>
        </is>
      </c>
      <c r="C733" s="5" t="inlineStr">
        <is>
          <t>Service Manager / Operations Lead</t>
        </is>
      </c>
      <c r="D733" s="5" t="inlineStr">
        <is>
          <t>Growth OS - Service Contracts &amp; AMC</t>
        </is>
      </c>
      <c r="E733" s="5" t="inlineStr">
        <is>
          <t>Annual Maintenance Contract (AMC) Master Registration</t>
        </is>
      </c>
      <c r="F733" s="5" t="inlineStr">
        <is>
          <t>Service Manager / Operations Lead</t>
        </is>
      </c>
      <c r="G733" s="5" t="inlineStr">
        <is>
          <t>Finance Manager</t>
        </is>
      </c>
      <c r="H733" s="5" t="inlineStr">
        <is>
          <t>Creates legally binding annual maintenance contracts, warranty agreements, and preventative service plans specifying covered equipment serial numbers, SLA response times, and billing schedules.</t>
        </is>
      </c>
      <c r="I733" s="5" t="inlineStr">
        <is>
          <t>Locks in predictable recurring revenue; links covered products with customer profiles and establishes automated service visit obligations.</t>
        </is>
      </c>
      <c r="J733" s="20" t="inlineStr">
        <is>
          <t>P1</t>
        </is>
      </c>
      <c r="K733" s="22" t="inlineStr">
        <is>
          <t>Code Complete &amp; Verified</t>
        </is>
      </c>
      <c r="L733" s="5" t="inlineStr">
        <is>
          <t>Implements ContractRow and createContract API from web/src/api/growth.ts.</t>
        </is>
      </c>
      <c r="M733" s="8" t="inlineStr">
        <is>
          <t>Growth OS</t>
        </is>
      </c>
      <c r="N733" s="8" t="inlineStr">
        <is>
          <t>Growth role</t>
        </is>
      </c>
      <c r="O733" s="8" t="inlineStr">
        <is>
          <t>P1</t>
        </is>
      </c>
      <c r="P733" s="5" t="inlineStr">
        <is>
          <t>Unchanged</t>
        </is>
      </c>
      <c r="Q733" s="21" t="inlineStr">
        <is>
          <t>Code symbol found</t>
        </is>
      </c>
      <c r="R733" s="5" t="inlineStr">
        <is>
          <t>Matched createContract in product code. This is not a functional test.</t>
        </is>
      </c>
      <c r="S733" s="8" t="inlineStr">
        <is>
          <t>GOS-AMC</t>
        </is>
      </c>
      <c r="T733" s="5" t="inlineStr">
        <is>
          <t>Service contracts</t>
        </is>
      </c>
      <c r="U733" s="8" t="inlineStr"/>
      <c r="V733" s="8" t="inlineStr">
        <is>
          <t>contracts</t>
        </is>
      </c>
      <c r="W733" s="8" t="inlineStr">
        <is>
          <t>GROW</t>
        </is>
      </c>
      <c r="X733" s="5" t="inlineStr">
        <is>
          <t>Core</t>
        </is>
      </c>
      <c r="Y733" s="5" t="inlineStr">
        <is>
          <t>Named role</t>
        </is>
      </c>
      <c r="Z733" s="5" t="inlineStr">
        <is>
          <t>Medium</t>
        </is>
      </c>
      <c r="AA733" s="5" t="inlineStr">
        <is>
          <t>Medium</t>
        </is>
      </c>
      <c r="AB733" s="8" t="inlineStr">
        <is>
          <t>Low</t>
        </is>
      </c>
      <c r="AC733" s="8" t="inlineStr">
        <is>
          <t>Later</t>
        </is>
      </c>
      <c r="AD733" s="5" t="inlineStr">
        <is>
          <t>Cited in code</t>
        </is>
      </c>
      <c r="AE733" s="5" t="inlineStr">
        <is>
          <t>Not verified</t>
        </is>
      </c>
      <c r="AF733" s="5" t="inlineStr">
        <is>
          <t>Not verified</t>
        </is>
      </c>
      <c r="AG733" s="5" t="inlineStr">
        <is>
          <t>Not verified</t>
        </is>
      </c>
      <c r="AH733" s="5" t="inlineStr">
        <is>
          <t>Not verified</t>
        </is>
      </c>
      <c r="AI733" s="8" t="inlineStr">
        <is>
          <t>No</t>
        </is>
      </c>
      <c r="AJ733" s="8" t="inlineStr">
        <is>
          <t>Built - unverified</t>
        </is>
      </c>
      <c r="AK733" s="8" t="inlineStr">
        <is>
          <t>P1</t>
        </is>
      </c>
      <c r="AL733" s="8" t="n">
        <v>6</v>
      </c>
      <c r="AM733" s="5" t="inlineStr"/>
      <c r="AN733" s="5" t="inlineStr"/>
      <c r="AO733" s="5" t="inlineStr"/>
      <c r="AP733" s="5" t="inlineStr"/>
      <c r="AQ733" s="5" t="inlineStr"/>
      <c r="AR733" s="5" t="inlineStr"/>
      <c r="AS733" s="5" t="inlineStr"/>
      <c r="AT733" s="5" t="inlineStr"/>
      <c r="AU733" s="8" t="inlineStr">
        <is>
          <t>Not run</t>
        </is>
      </c>
    </row>
    <row r="734" ht="32" customHeight="1">
      <c r="A734" s="16" t="inlineStr">
        <is>
          <t>GOS-0733</t>
        </is>
      </c>
      <c r="B734" s="8" t="inlineStr">
        <is>
          <t>G-OS</t>
        </is>
      </c>
      <c r="C734" s="5" t="inlineStr">
        <is>
          <t>Service Manager / Operations Lead</t>
        </is>
      </c>
      <c r="D734" s="5" t="inlineStr">
        <is>
          <t>Growth OS - Service Contracts &amp; AMC</t>
        </is>
      </c>
      <c r="E734" s="5" t="inlineStr">
        <is>
          <t>Automated Periodic Maintenance Service Visit Generation</t>
        </is>
      </c>
      <c r="F734" s="5" t="inlineStr">
        <is>
          <t>Service Manager / Operations Lead</t>
        </is>
      </c>
      <c r="G734" s="5" t="inlineStr">
        <is>
          <t>Field Service Technician</t>
        </is>
      </c>
      <c r="H734" s="5" t="inlineStr">
        <is>
          <t>Automatically calculates and schedules recurring preventative maintenance visits (e.g., quarterly AC filter cleaning, bi-monthly machinery servicing) across the contract active period (createContractSchedule).</t>
        </is>
      </c>
      <c r="I734" s="5" t="inlineStr">
        <is>
          <t>Populates field service technician dispatch calendars; eliminates missed contractual maintenance visits and customer SLA penalties.</t>
        </is>
      </c>
      <c r="J734" s="20" t="inlineStr">
        <is>
          <t>P1</t>
        </is>
      </c>
      <c r="K734" s="22" t="inlineStr">
        <is>
          <t>Code Complete &amp; Verified</t>
        </is>
      </c>
      <c r="L734" s="5" t="inlineStr">
        <is>
          <t>Implements createContractSchedule with idempotency header enforcement from web/src/api/growth.ts.</t>
        </is>
      </c>
      <c r="M734" s="8" t="inlineStr">
        <is>
          <t>Growth OS</t>
        </is>
      </c>
      <c r="N734" s="8" t="inlineStr">
        <is>
          <t>Growth role</t>
        </is>
      </c>
      <c r="O734" s="8" t="inlineStr">
        <is>
          <t>P1</t>
        </is>
      </c>
      <c r="P734" s="5" t="inlineStr">
        <is>
          <t>Unchanged</t>
        </is>
      </c>
      <c r="Q734" s="21" t="inlineStr">
        <is>
          <t>Code symbol found</t>
        </is>
      </c>
      <c r="R734" s="5" t="inlineStr">
        <is>
          <t>Matched createContractSchedule in product code. This is not a functional test.</t>
        </is>
      </c>
      <c r="S734" s="8" t="inlineStr">
        <is>
          <t>GOS-AMC</t>
        </is>
      </c>
      <c r="T734" s="5" t="inlineStr">
        <is>
          <t>Service contracts</t>
        </is>
      </c>
      <c r="U734" s="8" t="inlineStr"/>
      <c r="V734" s="8" t="inlineStr">
        <is>
          <t>contracts</t>
        </is>
      </c>
      <c r="W734" s="8" t="inlineStr">
        <is>
          <t>GROW</t>
        </is>
      </c>
      <c r="X734" s="5" t="inlineStr">
        <is>
          <t>Core</t>
        </is>
      </c>
      <c r="Y734" s="5" t="inlineStr">
        <is>
          <t>Named role</t>
        </is>
      </c>
      <c r="Z734" s="5" t="inlineStr">
        <is>
          <t>Medium</t>
        </is>
      </c>
      <c r="AA734" s="5" t="inlineStr">
        <is>
          <t>Medium</t>
        </is>
      </c>
      <c r="AB734" s="8" t="inlineStr">
        <is>
          <t>Low</t>
        </is>
      </c>
      <c r="AC734" s="8" t="inlineStr">
        <is>
          <t>Later</t>
        </is>
      </c>
      <c r="AD734" s="5" t="inlineStr">
        <is>
          <t>Cited in code</t>
        </is>
      </c>
      <c r="AE734" s="5" t="inlineStr">
        <is>
          <t>Not verified</t>
        </is>
      </c>
      <c r="AF734" s="5" t="inlineStr">
        <is>
          <t>Not verified</t>
        </is>
      </c>
      <c r="AG734" s="5" t="inlineStr">
        <is>
          <t>Not verified</t>
        </is>
      </c>
      <c r="AH734" s="5" t="inlineStr">
        <is>
          <t>Not verified</t>
        </is>
      </c>
      <c r="AI734" s="8" t="inlineStr">
        <is>
          <t>No</t>
        </is>
      </c>
      <c r="AJ734" s="8" t="inlineStr">
        <is>
          <t>Built - unverified</t>
        </is>
      </c>
      <c r="AK734" s="8" t="inlineStr">
        <is>
          <t>P1</t>
        </is>
      </c>
      <c r="AL734" s="8" t="n">
        <v>6</v>
      </c>
      <c r="AM734" s="5" t="inlineStr"/>
      <c r="AN734" s="5" t="inlineStr"/>
      <c r="AO734" s="5" t="inlineStr"/>
      <c r="AP734" s="5" t="inlineStr"/>
      <c r="AQ734" s="5" t="inlineStr"/>
      <c r="AR734" s="5" t="inlineStr"/>
      <c r="AS734" s="5" t="inlineStr"/>
      <c r="AT734" s="5" t="inlineStr"/>
      <c r="AU734" s="8" t="inlineStr">
        <is>
          <t>Not run</t>
        </is>
      </c>
    </row>
    <row r="735" ht="32" customHeight="1">
      <c r="A735" s="16" t="inlineStr">
        <is>
          <t>GOS-0734</t>
        </is>
      </c>
      <c r="B735" s="8" t="inlineStr">
        <is>
          <t>G-OS</t>
        </is>
      </c>
      <c r="C735" s="5" t="inlineStr">
        <is>
          <t>Field Service Technician</t>
        </is>
      </c>
      <c r="D735" s="5" t="inlineStr">
        <is>
          <t>Growth OS - Service Contracts &amp; AMC</t>
        </is>
      </c>
      <c r="E735" s="5" t="inlineStr">
        <is>
          <t>On-Site Service Event Logging &amp; Field Inspection Timeline</t>
        </is>
      </c>
      <c r="F735" s="5" t="inlineStr">
        <is>
          <t>Field Service Technician</t>
        </is>
      </c>
      <c r="G735" s="5" t="inlineStr">
        <is>
          <t>Service Manager</t>
        </is>
      </c>
      <c r="H735" s="5" t="inlineStr">
        <is>
          <t>Enables mobile field technicians to log completed preventative service visits, record meter readings, attach parts replacement details, and capture digital customer sign-offs.</t>
        </is>
      </c>
      <c r="I735" s="5" t="inlineStr">
        <is>
          <t>Builds an immutable contract timeline (contractTimeline); links service work directly to related customer support tickets for warranty compliance.</t>
        </is>
      </c>
      <c r="J735" s="20" t="inlineStr">
        <is>
          <t>P1</t>
        </is>
      </c>
      <c r="K735" s="22" t="inlineStr">
        <is>
          <t>Code Complete &amp; Verified</t>
        </is>
      </c>
      <c r="L735" s="5" t="inlineStr">
        <is>
          <t>Implements logServiceEvent, listServiceEvents, and contractTimeline APIs from web/src/api/growth.ts.</t>
        </is>
      </c>
      <c r="M735" s="8" t="inlineStr">
        <is>
          <t>Growth OS</t>
        </is>
      </c>
      <c r="N735" s="8" t="inlineStr">
        <is>
          <t>Growth role</t>
        </is>
      </c>
      <c r="O735" s="8" t="inlineStr">
        <is>
          <t>P1</t>
        </is>
      </c>
      <c r="P735" s="5" t="inlineStr">
        <is>
          <t>Unchanged</t>
        </is>
      </c>
      <c r="Q735" s="21" t="inlineStr">
        <is>
          <t>Code symbol found</t>
        </is>
      </c>
      <c r="R735" s="5" t="inlineStr">
        <is>
          <t>Matched listServiceEvents in product code. This is not a functional test.</t>
        </is>
      </c>
      <c r="S735" s="8" t="inlineStr">
        <is>
          <t>GOS-AMC</t>
        </is>
      </c>
      <c r="T735" s="5" t="inlineStr">
        <is>
          <t>Service contracts</t>
        </is>
      </c>
      <c r="U735" s="8" t="inlineStr"/>
      <c r="V735" s="8" t="inlineStr">
        <is>
          <t>contracts</t>
        </is>
      </c>
      <c r="W735" s="8" t="inlineStr">
        <is>
          <t>GROW</t>
        </is>
      </c>
      <c r="X735" s="5" t="inlineStr">
        <is>
          <t>Core</t>
        </is>
      </c>
      <c r="Y735" s="5" t="inlineStr">
        <is>
          <t>Named role</t>
        </is>
      </c>
      <c r="Z735" s="5" t="inlineStr">
        <is>
          <t>Medium</t>
        </is>
      </c>
      <c r="AA735" s="5" t="inlineStr">
        <is>
          <t>Medium</t>
        </is>
      </c>
      <c r="AB735" s="8" t="inlineStr">
        <is>
          <t>Low</t>
        </is>
      </c>
      <c r="AC735" s="8" t="inlineStr">
        <is>
          <t>Later</t>
        </is>
      </c>
      <c r="AD735" s="5" t="inlineStr">
        <is>
          <t>Cited in code</t>
        </is>
      </c>
      <c r="AE735" s="5" t="inlineStr">
        <is>
          <t>Not verified</t>
        </is>
      </c>
      <c r="AF735" s="5" t="inlineStr">
        <is>
          <t>Not verified</t>
        </is>
      </c>
      <c r="AG735" s="5" t="inlineStr">
        <is>
          <t>Not verified</t>
        </is>
      </c>
      <c r="AH735" s="5" t="inlineStr">
        <is>
          <t>Not verified</t>
        </is>
      </c>
      <c r="AI735" s="8" t="inlineStr">
        <is>
          <t>No</t>
        </is>
      </c>
      <c r="AJ735" s="8" t="inlineStr">
        <is>
          <t>Built - unverified</t>
        </is>
      </c>
      <c r="AK735" s="8" t="inlineStr">
        <is>
          <t>P1</t>
        </is>
      </c>
      <c r="AL735" s="8" t="n">
        <v>6</v>
      </c>
      <c r="AM735" s="5" t="inlineStr"/>
      <c r="AN735" s="5" t="inlineStr"/>
      <c r="AO735" s="5" t="inlineStr"/>
      <c r="AP735" s="5" t="inlineStr"/>
      <c r="AQ735" s="5" t="inlineStr"/>
      <c r="AR735" s="5" t="inlineStr"/>
      <c r="AS735" s="5" t="inlineStr"/>
      <c r="AT735" s="5" t="inlineStr"/>
      <c r="AU735" s="8" t="inlineStr">
        <is>
          <t>Not run</t>
        </is>
      </c>
    </row>
    <row r="736" ht="32" customHeight="1">
      <c r="A736" s="16" t="inlineStr">
        <is>
          <t>GOS-0735</t>
        </is>
      </c>
      <c r="B736" s="8" t="inlineStr">
        <is>
          <t>G-OS</t>
        </is>
      </c>
      <c r="C736" s="5" t="inlineStr">
        <is>
          <t>Service Manager / Inside Sales</t>
        </is>
      </c>
      <c r="D736" s="5" t="inlineStr">
        <is>
          <t>Growth OS - Service Contracts &amp; AMC</t>
        </is>
      </c>
      <c r="E736" s="5" t="inlineStr">
        <is>
          <t>Expiring Contract Automated Multi-Tier Renewal Alert Cadence</t>
        </is>
      </c>
      <c r="F736" s="5" t="inlineStr">
        <is>
          <t>Service Manager / Inside Sales</t>
        </is>
      </c>
      <c r="G736" s="5" t="inlineStr">
        <is>
          <t>Customer</t>
        </is>
      </c>
      <c r="H736" s="5" t="inlineStr">
        <is>
          <t>Dispatches automated renewal reminder notifications at 30, 15, and 7 days prior to contract expiration with pre-generated renewal quotation links via WhatsApp and email.</t>
        </is>
      </c>
      <c r="I736" s="5" t="inlineStr">
        <is>
          <t>Prevents service lapses, increases recurring contract renewal rates by &gt; 25%, and prevents customer churn to competing third-party service providers.</t>
        </is>
      </c>
      <c r="J736" s="20" t="inlineStr">
        <is>
          <t>P1</t>
        </is>
      </c>
      <c r="K736" s="22" t="inlineStr">
        <is>
          <t>Code Complete &amp; Verified</t>
        </is>
      </c>
      <c r="L736" s="5" t="inlineStr">
        <is>
          <t>Enforces renewalReminderDays field on ContractRow with automated cron digest triggers.</t>
        </is>
      </c>
      <c r="M736" s="8" t="inlineStr">
        <is>
          <t>Growth OS</t>
        </is>
      </c>
      <c r="N736" s="8" t="inlineStr">
        <is>
          <t>Growth role</t>
        </is>
      </c>
      <c r="O736" s="8" t="inlineStr">
        <is>
          <t>P1</t>
        </is>
      </c>
      <c r="P736" s="5" t="inlineStr">
        <is>
          <t>Unchanged</t>
        </is>
      </c>
      <c r="Q736" s="21" t="inlineStr">
        <is>
          <t>Code symbol found</t>
        </is>
      </c>
      <c r="R736" s="5" t="inlineStr">
        <is>
          <t>Matched renewalReminderDays in product code. This is not a functional test.</t>
        </is>
      </c>
      <c r="S736" s="8" t="inlineStr">
        <is>
          <t>GOS-AMC</t>
        </is>
      </c>
      <c r="T736" s="5" t="inlineStr">
        <is>
          <t>Service contracts</t>
        </is>
      </c>
      <c r="U736" s="8" t="inlineStr"/>
      <c r="V736" s="8" t="inlineStr">
        <is>
          <t>contracts</t>
        </is>
      </c>
      <c r="W736" s="8" t="inlineStr">
        <is>
          <t>GROW</t>
        </is>
      </c>
      <c r="X736" s="5" t="inlineStr">
        <is>
          <t>Core</t>
        </is>
      </c>
      <c r="Y736" s="5" t="inlineStr">
        <is>
          <t>Named role</t>
        </is>
      </c>
      <c r="Z736" s="5" t="inlineStr">
        <is>
          <t>Medium</t>
        </is>
      </c>
      <c r="AA736" s="5" t="inlineStr">
        <is>
          <t>Medium</t>
        </is>
      </c>
      <c r="AB736" s="8" t="inlineStr">
        <is>
          <t>Low</t>
        </is>
      </c>
      <c r="AC736" s="8" t="inlineStr">
        <is>
          <t>Later</t>
        </is>
      </c>
      <c r="AD736" s="5" t="inlineStr">
        <is>
          <t>Cited in code</t>
        </is>
      </c>
      <c r="AE736" s="5" t="inlineStr">
        <is>
          <t>Not verified</t>
        </is>
      </c>
      <c r="AF736" s="5" t="inlineStr">
        <is>
          <t>Not verified</t>
        </is>
      </c>
      <c r="AG736" s="5" t="inlineStr">
        <is>
          <t>Not verified</t>
        </is>
      </c>
      <c r="AH736" s="5" t="inlineStr">
        <is>
          <t>Not verified</t>
        </is>
      </c>
      <c r="AI736" s="8" t="inlineStr">
        <is>
          <t>No</t>
        </is>
      </c>
      <c r="AJ736" s="8" t="inlineStr">
        <is>
          <t>Built - unverified</t>
        </is>
      </c>
      <c r="AK736" s="8" t="inlineStr">
        <is>
          <t>P1</t>
        </is>
      </c>
      <c r="AL736" s="8" t="n">
        <v>6</v>
      </c>
      <c r="AM736" s="5" t="inlineStr"/>
      <c r="AN736" s="5" t="inlineStr"/>
      <c r="AO736" s="5" t="inlineStr"/>
      <c r="AP736" s="5" t="inlineStr"/>
      <c r="AQ736" s="5" t="inlineStr"/>
      <c r="AR736" s="5" t="inlineStr"/>
      <c r="AS736" s="5" t="inlineStr"/>
      <c r="AT736" s="5" t="inlineStr"/>
      <c r="AU736" s="8" t="inlineStr">
        <is>
          <t>Not run</t>
        </is>
      </c>
    </row>
    <row r="737" ht="32" customHeight="1">
      <c r="A737" s="16" t="inlineStr">
        <is>
          <t>GOS-0736</t>
        </is>
      </c>
      <c r="B737" s="8" t="inlineStr">
        <is>
          <t>G-OS</t>
        </is>
      </c>
      <c r="C737" s="5" t="inlineStr">
        <is>
          <t>Customer Support Specialist</t>
        </is>
      </c>
      <c r="D737" s="5" t="inlineStr">
        <is>
          <t>Growth OS - Customer Care &amp; Dispute Loop</t>
        </is>
      </c>
      <c r="E737" s="5" t="inlineStr">
        <is>
          <t>Customer Defect Complaint Ingestion with Photographic Evidence</t>
        </is>
      </c>
      <c r="F737" s="5" t="inlineStr">
        <is>
          <t>Customer Support Specialist</t>
        </is>
      </c>
      <c r="G737" s="5" t="inlineStr">
        <is>
          <t>Quality Control Inspector</t>
        </is>
      </c>
      <c r="H737" s="5" t="inlineStr">
        <is>
          <t>Logs formal customer complaints (/complaints/) categorizing issues (damaged transit, wrong SKU, expired batch, billing error) linked to specific sales invoices with photo proof attachments.</t>
        </is>
      </c>
      <c r="I737" s="5" t="inlineStr">
        <is>
          <t>Establishes formal complaint investigation chain; quarantines disputed balances from aggressive dunning reminders pending quality inspection.</t>
        </is>
      </c>
      <c r="J737" s="20" t="inlineStr">
        <is>
          <t>P1</t>
        </is>
      </c>
      <c r="K737" s="22" t="inlineStr">
        <is>
          <t>Code Complete &amp; Verified</t>
        </is>
      </c>
      <c r="L737" s="5" t="inlineStr">
        <is>
          <t>Implements ComplaintRow CRUD and uploadComplaintAttachment from web/src/api/growth.ts.</t>
        </is>
      </c>
      <c r="M737" s="8" t="inlineStr">
        <is>
          <t>Growth OS</t>
        </is>
      </c>
      <c r="N737" s="8" t="inlineStr">
        <is>
          <t>Growth role</t>
        </is>
      </c>
      <c r="O737" s="8" t="inlineStr">
        <is>
          <t>P1</t>
        </is>
      </c>
      <c r="P737" s="5" t="inlineStr">
        <is>
          <t>Unchanged</t>
        </is>
      </c>
      <c r="Q737" s="21" t="inlineStr">
        <is>
          <t>Code symbol found</t>
        </is>
      </c>
      <c r="R737" s="5" t="inlineStr">
        <is>
          <t>Matched uploadComplaintAttachment in product code. This is not a functional test.</t>
        </is>
      </c>
      <c r="S737" s="8" t="inlineStr">
        <is>
          <t>GOS-CARE</t>
        </is>
      </c>
      <c r="T737" s="5" t="inlineStr">
        <is>
          <t>Customer care</t>
        </is>
      </c>
      <c r="U737" s="8" t="inlineStr"/>
      <c r="V737" s="8" t="inlineStr">
        <is>
          <t>complaints</t>
        </is>
      </c>
      <c r="W737" s="8" t="inlineStr">
        <is>
          <t>GROW</t>
        </is>
      </c>
      <c r="X737" s="5" t="inlineStr">
        <is>
          <t>Core</t>
        </is>
      </c>
      <c r="Y737" s="5" t="inlineStr">
        <is>
          <t>Named role</t>
        </is>
      </c>
      <c r="Z737" s="5" t="inlineStr">
        <is>
          <t>Medium</t>
        </is>
      </c>
      <c r="AA737" s="5" t="inlineStr">
        <is>
          <t>Medium</t>
        </is>
      </c>
      <c r="AB737" s="8" t="inlineStr">
        <is>
          <t>Low</t>
        </is>
      </c>
      <c r="AC737" s="8" t="inlineStr">
        <is>
          <t>Later</t>
        </is>
      </c>
      <c r="AD737" s="5" t="inlineStr">
        <is>
          <t>Cited in code</t>
        </is>
      </c>
      <c r="AE737" s="5" t="inlineStr">
        <is>
          <t>Not verified</t>
        </is>
      </c>
      <c r="AF737" s="5" t="inlineStr">
        <is>
          <t>Not verified</t>
        </is>
      </c>
      <c r="AG737" s="5" t="inlineStr">
        <is>
          <t>Not verified</t>
        </is>
      </c>
      <c r="AH737" s="5" t="inlineStr">
        <is>
          <t>Not verified</t>
        </is>
      </c>
      <c r="AI737" s="8" t="inlineStr">
        <is>
          <t>No</t>
        </is>
      </c>
      <c r="AJ737" s="8" t="inlineStr">
        <is>
          <t>Built - unverified</t>
        </is>
      </c>
      <c r="AK737" s="8" t="inlineStr">
        <is>
          <t>P1</t>
        </is>
      </c>
      <c r="AL737" s="8" t="n">
        <v>6</v>
      </c>
      <c r="AM737" s="5" t="inlineStr"/>
      <c r="AN737" s="5" t="inlineStr"/>
      <c r="AO737" s="5" t="inlineStr"/>
      <c r="AP737" s="5" t="inlineStr"/>
      <c r="AQ737" s="5" t="inlineStr"/>
      <c r="AR737" s="5" t="inlineStr"/>
      <c r="AS737" s="5" t="inlineStr"/>
      <c r="AT737" s="5" t="inlineStr"/>
      <c r="AU737" s="8" t="inlineStr">
        <is>
          <t>Not run</t>
        </is>
      </c>
    </row>
    <row r="738" ht="32" customHeight="1">
      <c r="A738" s="16" t="inlineStr">
        <is>
          <t>GOS-0737</t>
        </is>
      </c>
      <c r="B738" s="8" t="inlineStr">
        <is>
          <t>G-OS</t>
        </is>
      </c>
      <c r="C738" s="5" t="inlineStr">
        <is>
          <t>Customer Support / Accounts Lead</t>
        </is>
      </c>
      <c r="D738" s="5" t="inlineStr">
        <is>
          <t>Growth OS - Customer Care &amp; Dispute Loop</t>
        </is>
      </c>
      <c r="E738" s="5" t="inlineStr">
        <is>
          <t>One-Click Complaint-to-Credit Note / Return / Replacement</t>
        </is>
      </c>
      <c r="F738" s="5" t="inlineStr">
        <is>
          <t>Customer Support / Accounts Lead</t>
        </is>
      </c>
      <c r="G738" s="5" t="inlineStr">
        <is>
          <t>Store Cashier, Warehouse Lead</t>
        </is>
      </c>
      <c r="H738" s="5" t="inlineStr">
        <is>
          <t>Directly transitions an inspected, approved customer complaint into downstream operational documents in one click: GST Credit Note, Sales Return, or Zero-Value Replacement Order (complaintDocument).</t>
        </is>
      </c>
      <c r="I738" s="5" t="inlineStr">
        <is>
          <t>Eliminates duplicate manual data entry across support and billing desks; automatically updates inventory ledgers and customer khata balances simultaneously.</t>
        </is>
      </c>
      <c r="J738" s="19" t="inlineStr">
        <is>
          <t>P0</t>
        </is>
      </c>
      <c r="K738" s="22" t="inlineStr">
        <is>
          <t>Code Complete &amp; Verified</t>
        </is>
      </c>
      <c r="L738" s="5" t="inlineStr">
        <is>
          <t>Implements complaintDocument API endpoint supporting 'create-return', 'create-credit-note', and 'create-replacement-order'.</t>
        </is>
      </c>
      <c r="M738" s="8" t="inlineStr">
        <is>
          <t>Growth OS</t>
        </is>
      </c>
      <c r="N738" s="8" t="inlineStr">
        <is>
          <t>Growth role</t>
        </is>
      </c>
      <c r="O738" s="8" t="inlineStr">
        <is>
          <t>P0</t>
        </is>
      </c>
      <c r="P738" s="5" t="inlineStr">
        <is>
          <t>Unchanged</t>
        </is>
      </c>
      <c r="Q738" s="21" t="inlineStr">
        <is>
          <t>Code symbol found</t>
        </is>
      </c>
      <c r="R738" s="5" t="inlineStr">
        <is>
          <t>Matched complaintDocument in product code. This is not a functional test.</t>
        </is>
      </c>
      <c r="S738" s="8" t="inlineStr">
        <is>
          <t>GOS-CARE</t>
        </is>
      </c>
      <c r="T738" s="5" t="inlineStr">
        <is>
          <t>Customer care</t>
        </is>
      </c>
      <c r="U738" s="8" t="inlineStr"/>
      <c r="V738" s="8" t="inlineStr">
        <is>
          <t>complaints</t>
        </is>
      </c>
      <c r="W738" s="8" t="inlineStr">
        <is>
          <t>GROW</t>
        </is>
      </c>
      <c r="X738" s="5" t="inlineStr">
        <is>
          <t>Core</t>
        </is>
      </c>
      <c r="Y738" s="5" t="inlineStr">
        <is>
          <t>Named role</t>
        </is>
      </c>
      <c r="Z738" s="5" t="inlineStr">
        <is>
          <t>Medium</t>
        </is>
      </c>
      <c r="AA738" s="5" t="inlineStr">
        <is>
          <t>Medium</t>
        </is>
      </c>
      <c r="AB738" s="8" t="inlineStr">
        <is>
          <t>Low</t>
        </is>
      </c>
      <c r="AC738" s="8" t="inlineStr">
        <is>
          <t>MVP</t>
        </is>
      </c>
      <c r="AD738" s="5" t="inlineStr">
        <is>
          <t>Cited in code</t>
        </is>
      </c>
      <c r="AE738" s="5" t="inlineStr">
        <is>
          <t>Not verified</t>
        </is>
      </c>
      <c r="AF738" s="5" t="inlineStr">
        <is>
          <t>Not verified</t>
        </is>
      </c>
      <c r="AG738" s="5" t="inlineStr">
        <is>
          <t>Not verified</t>
        </is>
      </c>
      <c r="AH738" s="5" t="inlineStr">
        <is>
          <t>Not verified</t>
        </is>
      </c>
      <c r="AI738" s="8" t="inlineStr">
        <is>
          <t>No</t>
        </is>
      </c>
      <c r="AJ738" s="8" t="inlineStr">
        <is>
          <t>Built - unverified</t>
        </is>
      </c>
      <c r="AK738" s="8" t="inlineStr">
        <is>
          <t>P0</t>
        </is>
      </c>
      <c r="AL738" s="8" t="n">
        <v>6</v>
      </c>
      <c r="AM738" s="5" t="inlineStr"/>
      <c r="AN738" s="5" t="inlineStr"/>
      <c r="AO738" s="5" t="inlineStr"/>
      <c r="AP738" s="5" t="inlineStr"/>
      <c r="AQ738" s="5" t="inlineStr"/>
      <c r="AR738" s="5" t="inlineStr"/>
      <c r="AS738" s="5" t="inlineStr"/>
      <c r="AT738" s="5" t="inlineStr"/>
      <c r="AU738" s="8" t="inlineStr">
        <is>
          <t>Not run</t>
        </is>
      </c>
    </row>
    <row r="739" ht="32" customHeight="1">
      <c r="A739" s="16" t="inlineStr">
        <is>
          <t>GOS-0738</t>
        </is>
      </c>
      <c r="B739" s="8" t="inlineStr">
        <is>
          <t>G-OS</t>
        </is>
      </c>
      <c r="C739" s="5" t="inlineStr">
        <is>
          <t>Warehouse Lead / Receiving Clerk</t>
        </is>
      </c>
      <c r="D739" s="5" t="inlineStr">
        <is>
          <t>Growth OS - Customer Care &amp; Dispute Loop</t>
        </is>
      </c>
      <c r="E739" s="5" t="inlineStr">
        <is>
          <t>Supplier Quality Defect Ingestion &amp; Inward Quarantine Tagging</t>
        </is>
      </c>
      <c r="F739" s="5" t="inlineStr">
        <is>
          <t>Warehouse Lead / Receiving Clerk</t>
        </is>
      </c>
      <c r="G739" s="5" t="inlineStr">
        <is>
          <t>Purchase Manager</t>
        </is>
      </c>
      <c r="H739" s="5" t="inlineStr">
        <is>
          <t>Logs vendor defect complaints (/complaints/supplier/) upon discovering broken, short-supplied, or substandard merchandise during Goods Receipt Note (GRN) verification.</t>
        </is>
      </c>
      <c r="I739" s="5" t="inlineStr">
        <is>
          <t>Places rejected stock into physical and digital quarantine bins; prevents damaged supplier inventory from being inadvertently picked or sold to customers.</t>
        </is>
      </c>
      <c r="J739" s="20" t="inlineStr">
        <is>
          <t>P1</t>
        </is>
      </c>
      <c r="K739" s="22" t="inlineStr">
        <is>
          <t>Code Complete &amp; Verified</t>
        </is>
      </c>
      <c r="L739" s="5" t="inlineStr">
        <is>
          <t>Implements SupplierComplaintRow, transitionSupplierComplaint, and uploadSupplierComplaintAttachment from web/src/api/growth.ts.</t>
        </is>
      </c>
      <c r="M739" s="8" t="inlineStr">
        <is>
          <t>Growth OS</t>
        </is>
      </c>
      <c r="N739" s="8" t="inlineStr">
        <is>
          <t>Growth role</t>
        </is>
      </c>
      <c r="O739" s="8" t="inlineStr">
        <is>
          <t>P1</t>
        </is>
      </c>
      <c r="P739" s="5" t="inlineStr">
        <is>
          <t>Unchanged</t>
        </is>
      </c>
      <c r="Q739" s="21" t="inlineStr">
        <is>
          <t>Code symbol found</t>
        </is>
      </c>
      <c r="R739" s="5" t="inlineStr">
        <is>
          <t>Matched uploadSupplierComplaintAttachment in product code. This is not a functional test.</t>
        </is>
      </c>
      <c r="S739" s="8" t="inlineStr">
        <is>
          <t>GOS-CARE</t>
        </is>
      </c>
      <c r="T739" s="5" t="inlineStr">
        <is>
          <t>Customer care</t>
        </is>
      </c>
      <c r="U739" s="8" t="inlineStr"/>
      <c r="V739" s="8" t="inlineStr">
        <is>
          <t>complaints</t>
        </is>
      </c>
      <c r="W739" s="8" t="inlineStr">
        <is>
          <t>GROW</t>
        </is>
      </c>
      <c r="X739" s="5" t="inlineStr">
        <is>
          <t>Core</t>
        </is>
      </c>
      <c r="Y739" s="5" t="inlineStr">
        <is>
          <t>Stock</t>
        </is>
      </c>
      <c r="Z739" s="5" t="inlineStr">
        <is>
          <t>Medium</t>
        </is>
      </c>
      <c r="AA739" s="5" t="inlineStr">
        <is>
          <t>Medium</t>
        </is>
      </c>
      <c r="AB739" s="8" t="inlineStr">
        <is>
          <t>Low</t>
        </is>
      </c>
      <c r="AC739" s="8" t="inlineStr">
        <is>
          <t>Later</t>
        </is>
      </c>
      <c r="AD739" s="5" t="inlineStr">
        <is>
          <t>Cited in code</t>
        </is>
      </c>
      <c r="AE739" s="5" t="inlineStr">
        <is>
          <t>Not verified</t>
        </is>
      </c>
      <c r="AF739" s="5" t="inlineStr">
        <is>
          <t>Not verified</t>
        </is>
      </c>
      <c r="AG739" s="5" t="inlineStr">
        <is>
          <t>Not verified</t>
        </is>
      </c>
      <c r="AH739" s="5" t="inlineStr">
        <is>
          <t>Not verified</t>
        </is>
      </c>
      <c r="AI739" s="8" t="inlineStr">
        <is>
          <t>No</t>
        </is>
      </c>
      <c r="AJ739" s="8" t="inlineStr">
        <is>
          <t>Built - unverified</t>
        </is>
      </c>
      <c r="AK739" s="8" t="inlineStr">
        <is>
          <t>P1</t>
        </is>
      </c>
      <c r="AL739" s="8" t="n">
        <v>6</v>
      </c>
      <c r="AM739" s="5" t="inlineStr"/>
      <c r="AN739" s="5" t="inlineStr"/>
      <c r="AO739" s="5" t="inlineStr"/>
      <c r="AP739" s="5" t="inlineStr"/>
      <c r="AQ739" s="5" t="inlineStr"/>
      <c r="AR739" s="5" t="inlineStr"/>
      <c r="AS739" s="5" t="inlineStr"/>
      <c r="AT739" s="5" t="inlineStr"/>
      <c r="AU739" s="8" t="inlineStr">
        <is>
          <t>Not run</t>
        </is>
      </c>
    </row>
    <row r="740" ht="32" customHeight="1">
      <c r="A740" s="16" t="inlineStr">
        <is>
          <t>GOS-0739</t>
        </is>
      </c>
      <c r="B740" s="8" t="inlineStr">
        <is>
          <t>G-OS</t>
        </is>
      </c>
      <c r="C740" s="5" t="inlineStr">
        <is>
          <t>Purchase Manager / Finance Lead</t>
        </is>
      </c>
      <c r="D740" s="5" t="inlineStr">
        <is>
          <t>Growth OS - Customer Care &amp; Dispute Loop</t>
        </is>
      </c>
      <c r="E740" s="5" t="inlineStr">
        <is>
          <t>One-Click Supplier Complaint-to-Purchase Debit Note Engine</t>
        </is>
      </c>
      <c r="F740" s="5" t="inlineStr">
        <is>
          <t>Purchase Manager / Finance Lead</t>
        </is>
      </c>
      <c r="G740" s="5" t="inlineStr">
        <is>
          <t>Accountant, Vendor</t>
        </is>
      </c>
      <c r="H740" s="5" t="inlineStr">
        <is>
          <t>Converts approved supplier quality rejections directly into official GST Purchase Debit Notes (createSupplierDebitNote) with itemized tax reversals.</t>
        </is>
      </c>
      <c r="I740" s="5" t="inlineStr">
        <is>
          <t>Instantly debits the vendor's ledger balance; guarantees recovery of funds or credit for defective inward materials before paying upcoming supplier invoices.</t>
        </is>
      </c>
      <c r="J740" s="19" t="inlineStr">
        <is>
          <t>P0</t>
        </is>
      </c>
      <c r="K740" s="22" t="inlineStr">
        <is>
          <t>Code Complete &amp; Verified</t>
        </is>
      </c>
      <c r="L740" s="5" t="inlineStr">
        <is>
          <t>Implements createSupplierDebitNote API from web/src/api/growth.ts with idempotency protection.</t>
        </is>
      </c>
      <c r="M740" s="8" t="inlineStr">
        <is>
          <t>Growth OS</t>
        </is>
      </c>
      <c r="N740" s="8" t="inlineStr">
        <is>
          <t>Growth role</t>
        </is>
      </c>
      <c r="O740" s="8" t="inlineStr">
        <is>
          <t>P0</t>
        </is>
      </c>
      <c r="P740" s="5" t="inlineStr">
        <is>
          <t>Unchanged</t>
        </is>
      </c>
      <c r="Q740" s="21" t="inlineStr">
        <is>
          <t>Code symbol found</t>
        </is>
      </c>
      <c r="R740" s="5" t="inlineStr">
        <is>
          <t>Matched createSupplierDebitNote in product code. This is not a functional test.</t>
        </is>
      </c>
      <c r="S740" s="8" t="inlineStr">
        <is>
          <t>GOS-CARE</t>
        </is>
      </c>
      <c r="T740" s="5" t="inlineStr">
        <is>
          <t>Customer care</t>
        </is>
      </c>
      <c r="U740" s="8" t="inlineStr"/>
      <c r="V740" s="8" t="inlineStr">
        <is>
          <t>complaints</t>
        </is>
      </c>
      <c r="W740" s="8" t="inlineStr">
        <is>
          <t>GROW</t>
        </is>
      </c>
      <c r="X740" s="5" t="inlineStr">
        <is>
          <t>Core</t>
        </is>
      </c>
      <c r="Y740" s="5" t="inlineStr">
        <is>
          <t>Buyer</t>
        </is>
      </c>
      <c r="Z740" s="5" t="inlineStr">
        <is>
          <t>Medium</t>
        </is>
      </c>
      <c r="AA740" s="5" t="inlineStr">
        <is>
          <t>Medium</t>
        </is>
      </c>
      <c r="AB740" s="8" t="inlineStr">
        <is>
          <t>Low</t>
        </is>
      </c>
      <c r="AC740" s="8" t="inlineStr">
        <is>
          <t>MVP</t>
        </is>
      </c>
      <c r="AD740" s="5" t="inlineStr">
        <is>
          <t>Cited in code</t>
        </is>
      </c>
      <c r="AE740" s="5" t="inlineStr">
        <is>
          <t>Not verified</t>
        </is>
      </c>
      <c r="AF740" s="5" t="inlineStr">
        <is>
          <t>Not verified</t>
        </is>
      </c>
      <c r="AG740" s="5" t="inlineStr">
        <is>
          <t>Not verified</t>
        </is>
      </c>
      <c r="AH740" s="5" t="inlineStr">
        <is>
          <t>Not verified</t>
        </is>
      </c>
      <c r="AI740" s="8" t="inlineStr">
        <is>
          <t>No</t>
        </is>
      </c>
      <c r="AJ740" s="8" t="inlineStr">
        <is>
          <t>Built - unverified</t>
        </is>
      </c>
      <c r="AK740" s="8" t="inlineStr">
        <is>
          <t>P0</t>
        </is>
      </c>
      <c r="AL740" s="8" t="n">
        <v>6</v>
      </c>
      <c r="AM740" s="5" t="inlineStr"/>
      <c r="AN740" s="5" t="inlineStr"/>
      <c r="AO740" s="5" t="inlineStr"/>
      <c r="AP740" s="5" t="inlineStr"/>
      <c r="AQ740" s="5" t="inlineStr"/>
      <c r="AR740" s="5" t="inlineStr"/>
      <c r="AS740" s="5" t="inlineStr"/>
      <c r="AT740" s="5" t="inlineStr"/>
      <c r="AU740" s="8" t="inlineStr">
        <is>
          <t>Not run</t>
        </is>
      </c>
    </row>
    <row r="741" ht="32" customHeight="1">
      <c r="A741" s="16" t="inlineStr">
        <is>
          <t>GOS-0740</t>
        </is>
      </c>
      <c r="B741" s="8" t="inlineStr">
        <is>
          <t>G-OS</t>
        </is>
      </c>
      <c r="C741" s="5" t="inlineStr">
        <is>
          <t>Business Owner / Managing Director</t>
        </is>
      </c>
      <c r="D741" s="5" t="inlineStr">
        <is>
          <t>Growth OS - Customer Intelligence</t>
        </is>
      </c>
      <c r="E741" s="5" t="inlineStr">
        <is>
          <t>Customer 360 Living Dossier &amp; Automated Growth Hints Aggregation</t>
        </is>
      </c>
      <c r="F741" s="5" t="inlineStr">
        <is>
          <t>Business Owner / Managing Director</t>
        </is>
      </c>
      <c r="G741" s="5" t="inlineStr">
        <is>
          <t>Sales Manager, Finance Manager</t>
        </is>
      </c>
      <c r="H741" s="5" t="inlineStr">
        <is>
          <t>Synthesizes a single-pane executive dossier (Customer360Page.tsx) aggregating lifetime purchase value, average collection lag, open receivables, active AMCs, and complaint history.</t>
        </is>
      </c>
      <c r="I741" s="5" t="inlineStr">
        <is>
          <t>Surfaces automated Growth Hints (customer revenue concentration &gt; 40%, SKU margin compression &lt; 5%, excessive manual discounts, dead-stock capital liberation) to protect margins and drive expansion.</t>
        </is>
      </c>
      <c r="J741" s="20" t="inlineStr">
        <is>
          <t>P1</t>
        </is>
      </c>
      <c r="K741" s="22" t="inlineStr">
        <is>
          <t>Code Complete &amp; Verified</t>
        </is>
      </c>
      <c r="L741" s="5" t="inlineStr">
        <is>
          <t>Integrates Customer360Page.tsx with build_growth_hints() service layer from backend/insights/services.py.</t>
        </is>
      </c>
      <c r="M741" s="8" t="inlineStr">
        <is>
          <t>Growth OS</t>
        </is>
      </c>
      <c r="N741" s="8" t="inlineStr">
        <is>
          <t>Growth role</t>
        </is>
      </c>
      <c r="O741" s="8" t="inlineStr">
        <is>
          <t>P1</t>
        </is>
      </c>
      <c r="P741" s="5" t="inlineStr">
        <is>
          <t>Unchanged</t>
        </is>
      </c>
      <c r="Q741" s="21" t="inlineStr">
        <is>
          <t>Code symbol found</t>
        </is>
      </c>
      <c r="R741" s="5" t="inlineStr">
        <is>
          <t>Matched build_growth_hints in product code. This is not a functional test.</t>
        </is>
      </c>
      <c r="S741" s="8" t="inlineStr">
        <is>
          <t>GOS-360</t>
        </is>
      </c>
      <c r="T741" s="5" t="inlineStr">
        <is>
          <t>Customer intelligence</t>
        </is>
      </c>
      <c r="U741" s="8" t="inlineStr"/>
      <c r="V741" s="8" t="inlineStr">
        <is>
          <t>insights</t>
        </is>
      </c>
      <c r="W741" s="8" t="inlineStr">
        <is>
          <t>GROW</t>
        </is>
      </c>
      <c r="X741" s="5" t="inlineStr">
        <is>
          <t>Core</t>
        </is>
      </c>
      <c r="Y741" s="5" t="inlineStr">
        <is>
          <t>Named role</t>
        </is>
      </c>
      <c r="Z741" s="5" t="inlineStr">
        <is>
          <t>Medium</t>
        </is>
      </c>
      <c r="AA741" s="5" t="inlineStr">
        <is>
          <t>Medium</t>
        </is>
      </c>
      <c r="AB741" s="8" t="inlineStr">
        <is>
          <t>Low</t>
        </is>
      </c>
      <c r="AC741" s="8" t="inlineStr">
        <is>
          <t>Later</t>
        </is>
      </c>
      <c r="AD741" s="5" t="inlineStr">
        <is>
          <t>Cited in code</t>
        </is>
      </c>
      <c r="AE741" s="5" t="inlineStr">
        <is>
          <t>Not verified</t>
        </is>
      </c>
      <c r="AF741" s="5" t="inlineStr">
        <is>
          <t>Not verified</t>
        </is>
      </c>
      <c r="AG741" s="5" t="inlineStr">
        <is>
          <t>Not verified</t>
        </is>
      </c>
      <c r="AH741" s="5" t="inlineStr">
        <is>
          <t>Not verified</t>
        </is>
      </c>
      <c r="AI741" s="8" t="inlineStr">
        <is>
          <t>No</t>
        </is>
      </c>
      <c r="AJ741" s="8" t="inlineStr">
        <is>
          <t>Built - unverified</t>
        </is>
      </c>
      <c r="AK741" s="8" t="inlineStr">
        <is>
          <t>P1</t>
        </is>
      </c>
      <c r="AL741" s="8" t="n">
        <v>6</v>
      </c>
      <c r="AM741" s="5" t="inlineStr"/>
      <c r="AN741" s="5" t="inlineStr"/>
      <c r="AO741" s="5" t="inlineStr"/>
      <c r="AP741" s="5" t="inlineStr"/>
      <c r="AQ741" s="5" t="inlineStr"/>
      <c r="AR741" s="5" t="inlineStr"/>
      <c r="AS741" s="5" t="inlineStr"/>
      <c r="AT741" s="5" t="inlineStr"/>
      <c r="AU741" s="8" t="inlineStr">
        <is>
          <t>Not run</t>
        </is>
      </c>
    </row>
    <row r="742" ht="32" customHeight="1">
      <c r="A742" s="16" t="inlineStr">
        <is>
          <t>F-0741</t>
        </is>
      </c>
      <c r="B742" s="8" t="inlineStr">
        <is>
          <t>F</t>
        </is>
      </c>
      <c r="C742" s="5" t="inlineStr">
        <is>
          <t>Accountant / GST Operator</t>
        </is>
      </c>
      <c r="D742" s="5" t="inlineStr">
        <is>
          <t>Payroll &amp; Statutory Dues</t>
        </is>
      </c>
      <c r="E742" s="5" t="inlineStr">
        <is>
          <t>Register an employee with a unique code and contracted salary</t>
        </is>
      </c>
      <c r="F742" s="5" t="inlineStr">
        <is>
          <t>Payroll clerk</t>
        </is>
      </c>
      <c r="G742" s="5" t="inlineStr">
        <is>
          <t>Business owner</t>
        </is>
      </c>
      <c r="H742" s="5" t="inlineStr">
        <is>
          <t>The month can be paid only for people who are on the employee list</t>
        </is>
      </c>
      <c r="I742" s="5" t="inlineStr">
        <is>
          <t>Employee is stored once per company code and starts ACTIVE</t>
        </is>
      </c>
      <c r="J742" s="20" t="inlineStr">
        <is>
          <t>P1</t>
        </is>
      </c>
      <c r="K742" s="21" t="inlineStr">
        <is>
          <t>In product</t>
        </is>
      </c>
      <c r="L742" s="5" t="inlineStr">
        <is>
          <t>uniq_employee_code_per_company on Employee. Payroll is a preview, not a full HRMS.</t>
        </is>
      </c>
      <c r="M742" s="8" t="inlineStr">
        <is>
          <t>Added flows</t>
        </is>
      </c>
      <c r="N742" s="8" t="inlineStr">
        <is>
          <t>Operational role</t>
        </is>
      </c>
      <c r="O742" s="8" t="inlineStr">
        <is>
          <t>P1</t>
        </is>
      </c>
      <c r="P742" s="5" t="inlineStr">
        <is>
          <t>Unchanged</t>
        </is>
      </c>
      <c r="Q742" s="21" t="inlineStr">
        <is>
          <t>Code symbol found</t>
        </is>
      </c>
      <c r="R742" s="5" t="inlineStr">
        <is>
          <t>Matched uniq_employee_code_per_company in product code. This is not a functional test.</t>
        </is>
      </c>
      <c r="S742" s="8" t="inlineStr">
        <is>
          <t>PAY</t>
        </is>
      </c>
      <c r="T742" s="5" t="inlineStr">
        <is>
          <t>Pay the month</t>
        </is>
      </c>
      <c r="U742" s="8" t="inlineStr">
        <is>
          <t>1</t>
        </is>
      </c>
      <c r="V742" s="8" t="inlineStr">
        <is>
          <t>payroll</t>
        </is>
      </c>
      <c r="W742" s="8" t="inlineStr">
        <is>
          <t>CONTROL</t>
        </is>
      </c>
      <c r="X742" s="5" t="inlineStr">
        <is>
          <t>Vertical extension</t>
        </is>
      </c>
      <c r="Y742" s="5" t="inlineStr">
        <is>
          <t>Accountant</t>
        </is>
      </c>
      <c r="Z742" s="5" t="inlineStr">
        <is>
          <t>Critical</t>
        </is>
      </c>
      <c r="AA742" s="5" t="inlineStr">
        <is>
          <t>High</t>
        </is>
      </c>
      <c r="AB742" s="8" t="inlineStr">
        <is>
          <t>High</t>
        </is>
      </c>
      <c r="AC742" s="8" t="inlineStr">
        <is>
          <t>Later</t>
        </is>
      </c>
      <c r="AD742" s="5" t="inlineStr">
        <is>
          <t>Cited in code</t>
        </is>
      </c>
      <c r="AE742" s="5" t="inlineStr">
        <is>
          <t>Not verified</t>
        </is>
      </c>
      <c r="AF742" s="5" t="inlineStr">
        <is>
          <t>Not verified</t>
        </is>
      </c>
      <c r="AG742" s="5" t="inlineStr">
        <is>
          <t>Not verified</t>
        </is>
      </c>
      <c r="AH742" s="5" t="inlineStr">
        <is>
          <t>Not verified</t>
        </is>
      </c>
      <c r="AI742" s="8" t="inlineStr">
        <is>
          <t>No</t>
        </is>
      </c>
      <c r="AJ742" s="8" t="inlineStr">
        <is>
          <t>Built - unverified</t>
        </is>
      </c>
      <c r="AK742" s="8" t="inlineStr">
        <is>
          <t>P1</t>
        </is>
      </c>
      <c r="AL742" s="8" t="n">
        <v>18</v>
      </c>
      <c r="AM742" s="5" t="inlineStr"/>
      <c r="AN742" s="5" t="inlineStr"/>
      <c r="AO742" s="5" t="inlineStr"/>
      <c r="AP742" s="5" t="inlineStr"/>
      <c r="AQ742" s="5" t="inlineStr"/>
      <c r="AR742" s="5" t="inlineStr"/>
      <c r="AS742" s="5" t="inlineStr"/>
      <c r="AT742" s="5" t="inlineStr"/>
      <c r="AU742" s="8" t="inlineStr">
        <is>
          <t>Not run</t>
        </is>
      </c>
    </row>
    <row r="743" ht="32" customHeight="1">
      <c r="A743" s="16" t="inlineStr">
        <is>
          <t>F-0742</t>
        </is>
      </c>
      <c r="B743" s="8" t="inlineStr">
        <is>
          <t>F</t>
        </is>
      </c>
      <c r="C743" s="5" t="inlineStr">
        <is>
          <t>Accountant / GST Operator</t>
        </is>
      </c>
      <c r="D743" s="5" t="inlineStr">
        <is>
          <t>Payroll &amp; Statutory Dues</t>
        </is>
      </c>
      <c r="E743" s="5" t="inlineStr">
        <is>
          <t>Set PF applicability, basic, DA, and the PF wage ceiling</t>
        </is>
      </c>
      <c r="F743" s="5" t="inlineStr">
        <is>
          <t>Payroll clerk</t>
        </is>
      </c>
      <c r="G743" s="5" t="inlineStr">
        <is>
          <t>External CA</t>
        </is>
      </c>
      <c r="H743" s="5" t="inlineStr">
        <is>
          <t>PF is calculated on basic plus DA when those amounts are set</t>
        </is>
      </c>
      <c r="I743" s="5" t="inlineStr">
        <is>
          <t>When basic and DA are both zero, PF falls back to the contracted gross</t>
        </is>
      </c>
      <c r="J743" s="20" t="inlineStr">
        <is>
          <t>P1</t>
        </is>
      </c>
      <c r="K743" s="21" t="inlineStr">
        <is>
          <t>In product</t>
        </is>
      </c>
      <c r="L743" s="5" t="inlineStr">
        <is>
          <t>compute_statutory uses Employee.basic, Employee.da, and pf_wage_ceiling.</t>
        </is>
      </c>
      <c r="M743" s="8" t="inlineStr">
        <is>
          <t>Added flows</t>
        </is>
      </c>
      <c r="N743" s="8" t="inlineStr">
        <is>
          <t>Operational role</t>
        </is>
      </c>
      <c r="O743" s="8" t="inlineStr">
        <is>
          <t>P1</t>
        </is>
      </c>
      <c r="P743" s="5" t="inlineStr">
        <is>
          <t>Unchanged</t>
        </is>
      </c>
      <c r="Q743" s="21" t="inlineStr">
        <is>
          <t>Code symbol found</t>
        </is>
      </c>
      <c r="R743" s="5" t="inlineStr">
        <is>
          <t>Matched compute_statutory in product code. This is not a functional test.</t>
        </is>
      </c>
      <c r="S743" s="8" t="inlineStr">
        <is>
          <t>PAY</t>
        </is>
      </c>
      <c r="T743" s="5" t="inlineStr">
        <is>
          <t>Pay the month</t>
        </is>
      </c>
      <c r="U743" s="8" t="inlineStr">
        <is>
          <t>2</t>
        </is>
      </c>
      <c r="V743" s="8" t="inlineStr">
        <is>
          <t>payroll</t>
        </is>
      </c>
      <c r="W743" s="8" t="inlineStr">
        <is>
          <t>CONTROL</t>
        </is>
      </c>
      <c r="X743" s="5" t="inlineStr">
        <is>
          <t>Vertical extension</t>
        </is>
      </c>
      <c r="Y743" s="5" t="inlineStr">
        <is>
          <t>Accountant</t>
        </is>
      </c>
      <c r="Z743" s="5" t="inlineStr">
        <is>
          <t>Critical</t>
        </is>
      </c>
      <c r="AA743" s="5" t="inlineStr">
        <is>
          <t>High</t>
        </is>
      </c>
      <c r="AB743" s="8" t="inlineStr">
        <is>
          <t>High</t>
        </is>
      </c>
      <c r="AC743" s="8" t="inlineStr">
        <is>
          <t>Later</t>
        </is>
      </c>
      <c r="AD743" s="5" t="inlineStr">
        <is>
          <t>Cited in code</t>
        </is>
      </c>
      <c r="AE743" s="5" t="inlineStr">
        <is>
          <t>Not verified</t>
        </is>
      </c>
      <c r="AF743" s="5" t="inlineStr">
        <is>
          <t>Not verified</t>
        </is>
      </c>
      <c r="AG743" s="5" t="inlineStr">
        <is>
          <t>Not verified</t>
        </is>
      </c>
      <c r="AH743" s="5" t="inlineStr">
        <is>
          <t>Not verified</t>
        </is>
      </c>
      <c r="AI743" s="8" t="inlineStr">
        <is>
          <t>No</t>
        </is>
      </c>
      <c r="AJ743" s="8" t="inlineStr">
        <is>
          <t>Built - unverified</t>
        </is>
      </c>
      <c r="AK743" s="8" t="inlineStr">
        <is>
          <t>P1</t>
        </is>
      </c>
      <c r="AL743" s="8" t="n">
        <v>18</v>
      </c>
      <c r="AM743" s="5" t="inlineStr"/>
      <c r="AN743" s="5" t="inlineStr"/>
      <c r="AO743" s="5" t="inlineStr"/>
      <c r="AP743" s="5" t="inlineStr">
        <is>
          <t>F-0741</t>
        </is>
      </c>
      <c r="AQ743" s="5" t="inlineStr"/>
      <c r="AR743" s="5" t="inlineStr"/>
      <c r="AS743" s="5" t="inlineStr"/>
      <c r="AT743" s="5" t="inlineStr"/>
      <c r="AU743" s="8" t="inlineStr">
        <is>
          <t>Not run</t>
        </is>
      </c>
    </row>
    <row r="744" ht="32" customHeight="1">
      <c r="A744" s="16" t="inlineStr">
        <is>
          <t>F-0743</t>
        </is>
      </c>
      <c r="B744" s="8" t="inlineStr">
        <is>
          <t>F</t>
        </is>
      </c>
      <c r="C744" s="5" t="inlineStr">
        <is>
          <t>Accountant / GST Operator</t>
        </is>
      </c>
      <c r="D744" s="5" t="inlineStr">
        <is>
          <t>Payroll &amp; Statutory Dues</t>
        </is>
      </c>
      <c r="E744" s="5" t="inlineStr">
        <is>
          <t>Set ESI, professional-tax state, and the section 192 tax regime</t>
        </is>
      </c>
      <c r="F744" s="5" t="inlineStr">
        <is>
          <t>Payroll clerk</t>
        </is>
      </c>
      <c r="G744" s="5" t="inlineStr">
        <is>
          <t>External CA</t>
        </is>
      </c>
      <c r="H744" s="5" t="inlineStr">
        <is>
          <t>ESI, PT, and TDS on the slip follow the employee flags</t>
        </is>
      </c>
      <c r="I744" s="5" t="inlineStr">
        <is>
          <t>New regime can project TDS from contracted gross. Old regime without a flat rate does not apply Chapter VI-A</t>
        </is>
      </c>
      <c r="J744" s="20" t="inlineStr">
        <is>
          <t>P1</t>
        </is>
      </c>
      <c r="K744" s="21" t="inlineStr">
        <is>
          <t>In product</t>
        </is>
      </c>
      <c r="L744" s="5" t="inlineStr">
        <is>
          <t>Employee.tax_regime and compute_statutory. Chapter VI-A declarations are not collected.</t>
        </is>
      </c>
      <c r="M744" s="8" t="inlineStr">
        <is>
          <t>Added flows</t>
        </is>
      </c>
      <c r="N744" s="8" t="inlineStr">
        <is>
          <t>Operational role</t>
        </is>
      </c>
      <c r="O744" s="8" t="inlineStr">
        <is>
          <t>P1</t>
        </is>
      </c>
      <c r="P744" s="5" t="inlineStr">
        <is>
          <t>Unchanged</t>
        </is>
      </c>
      <c r="Q744" s="21" t="inlineStr">
        <is>
          <t>Code symbol found</t>
        </is>
      </c>
      <c r="R744" s="5" t="inlineStr">
        <is>
          <t>Matched compute_statutory in product code. This is not a functional test.</t>
        </is>
      </c>
      <c r="S744" s="8" t="inlineStr">
        <is>
          <t>PAY</t>
        </is>
      </c>
      <c r="T744" s="5" t="inlineStr">
        <is>
          <t>Pay the month</t>
        </is>
      </c>
      <c r="U744" s="8" t="inlineStr">
        <is>
          <t>3</t>
        </is>
      </c>
      <c r="V744" s="8" t="inlineStr">
        <is>
          <t>payroll</t>
        </is>
      </c>
      <c r="W744" s="8" t="inlineStr">
        <is>
          <t>CONTROL</t>
        </is>
      </c>
      <c r="X744" s="5" t="inlineStr">
        <is>
          <t>Vertical extension</t>
        </is>
      </c>
      <c r="Y744" s="5" t="inlineStr">
        <is>
          <t>Accountant</t>
        </is>
      </c>
      <c r="Z744" s="5" t="inlineStr">
        <is>
          <t>Critical</t>
        </is>
      </c>
      <c r="AA744" s="5" t="inlineStr">
        <is>
          <t>High</t>
        </is>
      </c>
      <c r="AB744" s="8" t="inlineStr">
        <is>
          <t>High</t>
        </is>
      </c>
      <c r="AC744" s="8" t="inlineStr">
        <is>
          <t>Later</t>
        </is>
      </c>
      <c r="AD744" s="5" t="inlineStr">
        <is>
          <t>Cited in code</t>
        </is>
      </c>
      <c r="AE744" s="5" t="inlineStr">
        <is>
          <t>Not verified</t>
        </is>
      </c>
      <c r="AF744" s="5" t="inlineStr">
        <is>
          <t>Not verified</t>
        </is>
      </c>
      <c r="AG744" s="5" t="inlineStr">
        <is>
          <t>Not verified</t>
        </is>
      </c>
      <c r="AH744" s="5" t="inlineStr">
        <is>
          <t>Not verified</t>
        </is>
      </c>
      <c r="AI744" s="8" t="inlineStr">
        <is>
          <t>No</t>
        </is>
      </c>
      <c r="AJ744" s="8" t="inlineStr">
        <is>
          <t>Built - unverified</t>
        </is>
      </c>
      <c r="AK744" s="8" t="inlineStr">
        <is>
          <t>P1</t>
        </is>
      </c>
      <c r="AL744" s="8" t="n">
        <v>18</v>
      </c>
      <c r="AM744" s="5" t="inlineStr"/>
      <c r="AN744" s="5" t="inlineStr"/>
      <c r="AO744" s="5" t="inlineStr"/>
      <c r="AP744" s="5" t="inlineStr">
        <is>
          <t>F-0742</t>
        </is>
      </c>
      <c r="AQ744" s="5" t="inlineStr"/>
      <c r="AR744" s="5" t="inlineStr"/>
      <c r="AS744" s="5" t="inlineStr"/>
      <c r="AT744" s="5" t="inlineStr"/>
      <c r="AU744" s="8" t="inlineStr">
        <is>
          <t>Not run</t>
        </is>
      </c>
    </row>
    <row r="745" ht="32" customHeight="1">
      <c r="A745" s="16" t="inlineStr">
        <is>
          <t>F-0744</t>
        </is>
      </c>
      <c r="B745" s="8" t="inlineStr">
        <is>
          <t>F</t>
        </is>
      </c>
      <c r="C745" s="5" t="inlineStr">
        <is>
          <t>Accountant / GST Operator</t>
        </is>
      </c>
      <c r="D745" s="5" t="inlineStr">
        <is>
          <t>Payroll &amp; Statutory Dues</t>
        </is>
      </c>
      <c r="E745" s="5" t="inlineStr">
        <is>
          <t>Open one draft pay run for a calendar month</t>
        </is>
      </c>
      <c r="F745" s="5" t="inlineStr">
        <is>
          <t>Payroll clerk</t>
        </is>
      </c>
      <c r="G745" s="5" t="inlineStr">
        <is>
          <t>Business owner</t>
        </is>
      </c>
      <c r="H745" s="5" t="inlineStr">
        <is>
          <t>A month has a single pay run to complete</t>
        </is>
      </c>
      <c r="I745" s="5" t="inlineStr">
        <is>
          <t>PayRun.period is YYYY-MM and is unique per company</t>
        </is>
      </c>
      <c r="J745" s="20" t="inlineStr">
        <is>
          <t>P1</t>
        </is>
      </c>
      <c r="K745" s="21" t="inlineStr">
        <is>
          <t>In product</t>
        </is>
      </c>
      <c r="L745" s="5" t="inlineStr">
        <is>
          <t>uniq_payrun_period_per_company. PayRun status starts DRAFT.</t>
        </is>
      </c>
      <c r="M745" s="8" t="inlineStr">
        <is>
          <t>Added flows</t>
        </is>
      </c>
      <c r="N745" s="8" t="inlineStr">
        <is>
          <t>Operational role</t>
        </is>
      </c>
      <c r="O745" s="8" t="inlineStr">
        <is>
          <t>P1</t>
        </is>
      </c>
      <c r="P745" s="5" t="inlineStr">
        <is>
          <t>Unchanged</t>
        </is>
      </c>
      <c r="Q745" s="21" t="inlineStr">
        <is>
          <t>Code symbol found</t>
        </is>
      </c>
      <c r="R745" s="5" t="inlineStr">
        <is>
          <t>Matched uniq_payrun_period_per_company in product code. This is not a functional test.</t>
        </is>
      </c>
      <c r="S745" s="8" t="inlineStr">
        <is>
          <t>PAY</t>
        </is>
      </c>
      <c r="T745" s="5" t="inlineStr">
        <is>
          <t>Pay the month</t>
        </is>
      </c>
      <c r="U745" s="8" t="inlineStr">
        <is>
          <t>4</t>
        </is>
      </c>
      <c r="V745" s="8" t="inlineStr">
        <is>
          <t>payroll</t>
        </is>
      </c>
      <c r="W745" s="8" t="inlineStr">
        <is>
          <t>CONTROL</t>
        </is>
      </c>
      <c r="X745" s="5" t="inlineStr">
        <is>
          <t>Vertical extension</t>
        </is>
      </c>
      <c r="Y745" s="5" t="inlineStr">
        <is>
          <t>Accountant</t>
        </is>
      </c>
      <c r="Z745" s="5" t="inlineStr">
        <is>
          <t>Critical</t>
        </is>
      </c>
      <c r="AA745" s="5" t="inlineStr">
        <is>
          <t>High</t>
        </is>
      </c>
      <c r="AB745" s="8" t="inlineStr">
        <is>
          <t>High</t>
        </is>
      </c>
      <c r="AC745" s="8" t="inlineStr">
        <is>
          <t>Later</t>
        </is>
      </c>
      <c r="AD745" s="5" t="inlineStr">
        <is>
          <t>Cited in code</t>
        </is>
      </c>
      <c r="AE745" s="5" t="inlineStr">
        <is>
          <t>Not verified</t>
        </is>
      </c>
      <c r="AF745" s="5" t="inlineStr">
        <is>
          <t>Not verified</t>
        </is>
      </c>
      <c r="AG745" s="5" t="inlineStr">
        <is>
          <t>Not verified</t>
        </is>
      </c>
      <c r="AH745" s="5" t="inlineStr">
        <is>
          <t>Not verified</t>
        </is>
      </c>
      <c r="AI745" s="8" t="inlineStr">
        <is>
          <t>No</t>
        </is>
      </c>
      <c r="AJ745" s="8" t="inlineStr">
        <is>
          <t>Built - unverified</t>
        </is>
      </c>
      <c r="AK745" s="8" t="inlineStr">
        <is>
          <t>P1</t>
        </is>
      </c>
      <c r="AL745" s="8" t="n">
        <v>18</v>
      </c>
      <c r="AM745" s="5" t="inlineStr"/>
      <c r="AN745" s="5" t="inlineStr"/>
      <c r="AO745" s="5" t="inlineStr"/>
      <c r="AP745" s="5" t="inlineStr">
        <is>
          <t>F-0743</t>
        </is>
      </c>
      <c r="AQ745" s="5" t="inlineStr"/>
      <c r="AR745" s="5" t="inlineStr"/>
      <c r="AS745" s="5" t="inlineStr"/>
      <c r="AT745" s="5" t="inlineStr"/>
      <c r="AU745" s="8" t="inlineStr">
        <is>
          <t>Not run</t>
        </is>
      </c>
    </row>
    <row r="746" ht="32" customHeight="1">
      <c r="A746" s="16" t="inlineStr">
        <is>
          <t>F-0745</t>
        </is>
      </c>
      <c r="B746" s="8" t="inlineStr">
        <is>
          <t>F</t>
        </is>
      </c>
      <c r="C746" s="5" t="inlineStr">
        <is>
          <t>Accountant / GST Operator</t>
        </is>
      </c>
      <c r="D746" s="5" t="inlineStr">
        <is>
          <t>Payroll &amp; Statutory Dues</t>
        </is>
      </c>
      <c r="E746" s="5" t="inlineStr">
        <is>
          <t>Enter paid days so a partial month prorates gross and statutory dues</t>
        </is>
      </c>
      <c r="F746" s="5" t="inlineStr">
        <is>
          <t>Payroll clerk</t>
        </is>
      </c>
      <c r="G746" s="5" t="inlineStr">
        <is>
          <t>Attendance keeper</t>
        </is>
      </c>
      <c r="H746" s="5" t="inlineStr">
        <is>
          <t>Loss of pay reduces the slip instead of paying a full month</t>
        </is>
      </c>
      <c r="I746" s="5" t="inlineStr">
        <is>
          <t>paid_days below the calendar days in the month prorates gross, PF, ESI, and PT</t>
        </is>
      </c>
      <c r="J746" s="20" t="inlineStr">
        <is>
          <t>P1</t>
        </is>
      </c>
      <c r="K746" s="21" t="inlineStr">
        <is>
          <t>In product</t>
        </is>
      </c>
      <c r="L746" s="5" t="inlineStr">
        <is>
          <t>PaySlip.paid_days. complete_pay_run starts from contracted salary so proration is applied once.</t>
        </is>
      </c>
      <c r="M746" s="8" t="inlineStr">
        <is>
          <t>Added flows</t>
        </is>
      </c>
      <c r="N746" s="8" t="inlineStr">
        <is>
          <t>Operational role</t>
        </is>
      </c>
      <c r="O746" s="8" t="inlineStr">
        <is>
          <t>P1</t>
        </is>
      </c>
      <c r="P746" s="5" t="inlineStr">
        <is>
          <t>Unchanged</t>
        </is>
      </c>
      <c r="Q746" s="21" t="inlineStr">
        <is>
          <t>Code symbol found</t>
        </is>
      </c>
      <c r="R746" s="5" t="inlineStr">
        <is>
          <t>Matched complete_pay_run in product code. This is not a functional test.</t>
        </is>
      </c>
      <c r="S746" s="8" t="inlineStr">
        <is>
          <t>PAY</t>
        </is>
      </c>
      <c r="T746" s="5" t="inlineStr">
        <is>
          <t>Pay the month</t>
        </is>
      </c>
      <c r="U746" s="8" t="inlineStr">
        <is>
          <t>5</t>
        </is>
      </c>
      <c r="V746" s="8" t="inlineStr">
        <is>
          <t>payroll</t>
        </is>
      </c>
      <c r="W746" s="8" t="inlineStr">
        <is>
          <t>CONTROL</t>
        </is>
      </c>
      <c r="X746" s="5" t="inlineStr">
        <is>
          <t>Vertical extension</t>
        </is>
      </c>
      <c r="Y746" s="5" t="inlineStr">
        <is>
          <t>Accountant</t>
        </is>
      </c>
      <c r="Z746" s="5" t="inlineStr">
        <is>
          <t>Critical</t>
        </is>
      </c>
      <c r="AA746" s="5" t="inlineStr">
        <is>
          <t>High</t>
        </is>
      </c>
      <c r="AB746" s="8" t="inlineStr">
        <is>
          <t>High</t>
        </is>
      </c>
      <c r="AC746" s="8" t="inlineStr">
        <is>
          <t>Later</t>
        </is>
      </c>
      <c r="AD746" s="5" t="inlineStr">
        <is>
          <t>Cited in code</t>
        </is>
      </c>
      <c r="AE746" s="5" t="inlineStr">
        <is>
          <t>Not verified</t>
        </is>
      </c>
      <c r="AF746" s="5" t="inlineStr">
        <is>
          <t>Not verified</t>
        </is>
      </c>
      <c r="AG746" s="5" t="inlineStr">
        <is>
          <t>Not verified</t>
        </is>
      </c>
      <c r="AH746" s="5" t="inlineStr">
        <is>
          <t>Not verified</t>
        </is>
      </c>
      <c r="AI746" s="8" t="inlineStr">
        <is>
          <t>No</t>
        </is>
      </c>
      <c r="AJ746" s="8" t="inlineStr">
        <is>
          <t>Built - unverified</t>
        </is>
      </c>
      <c r="AK746" s="8" t="inlineStr">
        <is>
          <t>P1</t>
        </is>
      </c>
      <c r="AL746" s="8" t="n">
        <v>18</v>
      </c>
      <c r="AM746" s="5" t="inlineStr"/>
      <c r="AN746" s="5" t="inlineStr"/>
      <c r="AO746" s="5" t="inlineStr"/>
      <c r="AP746" s="5" t="inlineStr">
        <is>
          <t>F-0744</t>
        </is>
      </c>
      <c r="AQ746" s="5" t="inlineStr"/>
      <c r="AR746" s="5" t="inlineStr"/>
      <c r="AS746" s="5" t="inlineStr"/>
      <c r="AT746" s="5" t="inlineStr"/>
      <c r="AU746" s="8" t="inlineStr">
        <is>
          <t>Not run</t>
        </is>
      </c>
    </row>
    <row r="747" ht="32" customHeight="1">
      <c r="A747" s="16" t="inlineStr">
        <is>
          <t>F-0746</t>
        </is>
      </c>
      <c r="B747" s="8" t="inlineStr">
        <is>
          <t>F</t>
        </is>
      </c>
      <c r="C747" s="5" t="inlineStr">
        <is>
          <t>Accountant / GST Operator</t>
        </is>
      </c>
      <c r="D747" s="5" t="inlineStr">
        <is>
          <t>Payroll &amp; Statutory Dues</t>
        </is>
      </c>
      <c r="E747" s="5" t="inlineStr">
        <is>
          <t>Complete the pay run and keep one payslip per active employee</t>
        </is>
      </c>
      <c r="F747" s="5" t="inlineStr">
        <is>
          <t>Payroll clerk</t>
        </is>
      </c>
      <c r="G747" s="5" t="inlineStr">
        <is>
          <t>Business owner</t>
        </is>
      </c>
      <c r="H747" s="5" t="inlineStr">
        <is>
          <t>The month is closed for pay and can be reopened only through the pay-run actions</t>
        </is>
      </c>
      <c r="I747" s="5" t="inlineStr">
        <is>
          <t>complete_pay_run writes PaySlip rows and can pay from cash. A completed run cannot be completed again</t>
        </is>
      </c>
      <c r="J747" s="19" t="inlineStr">
        <is>
          <t>P0</t>
        </is>
      </c>
      <c r="K747" s="21" t="inlineStr">
        <is>
          <t>In product</t>
        </is>
      </c>
      <c r="L747" s="5" t="inlineStr">
        <is>
          <t>complete_pay_run. There are no bonus, arrear, advance, or one-off deduction lines on a slip.</t>
        </is>
      </c>
      <c r="M747" s="8" t="inlineStr">
        <is>
          <t>Added flows</t>
        </is>
      </c>
      <c r="N747" s="8" t="inlineStr">
        <is>
          <t>Operational role</t>
        </is>
      </c>
      <c r="O747" s="8" t="inlineStr">
        <is>
          <t>P0</t>
        </is>
      </c>
      <c r="P747" s="5" t="inlineStr">
        <is>
          <t>Unchanged</t>
        </is>
      </c>
      <c r="Q747" s="21" t="inlineStr">
        <is>
          <t>Code symbol found</t>
        </is>
      </c>
      <c r="R747" s="5" t="inlineStr">
        <is>
          <t>Matched complete_pay_run in product code. This is not a functional test.</t>
        </is>
      </c>
      <c r="S747" s="8" t="inlineStr">
        <is>
          <t>PAY</t>
        </is>
      </c>
      <c r="T747" s="5" t="inlineStr">
        <is>
          <t>Pay the month</t>
        </is>
      </c>
      <c r="U747" s="8" t="inlineStr">
        <is>
          <t>6</t>
        </is>
      </c>
      <c r="V747" s="8" t="inlineStr">
        <is>
          <t>payroll</t>
        </is>
      </c>
      <c r="W747" s="8" t="inlineStr">
        <is>
          <t>CONTROL</t>
        </is>
      </c>
      <c r="X747" s="5" t="inlineStr">
        <is>
          <t>Vertical extension</t>
        </is>
      </c>
      <c r="Y747" s="5" t="inlineStr">
        <is>
          <t>Accountant</t>
        </is>
      </c>
      <c r="Z747" s="5" t="inlineStr">
        <is>
          <t>Critical</t>
        </is>
      </c>
      <c r="AA747" s="5" t="inlineStr">
        <is>
          <t>High</t>
        </is>
      </c>
      <c r="AB747" s="8" t="inlineStr">
        <is>
          <t>High</t>
        </is>
      </c>
      <c r="AC747" s="8" t="inlineStr">
        <is>
          <t>MVP</t>
        </is>
      </c>
      <c r="AD747" s="5" t="inlineStr">
        <is>
          <t>Cited in code</t>
        </is>
      </c>
      <c r="AE747" s="5" t="inlineStr">
        <is>
          <t>Not verified</t>
        </is>
      </c>
      <c r="AF747" s="5" t="inlineStr">
        <is>
          <t>Not verified</t>
        </is>
      </c>
      <c r="AG747" s="5" t="inlineStr">
        <is>
          <t>Not verified</t>
        </is>
      </c>
      <c r="AH747" s="5" t="inlineStr">
        <is>
          <t>Not verified</t>
        </is>
      </c>
      <c r="AI747" s="8" t="inlineStr">
        <is>
          <t>No</t>
        </is>
      </c>
      <c r="AJ747" s="8" t="inlineStr">
        <is>
          <t>Built - unverified</t>
        </is>
      </c>
      <c r="AK747" s="8" t="inlineStr">
        <is>
          <t>P0</t>
        </is>
      </c>
      <c r="AL747" s="8" t="n">
        <v>18</v>
      </c>
      <c r="AM747" s="5" t="inlineStr"/>
      <c r="AN747" s="5" t="inlineStr"/>
      <c r="AO747" s="5" t="inlineStr"/>
      <c r="AP747" s="5" t="inlineStr">
        <is>
          <t>F-0745</t>
        </is>
      </c>
      <c r="AQ747" s="5" t="inlineStr"/>
      <c r="AR747" s="5" t="inlineStr"/>
      <c r="AS747" s="5" t="inlineStr"/>
      <c r="AT747" s="5" t="inlineStr"/>
      <c r="AU747" s="8" t="inlineStr">
        <is>
          <t>Not run</t>
        </is>
      </c>
    </row>
    <row r="748" ht="32" customHeight="1">
      <c r="A748" s="16" t="inlineStr">
        <is>
          <t>F-0747</t>
        </is>
      </c>
      <c r="B748" s="8" t="inlineStr">
        <is>
          <t>F</t>
        </is>
      </c>
      <c r="C748" s="5" t="inlineStr">
        <is>
          <t>Accountant / GST Operator</t>
        </is>
      </c>
      <c r="D748" s="5" t="inlineStr">
        <is>
          <t>Payroll &amp; Statutory Dues</t>
        </is>
      </c>
      <c r="E748" s="5" t="inlineStr">
        <is>
          <t>Read the employer PF split and employer ESI on the payslip</t>
        </is>
      </c>
      <c r="F748" s="5" t="inlineStr">
        <is>
          <t>Payroll clerk</t>
        </is>
      </c>
      <c r="G748" s="5" t="inlineStr">
        <is>
          <t>External CA</t>
        </is>
      </c>
      <c r="H748" s="5" t="inlineStr">
        <is>
          <t>The employer can see EPS, EPF, admin, and EDLI besides the employee deduction</t>
        </is>
      </c>
      <c r="I748" s="5" t="inlineStr">
        <is>
          <t>PaySlip stores pf_employer_eps, pf_employer_epf, pf_admin_charges, edli_charges, and esi_employer</t>
        </is>
      </c>
      <c r="J748" s="20" t="inlineStr">
        <is>
          <t>P1</t>
        </is>
      </c>
      <c r="K748" s="21" t="inlineStr">
        <is>
          <t>In product</t>
        </is>
      </c>
      <c r="L748" s="5" t="inlineStr">
        <is>
          <t>pf_employer_eps, pf_employer_epf, pf_admin_charges, and edli_charges are on PaySlip. This is not an EPFO return file.</t>
        </is>
      </c>
      <c r="M748" s="8" t="inlineStr">
        <is>
          <t>Added flows</t>
        </is>
      </c>
      <c r="N748" s="8" t="inlineStr">
        <is>
          <t>Operational role</t>
        </is>
      </c>
      <c r="O748" s="8" t="inlineStr">
        <is>
          <t>P1</t>
        </is>
      </c>
      <c r="P748" s="5" t="inlineStr">
        <is>
          <t>Unchanged</t>
        </is>
      </c>
      <c r="Q748" s="21" t="inlineStr">
        <is>
          <t>Code symbol found</t>
        </is>
      </c>
      <c r="R748" s="5" t="inlineStr">
        <is>
          <t>Matched pf_admin_charges in product code. This is not a functional test.</t>
        </is>
      </c>
      <c r="S748" s="8" t="inlineStr">
        <is>
          <t>PAY</t>
        </is>
      </c>
      <c r="T748" s="5" t="inlineStr">
        <is>
          <t>Pay the month</t>
        </is>
      </c>
      <c r="U748" s="8" t="inlineStr">
        <is>
          <t>7</t>
        </is>
      </c>
      <c r="V748" s="8" t="inlineStr">
        <is>
          <t>payroll</t>
        </is>
      </c>
      <c r="W748" s="8" t="inlineStr">
        <is>
          <t>CONTROL</t>
        </is>
      </c>
      <c r="X748" s="5" t="inlineStr">
        <is>
          <t>Vertical extension</t>
        </is>
      </c>
      <c r="Y748" s="5" t="inlineStr">
        <is>
          <t>Accountant</t>
        </is>
      </c>
      <c r="Z748" s="5" t="inlineStr">
        <is>
          <t>Critical</t>
        </is>
      </c>
      <c r="AA748" s="5" t="inlineStr">
        <is>
          <t>High</t>
        </is>
      </c>
      <c r="AB748" s="8" t="inlineStr">
        <is>
          <t>High</t>
        </is>
      </c>
      <c r="AC748" s="8" t="inlineStr">
        <is>
          <t>Later</t>
        </is>
      </c>
      <c r="AD748" s="5" t="inlineStr">
        <is>
          <t>Cited in code</t>
        </is>
      </c>
      <c r="AE748" s="5" t="inlineStr">
        <is>
          <t>Not verified</t>
        </is>
      </c>
      <c r="AF748" s="5" t="inlineStr">
        <is>
          <t>Not verified</t>
        </is>
      </c>
      <c r="AG748" s="5" t="inlineStr">
        <is>
          <t>Not verified</t>
        </is>
      </c>
      <c r="AH748" s="5" t="inlineStr">
        <is>
          <t>Not verified</t>
        </is>
      </c>
      <c r="AI748" s="8" t="inlineStr">
        <is>
          <t>No</t>
        </is>
      </c>
      <c r="AJ748" s="8" t="inlineStr">
        <is>
          <t>Built - unverified</t>
        </is>
      </c>
      <c r="AK748" s="8" t="inlineStr">
        <is>
          <t>P1</t>
        </is>
      </c>
      <c r="AL748" s="8" t="n">
        <v>18</v>
      </c>
      <c r="AM748" s="5" t="inlineStr"/>
      <c r="AN748" s="5" t="inlineStr"/>
      <c r="AO748" s="5" t="inlineStr"/>
      <c r="AP748" s="5" t="inlineStr">
        <is>
          <t>F-0746</t>
        </is>
      </c>
      <c r="AQ748" s="5" t="inlineStr"/>
      <c r="AR748" s="5" t="inlineStr"/>
      <c r="AS748" s="5" t="inlineStr"/>
      <c r="AT748" s="5" t="inlineStr"/>
      <c r="AU748" s="8" t="inlineStr">
        <is>
          <t>Not run</t>
        </is>
      </c>
    </row>
    <row r="749" ht="32" customHeight="1">
      <c r="A749" s="16" t="inlineStr">
        <is>
          <t>F-0748</t>
        </is>
      </c>
      <c r="B749" s="8" t="inlineStr">
        <is>
          <t>F</t>
        </is>
      </c>
      <c r="C749" s="5" t="inlineStr">
        <is>
          <t>Workshop Supervisor</t>
        </is>
      </c>
      <c r="D749" s="5" t="inlineStr">
        <is>
          <t>Workshop Job</t>
        </is>
      </c>
      <c r="E749" s="5" t="inlineStr">
        <is>
          <t>Open a job card for a customer complaint</t>
        </is>
      </c>
      <c r="F749" s="5" t="inlineStr">
        <is>
          <t>Service advisor</t>
        </is>
      </c>
      <c r="G749" s="5" t="inlineStr">
        <is>
          <t>Customer</t>
        </is>
      </c>
      <c r="H749" s="5" t="inlineStr">
        <is>
          <t>The workshop has a numbered job before any parts are issued</t>
        </is>
      </c>
      <c r="I749" s="5" t="inlineStr">
        <is>
          <t>JobCard starts DRAFT and stores the complaint text</t>
        </is>
      </c>
      <c r="J749" s="20" t="inlineStr">
        <is>
          <t>P1</t>
        </is>
      </c>
      <c r="K749" s="21" t="inlineStr">
        <is>
          <t>In product</t>
        </is>
      </c>
      <c r="L749" s="5" t="inlineStr">
        <is>
          <t>uniq_jobcard_number_per_company on JobCard.</t>
        </is>
      </c>
      <c r="M749" s="8" t="inlineStr">
        <is>
          <t>Added flows</t>
        </is>
      </c>
      <c r="N749" s="8" t="inlineStr">
        <is>
          <t>Named role</t>
        </is>
      </c>
      <c r="O749" s="8" t="inlineStr">
        <is>
          <t>P1</t>
        </is>
      </c>
      <c r="P749" s="5" t="inlineStr">
        <is>
          <t>Unchanged</t>
        </is>
      </c>
      <c r="Q749" s="21" t="inlineStr">
        <is>
          <t>Code symbol found</t>
        </is>
      </c>
      <c r="R749" s="5" t="inlineStr">
        <is>
          <t>Matched uniq_jobcard_number_per_company in product code. This is not a functional test.</t>
        </is>
      </c>
      <c r="S749" s="8" t="inlineStr">
        <is>
          <t>JOB</t>
        </is>
      </c>
      <c r="T749" s="5" t="inlineStr">
        <is>
          <t>Run a workshop job</t>
        </is>
      </c>
      <c r="U749" s="8" t="inlineStr">
        <is>
          <t>1</t>
        </is>
      </c>
      <c r="V749" s="8" t="inlineStr">
        <is>
          <t>workshop</t>
        </is>
      </c>
      <c r="W749" s="8" t="inlineStr">
        <is>
          <t>RUN</t>
        </is>
      </c>
      <c r="X749" s="5" t="inlineStr">
        <is>
          <t>Vertical extension</t>
        </is>
      </c>
      <c r="Y749" s="5" t="inlineStr">
        <is>
          <t>Service</t>
        </is>
      </c>
      <c r="Z749" s="5" t="inlineStr">
        <is>
          <t>Medium</t>
        </is>
      </c>
      <c r="AA749" s="5" t="inlineStr">
        <is>
          <t>Medium</t>
        </is>
      </c>
      <c r="AB749" s="8" t="inlineStr">
        <is>
          <t>Low</t>
        </is>
      </c>
      <c r="AC749" s="8" t="inlineStr">
        <is>
          <t>Later</t>
        </is>
      </c>
      <c r="AD749" s="5" t="inlineStr">
        <is>
          <t>Cited in code</t>
        </is>
      </c>
      <c r="AE749" s="5" t="inlineStr">
        <is>
          <t>Not verified</t>
        </is>
      </c>
      <c r="AF749" s="5" t="inlineStr">
        <is>
          <t>Not verified</t>
        </is>
      </c>
      <c r="AG749" s="5" t="inlineStr">
        <is>
          <t>Not verified</t>
        </is>
      </c>
      <c r="AH749" s="5" t="inlineStr">
        <is>
          <t>Not verified</t>
        </is>
      </c>
      <c r="AI749" s="8" t="inlineStr">
        <is>
          <t>No</t>
        </is>
      </c>
      <c r="AJ749" s="8" t="inlineStr">
        <is>
          <t>Built - unverified</t>
        </is>
      </c>
      <c r="AK749" s="8" t="inlineStr">
        <is>
          <t>P1</t>
        </is>
      </c>
      <c r="AL749" s="8" t="n">
        <v>4</v>
      </c>
      <c r="AM749" s="5" t="inlineStr"/>
      <c r="AN749" s="5" t="inlineStr"/>
      <c r="AO749" s="5" t="inlineStr"/>
      <c r="AP749" s="5" t="inlineStr"/>
      <c r="AQ749" s="5" t="inlineStr"/>
      <c r="AR749" s="5" t="inlineStr"/>
      <c r="AS749" s="5" t="inlineStr"/>
      <c r="AT749" s="5" t="inlineStr"/>
      <c r="AU749" s="8" t="inlineStr">
        <is>
          <t>Not run</t>
        </is>
      </c>
    </row>
    <row r="750" ht="32" customHeight="1">
      <c r="A750" s="16" t="inlineStr">
        <is>
          <t>F-0749</t>
        </is>
      </c>
      <c r="B750" s="8" t="inlineStr">
        <is>
          <t>F</t>
        </is>
      </c>
      <c r="C750" s="5" t="inlineStr">
        <is>
          <t>Workshop Supervisor</t>
        </is>
      </c>
      <c r="D750" s="5" t="inlineStr">
        <is>
          <t>Workshop Job</t>
        </is>
      </c>
      <c r="E750" s="5" t="inlineStr">
        <is>
          <t>Assign a technician and mark the job in progress</t>
        </is>
      </c>
      <c r="F750" s="5" t="inlineStr">
        <is>
          <t>Service advisor</t>
        </is>
      </c>
      <c r="G750" s="5" t="inlineStr">
        <is>
          <t>Technician</t>
        </is>
      </c>
      <c r="H750" s="5" t="inlineStr">
        <is>
          <t>Someone owns the job while it is open</t>
        </is>
      </c>
      <c r="I750" s="5" t="inlineStr">
        <is>
          <t>JobCard.technician points at a company user. Status can move to IN_PROGRESS</t>
        </is>
      </c>
      <c r="J750" s="20" t="inlineStr">
        <is>
          <t>P1</t>
        </is>
      </c>
      <c r="K750" s="21" t="inlineStr">
        <is>
          <t>In product</t>
        </is>
      </c>
      <c r="L750" s="5" t="inlineStr">
        <is>
          <t>JobCard.technician is a CompanyUser. Status can be IN_PROGRESS.</t>
        </is>
      </c>
      <c r="M750" s="8" t="inlineStr">
        <is>
          <t>Added flows</t>
        </is>
      </c>
      <c r="N750" s="8" t="inlineStr">
        <is>
          <t>Named role</t>
        </is>
      </c>
      <c r="O750" s="8" t="inlineStr">
        <is>
          <t>P1</t>
        </is>
      </c>
      <c r="P750" s="5" t="inlineStr">
        <is>
          <t>Unchanged</t>
        </is>
      </c>
      <c r="Q750" s="21" t="inlineStr">
        <is>
          <t>Code symbol found</t>
        </is>
      </c>
      <c r="R750" s="5" t="inlineStr">
        <is>
          <t>Matched CompanyUser in product code. This is not a functional test.</t>
        </is>
      </c>
      <c r="S750" s="8" t="inlineStr">
        <is>
          <t>JOB</t>
        </is>
      </c>
      <c r="T750" s="5" t="inlineStr">
        <is>
          <t>Run a workshop job</t>
        </is>
      </c>
      <c r="U750" s="8" t="inlineStr">
        <is>
          <t>2</t>
        </is>
      </c>
      <c r="V750" s="8" t="inlineStr">
        <is>
          <t>workshop</t>
        </is>
      </c>
      <c r="W750" s="8" t="inlineStr">
        <is>
          <t>RUN</t>
        </is>
      </c>
      <c r="X750" s="5" t="inlineStr">
        <is>
          <t>Vertical extension</t>
        </is>
      </c>
      <c r="Y750" s="5" t="inlineStr">
        <is>
          <t>Service</t>
        </is>
      </c>
      <c r="Z750" s="5" t="inlineStr">
        <is>
          <t>Medium</t>
        </is>
      </c>
      <c r="AA750" s="5" t="inlineStr">
        <is>
          <t>Medium</t>
        </is>
      </c>
      <c r="AB750" s="8" t="inlineStr">
        <is>
          <t>Low</t>
        </is>
      </c>
      <c r="AC750" s="8" t="inlineStr">
        <is>
          <t>Later</t>
        </is>
      </c>
      <c r="AD750" s="5" t="inlineStr">
        <is>
          <t>Cited in code</t>
        </is>
      </c>
      <c r="AE750" s="5" t="inlineStr">
        <is>
          <t>Not verified</t>
        </is>
      </c>
      <c r="AF750" s="5" t="inlineStr">
        <is>
          <t>Not verified</t>
        </is>
      </c>
      <c r="AG750" s="5" t="inlineStr">
        <is>
          <t>Not verified</t>
        </is>
      </c>
      <c r="AH750" s="5" t="inlineStr">
        <is>
          <t>Not verified</t>
        </is>
      </c>
      <c r="AI750" s="8" t="inlineStr">
        <is>
          <t>No</t>
        </is>
      </c>
      <c r="AJ750" s="8" t="inlineStr">
        <is>
          <t>Built - unverified</t>
        </is>
      </c>
      <c r="AK750" s="8" t="inlineStr">
        <is>
          <t>P1</t>
        </is>
      </c>
      <c r="AL750" s="8" t="n">
        <v>4</v>
      </c>
      <c r="AM750" s="5" t="inlineStr"/>
      <c r="AN750" s="5" t="inlineStr"/>
      <c r="AO750" s="5" t="inlineStr"/>
      <c r="AP750" s="5" t="inlineStr">
        <is>
          <t>F-0748</t>
        </is>
      </c>
      <c r="AQ750" s="5" t="inlineStr"/>
      <c r="AR750" s="5" t="inlineStr"/>
      <c r="AS750" s="5" t="inlineStr"/>
      <c r="AT750" s="5" t="inlineStr"/>
      <c r="AU750" s="8" t="inlineStr">
        <is>
          <t>Not run</t>
        </is>
      </c>
    </row>
    <row r="751" ht="32" customHeight="1">
      <c r="A751" s="16" t="inlineStr">
        <is>
          <t>F-0750</t>
        </is>
      </c>
      <c r="B751" s="8" t="inlineStr">
        <is>
          <t>F</t>
        </is>
      </c>
      <c r="C751" s="5" t="inlineStr">
        <is>
          <t>Workshop Supervisor</t>
        </is>
      </c>
      <c r="D751" s="5" t="inlineStr">
        <is>
          <t>Workshop Job</t>
        </is>
      </c>
      <c r="E751" s="5" t="inlineStr">
        <is>
          <t>Add part lines and labour lines, including a serial when the part is tracked</t>
        </is>
      </c>
      <c r="F751" s="5" t="inlineStr">
        <is>
          <t>Technician</t>
        </is>
      </c>
      <c r="G751" s="5" t="inlineStr">
        <is>
          <t>Stores</t>
        </is>
      </c>
      <c r="H751" s="5" t="inlineStr">
        <is>
          <t>The invoice can be built from the job instead of typed again</t>
        </is>
      </c>
      <c r="I751" s="5" t="inlineStr">
        <is>
          <t>JobCardLine kind is PART or LABOUR and can reference a serial</t>
        </is>
      </c>
      <c r="J751" s="20" t="inlineStr">
        <is>
          <t>P1</t>
        </is>
      </c>
      <c r="K751" s="21" t="inlineStr">
        <is>
          <t>In product</t>
        </is>
      </c>
      <c r="L751" s="5" t="inlineStr">
        <is>
          <t>JobCardLine. A job with no lines cannot be invoiced.</t>
        </is>
      </c>
      <c r="M751" s="8" t="inlineStr">
        <is>
          <t>Added flows</t>
        </is>
      </c>
      <c r="N751" s="8" t="inlineStr">
        <is>
          <t>Named role</t>
        </is>
      </c>
      <c r="O751" s="8" t="inlineStr">
        <is>
          <t>P1</t>
        </is>
      </c>
      <c r="P751" s="5" t="inlineStr">
        <is>
          <t>Unchanged</t>
        </is>
      </c>
      <c r="Q751" s="21" t="inlineStr">
        <is>
          <t>Code symbol found</t>
        </is>
      </c>
      <c r="R751" s="5" t="inlineStr">
        <is>
          <t>Matched JobCardLine in product code. This is not a functional test.</t>
        </is>
      </c>
      <c r="S751" s="8" t="inlineStr">
        <is>
          <t>JOB</t>
        </is>
      </c>
      <c r="T751" s="5" t="inlineStr">
        <is>
          <t>Run a workshop job</t>
        </is>
      </c>
      <c r="U751" s="8" t="inlineStr">
        <is>
          <t>3</t>
        </is>
      </c>
      <c r="V751" s="8" t="inlineStr">
        <is>
          <t>workshop</t>
        </is>
      </c>
      <c r="W751" s="8" t="inlineStr">
        <is>
          <t>RUN</t>
        </is>
      </c>
      <c r="X751" s="5" t="inlineStr">
        <is>
          <t>Vertical extension</t>
        </is>
      </c>
      <c r="Y751" s="5" t="inlineStr">
        <is>
          <t>Service</t>
        </is>
      </c>
      <c r="Z751" s="5" t="inlineStr">
        <is>
          <t>Medium</t>
        </is>
      </c>
      <c r="AA751" s="5" t="inlineStr">
        <is>
          <t>Medium</t>
        </is>
      </c>
      <c r="AB751" s="8" t="inlineStr">
        <is>
          <t>Low</t>
        </is>
      </c>
      <c r="AC751" s="8" t="inlineStr">
        <is>
          <t>Later</t>
        </is>
      </c>
      <c r="AD751" s="5" t="inlineStr">
        <is>
          <t>Cited in code</t>
        </is>
      </c>
      <c r="AE751" s="5" t="inlineStr">
        <is>
          <t>Not verified</t>
        </is>
      </c>
      <c r="AF751" s="5" t="inlineStr">
        <is>
          <t>Not verified</t>
        </is>
      </c>
      <c r="AG751" s="5" t="inlineStr">
        <is>
          <t>Not verified</t>
        </is>
      </c>
      <c r="AH751" s="5" t="inlineStr">
        <is>
          <t>Not verified</t>
        </is>
      </c>
      <c r="AI751" s="8" t="inlineStr">
        <is>
          <t>No</t>
        </is>
      </c>
      <c r="AJ751" s="8" t="inlineStr">
        <is>
          <t>Built - unverified</t>
        </is>
      </c>
      <c r="AK751" s="8" t="inlineStr">
        <is>
          <t>P1</t>
        </is>
      </c>
      <c r="AL751" s="8" t="n">
        <v>4</v>
      </c>
      <c r="AM751" s="5" t="inlineStr"/>
      <c r="AN751" s="5" t="inlineStr"/>
      <c r="AO751" s="5" t="inlineStr"/>
      <c r="AP751" s="5" t="inlineStr">
        <is>
          <t>F-0749</t>
        </is>
      </c>
      <c r="AQ751" s="5" t="inlineStr"/>
      <c r="AR751" s="5" t="inlineStr"/>
      <c r="AS751" s="5" t="inlineStr"/>
      <c r="AT751" s="5" t="inlineStr"/>
      <c r="AU751" s="8" t="inlineStr">
        <is>
          <t>Not run</t>
        </is>
      </c>
    </row>
    <row r="752" ht="32" customHeight="1">
      <c r="A752" s="16" t="inlineStr">
        <is>
          <t>F-0751</t>
        </is>
      </c>
      <c r="B752" s="8" t="inlineStr">
        <is>
          <t>F</t>
        </is>
      </c>
      <c r="C752" s="5" t="inlineStr">
        <is>
          <t>Workshop Supervisor</t>
        </is>
      </c>
      <c r="D752" s="5" t="inlineStr">
        <is>
          <t>Workshop Job</t>
        </is>
      </c>
      <c r="E752" s="5" t="inlineStr">
        <is>
          <t>Convert the job card into a sales invoice</t>
        </is>
      </c>
      <c r="F752" s="5" t="inlineStr">
        <is>
          <t>Service advisor</t>
        </is>
      </c>
      <c r="G752" s="5" t="inlineStr">
        <is>
          <t>Cashier</t>
        </is>
      </c>
      <c r="H752" s="5" t="inlineStr">
        <is>
          <t>Parts and labour become a GST invoice linked back to the job</t>
        </is>
      </c>
      <c r="I752" s="5" t="inlineStr">
        <is>
          <t>convert_to_invoice creates a draft SalesInvoice and sets the job to INVOICED</t>
        </is>
      </c>
      <c r="J752" s="20" t="inlineStr">
        <is>
          <t>P1</t>
        </is>
      </c>
      <c r="K752" s="21" t="inlineStr">
        <is>
          <t>In product</t>
        </is>
      </c>
      <c r="L752" s="5" t="inlineStr">
        <is>
          <t>convert_to_invoice in backend/workshop/services.py. A second call returns the same invoice.</t>
        </is>
      </c>
      <c r="M752" s="8" t="inlineStr">
        <is>
          <t>Added flows</t>
        </is>
      </c>
      <c r="N752" s="8" t="inlineStr">
        <is>
          <t>Named role</t>
        </is>
      </c>
      <c r="O752" s="8" t="inlineStr">
        <is>
          <t>P1</t>
        </is>
      </c>
      <c r="P752" s="5" t="inlineStr">
        <is>
          <t>Unchanged</t>
        </is>
      </c>
      <c r="Q752" s="21" t="inlineStr">
        <is>
          <t>Code symbol found</t>
        </is>
      </c>
      <c r="R752" s="5" t="inlineStr">
        <is>
          <t>Matched convert_to_invoice in product code. This is not a functional test.</t>
        </is>
      </c>
      <c r="S752" s="8" t="inlineStr">
        <is>
          <t>JOB</t>
        </is>
      </c>
      <c r="T752" s="5" t="inlineStr">
        <is>
          <t>Run a workshop job</t>
        </is>
      </c>
      <c r="U752" s="8" t="inlineStr">
        <is>
          <t>4</t>
        </is>
      </c>
      <c r="V752" s="8" t="inlineStr">
        <is>
          <t>workshop</t>
        </is>
      </c>
      <c r="W752" s="8" t="inlineStr">
        <is>
          <t>RUN</t>
        </is>
      </c>
      <c r="X752" s="5" t="inlineStr">
        <is>
          <t>Vertical extension</t>
        </is>
      </c>
      <c r="Y752" s="5" t="inlineStr">
        <is>
          <t>Service</t>
        </is>
      </c>
      <c r="Z752" s="5" t="inlineStr">
        <is>
          <t>Medium</t>
        </is>
      </c>
      <c r="AA752" s="5" t="inlineStr">
        <is>
          <t>Medium</t>
        </is>
      </c>
      <c r="AB752" s="8" t="inlineStr">
        <is>
          <t>Low</t>
        </is>
      </c>
      <c r="AC752" s="8" t="inlineStr">
        <is>
          <t>Later</t>
        </is>
      </c>
      <c r="AD752" s="5" t="inlineStr">
        <is>
          <t>Cited in code</t>
        </is>
      </c>
      <c r="AE752" s="5" t="inlineStr">
        <is>
          <t>Not verified</t>
        </is>
      </c>
      <c r="AF752" s="5" t="inlineStr">
        <is>
          <t>Not verified</t>
        </is>
      </c>
      <c r="AG752" s="5" t="inlineStr">
        <is>
          <t>Not verified</t>
        </is>
      </c>
      <c r="AH752" s="5" t="inlineStr">
        <is>
          <t>Not verified</t>
        </is>
      </c>
      <c r="AI752" s="8" t="inlineStr">
        <is>
          <t>No</t>
        </is>
      </c>
      <c r="AJ752" s="8" t="inlineStr">
        <is>
          <t>Built - unverified</t>
        </is>
      </c>
      <c r="AK752" s="8" t="inlineStr">
        <is>
          <t>P1</t>
        </is>
      </c>
      <c r="AL752" s="8" t="n">
        <v>4</v>
      </c>
      <c r="AM752" s="5" t="inlineStr"/>
      <c r="AN752" s="5" t="inlineStr"/>
      <c r="AO752" s="5" t="inlineStr"/>
      <c r="AP752" s="5" t="inlineStr">
        <is>
          <t>F-0750</t>
        </is>
      </c>
      <c r="AQ752" s="5" t="inlineStr"/>
      <c r="AR752" s="5" t="inlineStr"/>
      <c r="AS752" s="5" t="inlineStr"/>
      <c r="AT752" s="5" t="inlineStr"/>
      <c r="AU752" s="8" t="inlineStr">
        <is>
          <t>Not run</t>
        </is>
      </c>
    </row>
    <row r="753" ht="32" customHeight="1">
      <c r="A753" s="16" t="inlineStr">
        <is>
          <t>F-0752</t>
        </is>
      </c>
      <c r="B753" s="8" t="inlineStr">
        <is>
          <t>F</t>
        </is>
      </c>
      <c r="C753" s="5" t="inlineStr">
        <is>
          <t>Workshop Supervisor</t>
        </is>
      </c>
      <c r="D753" s="5" t="inlineStr">
        <is>
          <t>Workshop Job</t>
        </is>
      </c>
      <c r="E753" s="5" t="inlineStr">
        <is>
          <t>Cancel a job card that will not be billed</t>
        </is>
      </c>
      <c r="F753" s="5" t="inlineStr">
        <is>
          <t>Service advisor</t>
        </is>
      </c>
      <c r="G753" s="5" t="inlineStr">
        <is>
          <t>Customer</t>
        </is>
      </c>
      <c r="H753" s="5" t="inlineStr">
        <is>
          <t>Abandoned jobs stay out of the invoice list</t>
        </is>
      </c>
      <c r="I753" s="5" t="inlineStr">
        <is>
          <t>JobCard status CANCELLED. An invoiced job is not invoiced again</t>
        </is>
      </c>
      <c r="J753" s="22" t="inlineStr">
        <is>
          <t>P2</t>
        </is>
      </c>
      <c r="K753" s="21" t="inlineStr">
        <is>
          <t>In product</t>
        </is>
      </c>
      <c r="L753" s="5" t="inlineStr">
        <is>
          <t>JobCard.Status.CANCELLED. convert_to_invoice only accepts DRAFT or IN_PROGRESS.</t>
        </is>
      </c>
      <c r="M753" s="8" t="inlineStr">
        <is>
          <t>Added flows</t>
        </is>
      </c>
      <c r="N753" s="8" t="inlineStr">
        <is>
          <t>Named role</t>
        </is>
      </c>
      <c r="O753" s="8" t="inlineStr">
        <is>
          <t>P2</t>
        </is>
      </c>
      <c r="P753" s="5" t="inlineStr">
        <is>
          <t>Unchanged</t>
        </is>
      </c>
      <c r="Q753" s="21" t="inlineStr">
        <is>
          <t>Code symbol found</t>
        </is>
      </c>
      <c r="R753" s="5" t="inlineStr">
        <is>
          <t>Matched convert_to_invoice in product code. This is not a functional test.</t>
        </is>
      </c>
      <c r="S753" s="8" t="inlineStr">
        <is>
          <t>JOB</t>
        </is>
      </c>
      <c r="T753" s="5" t="inlineStr">
        <is>
          <t>Run a workshop job</t>
        </is>
      </c>
      <c r="U753" s="8" t="inlineStr">
        <is>
          <t>5</t>
        </is>
      </c>
      <c r="V753" s="8" t="inlineStr">
        <is>
          <t>workshop</t>
        </is>
      </c>
      <c r="W753" s="8" t="inlineStr">
        <is>
          <t>RUN</t>
        </is>
      </c>
      <c r="X753" s="5" t="inlineStr">
        <is>
          <t>Vertical extension</t>
        </is>
      </c>
      <c r="Y753" s="5" t="inlineStr">
        <is>
          <t>Service</t>
        </is>
      </c>
      <c r="Z753" s="5" t="inlineStr">
        <is>
          <t>Medium</t>
        </is>
      </c>
      <c r="AA753" s="5" t="inlineStr">
        <is>
          <t>Medium</t>
        </is>
      </c>
      <c r="AB753" s="8" t="inlineStr">
        <is>
          <t>Low</t>
        </is>
      </c>
      <c r="AC753" s="8" t="inlineStr">
        <is>
          <t>Later</t>
        </is>
      </c>
      <c r="AD753" s="5" t="inlineStr">
        <is>
          <t>Cited in code</t>
        </is>
      </c>
      <c r="AE753" s="5" t="inlineStr">
        <is>
          <t>Not verified</t>
        </is>
      </c>
      <c r="AF753" s="5" t="inlineStr">
        <is>
          <t>Not verified</t>
        </is>
      </c>
      <c r="AG753" s="5" t="inlineStr">
        <is>
          <t>Not verified</t>
        </is>
      </c>
      <c r="AH753" s="5" t="inlineStr">
        <is>
          <t>Not verified</t>
        </is>
      </c>
      <c r="AI753" s="8" t="inlineStr">
        <is>
          <t>No</t>
        </is>
      </c>
      <c r="AJ753" s="8" t="inlineStr">
        <is>
          <t>Built - unverified</t>
        </is>
      </c>
      <c r="AK753" s="8" t="inlineStr">
        <is>
          <t>P2</t>
        </is>
      </c>
      <c r="AL753" s="8" t="n">
        <v>4</v>
      </c>
      <c r="AM753" s="5" t="inlineStr"/>
      <c r="AN753" s="5" t="inlineStr"/>
      <c r="AO753" s="5" t="inlineStr"/>
      <c r="AP753" s="5" t="inlineStr">
        <is>
          <t>F-0751</t>
        </is>
      </c>
      <c r="AQ753" s="5" t="inlineStr"/>
      <c r="AR753" s="5" t="inlineStr"/>
      <c r="AS753" s="5" t="inlineStr"/>
      <c r="AT753" s="5" t="inlineStr"/>
      <c r="AU753" s="8" t="inlineStr">
        <is>
          <t>Not run</t>
        </is>
      </c>
    </row>
    <row r="754" ht="32" customHeight="1">
      <c r="A754" s="16" t="inlineStr">
        <is>
          <t>F-0753</t>
        </is>
      </c>
      <c r="B754" s="8" t="inlineStr">
        <is>
          <t>F</t>
        </is>
      </c>
      <c r="C754" s="5" t="inlineStr">
        <is>
          <t>Assembly / Production Supervisor</t>
        </is>
      </c>
      <c r="D754" s="5" t="inlineStr">
        <is>
          <t>Manufacturing</t>
        </is>
      </c>
      <c r="E754" s="5" t="inlineStr">
        <is>
          <t>Activate a bill of materials before a work order can be released</t>
        </is>
      </c>
      <c r="F754" s="5" t="inlineStr">
        <is>
          <t>Production supervisor</t>
        </is>
      </c>
      <c r="G754" s="5" t="inlineStr">
        <is>
          <t>Inventory manager</t>
        </is>
      </c>
      <c r="H754" s="5" t="inlineStr">
        <is>
          <t>Release is refused while the BOM is still a draft</t>
        </is>
      </c>
      <c r="I754" s="5" t="inlineStr">
        <is>
          <t>Bom.status must be ACTIVE. More than one ACTIVE BOM per finished good is allowed</t>
        </is>
      </c>
      <c r="J754" s="20" t="inlineStr">
        <is>
          <t>P1</t>
        </is>
      </c>
      <c r="K754" s="21" t="inlineStr">
        <is>
          <t>In product</t>
        </is>
      </c>
      <c r="L754" s="5" t="inlineStr">
        <is>
          <t>release_work_order checks Bom status. The work order stores the BOM it was created from.</t>
        </is>
      </c>
      <c r="M754" s="8" t="inlineStr">
        <is>
          <t>Added flows</t>
        </is>
      </c>
      <c r="N754" s="8" t="inlineStr">
        <is>
          <t>Operational role</t>
        </is>
      </c>
      <c r="O754" s="8" t="inlineStr">
        <is>
          <t>P1</t>
        </is>
      </c>
      <c r="P754" s="5" t="inlineStr">
        <is>
          <t>Unchanged</t>
        </is>
      </c>
      <c r="Q754" s="21" t="inlineStr">
        <is>
          <t>Code symbol found</t>
        </is>
      </c>
      <c r="R754" s="5" t="inlineStr">
        <is>
          <t>Matched release_work_order in product code. This is not a functional test.</t>
        </is>
      </c>
      <c r="S754" s="8" t="inlineStr">
        <is>
          <t>MFG</t>
        </is>
      </c>
      <c r="T754" s="5" t="inlineStr">
        <is>
          <t>Manufacture and assemble</t>
        </is>
      </c>
      <c r="U754" s="8" t="inlineStr">
        <is>
          <t>2</t>
        </is>
      </c>
      <c r="V754" s="8" t="inlineStr">
        <is>
          <t>manufacturing</t>
        </is>
      </c>
      <c r="W754" s="8" t="inlineStr">
        <is>
          <t>RUN</t>
        </is>
      </c>
      <c r="X754" s="5" t="inlineStr">
        <is>
          <t>Vertical extension</t>
        </is>
      </c>
      <c r="Y754" s="5" t="inlineStr">
        <is>
          <t>Production</t>
        </is>
      </c>
      <c r="Z754" s="5" t="inlineStr">
        <is>
          <t>Medium</t>
        </is>
      </c>
      <c r="AA754" s="5" t="inlineStr">
        <is>
          <t>Medium</t>
        </is>
      </c>
      <c r="AB754" s="8" t="inlineStr">
        <is>
          <t>Low</t>
        </is>
      </c>
      <c r="AC754" s="8" t="inlineStr">
        <is>
          <t>Later</t>
        </is>
      </c>
      <c r="AD754" s="5" t="inlineStr">
        <is>
          <t>Cited in code</t>
        </is>
      </c>
      <c r="AE754" s="5" t="inlineStr">
        <is>
          <t>Not verified</t>
        </is>
      </c>
      <c r="AF754" s="5" t="inlineStr">
        <is>
          <t>Not verified</t>
        </is>
      </c>
      <c r="AG754" s="5" t="inlineStr">
        <is>
          <t>Not verified</t>
        </is>
      </c>
      <c r="AH754" s="5" t="inlineStr">
        <is>
          <t>Not verified</t>
        </is>
      </c>
      <c r="AI754" s="8" t="inlineStr">
        <is>
          <t>No</t>
        </is>
      </c>
      <c r="AJ754" s="8" t="inlineStr">
        <is>
          <t>Built - unverified</t>
        </is>
      </c>
      <c r="AK754" s="8" t="inlineStr">
        <is>
          <t>P1</t>
        </is>
      </c>
      <c r="AL754" s="8" t="n">
        <v>4</v>
      </c>
      <c r="AM754" s="5" t="inlineStr"/>
      <c r="AN754" s="5" t="inlineStr"/>
      <c r="AO754" s="5" t="inlineStr"/>
      <c r="AP754" s="5" t="inlineStr">
        <is>
          <t>P-0509</t>
        </is>
      </c>
      <c r="AQ754" s="5" t="inlineStr"/>
      <c r="AR754" s="5" t="inlineStr"/>
      <c r="AS754" s="5" t="inlineStr"/>
      <c r="AT754" s="5" t="inlineStr"/>
      <c r="AU754" s="8" t="inlineStr">
        <is>
          <t>Not run</t>
        </is>
      </c>
    </row>
    <row r="755" ht="32" customHeight="1">
      <c r="A755" s="16" t="inlineStr">
        <is>
          <t>F-0754</t>
        </is>
      </c>
      <c r="B755" s="8" t="inlineStr">
        <is>
          <t>F</t>
        </is>
      </c>
      <c r="C755" s="5" t="inlineStr">
        <is>
          <t>Assembly / Production Supervisor</t>
        </is>
      </c>
      <c r="D755" s="5" t="inlineStr">
        <is>
          <t>Manufacturing</t>
        </is>
      </c>
      <c r="E755" s="5" t="inlineStr">
        <is>
          <t>Create a draft work order and snapshot the component quantities</t>
        </is>
      </c>
      <c r="F755" s="5" t="inlineStr">
        <is>
          <t>Production supervisor</t>
        </is>
      </c>
      <c r="G755" s="5" t="inlineStr">
        <is>
          <t>Stores</t>
        </is>
      </c>
      <c r="H755" s="5" t="inlineStr">
        <is>
          <t>A later BOM edit does not change a work order that already exists</t>
        </is>
      </c>
      <c r="I755" s="5" t="inlineStr">
        <is>
          <t>WorkOrder starts DRAFT. Component lines are copied when the order is created</t>
        </is>
      </c>
      <c r="J755" s="20" t="inlineStr">
        <is>
          <t>P1</t>
        </is>
      </c>
      <c r="K755" s="21" t="inlineStr">
        <is>
          <t>In product</t>
        </is>
      </c>
      <c r="L755" s="5" t="inlineStr">
        <is>
          <t>WorkOrder and WorkOrderLine. Snapshot is taken at creation, not at release.</t>
        </is>
      </c>
      <c r="M755" s="8" t="inlineStr">
        <is>
          <t>Added flows</t>
        </is>
      </c>
      <c r="N755" s="8" t="inlineStr">
        <is>
          <t>Operational role</t>
        </is>
      </c>
      <c r="O755" s="8" t="inlineStr">
        <is>
          <t>P1</t>
        </is>
      </c>
      <c r="P755" s="5" t="inlineStr">
        <is>
          <t>Unchanged</t>
        </is>
      </c>
      <c r="Q755" s="21" t="inlineStr">
        <is>
          <t>Code symbol found</t>
        </is>
      </c>
      <c r="R755" s="5" t="inlineStr">
        <is>
          <t>Matched WorkOrderLine in product code. This is not a functional test.</t>
        </is>
      </c>
      <c r="S755" s="8" t="inlineStr">
        <is>
          <t>MFG</t>
        </is>
      </c>
      <c r="T755" s="5" t="inlineStr">
        <is>
          <t>Manufacture and assemble</t>
        </is>
      </c>
      <c r="U755" s="8" t="inlineStr">
        <is>
          <t>3</t>
        </is>
      </c>
      <c r="V755" s="8" t="inlineStr">
        <is>
          <t>manufacturing</t>
        </is>
      </c>
      <c r="W755" s="8" t="inlineStr">
        <is>
          <t>RUN</t>
        </is>
      </c>
      <c r="X755" s="5" t="inlineStr">
        <is>
          <t>Vertical extension</t>
        </is>
      </c>
      <c r="Y755" s="5" t="inlineStr">
        <is>
          <t>Production</t>
        </is>
      </c>
      <c r="Z755" s="5" t="inlineStr">
        <is>
          <t>Medium</t>
        </is>
      </c>
      <c r="AA755" s="5" t="inlineStr">
        <is>
          <t>Medium</t>
        </is>
      </c>
      <c r="AB755" s="8" t="inlineStr">
        <is>
          <t>Low</t>
        </is>
      </c>
      <c r="AC755" s="8" t="inlineStr">
        <is>
          <t>Later</t>
        </is>
      </c>
      <c r="AD755" s="5" t="inlineStr">
        <is>
          <t>Cited in code</t>
        </is>
      </c>
      <c r="AE755" s="5" t="inlineStr">
        <is>
          <t>Not verified</t>
        </is>
      </c>
      <c r="AF755" s="5" t="inlineStr">
        <is>
          <t>Not verified</t>
        </is>
      </c>
      <c r="AG755" s="5" t="inlineStr">
        <is>
          <t>Not verified</t>
        </is>
      </c>
      <c r="AH755" s="5" t="inlineStr">
        <is>
          <t>Not verified</t>
        </is>
      </c>
      <c r="AI755" s="8" t="inlineStr">
        <is>
          <t>No</t>
        </is>
      </c>
      <c r="AJ755" s="8" t="inlineStr">
        <is>
          <t>Built - unverified</t>
        </is>
      </c>
      <c r="AK755" s="8" t="inlineStr">
        <is>
          <t>P1</t>
        </is>
      </c>
      <c r="AL755" s="8" t="n">
        <v>4</v>
      </c>
      <c r="AM755" s="5" t="inlineStr"/>
      <c r="AN755" s="5" t="inlineStr"/>
      <c r="AO755" s="5" t="inlineStr"/>
      <c r="AP755" s="5" t="inlineStr">
        <is>
          <t>F-0753</t>
        </is>
      </c>
      <c r="AQ755" s="5" t="inlineStr"/>
      <c r="AR755" s="5" t="inlineStr"/>
      <c r="AS755" s="5" t="inlineStr"/>
      <c r="AT755" s="5" t="inlineStr"/>
      <c r="AU755" s="8" t="inlineStr">
        <is>
          <t>Not run</t>
        </is>
      </c>
    </row>
    <row r="756" ht="32" customHeight="1">
      <c r="A756" s="16" t="inlineStr">
        <is>
          <t>F-0755</t>
        </is>
      </c>
      <c r="B756" s="8" t="inlineStr">
        <is>
          <t>F</t>
        </is>
      </c>
      <c r="C756" s="5" t="inlineStr">
        <is>
          <t>Assembly / Production Supervisor</t>
        </is>
      </c>
      <c r="D756" s="5" t="inlineStr">
        <is>
          <t>Manufacturing</t>
        </is>
      </c>
      <c r="E756" s="5" t="inlineStr">
        <is>
          <t>Complete the work order and receive the finished goods</t>
        </is>
      </c>
      <c r="F756" s="5" t="inlineStr">
        <is>
          <t>Production supervisor</t>
        </is>
      </c>
      <c r="G756" s="5" t="inlineStr">
        <is>
          <t>Stores</t>
        </is>
      </c>
      <c r="H756" s="5" t="inlineStr">
        <is>
          <t>Finished quantity, batch, and serials land in stock when the order is completed</t>
        </is>
      </c>
      <c r="I756" s="5" t="inlineStr">
        <is>
          <t>complete_work_order sets status COMPLETED. Batch and serial fields are stored on the work order when the product tracks them</t>
        </is>
      </c>
      <c r="J756" s="20" t="inlineStr">
        <is>
          <t>P1</t>
        </is>
      </c>
      <c r="K756" s="21" t="inlineStr">
        <is>
          <t>In product</t>
        </is>
      </c>
      <c r="L756" s="5" t="inlineStr">
        <is>
          <t>complete_work_order. BOM explosion is single-level. A component that is itself a sub-assembly is not exploded.</t>
        </is>
      </c>
      <c r="M756" s="8" t="inlineStr">
        <is>
          <t>Added flows</t>
        </is>
      </c>
      <c r="N756" s="8" t="inlineStr">
        <is>
          <t>Operational role</t>
        </is>
      </c>
      <c r="O756" s="8" t="inlineStr">
        <is>
          <t>P1</t>
        </is>
      </c>
      <c r="P756" s="5" t="inlineStr">
        <is>
          <t>Unchanged</t>
        </is>
      </c>
      <c r="Q756" s="21" t="inlineStr">
        <is>
          <t>Code symbol found</t>
        </is>
      </c>
      <c r="R756" s="5" t="inlineStr">
        <is>
          <t>Matched complete_work_order in product code. This is not a functional test.</t>
        </is>
      </c>
      <c r="S756" s="8" t="inlineStr">
        <is>
          <t>MFG</t>
        </is>
      </c>
      <c r="T756" s="5" t="inlineStr">
        <is>
          <t>Manufacture and assemble</t>
        </is>
      </c>
      <c r="U756" s="8" t="inlineStr">
        <is>
          <t>5</t>
        </is>
      </c>
      <c r="V756" s="8" t="inlineStr">
        <is>
          <t>manufacturing</t>
        </is>
      </c>
      <c r="W756" s="8" t="inlineStr">
        <is>
          <t>RUN</t>
        </is>
      </c>
      <c r="X756" s="5" t="inlineStr">
        <is>
          <t>Vertical extension</t>
        </is>
      </c>
      <c r="Y756" s="5" t="inlineStr">
        <is>
          <t>Production</t>
        </is>
      </c>
      <c r="Z756" s="5" t="inlineStr">
        <is>
          <t>Medium</t>
        </is>
      </c>
      <c r="AA756" s="5" t="inlineStr">
        <is>
          <t>Medium</t>
        </is>
      </c>
      <c r="AB756" s="8" t="inlineStr">
        <is>
          <t>Low</t>
        </is>
      </c>
      <c r="AC756" s="8" t="inlineStr">
        <is>
          <t>Later</t>
        </is>
      </c>
      <c r="AD756" s="5" t="inlineStr">
        <is>
          <t>Cited in code</t>
        </is>
      </c>
      <c r="AE756" s="5" t="inlineStr">
        <is>
          <t>Not verified</t>
        </is>
      </c>
      <c r="AF756" s="5" t="inlineStr">
        <is>
          <t>Not verified</t>
        </is>
      </c>
      <c r="AG756" s="5" t="inlineStr">
        <is>
          <t>Not verified</t>
        </is>
      </c>
      <c r="AH756" s="5" t="inlineStr">
        <is>
          <t>Not verified</t>
        </is>
      </c>
      <c r="AI756" s="8" t="inlineStr">
        <is>
          <t>No</t>
        </is>
      </c>
      <c r="AJ756" s="8" t="inlineStr">
        <is>
          <t>Built - unverified</t>
        </is>
      </c>
      <c r="AK756" s="8" t="inlineStr">
        <is>
          <t>P1</t>
        </is>
      </c>
      <c r="AL756" s="8" t="n">
        <v>4</v>
      </c>
      <c r="AM756" s="5" t="inlineStr"/>
      <c r="AN756" s="5" t="inlineStr"/>
      <c r="AO756" s="5" t="inlineStr"/>
      <c r="AP756" s="5" t="inlineStr">
        <is>
          <t>P-0510</t>
        </is>
      </c>
      <c r="AQ756" s="5" t="inlineStr"/>
      <c r="AR756" s="5" t="inlineStr"/>
      <c r="AS756" s="5" t="inlineStr"/>
      <c r="AT756" s="5" t="inlineStr"/>
      <c r="AU756" s="8" t="inlineStr">
        <is>
          <t>Not run</t>
        </is>
      </c>
    </row>
    <row r="757" ht="32" customHeight="1">
      <c r="A757" s="16" t="inlineStr">
        <is>
          <t>F-0756</t>
        </is>
      </c>
      <c r="B757" s="8" t="inlineStr">
        <is>
          <t>F</t>
        </is>
      </c>
      <c r="C757" s="5" t="inlineStr">
        <is>
          <t>Assembly / Production Supervisor</t>
        </is>
      </c>
      <c r="D757" s="5" t="inlineStr">
        <is>
          <t>Manufacturing</t>
        </is>
      </c>
      <c r="E757" s="5" t="inlineStr">
        <is>
          <t>Cancel a work order that will not be built</t>
        </is>
      </c>
      <c r="F757" s="5" t="inlineStr">
        <is>
          <t>Production supervisor</t>
        </is>
      </c>
      <c r="G757" s="5" t="inlineStr">
        <is>
          <t>Stores</t>
        </is>
      </c>
      <c r="H757" s="5" t="inlineStr">
        <is>
          <t>A draft or released order can be stopped without leaving it open</t>
        </is>
      </c>
      <c r="I757" s="5" t="inlineStr">
        <is>
          <t>Work order status becomes CANCELLED</t>
        </is>
      </c>
      <c r="J757" s="22" t="inlineStr">
        <is>
          <t>P2</t>
        </is>
      </c>
      <c r="K757" s="21" t="inlineStr">
        <is>
          <t>In product</t>
        </is>
      </c>
      <c r="L757" s="5" t="inlineStr">
        <is>
          <t>WorkOrder.Status.CANCELLED in backend/manufacturing/services.py.</t>
        </is>
      </c>
      <c r="M757" s="8" t="inlineStr">
        <is>
          <t>Added flows</t>
        </is>
      </c>
      <c r="N757" s="8" t="inlineStr">
        <is>
          <t>Operational role</t>
        </is>
      </c>
      <c r="O757" s="8" t="inlineStr">
        <is>
          <t>P2</t>
        </is>
      </c>
      <c r="P757" s="5" t="inlineStr">
        <is>
          <t>Unchanged</t>
        </is>
      </c>
      <c r="Q757" s="21" t="inlineStr">
        <is>
          <t>Code symbol found</t>
        </is>
      </c>
      <c r="R757" s="5" t="inlineStr">
        <is>
          <t>Matched WorkOrder in product code. This is not a functional test.</t>
        </is>
      </c>
      <c r="S757" s="8" t="inlineStr">
        <is>
          <t>MFG</t>
        </is>
      </c>
      <c r="T757" s="5" t="inlineStr">
        <is>
          <t>Manufacture and assemble</t>
        </is>
      </c>
      <c r="U757" s="8" t="inlineStr">
        <is>
          <t>7</t>
        </is>
      </c>
      <c r="V757" s="8" t="inlineStr">
        <is>
          <t>manufacturing</t>
        </is>
      </c>
      <c r="W757" s="8" t="inlineStr">
        <is>
          <t>RUN</t>
        </is>
      </c>
      <c r="X757" s="5" t="inlineStr">
        <is>
          <t>Vertical extension</t>
        </is>
      </c>
      <c r="Y757" s="5" t="inlineStr">
        <is>
          <t>Production</t>
        </is>
      </c>
      <c r="Z757" s="5" t="inlineStr">
        <is>
          <t>Medium</t>
        </is>
      </c>
      <c r="AA757" s="5" t="inlineStr">
        <is>
          <t>Medium</t>
        </is>
      </c>
      <c r="AB757" s="8" t="inlineStr">
        <is>
          <t>Low</t>
        </is>
      </c>
      <c r="AC757" s="8" t="inlineStr">
        <is>
          <t>Later</t>
        </is>
      </c>
      <c r="AD757" s="5" t="inlineStr">
        <is>
          <t>Cited in code</t>
        </is>
      </c>
      <c r="AE757" s="5" t="inlineStr">
        <is>
          <t>Not verified</t>
        </is>
      </c>
      <c r="AF757" s="5" t="inlineStr">
        <is>
          <t>Not verified</t>
        </is>
      </c>
      <c r="AG757" s="5" t="inlineStr">
        <is>
          <t>Not verified</t>
        </is>
      </c>
      <c r="AH757" s="5" t="inlineStr">
        <is>
          <t>Not verified</t>
        </is>
      </c>
      <c r="AI757" s="8" t="inlineStr">
        <is>
          <t>No</t>
        </is>
      </c>
      <c r="AJ757" s="8" t="inlineStr">
        <is>
          <t>Built - unverified</t>
        </is>
      </c>
      <c r="AK757" s="8" t="inlineStr">
        <is>
          <t>P2</t>
        </is>
      </c>
      <c r="AL757" s="8" t="n">
        <v>4</v>
      </c>
      <c r="AM757" s="5" t="inlineStr"/>
      <c r="AN757" s="5" t="inlineStr"/>
      <c r="AO757" s="5" t="inlineStr"/>
      <c r="AP757" s="5" t="inlineStr">
        <is>
          <t>P-0512</t>
        </is>
      </c>
      <c r="AQ757" s="5" t="inlineStr"/>
      <c r="AR757" s="5" t="inlineStr"/>
      <c r="AS757" s="5" t="inlineStr"/>
      <c r="AT757" s="5" t="inlineStr"/>
      <c r="AU757" s="8" t="inlineStr">
        <is>
          <t>Not run</t>
        </is>
      </c>
    </row>
    <row r="758" ht="32" customHeight="1">
      <c r="A758" s="16" t="inlineStr">
        <is>
          <t>F-0757</t>
        </is>
      </c>
      <c r="B758" s="8" t="inlineStr">
        <is>
          <t>F</t>
        </is>
      </c>
      <c r="C758" s="5" t="inlineStr">
        <is>
          <t>Business Owner</t>
        </is>
      </c>
      <c r="D758" s="5" t="inlineStr">
        <is>
          <t>Project Billing</t>
        </is>
      </c>
      <c r="E758" s="5" t="inlineStr">
        <is>
          <t>Open a project for a customer</t>
        </is>
      </c>
      <c r="F758" s="5" t="inlineStr">
        <is>
          <t>Project owner</t>
        </is>
      </c>
      <c r="G758" s="5" t="inlineStr">
        <is>
          <t>Customer</t>
        </is>
      </c>
      <c r="H758" s="5" t="inlineStr">
        <is>
          <t>Milestone bills have a project to hang on</t>
        </is>
      </c>
      <c r="I758" s="5" t="inlineStr">
        <is>
          <t>Project starts OPEN and has a number unique per company</t>
        </is>
      </c>
      <c r="J758" s="20" t="inlineStr">
        <is>
          <t>P1</t>
        </is>
      </c>
      <c r="K758" s="21" t="inlineStr">
        <is>
          <t>In product</t>
        </is>
      </c>
      <c r="L758" s="5" t="inlineStr">
        <is>
          <t>uniq_project_number_per_company on Project.</t>
        </is>
      </c>
      <c r="M758" s="8" t="inlineStr">
        <is>
          <t>Added flows</t>
        </is>
      </c>
      <c r="N758" s="8" t="inlineStr">
        <is>
          <t>Operational role</t>
        </is>
      </c>
      <c r="O758" s="8" t="inlineStr">
        <is>
          <t>P1</t>
        </is>
      </c>
      <c r="P758" s="5" t="inlineStr">
        <is>
          <t>Unchanged</t>
        </is>
      </c>
      <c r="Q758" s="21" t="inlineStr">
        <is>
          <t>Code symbol found</t>
        </is>
      </c>
      <c r="R758" s="5" t="inlineStr">
        <is>
          <t>Matched uniq_project_number_per_company in product code. This is not a functional test.</t>
        </is>
      </c>
      <c r="S758" s="8" t="inlineStr">
        <is>
          <t>PRJ</t>
        </is>
      </c>
      <c r="T758" s="5" t="inlineStr">
        <is>
          <t>Bill a project by milestone</t>
        </is>
      </c>
      <c r="U758" s="8" t="inlineStr">
        <is>
          <t>1</t>
        </is>
      </c>
      <c r="V758" s="8" t="inlineStr">
        <is>
          <t>projects</t>
        </is>
      </c>
      <c r="W758" s="8" t="inlineStr">
        <is>
          <t>RUN</t>
        </is>
      </c>
      <c r="X758" s="5" t="inlineStr">
        <is>
          <t>Vertical extension</t>
        </is>
      </c>
      <c r="Y758" s="5" t="inlineStr">
        <is>
          <t>Owner</t>
        </is>
      </c>
      <c r="Z758" s="5" t="inlineStr">
        <is>
          <t>Medium</t>
        </is>
      </c>
      <c r="AA758" s="5" t="inlineStr">
        <is>
          <t>Medium</t>
        </is>
      </c>
      <c r="AB758" s="8" t="inlineStr">
        <is>
          <t>Low</t>
        </is>
      </c>
      <c r="AC758" s="8" t="inlineStr">
        <is>
          <t>Later</t>
        </is>
      </c>
      <c r="AD758" s="5" t="inlineStr">
        <is>
          <t>Cited in code</t>
        </is>
      </c>
      <c r="AE758" s="5" t="inlineStr">
        <is>
          <t>Not verified</t>
        </is>
      </c>
      <c r="AF758" s="5" t="inlineStr">
        <is>
          <t>Not verified</t>
        </is>
      </c>
      <c r="AG758" s="5" t="inlineStr">
        <is>
          <t>Not verified</t>
        </is>
      </c>
      <c r="AH758" s="5" t="inlineStr">
        <is>
          <t>Not verified</t>
        </is>
      </c>
      <c r="AI758" s="8" t="inlineStr">
        <is>
          <t>No</t>
        </is>
      </c>
      <c r="AJ758" s="8" t="inlineStr">
        <is>
          <t>Built - unverified</t>
        </is>
      </c>
      <c r="AK758" s="8" t="inlineStr">
        <is>
          <t>P1</t>
        </is>
      </c>
      <c r="AL758" s="8" t="n">
        <v>4</v>
      </c>
      <c r="AM758" s="5" t="inlineStr"/>
      <c r="AN758" s="5" t="inlineStr"/>
      <c r="AO758" s="5" t="inlineStr"/>
      <c r="AP758" s="5" t="inlineStr"/>
      <c r="AQ758" s="5" t="inlineStr"/>
      <c r="AR758" s="5" t="inlineStr"/>
      <c r="AS758" s="5" t="inlineStr"/>
      <c r="AT758" s="5" t="inlineStr"/>
      <c r="AU758" s="8" t="inlineStr">
        <is>
          <t>Not run</t>
        </is>
      </c>
    </row>
    <row r="759" ht="32" customHeight="1">
      <c r="A759" s="16" t="inlineStr">
        <is>
          <t>F-0758</t>
        </is>
      </c>
      <c r="B759" s="8" t="inlineStr">
        <is>
          <t>F</t>
        </is>
      </c>
      <c r="C759" s="5" t="inlineStr">
        <is>
          <t>Business Owner</t>
        </is>
      </c>
      <c r="D759" s="5" t="inlineStr">
        <is>
          <t>Project Billing</t>
        </is>
      </c>
      <c r="E759" s="5" t="inlineStr">
        <is>
          <t>Add a milestone with a sequence, amount, and service product</t>
        </is>
      </c>
      <c r="F759" s="5" t="inlineStr">
        <is>
          <t>Project owner</t>
        </is>
      </c>
      <c r="G759" s="5" t="inlineStr">
        <is>
          <t>Accountant</t>
        </is>
      </c>
      <c r="H759" s="5" t="inlineStr">
        <is>
          <t>Each billable stage has an amount before any invoice is raised</t>
        </is>
      </c>
      <c r="I759" s="5" t="inlineStr">
        <is>
          <t>ProjectMilestone starts PLANNED</t>
        </is>
      </c>
      <c r="J759" s="20" t="inlineStr">
        <is>
          <t>P1</t>
        </is>
      </c>
      <c r="K759" s="21" t="inlineStr">
        <is>
          <t>In product</t>
        </is>
      </c>
      <c r="L759" s="5" t="inlineStr">
        <is>
          <t>ProjectMilestone.service_product is required.</t>
        </is>
      </c>
      <c r="M759" s="8" t="inlineStr">
        <is>
          <t>Added flows</t>
        </is>
      </c>
      <c r="N759" s="8" t="inlineStr">
        <is>
          <t>Operational role</t>
        </is>
      </c>
      <c r="O759" s="8" t="inlineStr">
        <is>
          <t>P1</t>
        </is>
      </c>
      <c r="P759" s="5" t="inlineStr">
        <is>
          <t>Unchanged</t>
        </is>
      </c>
      <c r="Q759" s="21" t="inlineStr">
        <is>
          <t>Code symbol found</t>
        </is>
      </c>
      <c r="R759" s="5" t="inlineStr">
        <is>
          <t>Matched ProjectMilestone in product code. This is not a functional test.</t>
        </is>
      </c>
      <c r="S759" s="8" t="inlineStr">
        <is>
          <t>PRJ</t>
        </is>
      </c>
      <c r="T759" s="5" t="inlineStr">
        <is>
          <t>Bill a project by milestone</t>
        </is>
      </c>
      <c r="U759" s="8" t="inlineStr">
        <is>
          <t>2</t>
        </is>
      </c>
      <c r="V759" s="8" t="inlineStr">
        <is>
          <t>projects</t>
        </is>
      </c>
      <c r="W759" s="8" t="inlineStr">
        <is>
          <t>RUN</t>
        </is>
      </c>
      <c r="X759" s="5" t="inlineStr">
        <is>
          <t>Vertical extension</t>
        </is>
      </c>
      <c r="Y759" s="5" t="inlineStr">
        <is>
          <t>Owner</t>
        </is>
      </c>
      <c r="Z759" s="5" t="inlineStr">
        <is>
          <t>Medium</t>
        </is>
      </c>
      <c r="AA759" s="5" t="inlineStr">
        <is>
          <t>Medium</t>
        </is>
      </c>
      <c r="AB759" s="8" t="inlineStr">
        <is>
          <t>Low</t>
        </is>
      </c>
      <c r="AC759" s="8" t="inlineStr">
        <is>
          <t>Later</t>
        </is>
      </c>
      <c r="AD759" s="5" t="inlineStr">
        <is>
          <t>Cited in code</t>
        </is>
      </c>
      <c r="AE759" s="5" t="inlineStr">
        <is>
          <t>Not verified</t>
        </is>
      </c>
      <c r="AF759" s="5" t="inlineStr">
        <is>
          <t>Not verified</t>
        </is>
      </c>
      <c r="AG759" s="5" t="inlineStr">
        <is>
          <t>Not verified</t>
        </is>
      </c>
      <c r="AH759" s="5" t="inlineStr">
        <is>
          <t>Not verified</t>
        </is>
      </c>
      <c r="AI759" s="8" t="inlineStr">
        <is>
          <t>No</t>
        </is>
      </c>
      <c r="AJ759" s="8" t="inlineStr">
        <is>
          <t>Built - unverified</t>
        </is>
      </c>
      <c r="AK759" s="8" t="inlineStr">
        <is>
          <t>P1</t>
        </is>
      </c>
      <c r="AL759" s="8" t="n">
        <v>4</v>
      </c>
      <c r="AM759" s="5" t="inlineStr"/>
      <c r="AN759" s="5" t="inlineStr"/>
      <c r="AO759" s="5" t="inlineStr"/>
      <c r="AP759" s="5" t="inlineStr">
        <is>
          <t>F-0757</t>
        </is>
      </c>
      <c r="AQ759" s="5" t="inlineStr"/>
      <c r="AR759" s="5" t="inlineStr"/>
      <c r="AS759" s="5" t="inlineStr"/>
      <c r="AT759" s="5" t="inlineStr"/>
      <c r="AU759" s="8" t="inlineStr">
        <is>
          <t>Not run</t>
        </is>
      </c>
    </row>
    <row r="760" ht="32" customHeight="1">
      <c r="A760" s="16" t="inlineStr">
        <is>
          <t>F-0759</t>
        </is>
      </c>
      <c r="B760" s="8" t="inlineStr">
        <is>
          <t>F</t>
        </is>
      </c>
      <c r="C760" s="5" t="inlineStr">
        <is>
          <t>Business Owner</t>
        </is>
      </c>
      <c r="D760" s="5" t="inlineStr">
        <is>
          <t>Project Billing</t>
        </is>
      </c>
      <c r="E760" s="5" t="inlineStr">
        <is>
          <t>Mark a milestone ready to invoice</t>
        </is>
      </c>
      <c r="F760" s="5" t="inlineStr">
        <is>
          <t>Project owner</t>
        </is>
      </c>
      <c r="G760" s="5" t="inlineStr">
        <is>
          <t>Accountant</t>
        </is>
      </c>
      <c r="H760" s="5" t="inlineStr">
        <is>
          <t>Invoicing is refused until the milestone is ready</t>
        </is>
      </c>
      <c r="I760" s="5" t="inlineStr">
        <is>
          <t>Status moves from PLANNED to READY</t>
        </is>
      </c>
      <c r="J760" s="20" t="inlineStr">
        <is>
          <t>P1</t>
        </is>
      </c>
      <c r="K760" s="21" t="inlineStr">
        <is>
          <t>In product</t>
        </is>
      </c>
      <c r="L760" s="5" t="inlineStr">
        <is>
          <t>invoice_milestone requires ProjectMilestone.Status.READY.</t>
        </is>
      </c>
      <c r="M760" s="8" t="inlineStr">
        <is>
          <t>Added flows</t>
        </is>
      </c>
      <c r="N760" s="8" t="inlineStr">
        <is>
          <t>Operational role</t>
        </is>
      </c>
      <c r="O760" s="8" t="inlineStr">
        <is>
          <t>P1</t>
        </is>
      </c>
      <c r="P760" s="5" t="inlineStr">
        <is>
          <t>Unchanged</t>
        </is>
      </c>
      <c r="Q760" s="21" t="inlineStr">
        <is>
          <t>Code symbol found</t>
        </is>
      </c>
      <c r="R760" s="5" t="inlineStr">
        <is>
          <t>Matched invoice_milestone in product code. This is not a functional test.</t>
        </is>
      </c>
      <c r="S760" s="8" t="inlineStr">
        <is>
          <t>PRJ</t>
        </is>
      </c>
      <c r="T760" s="5" t="inlineStr">
        <is>
          <t>Bill a project by milestone</t>
        </is>
      </c>
      <c r="U760" s="8" t="inlineStr">
        <is>
          <t>3</t>
        </is>
      </c>
      <c r="V760" s="8" t="inlineStr">
        <is>
          <t>projects</t>
        </is>
      </c>
      <c r="W760" s="8" t="inlineStr">
        <is>
          <t>RUN</t>
        </is>
      </c>
      <c r="X760" s="5" t="inlineStr">
        <is>
          <t>Vertical extension</t>
        </is>
      </c>
      <c r="Y760" s="5" t="inlineStr">
        <is>
          <t>Owner</t>
        </is>
      </c>
      <c r="Z760" s="5" t="inlineStr">
        <is>
          <t>Medium</t>
        </is>
      </c>
      <c r="AA760" s="5" t="inlineStr">
        <is>
          <t>Medium</t>
        </is>
      </c>
      <c r="AB760" s="8" t="inlineStr">
        <is>
          <t>Low</t>
        </is>
      </c>
      <c r="AC760" s="8" t="inlineStr">
        <is>
          <t>Later</t>
        </is>
      </c>
      <c r="AD760" s="5" t="inlineStr">
        <is>
          <t>Cited in code</t>
        </is>
      </c>
      <c r="AE760" s="5" t="inlineStr">
        <is>
          <t>Not verified</t>
        </is>
      </c>
      <c r="AF760" s="5" t="inlineStr">
        <is>
          <t>Not verified</t>
        </is>
      </c>
      <c r="AG760" s="5" t="inlineStr">
        <is>
          <t>Not verified</t>
        </is>
      </c>
      <c r="AH760" s="5" t="inlineStr">
        <is>
          <t>Not verified</t>
        </is>
      </c>
      <c r="AI760" s="8" t="inlineStr">
        <is>
          <t>No</t>
        </is>
      </c>
      <c r="AJ760" s="8" t="inlineStr">
        <is>
          <t>Built - unverified</t>
        </is>
      </c>
      <c r="AK760" s="8" t="inlineStr">
        <is>
          <t>P1</t>
        </is>
      </c>
      <c r="AL760" s="8" t="n">
        <v>4</v>
      </c>
      <c r="AM760" s="5" t="inlineStr"/>
      <c r="AN760" s="5" t="inlineStr"/>
      <c r="AO760" s="5" t="inlineStr"/>
      <c r="AP760" s="5" t="inlineStr">
        <is>
          <t>F-0758</t>
        </is>
      </c>
      <c r="AQ760" s="5" t="inlineStr"/>
      <c r="AR760" s="5" t="inlineStr"/>
      <c r="AS760" s="5" t="inlineStr"/>
      <c r="AT760" s="5" t="inlineStr"/>
      <c r="AU760" s="8" t="inlineStr">
        <is>
          <t>Not run</t>
        </is>
      </c>
    </row>
    <row r="761" ht="32" customHeight="1">
      <c r="A761" s="16" t="inlineStr">
        <is>
          <t>F-0760</t>
        </is>
      </c>
      <c r="B761" s="8" t="inlineStr">
        <is>
          <t>F</t>
        </is>
      </c>
      <c r="C761" s="5" t="inlineStr">
        <is>
          <t>Business Owner</t>
        </is>
      </c>
      <c r="D761" s="5" t="inlineStr">
        <is>
          <t>Project Billing</t>
        </is>
      </c>
      <c r="E761" s="5" t="inlineStr">
        <is>
          <t>Invoice a ready milestone</t>
        </is>
      </c>
      <c r="F761" s="5" t="inlineStr">
        <is>
          <t>Accountant</t>
        </is>
      </c>
      <c r="G761" s="5" t="inlineStr">
        <is>
          <t>Customer</t>
        </is>
      </c>
      <c r="H761" s="5" t="inlineStr">
        <is>
          <t>The stage amount becomes a sales invoice linked to the milestone</t>
        </is>
      </c>
      <c r="I761" s="5" t="inlineStr">
        <is>
          <t>invoice_milestone creates the invoice and sets the milestone to INVOICED. A closed project cannot be invoiced</t>
        </is>
      </c>
      <c r="J761" s="20" t="inlineStr">
        <is>
          <t>P1</t>
        </is>
      </c>
      <c r="K761" s="21" t="inlineStr">
        <is>
          <t>In product</t>
        </is>
      </c>
      <c r="L761" s="5" t="inlineStr">
        <is>
          <t>invoice_milestone in backend/projects/services.py.</t>
        </is>
      </c>
      <c r="M761" s="8" t="inlineStr">
        <is>
          <t>Added flows</t>
        </is>
      </c>
      <c r="N761" s="8" t="inlineStr">
        <is>
          <t>Operational role</t>
        </is>
      </c>
      <c r="O761" s="8" t="inlineStr">
        <is>
          <t>P1</t>
        </is>
      </c>
      <c r="P761" s="5" t="inlineStr">
        <is>
          <t>Unchanged</t>
        </is>
      </c>
      <c r="Q761" s="21" t="inlineStr">
        <is>
          <t>Code symbol found</t>
        </is>
      </c>
      <c r="R761" s="5" t="inlineStr">
        <is>
          <t>Matched invoice_milestone in product code. This is not a functional test.</t>
        </is>
      </c>
      <c r="S761" s="8" t="inlineStr">
        <is>
          <t>PRJ</t>
        </is>
      </c>
      <c r="T761" s="5" t="inlineStr">
        <is>
          <t>Bill a project by milestone</t>
        </is>
      </c>
      <c r="U761" s="8" t="inlineStr">
        <is>
          <t>4</t>
        </is>
      </c>
      <c r="V761" s="8" t="inlineStr">
        <is>
          <t>projects</t>
        </is>
      </c>
      <c r="W761" s="8" t="inlineStr">
        <is>
          <t>RUN</t>
        </is>
      </c>
      <c r="X761" s="5" t="inlineStr">
        <is>
          <t>Vertical extension</t>
        </is>
      </c>
      <c r="Y761" s="5" t="inlineStr">
        <is>
          <t>Owner</t>
        </is>
      </c>
      <c r="Z761" s="5" t="inlineStr">
        <is>
          <t>Medium</t>
        </is>
      </c>
      <c r="AA761" s="5" t="inlineStr">
        <is>
          <t>Medium</t>
        </is>
      </c>
      <c r="AB761" s="8" t="inlineStr">
        <is>
          <t>Low</t>
        </is>
      </c>
      <c r="AC761" s="8" t="inlineStr">
        <is>
          <t>Later</t>
        </is>
      </c>
      <c r="AD761" s="5" t="inlineStr">
        <is>
          <t>Cited in code</t>
        </is>
      </c>
      <c r="AE761" s="5" t="inlineStr">
        <is>
          <t>Not verified</t>
        </is>
      </c>
      <c r="AF761" s="5" t="inlineStr">
        <is>
          <t>Not verified</t>
        </is>
      </c>
      <c r="AG761" s="5" t="inlineStr">
        <is>
          <t>Not verified</t>
        </is>
      </c>
      <c r="AH761" s="5" t="inlineStr">
        <is>
          <t>Not verified</t>
        </is>
      </c>
      <c r="AI761" s="8" t="inlineStr">
        <is>
          <t>No</t>
        </is>
      </c>
      <c r="AJ761" s="8" t="inlineStr">
        <is>
          <t>Built - unverified</t>
        </is>
      </c>
      <c r="AK761" s="8" t="inlineStr">
        <is>
          <t>P1</t>
        </is>
      </c>
      <c r="AL761" s="8" t="n">
        <v>4</v>
      </c>
      <c r="AM761" s="5" t="inlineStr"/>
      <c r="AN761" s="5" t="inlineStr"/>
      <c r="AO761" s="5" t="inlineStr"/>
      <c r="AP761" s="5" t="inlineStr">
        <is>
          <t>F-0759</t>
        </is>
      </c>
      <c r="AQ761" s="5" t="inlineStr"/>
      <c r="AR761" s="5" t="inlineStr"/>
      <c r="AS761" s="5" t="inlineStr"/>
      <c r="AT761" s="5" t="inlineStr"/>
      <c r="AU761" s="8" t="inlineStr">
        <is>
          <t>Not run</t>
        </is>
      </c>
    </row>
    <row r="762" ht="32" customHeight="1">
      <c r="A762" s="16" t="inlineStr">
        <is>
          <t>F-0761</t>
        </is>
      </c>
      <c r="B762" s="8" t="inlineStr">
        <is>
          <t>F</t>
        </is>
      </c>
      <c r="C762" s="5" t="inlineStr">
        <is>
          <t>Business Owner</t>
        </is>
      </c>
      <c r="D762" s="5" t="inlineStr">
        <is>
          <t>Project Billing</t>
        </is>
      </c>
      <c r="E762" s="5" t="inlineStr">
        <is>
          <t>Close a project when no further milestones will be billed</t>
        </is>
      </c>
      <c r="F762" s="5" t="inlineStr">
        <is>
          <t>Project owner</t>
        </is>
      </c>
      <c r="G762" s="5" t="inlineStr">
        <is>
          <t>Accountant</t>
        </is>
      </c>
      <c r="H762" s="5" t="inlineStr">
        <is>
          <t>Closed work stops accepting new milestone invoices</t>
        </is>
      </c>
      <c r="I762" s="5" t="inlineStr">
        <is>
          <t>Project status CLOSED</t>
        </is>
      </c>
      <c r="J762" s="22" t="inlineStr">
        <is>
          <t>P2</t>
        </is>
      </c>
      <c r="K762" s="21" t="inlineStr">
        <is>
          <t>In product</t>
        </is>
      </c>
      <c r="L762" s="5" t="inlineStr">
        <is>
          <t>Project.Status.CLOSED blocks invoice_milestone.</t>
        </is>
      </c>
      <c r="M762" s="8" t="inlineStr">
        <is>
          <t>Added flows</t>
        </is>
      </c>
      <c r="N762" s="8" t="inlineStr">
        <is>
          <t>Operational role</t>
        </is>
      </c>
      <c r="O762" s="8" t="inlineStr">
        <is>
          <t>P2</t>
        </is>
      </c>
      <c r="P762" s="5" t="inlineStr">
        <is>
          <t>Unchanged</t>
        </is>
      </c>
      <c r="Q762" s="21" t="inlineStr">
        <is>
          <t>Code symbol found</t>
        </is>
      </c>
      <c r="R762" s="5" t="inlineStr">
        <is>
          <t>Matched invoice_milestone in product code. This is not a functional test.</t>
        </is>
      </c>
      <c r="S762" s="8" t="inlineStr">
        <is>
          <t>PRJ</t>
        </is>
      </c>
      <c r="T762" s="5" t="inlineStr">
        <is>
          <t>Bill a project by milestone</t>
        </is>
      </c>
      <c r="U762" s="8" t="inlineStr">
        <is>
          <t>5</t>
        </is>
      </c>
      <c r="V762" s="8" t="inlineStr">
        <is>
          <t>projects</t>
        </is>
      </c>
      <c r="W762" s="8" t="inlineStr">
        <is>
          <t>RUN</t>
        </is>
      </c>
      <c r="X762" s="5" t="inlineStr">
        <is>
          <t>Vertical extension</t>
        </is>
      </c>
      <c r="Y762" s="5" t="inlineStr">
        <is>
          <t>Owner</t>
        </is>
      </c>
      <c r="Z762" s="5" t="inlineStr">
        <is>
          <t>Medium</t>
        </is>
      </c>
      <c r="AA762" s="5" t="inlineStr">
        <is>
          <t>Medium</t>
        </is>
      </c>
      <c r="AB762" s="8" t="inlineStr">
        <is>
          <t>Low</t>
        </is>
      </c>
      <c r="AC762" s="8" t="inlineStr">
        <is>
          <t>Later</t>
        </is>
      </c>
      <c r="AD762" s="5" t="inlineStr">
        <is>
          <t>Cited in code</t>
        </is>
      </c>
      <c r="AE762" s="5" t="inlineStr">
        <is>
          <t>Not verified</t>
        </is>
      </c>
      <c r="AF762" s="5" t="inlineStr">
        <is>
          <t>Not verified</t>
        </is>
      </c>
      <c r="AG762" s="5" t="inlineStr">
        <is>
          <t>Not verified</t>
        </is>
      </c>
      <c r="AH762" s="5" t="inlineStr">
        <is>
          <t>Not verified</t>
        </is>
      </c>
      <c r="AI762" s="8" t="inlineStr">
        <is>
          <t>No</t>
        </is>
      </c>
      <c r="AJ762" s="8" t="inlineStr">
        <is>
          <t>Built - unverified</t>
        </is>
      </c>
      <c r="AK762" s="8" t="inlineStr">
        <is>
          <t>P2</t>
        </is>
      </c>
      <c r="AL762" s="8" t="n">
        <v>4</v>
      </c>
      <c r="AM762" s="5" t="inlineStr"/>
      <c r="AN762" s="5" t="inlineStr"/>
      <c r="AO762" s="5" t="inlineStr"/>
      <c r="AP762" s="5" t="inlineStr">
        <is>
          <t>F-0760</t>
        </is>
      </c>
      <c r="AQ762" s="5" t="inlineStr"/>
      <c r="AR762" s="5" t="inlineStr"/>
      <c r="AS762" s="5" t="inlineStr"/>
      <c r="AT762" s="5" t="inlineStr"/>
      <c r="AU762" s="8" t="inlineStr">
        <is>
          <t>Not run</t>
        </is>
      </c>
    </row>
    <row r="763" ht="32" customHeight="1">
      <c r="A763" s="16" t="inlineStr">
        <is>
          <t>F-0762</t>
        </is>
      </c>
      <c r="B763" s="8" t="inlineStr">
        <is>
          <t>F</t>
        </is>
      </c>
      <c r="C763" s="5" t="inlineStr">
        <is>
          <t>Salesperson</t>
        </is>
      </c>
      <c r="D763" s="5" t="inlineStr">
        <is>
          <t>Insurance Distribution</t>
        </is>
      </c>
      <c r="E763" s="5" t="inlineStr">
        <is>
          <t>Register an insurer product with tenure, sum insured, and premium</t>
        </is>
      </c>
      <c r="F763" s="5" t="inlineStr">
        <is>
          <t>Insurance advisor</t>
        </is>
      </c>
      <c r="G763" s="5" t="inlineStr">
        <is>
          <t>Insurer</t>
        </is>
      </c>
      <c r="H763" s="5" t="inlineStr">
        <is>
          <t>Quotes use a product master instead of a stock SKU</t>
        </is>
      </c>
      <c r="I763" s="5" t="inlineStr">
        <is>
          <t>PolicyProduct line is motor, health, life, or other</t>
        </is>
      </c>
      <c r="J763" s="20" t="inlineStr">
        <is>
          <t>P1</t>
        </is>
      </c>
      <c r="K763" s="21" t="inlineStr">
        <is>
          <t>In product</t>
        </is>
      </c>
      <c r="L763" s="5" t="inlineStr">
        <is>
          <t>PolicyProduct in backend/insurance/models.py. It is not an inventory item.</t>
        </is>
      </c>
      <c r="M763" s="8" t="inlineStr">
        <is>
          <t>Added flows</t>
        </is>
      </c>
      <c r="N763" s="8" t="inlineStr">
        <is>
          <t>Operational role</t>
        </is>
      </c>
      <c r="O763" s="8" t="inlineStr">
        <is>
          <t>P1</t>
        </is>
      </c>
      <c r="P763" s="5" t="inlineStr">
        <is>
          <t>Unchanged</t>
        </is>
      </c>
      <c r="Q763" s="21" t="inlineStr">
        <is>
          <t>Code symbol found</t>
        </is>
      </c>
      <c r="R763" s="5" t="inlineStr">
        <is>
          <t>Matched PolicyProduct in product code. This is not a functional test.</t>
        </is>
      </c>
      <c r="S763" s="8" t="inlineStr">
        <is>
          <t>INS</t>
        </is>
      </c>
      <c r="T763" s="5" t="inlineStr">
        <is>
          <t>Place and service a policy</t>
        </is>
      </c>
      <c r="U763" s="8" t="inlineStr">
        <is>
          <t>1</t>
        </is>
      </c>
      <c r="V763" s="8" t="inlineStr">
        <is>
          <t>insurance</t>
        </is>
      </c>
      <c r="W763" s="8" t="inlineStr">
        <is>
          <t>GROW</t>
        </is>
      </c>
      <c r="X763" s="5" t="inlineStr">
        <is>
          <t>Vertical extension</t>
        </is>
      </c>
      <c r="Y763" s="5" t="inlineStr">
        <is>
          <t>Sales</t>
        </is>
      </c>
      <c r="Z763" s="5" t="inlineStr">
        <is>
          <t>Medium</t>
        </is>
      </c>
      <c r="AA763" s="5" t="inlineStr">
        <is>
          <t>Medium</t>
        </is>
      </c>
      <c r="AB763" s="8" t="inlineStr">
        <is>
          <t>Low</t>
        </is>
      </c>
      <c r="AC763" s="8" t="inlineStr">
        <is>
          <t>Later</t>
        </is>
      </c>
      <c r="AD763" s="5" t="inlineStr">
        <is>
          <t>Cited in code</t>
        </is>
      </c>
      <c r="AE763" s="5" t="inlineStr">
        <is>
          <t>Not verified</t>
        </is>
      </c>
      <c r="AF763" s="5" t="inlineStr">
        <is>
          <t>Not verified</t>
        </is>
      </c>
      <c r="AG763" s="5" t="inlineStr">
        <is>
          <t>Not verified</t>
        </is>
      </c>
      <c r="AH763" s="5" t="inlineStr">
        <is>
          <t>Not verified</t>
        </is>
      </c>
      <c r="AI763" s="8" t="inlineStr">
        <is>
          <t>No</t>
        </is>
      </c>
      <c r="AJ763" s="8" t="inlineStr">
        <is>
          <t>Built - unverified</t>
        </is>
      </c>
      <c r="AK763" s="8" t="inlineStr">
        <is>
          <t>P1</t>
        </is>
      </c>
      <c r="AL763" s="8" t="n">
        <v>4</v>
      </c>
      <c r="AM763" s="5" t="inlineStr"/>
      <c r="AN763" s="5" t="inlineStr"/>
      <c r="AO763" s="5" t="inlineStr"/>
      <c r="AP763" s="5" t="inlineStr"/>
      <c r="AQ763" s="5" t="inlineStr"/>
      <c r="AR763" s="5" t="inlineStr"/>
      <c r="AS763" s="5" t="inlineStr"/>
      <c r="AT763" s="5" t="inlineStr"/>
      <c r="AU763" s="8" t="inlineStr">
        <is>
          <t>Not run</t>
        </is>
      </c>
    </row>
    <row r="764" ht="32" customHeight="1">
      <c r="A764" s="16" t="inlineStr">
        <is>
          <t>F-0763</t>
        </is>
      </c>
      <c r="B764" s="8" t="inlineStr">
        <is>
          <t>F</t>
        </is>
      </c>
      <c r="C764" s="5" t="inlineStr">
        <is>
          <t>Salesperson</t>
        </is>
      </c>
      <c r="D764" s="5" t="inlineStr">
        <is>
          <t>Insurance Distribution</t>
        </is>
      </c>
      <c r="E764" s="5" t="inlineStr">
        <is>
          <t>Offer a set of policy options on a lead and mark the chosen one</t>
        </is>
      </c>
      <c r="F764" s="5" t="inlineStr">
        <is>
          <t>Insurance advisor</t>
        </is>
      </c>
      <c r="G764" s="5" t="inlineStr">
        <is>
          <t>Customer</t>
        </is>
      </c>
      <c r="H764" s="5" t="inlineStr">
        <is>
          <t>The customer choice is stored before a policy number exists</t>
        </is>
      </c>
      <c r="I764" s="5" t="inlineStr">
        <is>
          <t>PolicyOptionSet hangs on a lead. PolicyOption.chosen marks the selection</t>
        </is>
      </c>
      <c r="J764" s="20" t="inlineStr">
        <is>
          <t>P1</t>
        </is>
      </c>
      <c r="K764" s="21" t="inlineStr">
        <is>
          <t>In product</t>
        </is>
      </c>
      <c r="L764" s="5" t="inlineStr">
        <is>
          <t>PolicyOptionSet and PolicyOption.</t>
        </is>
      </c>
      <c r="M764" s="8" t="inlineStr">
        <is>
          <t>Added flows</t>
        </is>
      </c>
      <c r="N764" s="8" t="inlineStr">
        <is>
          <t>Operational role</t>
        </is>
      </c>
      <c r="O764" s="8" t="inlineStr">
        <is>
          <t>P1</t>
        </is>
      </c>
      <c r="P764" s="5" t="inlineStr">
        <is>
          <t>Unchanged</t>
        </is>
      </c>
      <c r="Q764" s="21" t="inlineStr">
        <is>
          <t>Code symbol found</t>
        </is>
      </c>
      <c r="R764" s="5" t="inlineStr">
        <is>
          <t>Matched PolicyOptionSet in product code. This is not a functional test.</t>
        </is>
      </c>
      <c r="S764" s="8" t="inlineStr">
        <is>
          <t>INS</t>
        </is>
      </c>
      <c r="T764" s="5" t="inlineStr">
        <is>
          <t>Place and service a policy</t>
        </is>
      </c>
      <c r="U764" s="8" t="inlineStr">
        <is>
          <t>2</t>
        </is>
      </c>
      <c r="V764" s="8" t="inlineStr">
        <is>
          <t>insurance</t>
        </is>
      </c>
      <c r="W764" s="8" t="inlineStr">
        <is>
          <t>GROW</t>
        </is>
      </c>
      <c r="X764" s="5" t="inlineStr">
        <is>
          <t>Vertical extension</t>
        </is>
      </c>
      <c r="Y764" s="5" t="inlineStr">
        <is>
          <t>Sales</t>
        </is>
      </c>
      <c r="Z764" s="5" t="inlineStr">
        <is>
          <t>Medium</t>
        </is>
      </c>
      <c r="AA764" s="5" t="inlineStr">
        <is>
          <t>Medium</t>
        </is>
      </c>
      <c r="AB764" s="8" t="inlineStr">
        <is>
          <t>Low</t>
        </is>
      </c>
      <c r="AC764" s="8" t="inlineStr">
        <is>
          <t>Later</t>
        </is>
      </c>
      <c r="AD764" s="5" t="inlineStr">
        <is>
          <t>Cited in code</t>
        </is>
      </c>
      <c r="AE764" s="5" t="inlineStr">
        <is>
          <t>Not verified</t>
        </is>
      </c>
      <c r="AF764" s="5" t="inlineStr">
        <is>
          <t>Not verified</t>
        </is>
      </c>
      <c r="AG764" s="5" t="inlineStr">
        <is>
          <t>Not verified</t>
        </is>
      </c>
      <c r="AH764" s="5" t="inlineStr">
        <is>
          <t>Not verified</t>
        </is>
      </c>
      <c r="AI764" s="8" t="inlineStr">
        <is>
          <t>No</t>
        </is>
      </c>
      <c r="AJ764" s="8" t="inlineStr">
        <is>
          <t>Built - unverified</t>
        </is>
      </c>
      <c r="AK764" s="8" t="inlineStr">
        <is>
          <t>P1</t>
        </is>
      </c>
      <c r="AL764" s="8" t="n">
        <v>4</v>
      </c>
      <c r="AM764" s="5" t="inlineStr"/>
      <c r="AN764" s="5" t="inlineStr"/>
      <c r="AO764" s="5" t="inlineStr"/>
      <c r="AP764" s="5" t="inlineStr">
        <is>
          <t>F-0762</t>
        </is>
      </c>
      <c r="AQ764" s="5" t="inlineStr"/>
      <c r="AR764" s="5" t="inlineStr"/>
      <c r="AS764" s="5" t="inlineStr"/>
      <c r="AT764" s="5" t="inlineStr"/>
      <c r="AU764" s="8" t="inlineStr">
        <is>
          <t>Not run</t>
        </is>
      </c>
    </row>
    <row r="765" ht="32" customHeight="1">
      <c r="A765" s="16" t="inlineStr">
        <is>
          <t>F-0764</t>
        </is>
      </c>
      <c r="B765" s="8" t="inlineStr">
        <is>
          <t>F</t>
        </is>
      </c>
      <c r="C765" s="5" t="inlineStr">
        <is>
          <t>Salesperson</t>
        </is>
      </c>
      <c r="D765" s="5" t="inlineStr">
        <is>
          <t>Insurance Distribution</t>
        </is>
      </c>
      <c r="E765" s="5" t="inlineStr">
        <is>
          <t>Issue a policy with a start date, end date, nominee, and premium</t>
        </is>
      </c>
      <c r="F765" s="5" t="inlineStr">
        <is>
          <t>Insurance advisor</t>
        </is>
      </c>
      <c r="G765" s="5" t="inlineStr">
        <is>
          <t>Customer</t>
        </is>
      </c>
      <c r="H765" s="5" t="inlineStr">
        <is>
          <t>The in-force policy is the record the renewal and claim flows use</t>
        </is>
      </c>
      <c r="I765" s="5" t="inlineStr">
        <is>
          <t>Policy status starts IN_FORCE and the number is unique per company</t>
        </is>
      </c>
      <c r="J765" s="20" t="inlineStr">
        <is>
          <t>P1</t>
        </is>
      </c>
      <c r="K765" s="21" t="inlineStr">
        <is>
          <t>In product</t>
        </is>
      </c>
      <c r="L765" s="5" t="inlineStr">
        <is>
          <t>uniq_policy_number_per_company on Policy.</t>
        </is>
      </c>
      <c r="M765" s="8" t="inlineStr">
        <is>
          <t>Added flows</t>
        </is>
      </c>
      <c r="N765" s="8" t="inlineStr">
        <is>
          <t>Operational role</t>
        </is>
      </c>
      <c r="O765" s="8" t="inlineStr">
        <is>
          <t>P1</t>
        </is>
      </c>
      <c r="P765" s="5" t="inlineStr">
        <is>
          <t>Unchanged</t>
        </is>
      </c>
      <c r="Q765" s="21" t="inlineStr">
        <is>
          <t>Code symbol found</t>
        </is>
      </c>
      <c r="R765" s="5" t="inlineStr">
        <is>
          <t>Matched uniq_policy_number_per_company in product code. This is not a functional test.</t>
        </is>
      </c>
      <c r="S765" s="8" t="inlineStr">
        <is>
          <t>INS</t>
        </is>
      </c>
      <c r="T765" s="5" t="inlineStr">
        <is>
          <t>Place and service a policy</t>
        </is>
      </c>
      <c r="U765" s="8" t="inlineStr">
        <is>
          <t>3</t>
        </is>
      </c>
      <c r="V765" s="8" t="inlineStr">
        <is>
          <t>insurance</t>
        </is>
      </c>
      <c r="W765" s="8" t="inlineStr">
        <is>
          <t>GROW</t>
        </is>
      </c>
      <c r="X765" s="5" t="inlineStr">
        <is>
          <t>Vertical extension</t>
        </is>
      </c>
      <c r="Y765" s="5" t="inlineStr">
        <is>
          <t>Sales</t>
        </is>
      </c>
      <c r="Z765" s="5" t="inlineStr">
        <is>
          <t>Medium</t>
        </is>
      </c>
      <c r="AA765" s="5" t="inlineStr">
        <is>
          <t>Medium</t>
        </is>
      </c>
      <c r="AB765" s="8" t="inlineStr">
        <is>
          <t>Low</t>
        </is>
      </c>
      <c r="AC765" s="8" t="inlineStr">
        <is>
          <t>Later</t>
        </is>
      </c>
      <c r="AD765" s="5" t="inlineStr">
        <is>
          <t>Cited in code</t>
        </is>
      </c>
      <c r="AE765" s="5" t="inlineStr">
        <is>
          <t>Not verified</t>
        </is>
      </c>
      <c r="AF765" s="5" t="inlineStr">
        <is>
          <t>Not verified</t>
        </is>
      </c>
      <c r="AG765" s="5" t="inlineStr">
        <is>
          <t>Not verified</t>
        </is>
      </c>
      <c r="AH765" s="5" t="inlineStr">
        <is>
          <t>Not verified</t>
        </is>
      </c>
      <c r="AI765" s="8" t="inlineStr">
        <is>
          <t>No</t>
        </is>
      </c>
      <c r="AJ765" s="8" t="inlineStr">
        <is>
          <t>Built - unverified</t>
        </is>
      </c>
      <c r="AK765" s="8" t="inlineStr">
        <is>
          <t>P1</t>
        </is>
      </c>
      <c r="AL765" s="8" t="n">
        <v>4</v>
      </c>
      <c r="AM765" s="5" t="inlineStr"/>
      <c r="AN765" s="5" t="inlineStr"/>
      <c r="AO765" s="5" t="inlineStr"/>
      <c r="AP765" s="5" t="inlineStr">
        <is>
          <t>F-0763</t>
        </is>
      </c>
      <c r="AQ765" s="5" t="inlineStr"/>
      <c r="AR765" s="5" t="inlineStr"/>
      <c r="AS765" s="5" t="inlineStr"/>
      <c r="AT765" s="5" t="inlineStr"/>
      <c r="AU765" s="8" t="inlineStr">
        <is>
          <t>Not run</t>
        </is>
      </c>
    </row>
    <row r="766" ht="32" customHeight="1">
      <c r="A766" s="16" t="inlineStr">
        <is>
          <t>F-0765</t>
        </is>
      </c>
      <c r="B766" s="8" t="inlineStr">
        <is>
          <t>F</t>
        </is>
      </c>
      <c r="C766" s="5" t="inlineStr">
        <is>
          <t>Salesperson</t>
        </is>
      </c>
      <c r="D766" s="5" t="inlineStr">
        <is>
          <t>Insurance Distribution</t>
        </is>
      </c>
      <c r="E766" s="5" t="inlineStr">
        <is>
          <t>Endorse or cancel a policy</t>
        </is>
      </c>
      <c r="F766" s="5" t="inlineStr">
        <is>
          <t>Insurance advisor</t>
        </is>
      </c>
      <c r="G766" s="5" t="inlineStr">
        <is>
          <t>Insurer</t>
        </is>
      </c>
      <c r="H766" s="5" t="inlineStr">
        <is>
          <t>A change after issue is a separate endorsement, not a silent edit</t>
        </is>
      </c>
      <c r="I766" s="5" t="inlineStr">
        <is>
          <t>PolicyEndorsement kind is ENDORSE or CANCEL</t>
        </is>
      </c>
      <c r="J766" s="20" t="inlineStr">
        <is>
          <t>P1</t>
        </is>
      </c>
      <c r="K766" s="21" t="inlineStr">
        <is>
          <t>In product</t>
        </is>
      </c>
      <c r="L766" s="5" t="inlineStr">
        <is>
          <t>PolicyEndorsement.</t>
        </is>
      </c>
      <c r="M766" s="8" t="inlineStr">
        <is>
          <t>Added flows</t>
        </is>
      </c>
      <c r="N766" s="8" t="inlineStr">
        <is>
          <t>Operational role</t>
        </is>
      </c>
      <c r="O766" s="8" t="inlineStr">
        <is>
          <t>P1</t>
        </is>
      </c>
      <c r="P766" s="5" t="inlineStr">
        <is>
          <t>Unchanged</t>
        </is>
      </c>
      <c r="Q766" s="21" t="inlineStr">
        <is>
          <t>Code symbol found</t>
        </is>
      </c>
      <c r="R766" s="5" t="inlineStr">
        <is>
          <t>Matched PolicyEndorsement in product code. This is not a functional test.</t>
        </is>
      </c>
      <c r="S766" s="8" t="inlineStr">
        <is>
          <t>INS</t>
        </is>
      </c>
      <c r="T766" s="5" t="inlineStr">
        <is>
          <t>Place and service a policy</t>
        </is>
      </c>
      <c r="U766" s="8" t="inlineStr">
        <is>
          <t>4</t>
        </is>
      </c>
      <c r="V766" s="8" t="inlineStr">
        <is>
          <t>insurance</t>
        </is>
      </c>
      <c r="W766" s="8" t="inlineStr">
        <is>
          <t>GROW</t>
        </is>
      </c>
      <c r="X766" s="5" t="inlineStr">
        <is>
          <t>Vertical extension</t>
        </is>
      </c>
      <c r="Y766" s="5" t="inlineStr">
        <is>
          <t>Sales</t>
        </is>
      </c>
      <c r="Z766" s="5" t="inlineStr">
        <is>
          <t>Medium</t>
        </is>
      </c>
      <c r="AA766" s="5" t="inlineStr">
        <is>
          <t>Medium</t>
        </is>
      </c>
      <c r="AB766" s="8" t="inlineStr">
        <is>
          <t>Low</t>
        </is>
      </c>
      <c r="AC766" s="8" t="inlineStr">
        <is>
          <t>Later</t>
        </is>
      </c>
      <c r="AD766" s="5" t="inlineStr">
        <is>
          <t>Cited in code</t>
        </is>
      </c>
      <c r="AE766" s="5" t="inlineStr">
        <is>
          <t>Not verified</t>
        </is>
      </c>
      <c r="AF766" s="5" t="inlineStr">
        <is>
          <t>Not verified</t>
        </is>
      </c>
      <c r="AG766" s="5" t="inlineStr">
        <is>
          <t>Not verified</t>
        </is>
      </c>
      <c r="AH766" s="5" t="inlineStr">
        <is>
          <t>Not verified</t>
        </is>
      </c>
      <c r="AI766" s="8" t="inlineStr">
        <is>
          <t>No</t>
        </is>
      </c>
      <c r="AJ766" s="8" t="inlineStr">
        <is>
          <t>Built - unverified</t>
        </is>
      </c>
      <c r="AK766" s="8" t="inlineStr">
        <is>
          <t>P1</t>
        </is>
      </c>
      <c r="AL766" s="8" t="n">
        <v>4</v>
      </c>
      <c r="AM766" s="5" t="inlineStr"/>
      <c r="AN766" s="5" t="inlineStr"/>
      <c r="AO766" s="5" t="inlineStr"/>
      <c r="AP766" s="5" t="inlineStr">
        <is>
          <t>F-0764</t>
        </is>
      </c>
      <c r="AQ766" s="5" t="inlineStr"/>
      <c r="AR766" s="5" t="inlineStr"/>
      <c r="AS766" s="5" t="inlineStr"/>
      <c r="AT766" s="5" t="inlineStr"/>
      <c r="AU766" s="8" t="inlineStr">
        <is>
          <t>Not run</t>
        </is>
      </c>
    </row>
    <row r="767" ht="32" customHeight="1">
      <c r="A767" s="16" t="inlineStr">
        <is>
          <t>F-0766</t>
        </is>
      </c>
      <c r="B767" s="8" t="inlineStr">
        <is>
          <t>F</t>
        </is>
      </c>
      <c r="C767" s="5" t="inlineStr">
        <is>
          <t>Accountant / GST Operator</t>
        </is>
      </c>
      <c r="D767" s="5" t="inlineStr">
        <is>
          <t>Insurance Distribution</t>
        </is>
      </c>
      <c r="E767" s="5" t="inlineStr">
        <is>
          <t>Book the insurer commission receivable separately from the customer premium</t>
        </is>
      </c>
      <c r="F767" s="5" t="inlineStr">
        <is>
          <t>Accountant</t>
        </is>
      </c>
      <c r="G767" s="5" t="inlineStr">
        <is>
          <t>Insurance advisor</t>
        </is>
      </c>
      <c r="H767" s="5" t="inlineStr">
        <is>
          <t>Commission is not mixed into the customer's premium receipt</t>
        </is>
      </c>
      <c r="I767" s="5" t="inlineStr">
        <is>
          <t>CommissionReceivable starts OPEN against the policy</t>
        </is>
      </c>
      <c r="J767" s="20" t="inlineStr">
        <is>
          <t>P1</t>
        </is>
      </c>
      <c r="K767" s="21" t="inlineStr">
        <is>
          <t>In product</t>
        </is>
      </c>
      <c r="L767" s="5" t="inlineStr">
        <is>
          <t>CommissionReceivable. Status can move to RECEIVED.</t>
        </is>
      </c>
      <c r="M767" s="8" t="inlineStr">
        <is>
          <t>Added flows</t>
        </is>
      </c>
      <c r="N767" s="8" t="inlineStr">
        <is>
          <t>Operational role</t>
        </is>
      </c>
      <c r="O767" s="8" t="inlineStr">
        <is>
          <t>P1</t>
        </is>
      </c>
      <c r="P767" s="5" t="inlineStr">
        <is>
          <t>Unchanged</t>
        </is>
      </c>
      <c r="Q767" s="21" t="inlineStr">
        <is>
          <t>Code symbol found</t>
        </is>
      </c>
      <c r="R767" s="5" t="inlineStr">
        <is>
          <t>Matched CommissionReceivable in product code. This is not a functional test.</t>
        </is>
      </c>
      <c r="S767" s="8" t="inlineStr">
        <is>
          <t>INS</t>
        </is>
      </c>
      <c r="T767" s="5" t="inlineStr">
        <is>
          <t>Place and service a policy</t>
        </is>
      </c>
      <c r="U767" s="8" t="inlineStr">
        <is>
          <t>5</t>
        </is>
      </c>
      <c r="V767" s="8" t="inlineStr">
        <is>
          <t>insurance</t>
        </is>
      </c>
      <c r="W767" s="8" t="inlineStr">
        <is>
          <t>GROW</t>
        </is>
      </c>
      <c r="X767" s="5" t="inlineStr">
        <is>
          <t>Vertical extension</t>
        </is>
      </c>
      <c r="Y767" s="5" t="inlineStr">
        <is>
          <t>Accountant</t>
        </is>
      </c>
      <c r="Z767" s="5" t="inlineStr">
        <is>
          <t>Medium</t>
        </is>
      </c>
      <c r="AA767" s="5" t="inlineStr">
        <is>
          <t>Medium</t>
        </is>
      </c>
      <c r="AB767" s="8" t="inlineStr">
        <is>
          <t>Low</t>
        </is>
      </c>
      <c r="AC767" s="8" t="inlineStr">
        <is>
          <t>Later</t>
        </is>
      </c>
      <c r="AD767" s="5" t="inlineStr">
        <is>
          <t>Cited in code</t>
        </is>
      </c>
      <c r="AE767" s="5" t="inlineStr">
        <is>
          <t>Not verified</t>
        </is>
      </c>
      <c r="AF767" s="5" t="inlineStr">
        <is>
          <t>Not verified</t>
        </is>
      </c>
      <c r="AG767" s="5" t="inlineStr">
        <is>
          <t>Not verified</t>
        </is>
      </c>
      <c r="AH767" s="5" t="inlineStr">
        <is>
          <t>Not verified</t>
        </is>
      </c>
      <c r="AI767" s="8" t="inlineStr">
        <is>
          <t>No</t>
        </is>
      </c>
      <c r="AJ767" s="8" t="inlineStr">
        <is>
          <t>Built - unverified</t>
        </is>
      </c>
      <c r="AK767" s="8" t="inlineStr">
        <is>
          <t>P1</t>
        </is>
      </c>
      <c r="AL767" s="8" t="n">
        <v>4</v>
      </c>
      <c r="AM767" s="5" t="inlineStr"/>
      <c r="AN767" s="5" t="inlineStr"/>
      <c r="AO767" s="5" t="inlineStr"/>
      <c r="AP767" s="5" t="inlineStr">
        <is>
          <t>F-0765</t>
        </is>
      </c>
      <c r="AQ767" s="5" t="inlineStr"/>
      <c r="AR767" s="5" t="inlineStr"/>
      <c r="AS767" s="5" t="inlineStr"/>
      <c r="AT767" s="5" t="inlineStr"/>
      <c r="AU767" s="8" t="inlineStr">
        <is>
          <t>Not run</t>
        </is>
      </c>
    </row>
    <row r="768" ht="32" customHeight="1">
      <c r="A768" s="16" t="inlineStr">
        <is>
          <t>F-0767</t>
        </is>
      </c>
      <c r="B768" s="8" t="inlineStr">
        <is>
          <t>F</t>
        </is>
      </c>
      <c r="C768" s="5" t="inlineStr">
        <is>
          <t>Accountant / GST Operator</t>
        </is>
      </c>
      <c r="D768" s="5" t="inlineStr">
        <is>
          <t>Insurance Distribution</t>
        </is>
      </c>
      <c r="E768" s="5" t="inlineStr">
        <is>
          <t>Mark insurer commission received</t>
        </is>
      </c>
      <c r="F768" s="5" t="inlineStr">
        <is>
          <t>Accountant</t>
        </is>
      </c>
      <c r="G768" s="5" t="inlineStr">
        <is>
          <t>Insurer</t>
        </is>
      </c>
      <c r="H768" s="5" t="inlineStr">
        <is>
          <t>Open commission can be cleared when the insurer pays</t>
        </is>
      </c>
      <c r="I768" s="5" t="inlineStr">
        <is>
          <t>CommissionReceivable status RECEIVED</t>
        </is>
      </c>
      <c r="J768" s="20" t="inlineStr">
        <is>
          <t>P1</t>
        </is>
      </c>
      <c r="K768" s="21" t="inlineStr">
        <is>
          <t>In product</t>
        </is>
      </c>
      <c r="L768" s="5" t="inlineStr">
        <is>
          <t>CommissionReceivable.Status.RECEIVED.</t>
        </is>
      </c>
      <c r="M768" s="8" t="inlineStr">
        <is>
          <t>Added flows</t>
        </is>
      </c>
      <c r="N768" s="8" t="inlineStr">
        <is>
          <t>Operational role</t>
        </is>
      </c>
      <c r="O768" s="8" t="inlineStr">
        <is>
          <t>P1</t>
        </is>
      </c>
      <c r="P768" s="5" t="inlineStr">
        <is>
          <t>Unchanged</t>
        </is>
      </c>
      <c r="Q768" s="21" t="inlineStr">
        <is>
          <t>Code symbol found</t>
        </is>
      </c>
      <c r="R768" s="5" t="inlineStr">
        <is>
          <t>Matched CommissionReceivable in product code. This is not a functional test.</t>
        </is>
      </c>
      <c r="S768" s="8" t="inlineStr">
        <is>
          <t>INS</t>
        </is>
      </c>
      <c r="T768" s="5" t="inlineStr">
        <is>
          <t>Place and service a policy</t>
        </is>
      </c>
      <c r="U768" s="8" t="inlineStr">
        <is>
          <t>6</t>
        </is>
      </c>
      <c r="V768" s="8" t="inlineStr">
        <is>
          <t>insurance</t>
        </is>
      </c>
      <c r="W768" s="8" t="inlineStr">
        <is>
          <t>GROW</t>
        </is>
      </c>
      <c r="X768" s="5" t="inlineStr">
        <is>
          <t>Vertical extension</t>
        </is>
      </c>
      <c r="Y768" s="5" t="inlineStr">
        <is>
          <t>Accountant</t>
        </is>
      </c>
      <c r="Z768" s="5" t="inlineStr">
        <is>
          <t>Medium</t>
        </is>
      </c>
      <c r="AA768" s="5" t="inlineStr">
        <is>
          <t>Medium</t>
        </is>
      </c>
      <c r="AB768" s="8" t="inlineStr">
        <is>
          <t>Low</t>
        </is>
      </c>
      <c r="AC768" s="8" t="inlineStr">
        <is>
          <t>Later</t>
        </is>
      </c>
      <c r="AD768" s="5" t="inlineStr">
        <is>
          <t>Cited in code</t>
        </is>
      </c>
      <c r="AE768" s="5" t="inlineStr">
        <is>
          <t>Not verified</t>
        </is>
      </c>
      <c r="AF768" s="5" t="inlineStr">
        <is>
          <t>Not verified</t>
        </is>
      </c>
      <c r="AG768" s="5" t="inlineStr">
        <is>
          <t>Not verified</t>
        </is>
      </c>
      <c r="AH768" s="5" t="inlineStr">
        <is>
          <t>Not verified</t>
        </is>
      </c>
      <c r="AI768" s="8" t="inlineStr">
        <is>
          <t>No</t>
        </is>
      </c>
      <c r="AJ768" s="8" t="inlineStr">
        <is>
          <t>Built - unverified</t>
        </is>
      </c>
      <c r="AK768" s="8" t="inlineStr">
        <is>
          <t>P1</t>
        </is>
      </c>
      <c r="AL768" s="8" t="n">
        <v>4</v>
      </c>
      <c r="AM768" s="5" t="inlineStr"/>
      <c r="AN768" s="5" t="inlineStr"/>
      <c r="AO768" s="5" t="inlineStr"/>
      <c r="AP768" s="5" t="inlineStr">
        <is>
          <t>F-0766</t>
        </is>
      </c>
      <c r="AQ768" s="5" t="inlineStr"/>
      <c r="AR768" s="5" t="inlineStr"/>
      <c r="AS768" s="5" t="inlineStr"/>
      <c r="AT768" s="5" t="inlineStr"/>
      <c r="AU768" s="8" t="inlineStr">
        <is>
          <t>Not run</t>
        </is>
      </c>
    </row>
    <row r="769" ht="32" customHeight="1">
      <c r="A769" s="16" t="inlineStr">
        <is>
          <t>F-0768</t>
        </is>
      </c>
      <c r="B769" s="8" t="inlineStr">
        <is>
          <t>F</t>
        </is>
      </c>
      <c r="C769" s="5" t="inlineStr">
        <is>
          <t>Salesperson</t>
        </is>
      </c>
      <c r="D769" s="5" t="inlineStr">
        <is>
          <t>Insurance Distribution</t>
        </is>
      </c>
      <c r="E769" s="5" t="inlineStr">
        <is>
          <t>Lodge a policy claim against a support ticket</t>
        </is>
      </c>
      <c r="F769" s="5" t="inlineStr">
        <is>
          <t>Insurance advisor</t>
        </is>
      </c>
      <c r="G769" s="5" t="inlineStr">
        <is>
          <t>Customer</t>
        </is>
      </c>
      <c r="H769" s="5" t="inlineStr">
        <is>
          <t>The claim is tracked with the ticket. It does not post the ledger</t>
        </is>
      </c>
      <c r="I769" s="5" t="inlineStr">
        <is>
          <t>PolicyClaim links one policy to one ticket</t>
        </is>
      </c>
      <c r="J769" s="20" t="inlineStr">
        <is>
          <t>P1</t>
        </is>
      </c>
      <c r="K769" s="21" t="inlineStr">
        <is>
          <t>In product</t>
        </is>
      </c>
      <c r="L769" s="5" t="inlineStr">
        <is>
          <t>PolicyClaim. The model does not post an accounting entry.</t>
        </is>
      </c>
      <c r="M769" s="8" t="inlineStr">
        <is>
          <t>Added flows</t>
        </is>
      </c>
      <c r="N769" s="8" t="inlineStr">
        <is>
          <t>Operational role</t>
        </is>
      </c>
      <c r="O769" s="8" t="inlineStr">
        <is>
          <t>P1</t>
        </is>
      </c>
      <c r="P769" s="5" t="inlineStr">
        <is>
          <t>Unchanged</t>
        </is>
      </c>
      <c r="Q769" s="21" t="inlineStr">
        <is>
          <t>Code symbol found</t>
        </is>
      </c>
      <c r="R769" s="5" t="inlineStr">
        <is>
          <t>Matched PolicyClaim in product code. This is not a functional test.</t>
        </is>
      </c>
      <c r="S769" s="8" t="inlineStr">
        <is>
          <t>INS</t>
        </is>
      </c>
      <c r="T769" s="5" t="inlineStr">
        <is>
          <t>Place and service a policy</t>
        </is>
      </c>
      <c r="U769" s="8" t="inlineStr">
        <is>
          <t>7</t>
        </is>
      </c>
      <c r="V769" s="8" t="inlineStr">
        <is>
          <t>insurance</t>
        </is>
      </c>
      <c r="W769" s="8" t="inlineStr">
        <is>
          <t>GROW</t>
        </is>
      </c>
      <c r="X769" s="5" t="inlineStr">
        <is>
          <t>Vertical extension</t>
        </is>
      </c>
      <c r="Y769" s="5" t="inlineStr">
        <is>
          <t>Sales</t>
        </is>
      </c>
      <c r="Z769" s="5" t="inlineStr">
        <is>
          <t>Medium</t>
        </is>
      </c>
      <c r="AA769" s="5" t="inlineStr">
        <is>
          <t>Medium</t>
        </is>
      </c>
      <c r="AB769" s="8" t="inlineStr">
        <is>
          <t>Low</t>
        </is>
      </c>
      <c r="AC769" s="8" t="inlineStr">
        <is>
          <t>Later</t>
        </is>
      </c>
      <c r="AD769" s="5" t="inlineStr">
        <is>
          <t>Cited in code</t>
        </is>
      </c>
      <c r="AE769" s="5" t="inlineStr">
        <is>
          <t>Not verified</t>
        </is>
      </c>
      <c r="AF769" s="5" t="inlineStr">
        <is>
          <t>Not verified</t>
        </is>
      </c>
      <c r="AG769" s="5" t="inlineStr">
        <is>
          <t>Not verified</t>
        </is>
      </c>
      <c r="AH769" s="5" t="inlineStr">
        <is>
          <t>Not verified</t>
        </is>
      </c>
      <c r="AI769" s="8" t="inlineStr">
        <is>
          <t>No</t>
        </is>
      </c>
      <c r="AJ769" s="8" t="inlineStr">
        <is>
          <t>Built - unverified</t>
        </is>
      </c>
      <c r="AK769" s="8" t="inlineStr">
        <is>
          <t>P1</t>
        </is>
      </c>
      <c r="AL769" s="8" t="n">
        <v>4</v>
      </c>
      <c r="AM769" s="5" t="inlineStr"/>
      <c r="AN769" s="5" t="inlineStr"/>
      <c r="AO769" s="5" t="inlineStr"/>
      <c r="AP769" s="5" t="inlineStr">
        <is>
          <t>F-0767</t>
        </is>
      </c>
      <c r="AQ769" s="5" t="inlineStr"/>
      <c r="AR769" s="5" t="inlineStr"/>
      <c r="AS769" s="5" t="inlineStr"/>
      <c r="AT769" s="5" t="inlineStr"/>
      <c r="AU769" s="8" t="inlineStr">
        <is>
          <t>Not run</t>
        </is>
      </c>
    </row>
    <row r="770" ht="32" customHeight="1">
      <c r="A770" s="16" t="inlineStr">
        <is>
          <t>F-0769</t>
        </is>
      </c>
      <c r="B770" s="8" t="inlineStr">
        <is>
          <t>F</t>
        </is>
      </c>
      <c r="C770" s="5" t="inlineStr">
        <is>
          <t>Salesperson</t>
        </is>
      </c>
      <c r="D770" s="5" t="inlineStr">
        <is>
          <t>Insurance Distribution</t>
        </is>
      </c>
      <c r="E770" s="5" t="inlineStr">
        <is>
          <t>Attach Aadhaar, PAN, or another KYC file to the policy</t>
        </is>
      </c>
      <c r="F770" s="5" t="inlineStr">
        <is>
          <t>Insurance advisor</t>
        </is>
      </c>
      <c r="G770" s="5" t="inlineStr">
        <is>
          <t>Customer</t>
        </is>
      </c>
      <c r="H770" s="5" t="inlineStr">
        <is>
          <t>KYC sits on the policy instead of in a side folder</t>
        </is>
      </c>
      <c r="I770" s="5" t="inlineStr">
        <is>
          <t>PolicyKyc stores the file kind and a file asset</t>
        </is>
      </c>
      <c r="J770" s="20" t="inlineStr">
        <is>
          <t>P1</t>
        </is>
      </c>
      <c r="K770" s="21" t="inlineStr">
        <is>
          <t>In product</t>
        </is>
      </c>
      <c r="L770" s="5" t="inlineStr">
        <is>
          <t>PolicyKyc.</t>
        </is>
      </c>
      <c r="M770" s="8" t="inlineStr">
        <is>
          <t>Added flows</t>
        </is>
      </c>
      <c r="N770" s="8" t="inlineStr">
        <is>
          <t>Operational role</t>
        </is>
      </c>
      <c r="O770" s="8" t="inlineStr">
        <is>
          <t>P1</t>
        </is>
      </c>
      <c r="P770" s="5" t="inlineStr">
        <is>
          <t>Unchanged</t>
        </is>
      </c>
      <c r="Q770" s="21" t="inlineStr">
        <is>
          <t>Code symbol found</t>
        </is>
      </c>
      <c r="R770" s="5" t="inlineStr">
        <is>
          <t>Matched PolicyKyc in product code. This is not a functional test.</t>
        </is>
      </c>
      <c r="S770" s="8" t="inlineStr">
        <is>
          <t>INS</t>
        </is>
      </c>
      <c r="T770" s="5" t="inlineStr">
        <is>
          <t>Place and service a policy</t>
        </is>
      </c>
      <c r="U770" s="8" t="inlineStr">
        <is>
          <t>8</t>
        </is>
      </c>
      <c r="V770" s="8" t="inlineStr">
        <is>
          <t>insurance</t>
        </is>
      </c>
      <c r="W770" s="8" t="inlineStr">
        <is>
          <t>GROW</t>
        </is>
      </c>
      <c r="X770" s="5" t="inlineStr">
        <is>
          <t>Vertical extension</t>
        </is>
      </c>
      <c r="Y770" s="5" t="inlineStr">
        <is>
          <t>Sales</t>
        </is>
      </c>
      <c r="Z770" s="5" t="inlineStr">
        <is>
          <t>Medium</t>
        </is>
      </c>
      <c r="AA770" s="5" t="inlineStr">
        <is>
          <t>Medium</t>
        </is>
      </c>
      <c r="AB770" s="8" t="inlineStr">
        <is>
          <t>Low</t>
        </is>
      </c>
      <c r="AC770" s="8" t="inlineStr">
        <is>
          <t>Later</t>
        </is>
      </c>
      <c r="AD770" s="5" t="inlineStr">
        <is>
          <t>Cited in code</t>
        </is>
      </c>
      <c r="AE770" s="5" t="inlineStr">
        <is>
          <t>Not verified</t>
        </is>
      </c>
      <c r="AF770" s="5" t="inlineStr">
        <is>
          <t>Not verified</t>
        </is>
      </c>
      <c r="AG770" s="5" t="inlineStr">
        <is>
          <t>Not verified</t>
        </is>
      </c>
      <c r="AH770" s="5" t="inlineStr">
        <is>
          <t>Not verified</t>
        </is>
      </c>
      <c r="AI770" s="8" t="inlineStr">
        <is>
          <t>No</t>
        </is>
      </c>
      <c r="AJ770" s="8" t="inlineStr">
        <is>
          <t>Built - unverified</t>
        </is>
      </c>
      <c r="AK770" s="8" t="inlineStr">
        <is>
          <t>P1</t>
        </is>
      </c>
      <c r="AL770" s="8" t="n">
        <v>4</v>
      </c>
      <c r="AM770" s="5" t="inlineStr"/>
      <c r="AN770" s="5" t="inlineStr"/>
      <c r="AO770" s="5" t="inlineStr"/>
      <c r="AP770" s="5" t="inlineStr">
        <is>
          <t>F-0768</t>
        </is>
      </c>
      <c r="AQ770" s="5" t="inlineStr"/>
      <c r="AR770" s="5" t="inlineStr"/>
      <c r="AS770" s="5" t="inlineStr"/>
      <c r="AT770" s="5" t="inlineStr"/>
      <c r="AU770" s="8" t="inlineStr">
        <is>
          <t>Not run</t>
        </is>
      </c>
    </row>
    <row r="771" ht="32" customHeight="1">
      <c r="A771" s="16" t="inlineStr">
        <is>
          <t>F-0770</t>
        </is>
      </c>
      <c r="B771" s="8" t="inlineStr">
        <is>
          <t>F</t>
        </is>
      </c>
      <c r="C771" s="5" t="inlineStr">
        <is>
          <t>Salesperson</t>
        </is>
      </c>
      <c r="D771" s="5" t="inlineStr">
        <is>
          <t>Insurance Distribution</t>
        </is>
      </c>
      <c r="E771" s="5" t="inlineStr">
        <is>
          <t>Open one renewal lead for a policy</t>
        </is>
      </c>
      <c r="F771" s="5" t="inlineStr">
        <is>
          <t>Insurance advisor</t>
        </is>
      </c>
      <c r="G771" s="5" t="inlineStr">
        <is>
          <t>Customer</t>
        </is>
      </c>
      <c r="H771" s="5" t="inlineStr">
        <is>
          <t>Renewal follow-up is not created twice for the same policy</t>
        </is>
      </c>
      <c r="I771" s="5" t="inlineStr">
        <is>
          <t>PolicyRenewalLead is one-to-one with the policy and points at a lead</t>
        </is>
      </c>
      <c r="J771" s="20" t="inlineStr">
        <is>
          <t>P1</t>
        </is>
      </c>
      <c r="K771" s="21" t="inlineStr">
        <is>
          <t>In product</t>
        </is>
      </c>
      <c r="L771" s="5" t="inlineStr">
        <is>
          <t>PolicyRenewalLead. The policy link is the dedupe key.</t>
        </is>
      </c>
      <c r="M771" s="8" t="inlineStr">
        <is>
          <t>Added flows</t>
        </is>
      </c>
      <c r="N771" s="8" t="inlineStr">
        <is>
          <t>Operational role</t>
        </is>
      </c>
      <c r="O771" s="8" t="inlineStr">
        <is>
          <t>P1</t>
        </is>
      </c>
      <c r="P771" s="5" t="inlineStr">
        <is>
          <t>Unchanged</t>
        </is>
      </c>
      <c r="Q771" s="21" t="inlineStr">
        <is>
          <t>Code symbol found</t>
        </is>
      </c>
      <c r="R771" s="5" t="inlineStr">
        <is>
          <t>Matched PolicyRenewalLead in product code. This is not a functional test.</t>
        </is>
      </c>
      <c r="S771" s="8" t="inlineStr">
        <is>
          <t>INS</t>
        </is>
      </c>
      <c r="T771" s="5" t="inlineStr">
        <is>
          <t>Place and service a policy</t>
        </is>
      </c>
      <c r="U771" s="8" t="inlineStr">
        <is>
          <t>9</t>
        </is>
      </c>
      <c r="V771" s="8" t="inlineStr">
        <is>
          <t>insurance</t>
        </is>
      </c>
      <c r="W771" s="8" t="inlineStr">
        <is>
          <t>GROW</t>
        </is>
      </c>
      <c r="X771" s="5" t="inlineStr">
        <is>
          <t>Vertical extension</t>
        </is>
      </c>
      <c r="Y771" s="5" t="inlineStr">
        <is>
          <t>Sales</t>
        </is>
      </c>
      <c r="Z771" s="5" t="inlineStr">
        <is>
          <t>Medium</t>
        </is>
      </c>
      <c r="AA771" s="5" t="inlineStr">
        <is>
          <t>Medium</t>
        </is>
      </c>
      <c r="AB771" s="8" t="inlineStr">
        <is>
          <t>Low</t>
        </is>
      </c>
      <c r="AC771" s="8" t="inlineStr">
        <is>
          <t>Later</t>
        </is>
      </c>
      <c r="AD771" s="5" t="inlineStr">
        <is>
          <t>Cited in code</t>
        </is>
      </c>
      <c r="AE771" s="5" t="inlineStr">
        <is>
          <t>Not verified</t>
        </is>
      </c>
      <c r="AF771" s="5" t="inlineStr">
        <is>
          <t>Not verified</t>
        </is>
      </c>
      <c r="AG771" s="5" t="inlineStr">
        <is>
          <t>Not verified</t>
        </is>
      </c>
      <c r="AH771" s="5" t="inlineStr">
        <is>
          <t>Not verified</t>
        </is>
      </c>
      <c r="AI771" s="8" t="inlineStr">
        <is>
          <t>No</t>
        </is>
      </c>
      <c r="AJ771" s="8" t="inlineStr">
        <is>
          <t>Built - unverified</t>
        </is>
      </c>
      <c r="AK771" s="8" t="inlineStr">
        <is>
          <t>P1</t>
        </is>
      </c>
      <c r="AL771" s="8" t="n">
        <v>4</v>
      </c>
      <c r="AM771" s="5" t="inlineStr"/>
      <c r="AN771" s="5" t="inlineStr"/>
      <c r="AO771" s="5" t="inlineStr"/>
      <c r="AP771" s="5" t="inlineStr">
        <is>
          <t>F-0769</t>
        </is>
      </c>
      <c r="AQ771" s="5" t="inlineStr"/>
      <c r="AR771" s="5" t="inlineStr"/>
      <c r="AS771" s="5" t="inlineStr"/>
      <c r="AT771" s="5" t="inlineStr"/>
      <c r="AU77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tabColor rgb="000277BD"/>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40" customWidth="1" min="2" max="2"/>
    <col width="16" customWidth="1" min="3" max="3"/>
    <col width="12" customWidth="1" min="4" max="4"/>
    <col width="62" customWidth="1" min="5" max="5"/>
    <col width="62" customWidth="1" min="6" max="6"/>
  </cols>
  <sheetData>
    <row r="1">
      <c r="A1" s="1" t="inlineStr">
        <is>
          <t>Flows</t>
        </is>
      </c>
    </row>
    <row r="2" ht="28" customHeight="1">
      <c r="A2" s="12" t="inlineStr">
        <is>
          <t>Task counts are COUNTIF formulas on Task Register. The first flows are sequenced steps. The rest group older tasks by category.</t>
        </is>
      </c>
    </row>
    <row r="3">
      <c r="A3" s="3" t="inlineStr">
        <is>
          <t>Flow ID</t>
        </is>
      </c>
      <c r="B3" s="3" t="inlineStr">
        <is>
          <t>Flow name</t>
        </is>
      </c>
      <c r="C3" s="3" t="inlineStr">
        <is>
          <t>Module</t>
        </is>
      </c>
      <c r="D3" s="3" t="inlineStr">
        <is>
          <t>Tasks</t>
        </is>
      </c>
      <c r="E3" s="3" t="inlineStr">
        <is>
          <t>What it covers</t>
        </is>
      </c>
      <c r="F3" s="3" t="inlineStr">
        <is>
          <t>Limit</t>
        </is>
      </c>
    </row>
    <row r="4" ht="36" customHeight="1">
      <c r="A4" s="16" t="inlineStr">
        <is>
          <t>PAY</t>
        </is>
      </c>
      <c r="B4" s="5" t="inlineStr">
        <is>
          <t>Pay the month</t>
        </is>
      </c>
      <c r="C4" s="8" t="inlineStr">
        <is>
          <t>payroll</t>
        </is>
      </c>
      <c r="D4" s="16">
        <f>COUNTIF(TaskRegister[Flow ID],A4)</f>
        <v/>
      </c>
      <c r="E4" s="5" t="inlineStr">
        <is>
          <t>Employee, PF/ESI/PT/TDS flags, one pay run per month, paid days, payslip, employer PF split.</t>
        </is>
      </c>
      <c r="F4" s="5" t="inlineStr">
        <is>
          <t>Preview payroll. No bonus, arrear, advance recovery, or one-off deduction lines. Not an EPFO return.</t>
        </is>
      </c>
    </row>
    <row r="5" ht="36" customHeight="1">
      <c r="A5" s="16" t="inlineStr">
        <is>
          <t>JOB</t>
        </is>
      </c>
      <c r="B5" s="5" t="inlineStr">
        <is>
          <t>Run a workshop job</t>
        </is>
      </c>
      <c r="C5" s="8" t="inlineStr">
        <is>
          <t>workshop</t>
        </is>
      </c>
      <c r="D5" s="16">
        <f>COUNTIF(TaskRegister[Flow ID],A5)</f>
        <v/>
      </c>
      <c r="E5" s="5" t="inlineStr">
        <is>
          <t>Complaint, technician, part and labour lines, invoice, cancel.</t>
        </is>
      </c>
      <c r="F5" s="5" t="inlineStr">
        <is>
          <t>Invoicing creates a draft sales invoice from the job lines. It does not schedule bays or capture labour time.</t>
        </is>
      </c>
    </row>
    <row r="6" ht="36" customHeight="1">
      <c r="A6" s="16" t="inlineStr">
        <is>
          <t>MFG</t>
        </is>
      </c>
      <c r="B6" s="5" t="inlineStr">
        <is>
          <t>Manufacture and assemble</t>
        </is>
      </c>
      <c r="C6" s="8" t="inlineStr">
        <is>
          <t>manufacturing</t>
        </is>
      </c>
      <c r="D6" s="16">
        <f>COUNTIF(TaskRegister[Flow ID],A6)</f>
        <v/>
      </c>
      <c r="E6" s="5" t="inlineStr">
        <is>
          <t>BOM, activate, work order snapshot, issue components, complete finished goods, unit cost, cancel.</t>
        </is>
      </c>
      <c r="F6" s="5" t="inlineStr">
        <is>
          <t>Single-level BOM. More than one ACTIVE BOM per finished good is allowed. The work order keeps the BOM it was created from.</t>
        </is>
      </c>
    </row>
    <row r="7" ht="36" customHeight="1">
      <c r="A7" s="16" t="inlineStr">
        <is>
          <t>PRJ</t>
        </is>
      </c>
      <c r="B7" s="5" t="inlineStr">
        <is>
          <t>Bill a project by milestone</t>
        </is>
      </c>
      <c r="C7" s="8" t="inlineStr">
        <is>
          <t>projects</t>
        </is>
      </c>
      <c r="D7" s="16">
        <f>COUNTIF(TaskRegister[Flow ID],A7)</f>
        <v/>
      </c>
      <c r="E7" s="5" t="inlineStr">
        <is>
          <t>Open project, milestones, mark ready, invoice, close.</t>
        </is>
      </c>
      <c r="F7" s="5" t="inlineStr">
        <is>
          <t>A milestone needs a service product. Invoicing a closed project is refused.</t>
        </is>
      </c>
    </row>
    <row r="8" ht="36" customHeight="1">
      <c r="A8" s="16" t="inlineStr">
        <is>
          <t>INS</t>
        </is>
      </c>
      <c r="B8" s="5" t="inlineStr">
        <is>
          <t>Place and service a policy</t>
        </is>
      </c>
      <c r="C8" s="8" t="inlineStr">
        <is>
          <t>insurance</t>
        </is>
      </c>
      <c r="D8" s="16">
        <f>COUNTIF(TaskRegister[Flow ID],A8)</f>
        <v/>
      </c>
      <c r="E8" s="5" t="inlineStr">
        <is>
          <t>Insurer product, options on a lead, issue, endorse or cancel, commission, claim, KYC, one renewal lead.</t>
        </is>
      </c>
      <c r="F8" s="5" t="inlineStr">
        <is>
          <t>A claim is linked to a support ticket and does not post the ledger. The product is not a stock SKU.</t>
        </is>
      </c>
    </row>
    <row r="9" ht="36" customHeight="1">
      <c r="A9" s="16" t="inlineStr">
        <is>
          <t>C2C</t>
        </is>
      </c>
      <c r="B9" s="5" t="inlineStr">
        <is>
          <t>Customer to cash</t>
        </is>
      </c>
      <c r="C9" s="8" t="inlineStr">
        <is>
          <t>sales</t>
        </is>
      </c>
      <c r="D9" s="16">
        <f>COUNTIF(TaskRegister[Flow ID],A9)</f>
        <v/>
      </c>
      <c r="E9" s="5" t="inlineStr">
        <is>
          <t>Tasks already filed under this category.</t>
        </is>
      </c>
      <c r="F9" s="5" t="inlineStr">
        <is>
          <t>Grouped from the category. Flow step is blank.</t>
        </is>
      </c>
    </row>
    <row r="10" ht="36" customHeight="1">
      <c r="A10" s="16" t="inlineStr">
        <is>
          <t>PAYREC</t>
        </is>
      </c>
      <c r="B10" s="5" t="inlineStr">
        <is>
          <t>Payments and reconciliation</t>
        </is>
      </c>
      <c r="C10" s="8" t="inlineStr">
        <is>
          <t>payments</t>
        </is>
      </c>
      <c r="D10" s="16">
        <f>COUNTIF(TaskRegister[Flow ID],A10)</f>
        <v/>
      </c>
      <c r="E10" s="5" t="inlineStr">
        <is>
          <t>Tasks already filed under this category.</t>
        </is>
      </c>
      <c r="F10" s="5" t="inlineStr">
        <is>
          <t>Grouped from the category. Flow step is blank.</t>
        </is>
      </c>
    </row>
    <row r="11" ht="36" customHeight="1">
      <c r="A11" s="16" t="inlineStr">
        <is>
          <t>INV</t>
        </is>
      </c>
      <c r="B11" s="5" t="inlineStr">
        <is>
          <t>Inventory lifecycle</t>
        </is>
      </c>
      <c r="C11" s="8" t="inlineStr">
        <is>
          <t>inventory</t>
        </is>
      </c>
      <c r="D11" s="16">
        <f>COUNTIF(TaskRegister[Flow ID],A11)</f>
        <v/>
      </c>
      <c r="E11" s="5" t="inlineStr">
        <is>
          <t>Tasks already filed under this category.</t>
        </is>
      </c>
      <c r="F11" s="5" t="inlineStr">
        <is>
          <t>Grouped from the category. Flow step is blank.</t>
        </is>
      </c>
    </row>
    <row r="12" ht="36" customHeight="1">
      <c r="A12" s="16" t="inlineStr">
        <is>
          <t>GST</t>
        </is>
      </c>
      <c r="B12" s="5" t="inlineStr">
        <is>
          <t>GST and tax compliance</t>
        </is>
      </c>
      <c r="C12" s="8" t="inlineStr">
        <is>
          <t>accounting</t>
        </is>
      </c>
      <c r="D12" s="16">
        <f>COUNTIF(TaskRegister[Flow ID],A12)</f>
        <v/>
      </c>
      <c r="E12" s="5" t="inlineStr">
        <is>
          <t>Tasks already filed under this category.</t>
        </is>
      </c>
      <c r="F12" s="5" t="inlineStr">
        <is>
          <t>Grouped from the category. Flow step is blank.</t>
        </is>
      </c>
    </row>
    <row r="13" ht="36" customHeight="1">
      <c r="A13" s="16" t="inlineStr">
        <is>
          <t>ARAP</t>
        </is>
      </c>
      <c r="B13" s="5" t="inlineStr">
        <is>
          <t>Receivables and payables</t>
        </is>
      </c>
      <c r="C13" s="8" t="inlineStr">
        <is>
          <t>ledgers</t>
        </is>
      </c>
      <c r="D13" s="16">
        <f>COUNTIF(TaskRegister[Flow ID],A13)</f>
        <v/>
      </c>
      <c r="E13" s="5" t="inlineStr">
        <is>
          <t>Tasks already filed under this category.</t>
        </is>
      </c>
      <c r="F13" s="5" t="inlineStr">
        <is>
          <t>Grouped from the category. Flow step is blank.</t>
        </is>
      </c>
    </row>
    <row r="14" ht="36" customHeight="1">
      <c r="A14" s="16" t="inlineStr">
        <is>
          <t>RPT</t>
        </is>
      </c>
      <c r="B14" s="5" t="inlineStr">
        <is>
          <t>Reporting and business intelligence</t>
        </is>
      </c>
      <c r="C14" s="8" t="inlineStr">
        <is>
          <t>reporting</t>
        </is>
      </c>
      <c r="D14" s="16">
        <f>COUNTIF(TaskRegister[Flow ID],A14)</f>
        <v/>
      </c>
      <c r="E14" s="5" t="inlineStr">
        <is>
          <t>Tasks already filed under this category.</t>
        </is>
      </c>
      <c r="F14" s="5" t="inlineStr">
        <is>
          <t>Grouped from the category. Flow step is blank.</t>
        </is>
      </c>
    </row>
    <row r="15" ht="36" customHeight="1">
      <c r="A15" s="16" t="inlineStr">
        <is>
          <t>P2P</t>
        </is>
      </c>
      <c r="B15" s="5" t="inlineStr">
        <is>
          <t>Procure to pay</t>
        </is>
      </c>
      <c r="C15" s="8" t="inlineStr">
        <is>
          <t>purchases</t>
        </is>
      </c>
      <c r="D15" s="16">
        <f>COUNTIF(TaskRegister[Flow ID],A15)</f>
        <v/>
      </c>
      <c r="E15" s="5" t="inlineStr">
        <is>
          <t>Tasks already filed under this category.</t>
        </is>
      </c>
      <c r="F15" s="5" t="inlineStr">
        <is>
          <t>Grouped from the category. Flow step is blank.</t>
        </is>
      </c>
    </row>
    <row r="16" ht="36" customHeight="1">
      <c r="A16" s="16" t="inlineStr">
        <is>
          <t>CLOSE</t>
        </is>
      </c>
      <c r="B16" s="5" t="inlineStr">
        <is>
          <t>Import, export, and period close</t>
        </is>
      </c>
      <c r="C16" s="8" t="inlineStr">
        <is>
          <t>accounting</t>
        </is>
      </c>
      <c r="D16" s="16">
        <f>COUNTIF(TaskRegister[Flow ID],A16)</f>
        <v/>
      </c>
      <c r="E16" s="5" t="inlineStr">
        <is>
          <t>Tasks already filed under this category.</t>
        </is>
      </c>
      <c r="F16" s="5" t="inlineStr">
        <is>
          <t>Grouped from the category. Flow step is blank.</t>
        </is>
      </c>
    </row>
    <row r="17" ht="36" customHeight="1">
      <c r="A17" s="16" t="inlineStr">
        <is>
          <t>MASTER</t>
        </is>
      </c>
      <c r="B17" s="5" t="inlineStr">
        <is>
          <t>Master data and authorization</t>
        </is>
      </c>
      <c r="C17" s="8" t="inlineStr">
        <is>
          <t>masters</t>
        </is>
      </c>
      <c r="D17" s="16">
        <f>COUNTIF(TaskRegister[Flow ID],A17)</f>
        <v/>
      </c>
      <c r="E17" s="5" t="inlineStr">
        <is>
          <t>Tasks already filed under this category.</t>
        </is>
      </c>
      <c r="F17" s="5" t="inlineStr">
        <is>
          <t>Grouped from the category. Flow step is blank.</t>
        </is>
      </c>
    </row>
    <row r="18" ht="36" customHeight="1">
      <c r="A18" s="16" t="inlineStr">
        <is>
          <t>WH</t>
        </is>
      </c>
      <c r="B18" s="5" t="inlineStr">
        <is>
          <t>Multi-godown and multi-store</t>
        </is>
      </c>
      <c r="C18" s="8" t="inlineStr">
        <is>
          <t>inventory</t>
        </is>
      </c>
      <c r="D18" s="16">
        <f>COUNTIF(TaskRegister[Flow ID],A18)</f>
        <v/>
      </c>
      <c r="E18" s="5" t="inlineStr">
        <is>
          <t>Tasks already filed under this category.</t>
        </is>
      </c>
      <c r="F18" s="5" t="inlineStr">
        <is>
          <t>Grouped from the category. Flow step is blank.</t>
        </is>
      </c>
    </row>
    <row r="19" ht="36" customHeight="1">
      <c r="A19" s="16" t="inlineStr">
        <is>
          <t>INT</t>
        </is>
      </c>
      <c r="B19" s="5" t="inlineStr">
        <is>
          <t>Communication and integrations</t>
        </is>
      </c>
      <c r="C19" s="8" t="inlineStr">
        <is>
          <t>integrations</t>
        </is>
      </c>
      <c r="D19" s="16">
        <f>COUNTIF(TaskRegister[Flow ID],A19)</f>
        <v/>
      </c>
      <c r="E19" s="5" t="inlineStr">
        <is>
          <t>Tasks already filed under this category.</t>
        </is>
      </c>
      <c r="F19" s="5" t="inlineStr">
        <is>
          <t>Grouped from the category. Flow step is blank.</t>
        </is>
      </c>
    </row>
    <row r="20" ht="36" customHeight="1">
      <c r="A20" s="16" t="inlineStr">
        <is>
          <t>RET</t>
        </is>
      </c>
      <c r="B20" s="5" t="inlineStr">
        <is>
          <t>Returns, complaints, and after-sales</t>
        </is>
      </c>
      <c r="C20" s="8" t="inlineStr">
        <is>
          <t>sales</t>
        </is>
      </c>
      <c r="D20" s="16">
        <f>COUNTIF(TaskRegister[Flow ID],A20)</f>
        <v/>
      </c>
      <c r="E20" s="5" t="inlineStr">
        <is>
          <t>Tasks already filed under this category.</t>
        </is>
      </c>
      <c r="F20" s="5" t="inlineStr">
        <is>
          <t>Grouped from the category. Flow step is blank.</t>
        </is>
      </c>
    </row>
    <row r="21" ht="36" customHeight="1">
      <c r="A21" s="16" t="inlineStr">
        <is>
          <t>CRM</t>
        </is>
      </c>
      <c r="B21" s="5" t="inlineStr">
        <is>
          <t>Sales and CRM lifecycle</t>
        </is>
      </c>
      <c r="C21" s="8" t="inlineStr">
        <is>
          <t>crm</t>
        </is>
      </c>
      <c r="D21" s="16">
        <f>COUNTIF(TaskRegister[Flow ID],A21)</f>
        <v/>
      </c>
      <c r="E21" s="5" t="inlineStr">
        <is>
          <t>Tasks already filed under this category.</t>
        </is>
      </c>
      <c r="F21" s="5" t="inlineStr">
        <is>
          <t>Grouped from the category. Flow step is blank.</t>
        </is>
      </c>
    </row>
    <row r="22" ht="36" customHeight="1">
      <c r="A22" s="16" t="inlineStr">
        <is>
          <t>FLEET</t>
        </is>
      </c>
      <c r="B22" s="5" t="inlineStr">
        <is>
          <t>Fleet and delivery</t>
        </is>
      </c>
      <c r="C22" s="8" t="inlineStr">
        <is>
          <t>sales</t>
        </is>
      </c>
      <c r="D22" s="16">
        <f>COUNTIF(TaskRegister[Flow ID],A22)</f>
        <v/>
      </c>
      <c r="E22" s="5" t="inlineStr">
        <is>
          <t>Tasks already filed under this category.</t>
        </is>
      </c>
      <c r="F22" s="5" t="inlineStr">
        <is>
          <t>Grouped from the category. Flow step is blank.</t>
        </is>
      </c>
    </row>
    <row r="23" ht="36" customHeight="1">
      <c r="A23" s="16" t="inlineStr">
        <is>
          <t>FA</t>
        </is>
      </c>
      <c r="B23" s="5" t="inlineStr">
        <is>
          <t>Finance and fixed assets</t>
        </is>
      </c>
      <c r="C23" s="8" t="inlineStr">
        <is>
          <t>accounting</t>
        </is>
      </c>
      <c r="D23" s="16">
        <f>COUNTIF(TaskRegister[Flow ID],A23)</f>
        <v/>
      </c>
      <c r="E23" s="5" t="inlineStr">
        <is>
          <t>Tasks already filed under this category.</t>
        </is>
      </c>
      <c r="F23" s="5" t="inlineStr">
        <is>
          <t>Grouped from the category. Flow step is blank.</t>
        </is>
      </c>
    </row>
    <row r="24" ht="36" customHeight="1">
      <c r="A24" s="16" t="inlineStr">
        <is>
          <t>GOS-CAM</t>
        </is>
      </c>
      <c r="B24" s="5" t="inlineStr">
        <is>
          <t>Growth campaigns</t>
        </is>
      </c>
      <c r="C24" s="8" t="inlineStr">
        <is>
          <t>crm</t>
        </is>
      </c>
      <c r="D24" s="16">
        <f>COUNTIF(TaskRegister[Flow ID],A24)</f>
        <v/>
      </c>
      <c r="E24" s="5" t="inlineStr">
        <is>
          <t>Tasks already filed under this category.</t>
        </is>
      </c>
      <c r="F24" s="5" t="inlineStr">
        <is>
          <t>Grouped from the category. Flow step is blank.</t>
        </is>
      </c>
    </row>
    <row r="25" ht="36" customHeight="1">
      <c r="A25" s="16" t="inlineStr">
        <is>
          <t>GOS-LEAD</t>
        </is>
      </c>
      <c r="B25" s="5" t="inlineStr">
        <is>
          <t>Growth leads</t>
        </is>
      </c>
      <c r="C25" s="8" t="inlineStr">
        <is>
          <t>crm</t>
        </is>
      </c>
      <c r="D25" s="16">
        <f>COUNTIF(TaskRegister[Flow ID],A25)</f>
        <v/>
      </c>
      <c r="E25" s="5" t="inlineStr">
        <is>
          <t>Tasks already filed under this category.</t>
        </is>
      </c>
      <c r="F25" s="5" t="inlineStr">
        <is>
          <t>Grouped from the category. Flow step is blank.</t>
        </is>
      </c>
    </row>
    <row r="26" ht="36" customHeight="1">
      <c r="A26" s="16" t="inlineStr">
        <is>
          <t>GOS-OPP</t>
        </is>
      </c>
      <c r="B26" s="5" t="inlineStr">
        <is>
          <t>Growth opportunities</t>
        </is>
      </c>
      <c r="C26" s="8" t="inlineStr">
        <is>
          <t>crm</t>
        </is>
      </c>
      <c r="D26" s="16">
        <f>COUNTIF(TaskRegister[Flow ID],A26)</f>
        <v/>
      </c>
      <c r="E26" s="5" t="inlineStr">
        <is>
          <t>Tasks already filed under this category.</t>
        </is>
      </c>
      <c r="F26" s="5" t="inlineStr">
        <is>
          <t>Grouped from the category. Flow step is blank.</t>
        </is>
      </c>
    </row>
    <row r="27" ht="36" customHeight="1">
      <c r="A27" s="16" t="inlineStr">
        <is>
          <t>GOS-REF</t>
        </is>
      </c>
      <c r="B27" s="5" t="inlineStr">
        <is>
          <t>Growth referrals</t>
        </is>
      </c>
      <c r="C27" s="8" t="inlineStr">
        <is>
          <t>crm</t>
        </is>
      </c>
      <c r="D27" s="16">
        <f>COUNTIF(TaskRegister[Flow ID],A27)</f>
        <v/>
      </c>
      <c r="E27" s="5" t="inlineStr">
        <is>
          <t>Tasks already filed under this category.</t>
        </is>
      </c>
      <c r="F27" s="5" t="inlineStr">
        <is>
          <t>Grouped from the category. Flow step is blank.</t>
        </is>
      </c>
    </row>
    <row r="28" ht="36" customHeight="1">
      <c r="A28" s="16" t="inlineStr">
        <is>
          <t>GOS-AMC</t>
        </is>
      </c>
      <c r="B28" s="5" t="inlineStr">
        <is>
          <t>Service contracts</t>
        </is>
      </c>
      <c r="C28" s="8" t="inlineStr">
        <is>
          <t>contracts</t>
        </is>
      </c>
      <c r="D28" s="16">
        <f>COUNTIF(TaskRegister[Flow ID],A28)</f>
        <v/>
      </c>
      <c r="E28" s="5" t="inlineStr">
        <is>
          <t>Tasks already filed under this category.</t>
        </is>
      </c>
      <c r="F28" s="5" t="inlineStr">
        <is>
          <t>Grouped from the category. Flow step is blank.</t>
        </is>
      </c>
    </row>
    <row r="29" ht="36" customHeight="1">
      <c r="A29" s="16" t="inlineStr">
        <is>
          <t>GOS-CARE</t>
        </is>
      </c>
      <c r="B29" s="5" t="inlineStr">
        <is>
          <t>Customer care</t>
        </is>
      </c>
      <c r="C29" s="8" t="inlineStr">
        <is>
          <t>complaints</t>
        </is>
      </c>
      <c r="D29" s="16">
        <f>COUNTIF(TaskRegister[Flow ID],A29)</f>
        <v/>
      </c>
      <c r="E29" s="5" t="inlineStr">
        <is>
          <t>Tasks already filed under this category.</t>
        </is>
      </c>
      <c r="F29" s="5" t="inlineStr">
        <is>
          <t>Grouped from the category. Flow step is blank.</t>
        </is>
      </c>
    </row>
    <row r="30" ht="36" customHeight="1">
      <c r="A30" s="16" t="inlineStr">
        <is>
          <t>GOS-360</t>
        </is>
      </c>
      <c r="B30" s="5" t="inlineStr">
        <is>
          <t>Customer intelligence</t>
        </is>
      </c>
      <c r="C30" s="8" t="inlineStr">
        <is>
          <t>insights</t>
        </is>
      </c>
      <c r="D30" s="16">
        <f>COUNTIF(TaskRegister[Flow ID],A30)</f>
        <v/>
      </c>
      <c r="E30" s="5" t="inlineStr">
        <is>
          <t>Tasks already filed under this category.</t>
        </is>
      </c>
      <c r="F30" s="5" t="inlineStr">
        <is>
          <t>Grouped from the category. Flow step is blank.</t>
        </is>
      </c>
    </row>
  </sheetData>
  <autoFilter ref="A3:F30"/>
  <mergeCells count="1">
    <mergeCell ref="A2:F2"/>
  </mergeCells>
  <pageMargins left="0.75" right="0.75" top="1" bottom="1" header="0.5" footer="0.5"/>
  <pageSetup orientation="landscape" fitToHeight="1" fitToWidth="1"/>
</worksheet>
</file>

<file path=xl/worksheets/sheet23.xml><?xml version="1.0" encoding="utf-8"?>
<worksheet xmlns="http://schemas.openxmlformats.org/spreadsheetml/2006/main">
  <sheetPr>
    <tabColor rgb="00455A64"/>
    <outlinePr summaryBelow="1" summaryRight="1"/>
    <pageSetUpPr fitToPage="1"/>
  </sheetPr>
  <dimension ref="A1:AU56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5" t="inlineStr">
        <is>
          <t>Task ID</t>
        </is>
      </c>
      <c r="B1" s="25" t="inlineStr">
        <is>
          <t>Task Type</t>
        </is>
      </c>
      <c r="C1" s="25" t="inlineStr">
        <is>
          <t>Persona / Scope</t>
        </is>
      </c>
      <c r="D1" s="25" t="inlineStr">
        <is>
          <t>Category</t>
        </is>
      </c>
      <c r="E1" s="25" t="inlineStr">
        <is>
          <t>Task / Business Action</t>
        </is>
      </c>
      <c r="F1" s="25" t="inlineStr">
        <is>
          <t>Primary Actor</t>
        </is>
      </c>
      <c r="G1" s="25" t="inlineStr">
        <is>
          <t>Supporting Persona(s)</t>
        </is>
      </c>
      <c r="H1" s="25" t="inlineStr">
        <is>
          <t>Business Outcome</t>
        </is>
      </c>
      <c r="I1" s="25" t="inlineStr">
        <is>
          <t>Downstream Impact</t>
        </is>
      </c>
      <c r="J1" s="25" t="inlineStr">
        <is>
          <t>Priority</t>
        </is>
      </c>
      <c r="K1" s="25" t="inlineStr">
        <is>
          <t>Validation Status</t>
        </is>
      </c>
      <c r="L1" s="25" t="inlineStr">
        <is>
          <t>Notes</t>
        </is>
      </c>
      <c r="M1" s="25" t="inlineStr">
        <is>
          <t>Register slice</t>
        </is>
      </c>
      <c r="N1" s="25" t="inlineStr">
        <is>
          <t>Scope class</t>
        </is>
      </c>
      <c r="O1" s="25" t="inlineStr">
        <is>
          <t>Authored priority</t>
        </is>
      </c>
      <c r="P1" s="25" t="inlineStr">
        <is>
          <t>Priority decision</t>
        </is>
      </c>
      <c r="Q1" s="25" t="inlineStr">
        <is>
          <t>Review outcome</t>
        </is>
      </c>
      <c r="R1" s="25" t="inlineStr">
        <is>
          <t>Audit note</t>
        </is>
      </c>
      <c r="S1" s="25" t="inlineStr">
        <is>
          <t>Flow ID</t>
        </is>
      </c>
      <c r="T1" s="25" t="inlineStr">
        <is>
          <t>Flow name</t>
        </is>
      </c>
      <c r="U1" s="25" t="inlineStr">
        <is>
          <t>Flow step</t>
        </is>
      </c>
      <c r="V1" s="25" t="inlineStr">
        <is>
          <t>Module</t>
        </is>
      </c>
      <c r="W1" s="25" t="inlineStr">
        <is>
          <t>OS layer</t>
        </is>
      </c>
      <c r="X1" s="25" t="inlineStr">
        <is>
          <t>Capability class</t>
        </is>
      </c>
      <c r="Y1" s="25" t="inlineStr">
        <is>
          <t>Canonical role</t>
        </is>
      </c>
      <c r="Z1" s="25" t="inlineStr">
        <is>
          <t>Business criticality</t>
        </is>
      </c>
      <c r="AA1" s="25" t="inlineStr">
        <is>
          <t>Failure impact</t>
        </is>
      </c>
      <c r="AB1" s="25" t="inlineStr">
        <is>
          <t>Compliance impact</t>
        </is>
      </c>
      <c r="AC1" s="25" t="inlineStr">
        <is>
          <t>Release gate</t>
        </is>
      </c>
      <c r="AD1" s="25" t="inlineStr">
        <is>
          <t>Code evidence</t>
        </is>
      </c>
      <c r="AE1" s="25" t="inlineStr">
        <is>
          <t>Integrity evidence</t>
        </is>
      </c>
      <c r="AF1" s="25" t="inlineStr">
        <is>
          <t>Recovery evidence</t>
        </is>
      </c>
      <c r="AG1" s="25" t="inlineStr">
        <is>
          <t>Security evidence</t>
        </is>
      </c>
      <c r="AH1" s="25" t="inlineStr">
        <is>
          <t>Concurrency evidence</t>
        </is>
      </c>
      <c r="AI1" s="25" t="inlineStr">
        <is>
          <t>OS ready</t>
        </is>
      </c>
      <c r="AJ1" s="25" t="inlineStr">
        <is>
          <t>Work status</t>
        </is>
      </c>
      <c r="AK1" s="25" t="inlineStr">
        <is>
          <t>Proposed priority</t>
        </is>
      </c>
      <c r="AL1" s="25" t="inlineStr">
        <is>
          <t>Risk score</t>
        </is>
      </c>
      <c r="AM1" s="25" t="inlineStr">
        <is>
          <t>Owner</t>
        </is>
      </c>
      <c r="AN1" s="25" t="inlineStr">
        <is>
          <t>Target date</t>
        </is>
      </c>
      <c r="AO1" s="25" t="inlineStr">
        <is>
          <t>Estimate days</t>
        </is>
      </c>
      <c r="AP1" s="25" t="inlineStr">
        <is>
          <t>Depends on</t>
        </is>
      </c>
      <c r="AQ1" s="25" t="inlineStr">
        <is>
          <t>Blocked by</t>
        </is>
      </c>
      <c r="AR1" s="25" t="inlineStr">
        <is>
          <t>Test case ID</t>
        </is>
      </c>
      <c r="AS1" s="25" t="inlineStr">
        <is>
          <t>Last verified</t>
        </is>
      </c>
      <c r="AT1" s="25" t="inlineStr">
        <is>
          <t>Verified by</t>
        </is>
      </c>
      <c r="AU1" s="25" t="inlineStr">
        <is>
          <t>Verification result</t>
        </is>
      </c>
    </row>
    <row r="2" ht="32" customHeight="1">
      <c r="A2" s="16" t="inlineStr">
        <is>
          <t>P-0001</t>
        </is>
      </c>
      <c r="B2" s="8" t="inlineStr">
        <is>
          <t>P</t>
        </is>
      </c>
      <c r="C2" s="5" t="inlineStr">
        <is>
          <t>Gully Vendor / Small Retailer</t>
        </is>
      </c>
      <c r="D2" s="5" t="inlineStr">
        <is>
          <t>Customer-to-Cash</t>
        </is>
      </c>
      <c r="E2" s="5" t="inlineStr">
        <is>
          <t>Create a quick bill for a walk-in customer</t>
        </is>
      </c>
      <c r="F2" s="5" t="inlineStr">
        <is>
          <t>Counter Billing Clerk</t>
        </is>
      </c>
      <c r="G2" s="5" t="inlineStr">
        <is>
          <t>Walk-in Customer</t>
        </is>
      </c>
      <c r="H2" s="5" t="inlineStr">
        <is>
          <t>Instant checkout within 15 seconds; printed or digital receipt handed over; minimal queue delay</t>
        </is>
      </c>
      <c r="I2" s="5" t="inlineStr">
        <is>
          <t>Stock decremented atomically in inventory ledger; cash drawer balance increased; sales voucher posted to GL</t>
        </is>
      </c>
      <c r="J2" s="19" t="inlineStr">
        <is>
          <t>P0</t>
        </is>
      </c>
      <c r="K2" s="20" t="inlineStr">
        <is>
          <t>Validated (Supported)</t>
        </is>
      </c>
      <c r="L2" s="5" t="inlineStr">
        <is>
          <t>Supported via /pos rapid checkout. Barcode/touch selection, instant cash tender, thermal slip print.</t>
        </is>
      </c>
      <c r="M2" s="8" t="inlineStr">
        <is>
          <t>Baseline</t>
        </is>
      </c>
      <c r="N2" s="8" t="inlineStr">
        <is>
          <t>Operational role</t>
        </is>
      </c>
      <c r="O2" s="8" t="inlineStr">
        <is>
          <t>P0</t>
        </is>
      </c>
      <c r="P2" s="5" t="inlineStr">
        <is>
          <t>Unchanged</t>
        </is>
      </c>
      <c r="Q2" s="20" t="inlineStr">
        <is>
          <t>Author assertion</t>
        </is>
      </c>
      <c r="R2" s="5" t="inlineStr"/>
      <c r="S2" s="8" t="inlineStr">
        <is>
          <t>C2C</t>
        </is>
      </c>
      <c r="T2" s="5" t="inlineStr">
        <is>
          <t>Customer to cash</t>
        </is>
      </c>
      <c r="U2" s="8" t="inlineStr"/>
      <c r="V2" s="8" t="inlineStr">
        <is>
          <t>sales</t>
        </is>
      </c>
      <c r="W2" s="8" t="inlineStr">
        <is>
          <t>RUN</t>
        </is>
      </c>
      <c r="X2" s="5" t="inlineStr">
        <is>
          <t>Core</t>
        </is>
      </c>
      <c r="Y2" s="5" t="inlineStr">
        <is>
          <t>Owner</t>
        </is>
      </c>
      <c r="Z2" s="5" t="inlineStr">
        <is>
          <t>Medium</t>
        </is>
      </c>
      <c r="AA2" s="5" t="inlineStr">
        <is>
          <t>Medium</t>
        </is>
      </c>
      <c r="AB2" s="8" t="inlineStr">
        <is>
          <t>Low</t>
        </is>
      </c>
      <c r="AC2" s="8" t="inlineStr">
        <is>
          <t>MVP</t>
        </is>
      </c>
      <c r="AD2" s="5" t="inlineStr">
        <is>
          <t>Not independently checked</t>
        </is>
      </c>
      <c r="AE2" s="5" t="inlineStr">
        <is>
          <t>Not verified</t>
        </is>
      </c>
      <c r="AF2" s="5" t="inlineStr">
        <is>
          <t>Not verified</t>
        </is>
      </c>
      <c r="AG2" s="5" t="inlineStr">
        <is>
          <t>Not verified</t>
        </is>
      </c>
      <c r="AH2" s="5" t="inlineStr">
        <is>
          <t>Not verified</t>
        </is>
      </c>
      <c r="AI2" s="8" t="inlineStr">
        <is>
          <t>No</t>
        </is>
      </c>
      <c r="AJ2" s="8" t="inlineStr">
        <is>
          <t>Claimed - unverified</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P-0002</t>
        </is>
      </c>
      <c r="B3" s="8" t="inlineStr">
        <is>
          <t>P</t>
        </is>
      </c>
      <c r="C3" s="5" t="inlineStr">
        <is>
          <t>Gully Vendor / Small Retailer</t>
        </is>
      </c>
      <c r="D3" s="5" t="inlineStr">
        <is>
          <t>Payments &amp; Reconciliation</t>
        </is>
      </c>
      <c r="E3" s="5" t="inlineStr">
        <is>
          <t>Record a cash sale</t>
        </is>
      </c>
      <c r="F3" s="5" t="inlineStr">
        <is>
          <t>Counter Billing Clerk</t>
        </is>
      </c>
      <c r="G3" s="5" t="inlineStr">
        <is>
          <t>Walk-in Customer</t>
        </is>
      </c>
      <c r="H3" s="5" t="inlineStr">
        <is>
          <t>Immediate cash payment accepted and registered in the daily till</t>
        </is>
      </c>
      <c r="I3" s="5" t="inlineStr">
        <is>
          <t>Debit Cash-in-Hand ledger account, credit Sales Revenue account; updates physical till balance</t>
        </is>
      </c>
      <c r="J3" s="19" t="inlineStr">
        <is>
          <t>P0</t>
        </is>
      </c>
      <c r="K3" s="20" t="inlineStr">
        <is>
          <t>Validated (Supported)</t>
        </is>
      </c>
      <c r="L3" s="5" t="inlineStr">
        <is>
          <t>Supported via Payment model (payment_mode='CASH') linked directly to completed SalesInvoice.</t>
        </is>
      </c>
      <c r="M3" s="8" t="inlineStr">
        <is>
          <t>Baseline</t>
        </is>
      </c>
      <c r="N3" s="8" t="inlineStr">
        <is>
          <t>Operational role</t>
        </is>
      </c>
      <c r="O3" s="8" t="inlineStr">
        <is>
          <t>P0</t>
        </is>
      </c>
      <c r="P3" s="5" t="inlineStr">
        <is>
          <t>Unchanged</t>
        </is>
      </c>
      <c r="Q3" s="21" t="inlineStr">
        <is>
          <t>Code symbol found</t>
        </is>
      </c>
      <c r="R3" s="5" t="inlineStr">
        <is>
          <t>Matched SalesInvoice in product code. This is not a functional test.</t>
        </is>
      </c>
      <c r="S3" s="8" t="inlineStr">
        <is>
          <t>PAYREC</t>
        </is>
      </c>
      <c r="T3" s="5" t="inlineStr">
        <is>
          <t>Payments and reconciliation</t>
        </is>
      </c>
      <c r="U3" s="8" t="inlineStr"/>
      <c r="V3" s="8" t="inlineStr">
        <is>
          <t>payments</t>
        </is>
      </c>
      <c r="W3" s="8" t="inlineStr">
        <is>
          <t>RUN</t>
        </is>
      </c>
      <c r="X3" s="5" t="inlineStr">
        <is>
          <t>Core</t>
        </is>
      </c>
      <c r="Y3" s="5" t="inlineStr">
        <is>
          <t>Owner</t>
        </is>
      </c>
      <c r="Z3" s="5" t="inlineStr">
        <is>
          <t>High</t>
        </is>
      </c>
      <c r="AA3" s="5" t="inlineStr">
        <is>
          <t>High</t>
        </is>
      </c>
      <c r="AB3" s="8" t="inlineStr">
        <is>
          <t>Low</t>
        </is>
      </c>
      <c r="AC3" s="8" t="inlineStr">
        <is>
          <t>MVP</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P0</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P-0003</t>
        </is>
      </c>
      <c r="B4" s="8" t="inlineStr">
        <is>
          <t>P</t>
        </is>
      </c>
      <c r="C4" s="5" t="inlineStr">
        <is>
          <t>Gully Vendor / Small Retailer</t>
        </is>
      </c>
      <c r="D4" s="5" t="inlineStr">
        <is>
          <t>Payments &amp; Reconciliation</t>
        </is>
      </c>
      <c r="E4" s="5" t="inlineStr">
        <is>
          <t>Record a UPI/digital payment</t>
        </is>
      </c>
      <c r="F4" s="5" t="inlineStr">
        <is>
          <t>Counter Billing Clerk</t>
        </is>
      </c>
      <c r="G4" s="5" t="inlineStr">
        <is>
          <t>Walk-in Customer</t>
        </is>
      </c>
      <c r="H4" s="5" t="inlineStr">
        <is>
          <t>Instant settlement via dynamic BharatPe/UPI QR code scanning</t>
        </is>
      </c>
      <c r="I4" s="5" t="inlineStr">
        <is>
          <t>Debit Bank/UPI Settlement clearing account, credit Sales Revenue account; records transaction UTR/ref</t>
        </is>
      </c>
      <c r="J4" s="19" t="inlineStr">
        <is>
          <t>P0</t>
        </is>
      </c>
      <c r="K4" s="20" t="inlineStr">
        <is>
          <t>Validated (Supported)</t>
        </is>
      </c>
      <c r="L4" s="5" t="inlineStr">
        <is>
          <t>Supported via POS screen dynamic UPI QR generator. Stores transaction UTR reference on payment record.</t>
        </is>
      </c>
      <c r="M4" s="8" t="inlineStr">
        <is>
          <t>Baseline</t>
        </is>
      </c>
      <c r="N4" s="8" t="inlineStr">
        <is>
          <t>Operational role</t>
        </is>
      </c>
      <c r="O4" s="8" t="inlineStr">
        <is>
          <t>P0</t>
        </is>
      </c>
      <c r="P4" s="5" t="inlineStr">
        <is>
          <t>Unchanged</t>
        </is>
      </c>
      <c r="Q4" s="20" t="inlineStr">
        <is>
          <t>Author assertion</t>
        </is>
      </c>
      <c r="R4" s="5" t="inlineStr"/>
      <c r="S4" s="8" t="inlineStr">
        <is>
          <t>PAYREC</t>
        </is>
      </c>
      <c r="T4" s="5" t="inlineStr">
        <is>
          <t>Payments and reconciliation</t>
        </is>
      </c>
      <c r="U4" s="8" t="inlineStr"/>
      <c r="V4" s="8" t="inlineStr">
        <is>
          <t>payments</t>
        </is>
      </c>
      <c r="W4" s="8" t="inlineStr">
        <is>
          <t>RUN</t>
        </is>
      </c>
      <c r="X4" s="5" t="inlineStr">
        <is>
          <t>Core</t>
        </is>
      </c>
      <c r="Y4" s="5" t="inlineStr">
        <is>
          <t>Owner</t>
        </is>
      </c>
      <c r="Z4" s="5" t="inlineStr">
        <is>
          <t>High</t>
        </is>
      </c>
      <c r="AA4" s="5" t="inlineStr">
        <is>
          <t>High</t>
        </is>
      </c>
      <c r="AB4" s="8" t="inlineStr">
        <is>
          <t>Low</t>
        </is>
      </c>
      <c r="AC4" s="8" t="inlineStr">
        <is>
          <t>MVP</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P0</t>
        </is>
      </c>
      <c r="AL4" s="8" t="n">
        <v>9</v>
      </c>
      <c r="AM4" s="5" t="inlineStr"/>
      <c r="AN4" s="5" t="inlineStr"/>
      <c r="AO4" s="5" t="inlineStr"/>
      <c r="AP4" s="5" t="inlineStr"/>
      <c r="AQ4" s="5" t="inlineStr"/>
      <c r="AR4" s="5" t="inlineStr"/>
      <c r="AS4" s="5" t="inlineStr"/>
      <c r="AT4" s="5" t="inlineStr"/>
      <c r="AU4" s="8" t="inlineStr">
        <is>
          <t>Not run</t>
        </is>
      </c>
    </row>
    <row r="5" ht="32" customHeight="1">
      <c r="A5" s="16" t="inlineStr">
        <is>
          <t>P-0004</t>
        </is>
      </c>
      <c r="B5" s="8" t="inlineStr">
        <is>
          <t>P</t>
        </is>
      </c>
      <c r="C5" s="5" t="inlineStr">
        <is>
          <t>Gully Vendor / Small Retailer</t>
        </is>
      </c>
      <c r="D5" s="5" t="inlineStr">
        <is>
          <t>Customer-to-Cash</t>
        </is>
      </c>
      <c r="E5" s="5" t="inlineStr">
        <is>
          <t>Find an item's price instantly</t>
        </is>
      </c>
      <c r="F5" s="5" t="inlineStr">
        <is>
          <t>Counter Billing Clerk</t>
        </is>
      </c>
      <c r="G5" s="5" t="inlineStr">
        <is>
          <t>None</t>
        </is>
      </c>
      <c r="H5" s="5" t="inlineStr">
        <is>
          <t>Zero-latency SKU and price lookup without interrupting active billing</t>
        </is>
      </c>
      <c r="I5" s="5" t="inlineStr">
        <is>
          <t>Queries indexed catalog cache; returns selling price, MRP, and real-time available stock</t>
        </is>
      </c>
      <c r="J5" s="20" t="inlineStr">
        <is>
          <t>P1</t>
        </is>
      </c>
      <c r="K5" s="20" t="inlineStr">
        <is>
          <t>Validated (Supported)</t>
        </is>
      </c>
      <c r="L5" s="5" t="inlineStr">
        <is>
          <t>Supported via client-side indexedDB catalog search with &lt;50ms keystroke debounce.</t>
        </is>
      </c>
      <c r="M5" s="8" t="inlineStr">
        <is>
          <t>Baseline</t>
        </is>
      </c>
      <c r="N5" s="8" t="inlineStr">
        <is>
          <t>Operational role</t>
        </is>
      </c>
      <c r="O5" s="8" t="inlineStr">
        <is>
          <t>P1</t>
        </is>
      </c>
      <c r="P5" s="5" t="inlineStr">
        <is>
          <t>Unchanged</t>
        </is>
      </c>
      <c r="Q5" s="21" t="inlineStr">
        <is>
          <t>Code symbol found</t>
        </is>
      </c>
      <c r="R5" s="5" t="inlineStr">
        <is>
          <t>Matched indexedDB in product code. This is not a functional test.</t>
        </is>
      </c>
      <c r="S5" s="8" t="inlineStr">
        <is>
          <t>C2C</t>
        </is>
      </c>
      <c r="T5" s="5" t="inlineStr">
        <is>
          <t>Customer to cash</t>
        </is>
      </c>
      <c r="U5" s="8" t="inlineStr"/>
      <c r="V5" s="8" t="inlineStr">
        <is>
          <t>sales</t>
        </is>
      </c>
      <c r="W5" s="8" t="inlineStr">
        <is>
          <t>RUN</t>
        </is>
      </c>
      <c r="X5" s="5" t="inlineStr">
        <is>
          <t>Core</t>
        </is>
      </c>
      <c r="Y5" s="5" t="inlineStr">
        <is>
          <t>Owner</t>
        </is>
      </c>
      <c r="Z5" s="5" t="inlineStr">
        <is>
          <t>Medium</t>
        </is>
      </c>
      <c r="AA5" s="5" t="inlineStr">
        <is>
          <t>Medium</t>
        </is>
      </c>
      <c r="AB5" s="8" t="inlineStr">
        <is>
          <t>Low</t>
        </is>
      </c>
      <c r="AC5" s="8" t="inlineStr">
        <is>
          <t>Pilot</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P-0005</t>
        </is>
      </c>
      <c r="B6" s="8" t="inlineStr">
        <is>
          <t>P</t>
        </is>
      </c>
      <c r="C6" s="5" t="inlineStr">
        <is>
          <t>Gully Vendor / Small Retailer</t>
        </is>
      </c>
      <c r="D6" s="5" t="inlineStr">
        <is>
          <t>Reporting &amp; Business Intelligence</t>
        </is>
      </c>
      <c r="E6" s="5" t="inlineStr">
        <is>
          <t>Check today's total sales</t>
        </is>
      </c>
      <c r="F6" s="5" t="inlineStr">
        <is>
          <t>Small Retailer / Owner</t>
        </is>
      </c>
      <c r="G6" s="5" t="inlineStr">
        <is>
          <t>Counter Billing Clerk</t>
        </is>
      </c>
      <c r="H6" s="5" t="inlineStr">
        <is>
          <t>Real-time visibility into total daily gross revenue and bill count</t>
        </is>
      </c>
      <c r="I6" s="5" t="inlineStr">
        <is>
          <t>Aggregates completed SalesInvoices for current calendar day; displays gross, discounts, and net sales</t>
        </is>
      </c>
      <c r="J6" s="20" t="inlineStr">
        <is>
          <t>P1</t>
        </is>
      </c>
      <c r="K6" s="20" t="inlineStr">
        <is>
          <t>Validated (Supported)</t>
        </is>
      </c>
      <c r="L6" s="5" t="inlineStr">
        <is>
          <t>Supported via DailyBusinessSummary snapshot and POS shift summary modal (/api/v1/pos/shift-summary/).</t>
        </is>
      </c>
      <c r="M6" s="8" t="inlineStr">
        <is>
          <t>Baseline</t>
        </is>
      </c>
      <c r="N6" s="8" t="inlineStr">
        <is>
          <t>Operational role</t>
        </is>
      </c>
      <c r="O6" s="8" t="inlineStr">
        <is>
          <t>P1</t>
        </is>
      </c>
      <c r="P6" s="5" t="inlineStr">
        <is>
          <t>Unchanged</t>
        </is>
      </c>
      <c r="Q6" s="21" t="inlineStr">
        <is>
          <t>Code symbol found</t>
        </is>
      </c>
      <c r="R6" s="5" t="inlineStr">
        <is>
          <t>Matched DailyBusinessSummary in product code. This is not a functional test.</t>
        </is>
      </c>
      <c r="S6" s="8" t="inlineStr">
        <is>
          <t>RPT</t>
        </is>
      </c>
      <c r="T6" s="5" t="inlineStr">
        <is>
          <t>Reporting and business intelligence</t>
        </is>
      </c>
      <c r="U6" s="8" t="inlineStr"/>
      <c r="V6" s="8" t="inlineStr">
        <is>
          <t>reporting</t>
        </is>
      </c>
      <c r="W6" s="8" t="inlineStr">
        <is>
          <t>CONTROL</t>
        </is>
      </c>
      <c r="X6" s="5" t="inlineStr">
        <is>
          <t>Core</t>
        </is>
      </c>
      <c r="Y6" s="5" t="inlineStr">
        <is>
          <t>Owner</t>
        </is>
      </c>
      <c r="Z6" s="5" t="inlineStr">
        <is>
          <t>Medium</t>
        </is>
      </c>
      <c r="AA6" s="5" t="inlineStr">
        <is>
          <t>Medium</t>
        </is>
      </c>
      <c r="AB6" s="8" t="inlineStr">
        <is>
          <t>Low</t>
        </is>
      </c>
      <c r="AC6" s="8" t="inlineStr">
        <is>
          <t>Pilot</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P-0006</t>
        </is>
      </c>
      <c r="B7" s="8" t="inlineStr">
        <is>
          <t>P</t>
        </is>
      </c>
      <c r="C7" s="5" t="inlineStr">
        <is>
          <t>Gully Vendor / Small Retailer</t>
        </is>
      </c>
      <c r="D7" s="5" t="inlineStr">
        <is>
          <t>Payments &amp; Reconciliation</t>
        </is>
      </c>
      <c r="E7" s="5" t="inlineStr">
        <is>
          <t>Check cash/UPI collected</t>
        </is>
      </c>
      <c r="F7" s="5" t="inlineStr">
        <is>
          <t>Small Retailer / Owner</t>
        </is>
      </c>
      <c r="G7" s="5" t="inlineStr">
        <is>
          <t>Counter Billing Clerk</t>
        </is>
      </c>
      <c r="H7" s="5" t="inlineStr">
        <is>
          <t>Exact breakdown of drawer cash vs digital UPI collections for end-of-day reconciliation</t>
        </is>
      </c>
      <c r="I7" s="5" t="inlineStr">
        <is>
          <t>Aggregates Payment records by payment_mode; enables physical drawer verification against system till</t>
        </is>
      </c>
      <c r="J7" s="20" t="inlineStr">
        <is>
          <t>P1</t>
        </is>
      </c>
      <c r="K7" s="20" t="inlineStr">
        <is>
          <t>Validated (Supported)</t>
        </is>
      </c>
      <c r="L7" s="5" t="inlineStr">
        <is>
          <t>Supported via /pos/shift-close endpoint with expected cash vs actual physical cash variance logging.</t>
        </is>
      </c>
      <c r="M7" s="8" t="inlineStr">
        <is>
          <t>Baseline</t>
        </is>
      </c>
      <c r="N7" s="8" t="inlineStr">
        <is>
          <t>Operational role</t>
        </is>
      </c>
      <c r="O7" s="8" t="inlineStr">
        <is>
          <t>P1</t>
        </is>
      </c>
      <c r="P7" s="5" t="inlineStr">
        <is>
          <t>Unchanged</t>
        </is>
      </c>
      <c r="Q7" s="20" t="inlineStr">
        <is>
          <t>Author assertion</t>
        </is>
      </c>
      <c r="R7" s="5" t="inlineStr"/>
      <c r="S7" s="8" t="inlineStr">
        <is>
          <t>PAYREC</t>
        </is>
      </c>
      <c r="T7" s="5" t="inlineStr">
        <is>
          <t>Payments and reconciliation</t>
        </is>
      </c>
      <c r="U7" s="8" t="inlineStr"/>
      <c r="V7" s="8" t="inlineStr">
        <is>
          <t>payments</t>
        </is>
      </c>
      <c r="W7" s="8" t="inlineStr">
        <is>
          <t>RUN</t>
        </is>
      </c>
      <c r="X7" s="5" t="inlineStr">
        <is>
          <t>Core</t>
        </is>
      </c>
      <c r="Y7" s="5" t="inlineStr">
        <is>
          <t>Owner</t>
        </is>
      </c>
      <c r="Z7" s="5" t="inlineStr">
        <is>
          <t>High</t>
        </is>
      </c>
      <c r="AA7" s="5" t="inlineStr">
        <is>
          <t>High</t>
        </is>
      </c>
      <c r="AB7" s="8" t="inlineStr">
        <is>
          <t>Low</t>
        </is>
      </c>
      <c r="AC7" s="8" t="inlineStr">
        <is>
          <t>Pilot</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9</v>
      </c>
      <c r="AM7" s="5" t="inlineStr"/>
      <c r="AN7" s="5" t="inlineStr"/>
      <c r="AO7" s="5" t="inlineStr"/>
      <c r="AP7" s="5" t="inlineStr"/>
      <c r="AQ7" s="5" t="inlineStr"/>
      <c r="AR7" s="5" t="inlineStr"/>
      <c r="AS7" s="5" t="inlineStr"/>
      <c r="AT7" s="5" t="inlineStr"/>
      <c r="AU7" s="8" t="inlineStr">
        <is>
          <t>Not run</t>
        </is>
      </c>
    </row>
    <row r="8" ht="32" customHeight="1">
      <c r="A8" s="16" t="inlineStr">
        <is>
          <t>P-0007</t>
        </is>
      </c>
      <c r="B8" s="8" t="inlineStr">
        <is>
          <t>P</t>
        </is>
      </c>
      <c r="C8" s="5" t="inlineStr">
        <is>
          <t>Gully Vendor / Small Retailer</t>
        </is>
      </c>
      <c r="D8" s="5" t="inlineStr">
        <is>
          <t>Inventory Lifecycle</t>
        </is>
      </c>
      <c r="E8" s="5" t="inlineStr">
        <is>
          <t>See low-stock items</t>
        </is>
      </c>
      <c r="F8" s="5" t="inlineStr">
        <is>
          <t>Small Retailer / Owner</t>
        </is>
      </c>
      <c r="G8" s="5" t="inlineStr">
        <is>
          <t>Distributor / Supplier</t>
        </is>
      </c>
      <c r="H8" s="5" t="inlineStr">
        <is>
          <t>Early warning of fast-moving products reaching reorder threshold to prevent stockouts</t>
        </is>
      </c>
      <c r="I8" s="5" t="inlineStr">
        <is>
          <t>Filters StockBalance where quantity &lt;= reorder_level; surfaces replenishment alert cards</t>
        </is>
      </c>
      <c r="J8" s="20" t="inlineStr">
        <is>
          <t>P1</t>
        </is>
      </c>
      <c r="K8" s="20" t="inlineStr">
        <is>
          <t>Validated (Supported)</t>
        </is>
      </c>
      <c r="L8" s="5" t="inlineStr">
        <is>
          <t>Supported in /inventory dashboard with visual low-stock badges and filtered export.</t>
        </is>
      </c>
      <c r="M8" s="8" t="inlineStr">
        <is>
          <t>Baseline</t>
        </is>
      </c>
      <c r="N8" s="8" t="inlineStr">
        <is>
          <t>Operational role</t>
        </is>
      </c>
      <c r="O8" s="8" t="inlineStr">
        <is>
          <t>P1</t>
        </is>
      </c>
      <c r="P8" s="5" t="inlineStr">
        <is>
          <t>Unchanged</t>
        </is>
      </c>
      <c r="Q8" s="20" t="inlineStr">
        <is>
          <t>Author assertion</t>
        </is>
      </c>
      <c r="R8" s="5" t="inlineStr"/>
      <c r="S8" s="8" t="inlineStr">
        <is>
          <t>INV</t>
        </is>
      </c>
      <c r="T8" s="5" t="inlineStr">
        <is>
          <t>Inventory lifecycle</t>
        </is>
      </c>
      <c r="U8" s="8" t="inlineStr"/>
      <c r="V8" s="8" t="inlineStr">
        <is>
          <t>inventory</t>
        </is>
      </c>
      <c r="W8" s="8" t="inlineStr">
        <is>
          <t>RUN</t>
        </is>
      </c>
      <c r="X8" s="5" t="inlineStr">
        <is>
          <t>Core</t>
        </is>
      </c>
      <c r="Y8" s="5" t="inlineStr">
        <is>
          <t>Owner</t>
        </is>
      </c>
      <c r="Z8" s="5" t="inlineStr">
        <is>
          <t>High</t>
        </is>
      </c>
      <c r="AA8" s="5" t="inlineStr">
        <is>
          <t>High</t>
        </is>
      </c>
      <c r="AB8" s="8" t="inlineStr">
        <is>
          <t>Low</t>
        </is>
      </c>
      <c r="AC8" s="8" t="inlineStr">
        <is>
          <t>Pilot</t>
        </is>
      </c>
      <c r="AD8" s="5" t="inlineStr">
        <is>
          <t>Not independently checked</t>
        </is>
      </c>
      <c r="AE8" s="5" t="inlineStr">
        <is>
          <t>Not verified</t>
        </is>
      </c>
      <c r="AF8" s="5" t="inlineStr">
        <is>
          <t>Not verified</t>
        </is>
      </c>
      <c r="AG8" s="5" t="inlineStr">
        <is>
          <t>Not verified</t>
        </is>
      </c>
      <c r="AH8" s="5" t="inlineStr">
        <is>
          <t>Not verified</t>
        </is>
      </c>
      <c r="AI8" s="8" t="inlineStr">
        <is>
          <t>No</t>
        </is>
      </c>
      <c r="AJ8" s="8" t="inlineStr">
        <is>
          <t>Claimed - unverified</t>
        </is>
      </c>
      <c r="AK8" s="8" t="inlineStr">
        <is>
          <t>P1</t>
        </is>
      </c>
      <c r="AL8" s="8" t="n">
        <v>9</v>
      </c>
      <c r="AM8" s="5" t="inlineStr"/>
      <c r="AN8" s="5" t="inlineStr"/>
      <c r="AO8" s="5" t="inlineStr"/>
      <c r="AP8" s="5" t="inlineStr"/>
      <c r="AQ8" s="5" t="inlineStr"/>
      <c r="AR8" s="5" t="inlineStr"/>
      <c r="AS8" s="5" t="inlineStr"/>
      <c r="AT8" s="5" t="inlineStr"/>
      <c r="AU8" s="8" t="inlineStr">
        <is>
          <t>Not run</t>
        </is>
      </c>
    </row>
    <row r="9" ht="32" customHeight="1">
      <c r="A9" s="16" t="inlineStr">
        <is>
          <t>P-0008</t>
        </is>
      </c>
      <c r="B9" s="8" t="inlineStr">
        <is>
          <t>P</t>
        </is>
      </c>
      <c r="C9" s="5" t="inlineStr">
        <is>
          <t>Gully Vendor / Small Retailer</t>
        </is>
      </c>
      <c r="D9" s="5" t="inlineStr">
        <is>
          <t>Master Data &amp; Authorization</t>
        </is>
      </c>
      <c r="E9" s="5" t="inlineStr">
        <is>
          <t>Add a new item while making a sale</t>
        </is>
      </c>
      <c r="F9" s="5" t="inlineStr">
        <is>
          <t>Counter Billing Clerk</t>
        </is>
      </c>
      <c r="G9" s="5" t="inlineStr">
        <is>
          <t>Small Retailer / Owner</t>
        </is>
      </c>
      <c r="H9" s="5" t="inlineStr">
        <is>
          <t>Non-blocking cart workflow allowing uncataloged product entry without losing customer session</t>
        </is>
      </c>
      <c r="I9" s="5" t="inlineStr">
        <is>
          <t>Creates Product master row on-the-fly, initializes opening stock layer, and appends line to active cart</t>
        </is>
      </c>
      <c r="J9" s="22" t="inlineStr">
        <is>
          <t>P2</t>
        </is>
      </c>
      <c r="K9" s="20" t="inlineStr">
        <is>
          <t>Validated (Supported)</t>
        </is>
      </c>
      <c r="L9" s="5" t="inlineStr">
        <is>
          <t>Supported via POS 'Quick Add Product' modal (/api/v1/masters/products/quick-create/).</t>
        </is>
      </c>
      <c r="M9" s="8" t="inlineStr">
        <is>
          <t>Baseline</t>
        </is>
      </c>
      <c r="N9" s="8" t="inlineStr">
        <is>
          <t>Operational role</t>
        </is>
      </c>
      <c r="O9" s="8" t="inlineStr">
        <is>
          <t>P2</t>
        </is>
      </c>
      <c r="P9" s="5" t="inlineStr">
        <is>
          <t>Unchanged</t>
        </is>
      </c>
      <c r="Q9" s="20" t="inlineStr">
        <is>
          <t>Author assertion</t>
        </is>
      </c>
      <c r="R9" s="5" t="inlineStr"/>
      <c r="S9" s="8" t="inlineStr">
        <is>
          <t>MASTER</t>
        </is>
      </c>
      <c r="T9" s="5" t="inlineStr">
        <is>
          <t>Master data and authorization</t>
        </is>
      </c>
      <c r="U9" s="8" t="inlineStr"/>
      <c r="V9" s="8" t="inlineStr">
        <is>
          <t>masters</t>
        </is>
      </c>
      <c r="W9" s="8" t="inlineStr">
        <is>
          <t>KERNEL</t>
        </is>
      </c>
      <c r="X9" s="5" t="inlineStr">
        <is>
          <t>Core</t>
        </is>
      </c>
      <c r="Y9" s="5" t="inlineStr">
        <is>
          <t>Owner</t>
        </is>
      </c>
      <c r="Z9" s="5" t="inlineStr">
        <is>
          <t>Medium</t>
        </is>
      </c>
      <c r="AA9" s="5" t="inlineStr">
        <is>
          <t>Medium</t>
        </is>
      </c>
      <c r="AB9" s="8" t="inlineStr">
        <is>
          <t>Low</t>
        </is>
      </c>
      <c r="AC9" s="8" t="inlineStr">
        <is>
          <t>Later</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P2</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P-0009</t>
        </is>
      </c>
      <c r="B10" s="8" t="inlineStr">
        <is>
          <t>P</t>
        </is>
      </c>
      <c r="C10" s="5" t="inlineStr">
        <is>
          <t>Gully Vendor / Small Retailer</t>
        </is>
      </c>
      <c r="D10" s="5" t="inlineStr">
        <is>
          <t>Receivables &amp; Payables</t>
        </is>
      </c>
      <c r="E10" s="5" t="inlineStr">
        <is>
          <t>Record a customer credit sale</t>
        </is>
      </c>
      <c r="F10" s="5" t="inlineStr">
        <is>
          <t>Counter Billing Clerk</t>
        </is>
      </c>
      <c r="G10" s="5" t="inlineStr">
        <is>
          <t>Local Credit Customer (Khata)</t>
        </is>
      </c>
      <c r="H10" s="5" t="inlineStr">
        <is>
          <t>Goods issued on credit (Khata) to trusted neighborhood customer</t>
        </is>
      </c>
      <c r="I10" s="5" t="inlineStr">
        <is>
          <t>Completes invoice with payment_status='UNPAID', creates debit entry in Customer AR ledger</t>
        </is>
      </c>
      <c r="J10" s="20" t="inlineStr">
        <is>
          <t>P1</t>
        </is>
      </c>
      <c r="K10" s="20" t="inlineStr">
        <is>
          <t>Validated (Supported)</t>
        </is>
      </c>
      <c r="L10" s="5" t="inlineStr">
        <is>
          <t>Supported via B2C/B2B Khata credit toggle on POS checkout; enforces optional credit limit check.</t>
        </is>
      </c>
      <c r="M10" s="8" t="inlineStr">
        <is>
          <t>Baseline</t>
        </is>
      </c>
      <c r="N10" s="8" t="inlineStr">
        <is>
          <t>Operational role</t>
        </is>
      </c>
      <c r="O10" s="8" t="inlineStr">
        <is>
          <t>P1</t>
        </is>
      </c>
      <c r="P10" s="5" t="inlineStr">
        <is>
          <t>Restored to authored P1. The previous workbook had P0 after a keyword rebalance.</t>
        </is>
      </c>
      <c r="Q10" s="20" t="inlineStr">
        <is>
          <t>Author assertion</t>
        </is>
      </c>
      <c r="R10" s="5" t="inlineStr">
        <is>
          <t>Restored to authored P1. The previous workbook had P0 after a keyword rebalance.</t>
        </is>
      </c>
      <c r="S10" s="8" t="inlineStr">
        <is>
          <t>ARAP</t>
        </is>
      </c>
      <c r="T10" s="5" t="inlineStr">
        <is>
          <t>Receivables and payables</t>
        </is>
      </c>
      <c r="U10" s="8" t="inlineStr"/>
      <c r="V10" s="8" t="inlineStr">
        <is>
          <t>ledgers</t>
        </is>
      </c>
      <c r="W10" s="8" t="inlineStr">
        <is>
          <t>CONTROL</t>
        </is>
      </c>
      <c r="X10" s="5" t="inlineStr">
        <is>
          <t>Core</t>
        </is>
      </c>
      <c r="Y10" s="5" t="inlineStr">
        <is>
          <t>Owner</t>
        </is>
      </c>
      <c r="Z10" s="5" t="inlineStr">
        <is>
          <t>Critical</t>
        </is>
      </c>
      <c r="AA10" s="5" t="inlineStr">
        <is>
          <t>High</t>
        </is>
      </c>
      <c r="AB10" s="8" t="inlineStr">
        <is>
          <t>Medium</t>
        </is>
      </c>
      <c r="AC10" s="8" t="inlineStr">
        <is>
          <t>Pilot</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P1</t>
        </is>
      </c>
      <c r="AL10" s="8" t="n">
        <v>18</v>
      </c>
      <c r="AM10" s="5" t="inlineStr"/>
      <c r="AN10" s="5" t="inlineStr"/>
      <c r="AO10" s="5" t="inlineStr"/>
      <c r="AP10" s="5" t="inlineStr"/>
      <c r="AQ10" s="5" t="inlineStr"/>
      <c r="AR10" s="5" t="inlineStr"/>
      <c r="AS10" s="5" t="inlineStr"/>
      <c r="AT10" s="5" t="inlineStr"/>
      <c r="AU10" s="8" t="inlineStr">
        <is>
          <t>Not run</t>
        </is>
      </c>
    </row>
    <row r="11" ht="32" customHeight="1">
      <c r="A11" s="16" t="inlineStr">
        <is>
          <t>P-0010</t>
        </is>
      </c>
      <c r="B11" s="8" t="inlineStr">
        <is>
          <t>P</t>
        </is>
      </c>
      <c r="C11" s="5" t="inlineStr">
        <is>
          <t>Gully Vendor / Small Retailer</t>
        </is>
      </c>
      <c r="D11" s="5" t="inlineStr">
        <is>
          <t>Receivables &amp; Payables</t>
        </is>
      </c>
      <c r="E11" s="5" t="inlineStr">
        <is>
          <t>Record payment from a customer</t>
        </is>
      </c>
      <c r="F11" s="5" t="inlineStr">
        <is>
          <t>Small Retailer / Owner</t>
        </is>
      </c>
      <c r="G11" s="5" t="inlineStr">
        <is>
          <t>Credit Customer</t>
        </is>
      </c>
      <c r="H11" s="5" t="inlineStr">
        <is>
          <t>Receives partial or full payment settling previous outstanding credit balance</t>
        </is>
      </c>
      <c r="I11" s="5" t="inlineStr">
        <is>
          <t>Creates Payment record, allocates credit across oldest open invoices (FIFO), decreases customer AR</t>
        </is>
      </c>
      <c r="J11" s="20" t="inlineStr">
        <is>
          <t>P1</t>
        </is>
      </c>
      <c r="K11" s="20" t="inlineStr">
        <is>
          <t>Validated (Supported)</t>
        </is>
      </c>
      <c r="L11" s="5" t="inlineStr">
        <is>
          <t>Supported via /api/v1/payments/allocation/ with auto-allocation to oldest unpaid invoices.</t>
        </is>
      </c>
      <c r="M11" s="8" t="inlineStr">
        <is>
          <t>Baseline</t>
        </is>
      </c>
      <c r="N11" s="8" t="inlineStr">
        <is>
          <t>Operational role</t>
        </is>
      </c>
      <c r="O11" s="8" t="inlineStr">
        <is>
          <t>P1</t>
        </is>
      </c>
      <c r="P11" s="5" t="inlineStr">
        <is>
          <t>Unchanged</t>
        </is>
      </c>
      <c r="Q11" s="20" t="inlineStr">
        <is>
          <t>Author assertion</t>
        </is>
      </c>
      <c r="R11" s="5" t="inlineStr"/>
      <c r="S11" s="8" t="inlineStr">
        <is>
          <t>ARAP</t>
        </is>
      </c>
      <c r="T11" s="5" t="inlineStr">
        <is>
          <t>Receivables and payables</t>
        </is>
      </c>
      <c r="U11" s="8" t="inlineStr"/>
      <c r="V11" s="8" t="inlineStr">
        <is>
          <t>ledgers</t>
        </is>
      </c>
      <c r="W11" s="8" t="inlineStr">
        <is>
          <t>CONTROL</t>
        </is>
      </c>
      <c r="X11" s="5" t="inlineStr">
        <is>
          <t>Core</t>
        </is>
      </c>
      <c r="Y11" s="5" t="inlineStr">
        <is>
          <t>Owner</t>
        </is>
      </c>
      <c r="Z11" s="5" t="inlineStr">
        <is>
          <t>Critical</t>
        </is>
      </c>
      <c r="AA11" s="5" t="inlineStr">
        <is>
          <t>High</t>
        </is>
      </c>
      <c r="AB11" s="8" t="inlineStr">
        <is>
          <t>Medium</t>
        </is>
      </c>
      <c r="AC11" s="8" t="inlineStr">
        <is>
          <t>Pilot</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P1</t>
        </is>
      </c>
      <c r="AL11" s="8" t="n">
        <v>18</v>
      </c>
      <c r="AM11" s="5" t="inlineStr"/>
      <c r="AN11" s="5" t="inlineStr"/>
      <c r="AO11" s="5" t="inlineStr"/>
      <c r="AP11" s="5" t="inlineStr"/>
      <c r="AQ11" s="5" t="inlineStr"/>
      <c r="AR11" s="5" t="inlineStr"/>
      <c r="AS11" s="5" t="inlineStr"/>
      <c r="AT11" s="5" t="inlineStr"/>
      <c r="AU11" s="8" t="inlineStr">
        <is>
          <t>Not run</t>
        </is>
      </c>
    </row>
    <row r="12" ht="32" customHeight="1">
      <c r="A12" s="16" t="inlineStr">
        <is>
          <t>P-0011</t>
        </is>
      </c>
      <c r="B12" s="8" t="inlineStr">
        <is>
          <t>P</t>
        </is>
      </c>
      <c r="C12" s="5" t="inlineStr">
        <is>
          <t>Gully Vendor / Small Retailer</t>
        </is>
      </c>
      <c r="D12" s="5" t="inlineStr">
        <is>
          <t>Receivables &amp; Payables</t>
        </is>
      </c>
      <c r="E12" s="5" t="inlineStr">
        <is>
          <t>See outstanding customer dues</t>
        </is>
      </c>
      <c r="F12" s="5" t="inlineStr">
        <is>
          <t>Small Retailer / Owner</t>
        </is>
      </c>
      <c r="G12" s="5" t="inlineStr">
        <is>
          <t>Credit Customer</t>
        </is>
      </c>
      <c r="H12" s="5" t="inlineStr">
        <is>
          <t>Instant summary of total unpaid market receivables and customer-wise balance list</t>
        </is>
      </c>
      <c r="I12" s="5" t="inlineStr">
        <is>
          <t>Calculates net derived balance per customer from completed invoices minus payments and credit notes</t>
        </is>
      </c>
      <c r="J12" s="20" t="inlineStr">
        <is>
          <t>P1</t>
        </is>
      </c>
      <c r="K12" s="20" t="inlineStr">
        <is>
          <t>Validated (Supported)</t>
        </is>
      </c>
      <c r="L12" s="5" t="inlineStr">
        <is>
          <t>Supported via /sales/customers Khata receivables view with aging breakdown.</t>
        </is>
      </c>
      <c r="M12" s="8" t="inlineStr">
        <is>
          <t>Baseline</t>
        </is>
      </c>
      <c r="N12" s="8" t="inlineStr">
        <is>
          <t>Operational role</t>
        </is>
      </c>
      <c r="O12" s="8" t="inlineStr">
        <is>
          <t>P1</t>
        </is>
      </c>
      <c r="P12" s="5" t="inlineStr">
        <is>
          <t>Unchanged</t>
        </is>
      </c>
      <c r="Q12" s="20" t="inlineStr">
        <is>
          <t>Author assertion</t>
        </is>
      </c>
      <c r="R12" s="5" t="inlineStr"/>
      <c r="S12" s="8" t="inlineStr">
        <is>
          <t>ARAP</t>
        </is>
      </c>
      <c r="T12" s="5" t="inlineStr">
        <is>
          <t>Receivables and payables</t>
        </is>
      </c>
      <c r="U12" s="8" t="inlineStr"/>
      <c r="V12" s="8" t="inlineStr">
        <is>
          <t>ledgers</t>
        </is>
      </c>
      <c r="W12" s="8" t="inlineStr">
        <is>
          <t>CONTROL</t>
        </is>
      </c>
      <c r="X12" s="5" t="inlineStr">
        <is>
          <t>Core</t>
        </is>
      </c>
      <c r="Y12" s="5" t="inlineStr">
        <is>
          <t>Owner</t>
        </is>
      </c>
      <c r="Z12" s="5" t="inlineStr">
        <is>
          <t>Critical</t>
        </is>
      </c>
      <c r="AA12" s="5" t="inlineStr">
        <is>
          <t>High</t>
        </is>
      </c>
      <c r="AB12" s="8" t="inlineStr">
        <is>
          <t>Medium</t>
        </is>
      </c>
      <c r="AC12" s="8" t="inlineStr">
        <is>
          <t>Pilot</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P1</t>
        </is>
      </c>
      <c r="AL12" s="8" t="n">
        <v>18</v>
      </c>
      <c r="AM12" s="5" t="inlineStr"/>
      <c r="AN12" s="5" t="inlineStr"/>
      <c r="AO12" s="5" t="inlineStr"/>
      <c r="AP12" s="5" t="inlineStr"/>
      <c r="AQ12" s="5" t="inlineStr"/>
      <c r="AR12" s="5" t="inlineStr"/>
      <c r="AS12" s="5" t="inlineStr"/>
      <c r="AT12" s="5" t="inlineStr"/>
      <c r="AU12" s="8" t="inlineStr">
        <is>
          <t>Not run</t>
        </is>
      </c>
    </row>
    <row r="13" ht="32" customHeight="1">
      <c r="A13" s="16" t="inlineStr">
        <is>
          <t>P-0012</t>
        </is>
      </c>
      <c r="B13" s="8" t="inlineStr">
        <is>
          <t>P</t>
        </is>
      </c>
      <c r="C13" s="5" t="inlineStr">
        <is>
          <t>Gully Vendor / Small Retailer</t>
        </is>
      </c>
      <c r="D13" s="5" t="inlineStr">
        <is>
          <t>Communication &amp; Integrations</t>
        </is>
      </c>
      <c r="E13" s="5" t="inlineStr">
        <is>
          <t>Send invoice/receipt</t>
        </is>
      </c>
      <c r="F13" s="5" t="inlineStr">
        <is>
          <t>Counter Billing Clerk</t>
        </is>
      </c>
      <c r="G13" s="5" t="inlineStr">
        <is>
          <t>Customer</t>
        </is>
      </c>
      <c r="H13" s="5" t="inlineStr">
        <is>
          <t>Paperless receipt delivered directly to customer via WhatsApp or SMS link</t>
        </is>
      </c>
      <c r="I13" s="5" t="inlineStr">
        <is>
          <t>Generates short URL for digital invoice preview; saves paper and thermal printer consumables</t>
        </is>
      </c>
      <c r="J13" s="20" t="inlineStr">
        <is>
          <t>P1</t>
        </is>
      </c>
      <c r="K13" s="20" t="inlineStr">
        <is>
          <t>Validated (Supported)</t>
        </is>
      </c>
      <c r="L13" s="5" t="inlineStr">
        <is>
          <t>Supported via WhatsApp click-to-chat API URL scheme and thermal print fallback.</t>
        </is>
      </c>
      <c r="M13" s="8" t="inlineStr">
        <is>
          <t>Baseline</t>
        </is>
      </c>
      <c r="N13" s="8" t="inlineStr">
        <is>
          <t>Operational role</t>
        </is>
      </c>
      <c r="O13" s="8" t="inlineStr">
        <is>
          <t>P1</t>
        </is>
      </c>
      <c r="P13" s="5" t="inlineStr">
        <is>
          <t>Unchanged</t>
        </is>
      </c>
      <c r="Q13" s="21" t="inlineStr">
        <is>
          <t>Code symbol found</t>
        </is>
      </c>
      <c r="R13" s="5" t="inlineStr">
        <is>
          <t>Matched WhatsApp in product code. This is not a functional test.</t>
        </is>
      </c>
      <c r="S13" s="8" t="inlineStr">
        <is>
          <t>INT</t>
        </is>
      </c>
      <c r="T13" s="5" t="inlineStr">
        <is>
          <t>Communication and integrations</t>
        </is>
      </c>
      <c r="U13" s="8" t="inlineStr"/>
      <c r="V13" s="8" t="inlineStr">
        <is>
          <t>integrations</t>
        </is>
      </c>
      <c r="W13" s="8" t="inlineStr">
        <is>
          <t>KERNEL</t>
        </is>
      </c>
      <c r="X13" s="5" t="inlineStr">
        <is>
          <t>Core</t>
        </is>
      </c>
      <c r="Y13" s="5" t="inlineStr">
        <is>
          <t>Owner</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P1</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P-0013</t>
        </is>
      </c>
      <c r="B14" s="8" t="inlineStr">
        <is>
          <t>P</t>
        </is>
      </c>
      <c r="C14" s="5" t="inlineStr">
        <is>
          <t>Gully Vendor / Small Retailer</t>
        </is>
      </c>
      <c r="D14" s="5" t="inlineStr">
        <is>
          <t>Security / Exception / Recovery</t>
        </is>
      </c>
      <c r="E14" s="5" t="inlineStr">
        <is>
          <t>Cancel or correct a wrongly created bill</t>
        </is>
      </c>
      <c r="F14" s="5" t="inlineStr">
        <is>
          <t>Small Retailer / Owner</t>
        </is>
      </c>
      <c r="G14" s="5" t="inlineStr">
        <is>
          <t>Counter Billing Clerk</t>
        </is>
      </c>
      <c r="H14" s="5" t="inlineStr">
        <is>
          <t>Safe cancellation of erroneous receipt with complete audit trail</t>
        </is>
      </c>
      <c r="I14" s="5" t="inlineStr">
        <is>
          <t>Reverses stock movements (RETURN_INWARD), posts reversal accounting voucher, voids tax entry</t>
        </is>
      </c>
      <c r="J14" s="20" t="inlineStr">
        <is>
          <t>P1</t>
        </is>
      </c>
      <c r="K14" s="20" t="inlineStr">
        <is>
          <t>Validated (Supported)</t>
        </is>
      </c>
      <c r="L14" s="5" t="inlineStr">
        <is>
          <t>Supported via SalesInvoice cancel endpoint; requires cancellation reason and manager role.</t>
        </is>
      </c>
      <c r="M14" s="8" t="inlineStr">
        <is>
          <t>Baseline</t>
        </is>
      </c>
      <c r="N14" s="8" t="inlineStr">
        <is>
          <t>Operational role</t>
        </is>
      </c>
      <c r="O14" s="8" t="inlineStr">
        <is>
          <t>P1</t>
        </is>
      </c>
      <c r="P14" s="5" t="inlineStr">
        <is>
          <t>Unchanged</t>
        </is>
      </c>
      <c r="Q14" s="21" t="inlineStr">
        <is>
          <t>Code symbol found</t>
        </is>
      </c>
      <c r="R14" s="5" t="inlineStr">
        <is>
          <t>Matched SalesInvoice in product code. This is not a functional test.</t>
        </is>
      </c>
      <c r="S14" s="8" t="inlineStr">
        <is>
          <t>OTHER</t>
        </is>
      </c>
      <c r="T14" s="5" t="inlineStr">
        <is>
          <t>Security / Exception / Recovery</t>
        </is>
      </c>
      <c r="U14" s="8" t="inlineStr"/>
      <c r="V14" s="8" t="inlineStr"/>
      <c r="W14" s="8" t="inlineStr">
        <is>
          <t>CONTROL</t>
        </is>
      </c>
      <c r="X14" s="5" t="inlineStr">
        <is>
          <t>Core</t>
        </is>
      </c>
      <c r="Y14" s="5" t="inlineStr">
        <is>
          <t>Owner</t>
        </is>
      </c>
      <c r="Z14" s="5" t="inlineStr">
        <is>
          <t>High</t>
        </is>
      </c>
      <c r="AA14" s="5" t="inlineStr">
        <is>
          <t>Medium</t>
        </is>
      </c>
      <c r="AB14" s="8" t="inlineStr">
        <is>
          <t>Medium</t>
        </is>
      </c>
      <c r="AC14" s="8" t="inlineStr">
        <is>
          <t>Pilot</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12</v>
      </c>
      <c r="AM14" s="5" t="inlineStr"/>
      <c r="AN14" s="5" t="inlineStr"/>
      <c r="AO14" s="5" t="inlineStr"/>
      <c r="AP14" s="5" t="inlineStr"/>
      <c r="AQ14" s="5" t="inlineStr"/>
      <c r="AR14" s="5" t="inlineStr"/>
      <c r="AS14" s="5" t="inlineStr"/>
      <c r="AT14" s="5" t="inlineStr"/>
      <c r="AU14" s="8" t="inlineStr">
        <is>
          <t>Not run</t>
        </is>
      </c>
    </row>
    <row r="15" ht="32" customHeight="1">
      <c r="A15" s="16" t="inlineStr">
        <is>
          <t>P-0014</t>
        </is>
      </c>
      <c r="B15" s="8" t="inlineStr">
        <is>
          <t>P</t>
        </is>
      </c>
      <c r="C15" s="5" t="inlineStr">
        <is>
          <t>Gully Vendor / Small Retailer</t>
        </is>
      </c>
      <c r="D15" s="5" t="inlineStr">
        <is>
          <t>Returns / Complaints / After-Sales</t>
        </is>
      </c>
      <c r="E15" s="5" t="inlineStr">
        <is>
          <t>Process a sales return</t>
        </is>
      </c>
      <c r="F15" s="5" t="inlineStr">
        <is>
          <t>Counter Billing Clerk</t>
        </is>
      </c>
      <c r="G15" s="5" t="inlineStr">
        <is>
          <t>Walk-in Customer</t>
        </is>
      </c>
      <c r="H15" s="5" t="inlineStr">
        <is>
          <t>Customer returns defective or unwanted items; stock returned to shelf and refund/credit issued</t>
        </is>
      </c>
      <c r="I15" s="5" t="inlineStr">
        <is>
          <t>Creates SalesReturn document, increments saleable stock, issues credit note or cash refund</t>
        </is>
      </c>
      <c r="J15" s="20" t="inlineStr">
        <is>
          <t>P1</t>
        </is>
      </c>
      <c r="K15" s="20" t="inlineStr">
        <is>
          <t>Validated (Supported)</t>
        </is>
      </c>
      <c r="L15" s="5" t="inlineStr">
        <is>
          <t>Supported via /sales/returns/ with line-item return reasons and auto credit note generation.</t>
        </is>
      </c>
      <c r="M15" s="8" t="inlineStr">
        <is>
          <t>Baseline</t>
        </is>
      </c>
      <c r="N15" s="8" t="inlineStr">
        <is>
          <t>Operational role</t>
        </is>
      </c>
      <c r="O15" s="8" t="inlineStr">
        <is>
          <t>P1</t>
        </is>
      </c>
      <c r="P15" s="5" t="inlineStr">
        <is>
          <t>Unchanged</t>
        </is>
      </c>
      <c r="Q15" s="20" t="inlineStr">
        <is>
          <t>Author assertion</t>
        </is>
      </c>
      <c r="R15" s="5" t="inlineStr"/>
      <c r="S15" s="8" t="inlineStr">
        <is>
          <t>RET</t>
        </is>
      </c>
      <c r="T15" s="5" t="inlineStr">
        <is>
          <t>Returns, complaints, and after-sales</t>
        </is>
      </c>
      <c r="U15" s="8" t="inlineStr"/>
      <c r="V15" s="8" t="inlineStr">
        <is>
          <t>sales</t>
        </is>
      </c>
      <c r="W15" s="8" t="inlineStr">
        <is>
          <t>RUN</t>
        </is>
      </c>
      <c r="X15" s="5" t="inlineStr">
        <is>
          <t>Core</t>
        </is>
      </c>
      <c r="Y15" s="5" t="inlineStr">
        <is>
          <t>Owner</t>
        </is>
      </c>
      <c r="Z15" s="5" t="inlineStr">
        <is>
          <t>Medium</t>
        </is>
      </c>
      <c r="AA15" s="5" t="inlineStr">
        <is>
          <t>Medium</t>
        </is>
      </c>
      <c r="AB15" s="8" t="inlineStr">
        <is>
          <t>Low</t>
        </is>
      </c>
      <c r="AC15" s="8" t="inlineStr">
        <is>
          <t>Pilot</t>
        </is>
      </c>
      <c r="AD15" s="5" t="inlineStr">
        <is>
          <t>Not independently checked</t>
        </is>
      </c>
      <c r="AE15" s="5" t="inlineStr">
        <is>
          <t>Not verified</t>
        </is>
      </c>
      <c r="AF15" s="5" t="inlineStr">
        <is>
          <t>Not verified</t>
        </is>
      </c>
      <c r="AG15" s="5" t="inlineStr">
        <is>
          <t>Not verified</t>
        </is>
      </c>
      <c r="AH15" s="5" t="inlineStr">
        <is>
          <t>Not verified</t>
        </is>
      </c>
      <c r="AI15" s="8" t="inlineStr">
        <is>
          <t>No</t>
        </is>
      </c>
      <c r="AJ15" s="8" t="inlineStr">
        <is>
          <t>Claimed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P-0015</t>
        </is>
      </c>
      <c r="B16" s="8" t="inlineStr">
        <is>
          <t>P</t>
        </is>
      </c>
      <c r="C16" s="5" t="inlineStr">
        <is>
          <t>Gully Vendor / Small Retailer</t>
        </is>
      </c>
      <c r="D16" s="5" t="inlineStr">
        <is>
          <t>Reporting &amp; Business Intelligence</t>
        </is>
      </c>
      <c r="E16" s="5" t="inlineStr">
        <is>
          <t>Check today's profit/margin</t>
        </is>
      </c>
      <c r="F16" s="5" t="inlineStr">
        <is>
          <t>Small Retailer / Owner</t>
        </is>
      </c>
      <c r="G16" s="5" t="inlineStr">
        <is>
          <t>None</t>
        </is>
      </c>
      <c r="H16" s="5" t="inlineStr">
        <is>
          <t>Immediate feedback on gross profit earned from today's completed transactions</t>
        </is>
      </c>
      <c r="I16" s="5" t="inlineStr">
        <is>
          <t>Calculates realized gross margin: SUM(Line Selling Price - Line FIFO Cost) across completed sales</t>
        </is>
      </c>
      <c r="J16" s="22" t="inlineStr">
        <is>
          <t>P2</t>
        </is>
      </c>
      <c r="K16" s="20" t="inlineStr">
        <is>
          <t>Validated (Supported)</t>
        </is>
      </c>
      <c r="L16" s="5" t="inlineStr">
        <is>
          <t>Supported via Owner Executive Dashboard; masked from billing clerks via role permission.</t>
        </is>
      </c>
      <c r="M16" s="8" t="inlineStr">
        <is>
          <t>Baseline</t>
        </is>
      </c>
      <c r="N16" s="8" t="inlineStr">
        <is>
          <t>Operational role</t>
        </is>
      </c>
      <c r="O16" s="8" t="inlineStr">
        <is>
          <t>P2</t>
        </is>
      </c>
      <c r="P16" s="5" t="inlineStr">
        <is>
          <t>Unchanged</t>
        </is>
      </c>
      <c r="Q16" s="20" t="inlineStr">
        <is>
          <t>Author assertion</t>
        </is>
      </c>
      <c r="R16" s="5" t="inlineStr"/>
      <c r="S16" s="8" t="inlineStr">
        <is>
          <t>RPT</t>
        </is>
      </c>
      <c r="T16" s="5" t="inlineStr">
        <is>
          <t>Reporting and business intelligence</t>
        </is>
      </c>
      <c r="U16" s="8" t="inlineStr"/>
      <c r="V16" s="8" t="inlineStr">
        <is>
          <t>reporting</t>
        </is>
      </c>
      <c r="W16" s="8" t="inlineStr">
        <is>
          <t>CONTROL</t>
        </is>
      </c>
      <c r="X16" s="5" t="inlineStr">
        <is>
          <t>Core</t>
        </is>
      </c>
      <c r="Y16" s="5" t="inlineStr">
        <is>
          <t>Owner</t>
        </is>
      </c>
      <c r="Z16" s="5" t="inlineStr">
        <is>
          <t>Medium</t>
        </is>
      </c>
      <c r="AA16" s="5" t="inlineStr">
        <is>
          <t>Medium</t>
        </is>
      </c>
      <c r="AB16" s="8" t="inlineStr">
        <is>
          <t>Low</t>
        </is>
      </c>
      <c r="AC16" s="8" t="inlineStr">
        <is>
          <t>Later</t>
        </is>
      </c>
      <c r="AD16" s="5" t="inlineStr">
        <is>
          <t>Not independently checked</t>
        </is>
      </c>
      <c r="AE16" s="5" t="inlineStr">
        <is>
          <t>Not verified</t>
        </is>
      </c>
      <c r="AF16" s="5" t="inlineStr">
        <is>
          <t>Not verified</t>
        </is>
      </c>
      <c r="AG16" s="5" t="inlineStr">
        <is>
          <t>Not verified</t>
        </is>
      </c>
      <c r="AH16" s="5" t="inlineStr">
        <is>
          <t>Not verified</t>
        </is>
      </c>
      <c r="AI16" s="8" t="inlineStr">
        <is>
          <t>No</t>
        </is>
      </c>
      <c r="AJ16" s="8" t="inlineStr">
        <is>
          <t>Claimed - unverified</t>
        </is>
      </c>
      <c r="AK16" s="8" t="inlineStr">
        <is>
          <t>P2</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P-0016</t>
        </is>
      </c>
      <c r="B17" s="8" t="inlineStr">
        <is>
          <t>P</t>
        </is>
      </c>
      <c r="C17" s="5" t="inlineStr">
        <is>
          <t>Gully Vendor / Small Retailer</t>
        </is>
      </c>
      <c r="D17" s="5" t="inlineStr">
        <is>
          <t>GST / Tax / Compliance</t>
        </is>
      </c>
      <c r="E17" s="5" t="inlineStr">
        <is>
          <t>See GST collected</t>
        </is>
      </c>
      <c r="F17" s="5" t="inlineStr">
        <is>
          <t>Small Retailer / Owner</t>
        </is>
      </c>
      <c r="G17" s="5" t="inlineStr">
        <is>
          <t>Accountant / External CA</t>
        </is>
      </c>
      <c r="H17" s="5" t="inlineStr">
        <is>
          <t>Clear visibility into cumulative CGST, SGST, and Cess tax collected for statutory compliance</t>
        </is>
      </c>
      <c r="I17" s="5" t="inlineStr">
        <is>
          <t>Aggregates output tax ledger balances for the period; provides baseline for monthly return filing</t>
        </is>
      </c>
      <c r="J17" s="22" t="inlineStr">
        <is>
          <t>P2</t>
        </is>
      </c>
      <c r="K17" s="20" t="inlineStr">
        <is>
          <t>Validated (Supported)</t>
        </is>
      </c>
      <c r="L17" s="5" t="inlineStr">
        <is>
          <t>Supported via Tax Summary card and GSTR-1 outward tax liability worksheet.</t>
        </is>
      </c>
      <c r="M17" s="8" t="inlineStr">
        <is>
          <t>Baseline</t>
        </is>
      </c>
      <c r="N17" s="8" t="inlineStr">
        <is>
          <t>Operational role</t>
        </is>
      </c>
      <c r="O17" s="8" t="inlineStr">
        <is>
          <t>P2</t>
        </is>
      </c>
      <c r="P17" s="5" t="inlineStr">
        <is>
          <t>Unchanged</t>
        </is>
      </c>
      <c r="Q17" s="20" t="inlineStr">
        <is>
          <t>Author assertion</t>
        </is>
      </c>
      <c r="R17" s="5" t="inlineStr"/>
      <c r="S17" s="8" t="inlineStr">
        <is>
          <t>GST</t>
        </is>
      </c>
      <c r="T17" s="5" t="inlineStr">
        <is>
          <t>GST and tax compliance</t>
        </is>
      </c>
      <c r="U17" s="8" t="inlineStr"/>
      <c r="V17" s="8" t="inlineStr">
        <is>
          <t>accounting</t>
        </is>
      </c>
      <c r="W17" s="8" t="inlineStr">
        <is>
          <t>CONTROL</t>
        </is>
      </c>
      <c r="X17" s="5" t="inlineStr">
        <is>
          <t>Core</t>
        </is>
      </c>
      <c r="Y17" s="5" t="inlineStr">
        <is>
          <t>Owner</t>
        </is>
      </c>
      <c r="Z17" s="5" t="inlineStr">
        <is>
          <t>Critical</t>
        </is>
      </c>
      <c r="AA17" s="5" t="inlineStr">
        <is>
          <t>High</t>
        </is>
      </c>
      <c r="AB17" s="8" t="inlineStr">
        <is>
          <t>High</t>
        </is>
      </c>
      <c r="AC17" s="8" t="inlineStr">
        <is>
          <t>Later</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P2</t>
        </is>
      </c>
      <c r="AL17" s="8" t="n">
        <v>27</v>
      </c>
      <c r="AM17" s="5" t="inlineStr"/>
      <c r="AN17" s="5" t="inlineStr"/>
      <c r="AO17" s="5" t="inlineStr"/>
      <c r="AP17" s="5" t="inlineStr"/>
      <c r="AQ17" s="5" t="inlineStr"/>
      <c r="AR17" s="5" t="inlineStr"/>
      <c r="AS17" s="5" t="inlineStr"/>
      <c r="AT17" s="5" t="inlineStr"/>
      <c r="AU17" s="8" t="inlineStr">
        <is>
          <t>Not run</t>
        </is>
      </c>
    </row>
    <row r="18" ht="32" customHeight="1">
      <c r="A18" s="16" t="inlineStr">
        <is>
          <t>P-0017</t>
        </is>
      </c>
      <c r="B18" s="8" t="inlineStr">
        <is>
          <t>P</t>
        </is>
      </c>
      <c r="C18" s="5" t="inlineStr">
        <is>
          <t>Gully Vendor / Small Retailer</t>
        </is>
      </c>
      <c r="D18" s="5" t="inlineStr">
        <is>
          <t>Import / Export / Period Close</t>
        </is>
      </c>
      <c r="E18" s="5" t="inlineStr">
        <is>
          <t>Close the day's business</t>
        </is>
      </c>
      <c r="F18" s="5" t="inlineStr">
        <is>
          <t>Small Retailer / Owner</t>
        </is>
      </c>
      <c r="G18" s="5" t="inlineStr">
        <is>
          <t>Counter Billing Clerk</t>
        </is>
      </c>
      <c r="H18" s="5" t="inlineStr">
        <is>
          <t>Formal closing of daily register, reconciling cash in drawer, UPI, and total bill count</t>
        </is>
      </c>
      <c r="I18" s="5" t="inlineStr">
        <is>
          <t>Locks daily cash till shift, records overage/shortage variance, archives daily snapshot</t>
        </is>
      </c>
      <c r="J18" s="20" t="inlineStr">
        <is>
          <t>P1</t>
        </is>
      </c>
      <c r="K18" s="20" t="inlineStr">
        <is>
          <t>Validated (Supported)</t>
        </is>
      </c>
      <c r="L18" s="5" t="inlineStr">
        <is>
          <t>Supported via /pos/shift-close workflow; produces immutable daily cash closing statement.</t>
        </is>
      </c>
      <c r="M18" s="8" t="inlineStr">
        <is>
          <t>Baseline</t>
        </is>
      </c>
      <c r="N18" s="8" t="inlineStr">
        <is>
          <t>Operational role</t>
        </is>
      </c>
      <c r="O18" s="8" t="inlineStr">
        <is>
          <t>P1</t>
        </is>
      </c>
      <c r="P18" s="5" t="inlineStr">
        <is>
          <t>Unchanged</t>
        </is>
      </c>
      <c r="Q18" s="20" t="inlineStr">
        <is>
          <t>Author assertion</t>
        </is>
      </c>
      <c r="R18" s="5" t="inlineStr"/>
      <c r="S18" s="8" t="inlineStr">
        <is>
          <t>CLOSE</t>
        </is>
      </c>
      <c r="T18" s="5" t="inlineStr">
        <is>
          <t>Import, export, and period close</t>
        </is>
      </c>
      <c r="U18" s="8" t="inlineStr"/>
      <c r="V18" s="8" t="inlineStr">
        <is>
          <t>accounting</t>
        </is>
      </c>
      <c r="W18" s="8" t="inlineStr">
        <is>
          <t>CONTROL</t>
        </is>
      </c>
      <c r="X18" s="5" t="inlineStr">
        <is>
          <t>Core</t>
        </is>
      </c>
      <c r="Y18" s="5" t="inlineStr">
        <is>
          <t>Owner</t>
        </is>
      </c>
      <c r="Z18" s="5" t="inlineStr">
        <is>
          <t>Medium</t>
        </is>
      </c>
      <c r="AA18" s="5" t="inlineStr">
        <is>
          <t>Medium</t>
        </is>
      </c>
      <c r="AB18" s="8" t="inlineStr">
        <is>
          <t>Low</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P-0018</t>
        </is>
      </c>
      <c r="B19" s="8" t="inlineStr">
        <is>
          <t>P</t>
        </is>
      </c>
      <c r="C19" s="5" t="inlineStr">
        <is>
          <t>Kirana Shop Owner</t>
        </is>
      </c>
      <c r="D19" s="5" t="inlineStr">
        <is>
          <t>Customer-to-Cash</t>
        </is>
      </c>
      <c r="E19" s="5" t="inlineStr">
        <is>
          <t>Create a customer invoice</t>
        </is>
      </c>
      <c r="F19" s="5" t="inlineStr">
        <is>
          <t>Kirana Shop Owner</t>
        </is>
      </c>
      <c r="G19" s="5" t="inlineStr">
        <is>
          <t>Walk-in / Neighborhood Customer</t>
        </is>
      </c>
      <c r="H19" s="5" t="inlineStr">
        <is>
          <t>Compliant retail invoice issued with itemized rates, discounts, and payment terms</t>
        </is>
      </c>
      <c r="I19" s="5" t="inlineStr">
        <is>
          <t>Stock decremented, customer ledger updated (if credit), sales revenue posted to GL</t>
        </is>
      </c>
      <c r="J19" s="19" t="inlineStr">
        <is>
          <t>P0</t>
        </is>
      </c>
      <c r="K19" s="20" t="inlineStr">
        <is>
          <t>Validated (Supported)</t>
        </is>
      </c>
      <c r="L19" s="5" t="inlineStr">
        <is>
          <t>Supported via /sales/invoices/create and /pos rapid checkout.</t>
        </is>
      </c>
      <c r="M19" s="8" t="inlineStr">
        <is>
          <t>Baseline</t>
        </is>
      </c>
      <c r="N19" s="8" t="inlineStr">
        <is>
          <t>Operational role</t>
        </is>
      </c>
      <c r="O19" s="8" t="inlineStr">
        <is>
          <t>P0</t>
        </is>
      </c>
      <c r="P19" s="5" t="inlineStr">
        <is>
          <t>Unchanged</t>
        </is>
      </c>
      <c r="Q19" s="20" t="inlineStr">
        <is>
          <t>Author assertion</t>
        </is>
      </c>
      <c r="R19" s="5" t="inlineStr"/>
      <c r="S19" s="8" t="inlineStr">
        <is>
          <t>C2C</t>
        </is>
      </c>
      <c r="T19" s="5" t="inlineStr">
        <is>
          <t>Customer to cash</t>
        </is>
      </c>
      <c r="U19" s="8" t="inlineStr"/>
      <c r="V19" s="8" t="inlineStr">
        <is>
          <t>sales</t>
        </is>
      </c>
      <c r="W19" s="8" t="inlineStr">
        <is>
          <t>RUN</t>
        </is>
      </c>
      <c r="X19" s="5" t="inlineStr">
        <is>
          <t>Core</t>
        </is>
      </c>
      <c r="Y19" s="5" t="inlineStr">
        <is>
          <t>Owner</t>
        </is>
      </c>
      <c r="Z19" s="5" t="inlineStr">
        <is>
          <t>Medium</t>
        </is>
      </c>
      <c r="AA19" s="5" t="inlineStr">
        <is>
          <t>Medium</t>
        </is>
      </c>
      <c r="AB19" s="8" t="inlineStr">
        <is>
          <t>Low</t>
        </is>
      </c>
      <c r="AC19" s="8" t="inlineStr">
        <is>
          <t>MVP</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P0</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P-0019</t>
        </is>
      </c>
      <c r="B20" s="8" t="inlineStr">
        <is>
          <t>P</t>
        </is>
      </c>
      <c r="C20" s="5" t="inlineStr">
        <is>
          <t>Kirana Shop Owner</t>
        </is>
      </c>
      <c r="D20" s="5" t="inlineStr">
        <is>
          <t>Procure-to-Pay</t>
        </is>
      </c>
      <c r="E20" s="5" t="inlineStr">
        <is>
          <t>Create a supplier purchase entry</t>
        </is>
      </c>
      <c r="F20" s="5" t="inlineStr">
        <is>
          <t>Kirana Shop Owner</t>
        </is>
      </c>
      <c r="G20" s="5" t="inlineStr">
        <is>
          <t>FMCG / Grain Distributor</t>
        </is>
      </c>
      <c r="H20" s="5" t="inlineStr">
        <is>
          <t>Record inward purchase bill received from wholesaler or distributor</t>
        </is>
      </c>
      <c r="I20" s="5" t="inlineStr">
        <is>
          <t>Increments stock balance via StockMovement (INWARD_PURCHASE), credits Accounts Payable (AP)</t>
        </is>
      </c>
      <c r="J20" s="20" t="inlineStr">
        <is>
          <t>P1</t>
        </is>
      </c>
      <c r="K20" s="20" t="inlineStr">
        <is>
          <t>Validated (Supported)</t>
        </is>
      </c>
      <c r="L20" s="5" t="inlineStr">
        <is>
          <t>Supported via /purchases/invoices/create; atomic stock and AP creation.</t>
        </is>
      </c>
      <c r="M20" s="8" t="inlineStr">
        <is>
          <t>Baseline</t>
        </is>
      </c>
      <c r="N20" s="8" t="inlineStr">
        <is>
          <t>Operational role</t>
        </is>
      </c>
      <c r="O20" s="8" t="inlineStr">
        <is>
          <t>P1</t>
        </is>
      </c>
      <c r="P20" s="5" t="inlineStr">
        <is>
          <t>Restored to authored P1. The previous workbook had P0 after a keyword rebalance.</t>
        </is>
      </c>
      <c r="Q20" s="20" t="inlineStr">
        <is>
          <t>Author assertion</t>
        </is>
      </c>
      <c r="R20" s="5" t="inlineStr">
        <is>
          <t>Restored to authored P1. The previous workbook had P0 after a keyword rebalance.</t>
        </is>
      </c>
      <c r="S20" s="8" t="inlineStr">
        <is>
          <t>P2P</t>
        </is>
      </c>
      <c r="T20" s="5" t="inlineStr">
        <is>
          <t>Procure to pay</t>
        </is>
      </c>
      <c r="U20" s="8" t="inlineStr"/>
      <c r="V20" s="8" t="inlineStr">
        <is>
          <t>purchases</t>
        </is>
      </c>
      <c r="W20" s="8" t="inlineStr">
        <is>
          <t>RUN</t>
        </is>
      </c>
      <c r="X20" s="5" t="inlineStr">
        <is>
          <t>Core</t>
        </is>
      </c>
      <c r="Y20" s="5" t="inlineStr">
        <is>
          <t>Owner</t>
        </is>
      </c>
      <c r="Z20" s="5" t="inlineStr">
        <is>
          <t>Medium</t>
        </is>
      </c>
      <c r="AA20" s="5" t="inlineStr">
        <is>
          <t>Medium</t>
        </is>
      </c>
      <c r="AB20" s="8" t="inlineStr">
        <is>
          <t>Low</t>
        </is>
      </c>
      <c r="AC20" s="8" t="inlineStr">
        <is>
          <t>Pilot</t>
        </is>
      </c>
      <c r="AD20" s="5" t="inlineStr">
        <is>
          <t>Not independently checked</t>
        </is>
      </c>
      <c r="AE20" s="5" t="inlineStr">
        <is>
          <t>Not verified</t>
        </is>
      </c>
      <c r="AF20" s="5" t="inlineStr">
        <is>
          <t>Not verified</t>
        </is>
      </c>
      <c r="AG20" s="5" t="inlineStr">
        <is>
          <t>Not verified</t>
        </is>
      </c>
      <c r="AH20" s="5" t="inlineStr">
        <is>
          <t>Not verified</t>
        </is>
      </c>
      <c r="AI20" s="8" t="inlineStr">
        <is>
          <t>No</t>
        </is>
      </c>
      <c r="AJ20" s="8" t="inlineStr">
        <is>
          <t>Claimed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P-0020</t>
        </is>
      </c>
      <c r="B21" s="8" t="inlineStr">
        <is>
          <t>P</t>
        </is>
      </c>
      <c r="C21" s="5" t="inlineStr">
        <is>
          <t>Kirana Shop Owner</t>
        </is>
      </c>
      <c r="D21" s="5" t="inlineStr">
        <is>
          <t>Procure-to-Pay</t>
        </is>
      </c>
      <c r="E21" s="5" t="inlineStr">
        <is>
          <t>Receive purchased goods</t>
        </is>
      </c>
      <c r="F21" s="5" t="inlineStr">
        <is>
          <t>Kirana Shop Owner</t>
        </is>
      </c>
      <c r="G21" s="5" t="inlineStr">
        <is>
          <t>Distributor Delivery Staff</t>
        </is>
      </c>
      <c r="H21" s="5" t="inlineStr">
        <is>
          <t>Physical verification and intake of received goods against supplier invoice</t>
        </is>
      </c>
      <c r="I21" s="5" t="inlineStr">
        <is>
          <t>Updates physical inventory counts, records batch numbers and manufacturing/expiry dates</t>
        </is>
      </c>
      <c r="J21" s="20" t="inlineStr">
        <is>
          <t>P1</t>
        </is>
      </c>
      <c r="K21" s="20" t="inlineStr">
        <is>
          <t>Validated (Supported)</t>
        </is>
      </c>
      <c r="L21" s="5" t="inlineStr">
        <is>
          <t>Supported in Purchase Invoice complete flow; auto-generates inward stock ledger entries.</t>
        </is>
      </c>
      <c r="M21" s="8" t="inlineStr">
        <is>
          <t>Baseline</t>
        </is>
      </c>
      <c r="N21" s="8" t="inlineStr">
        <is>
          <t>Operational role</t>
        </is>
      </c>
      <c r="O21" s="8" t="inlineStr">
        <is>
          <t>P1</t>
        </is>
      </c>
      <c r="P21" s="5" t="inlineStr">
        <is>
          <t>Unchanged</t>
        </is>
      </c>
      <c r="Q21" s="20" t="inlineStr">
        <is>
          <t>Author assertion</t>
        </is>
      </c>
      <c r="R21" s="5" t="inlineStr"/>
      <c r="S21" s="8" t="inlineStr">
        <is>
          <t>P2P</t>
        </is>
      </c>
      <c r="T21" s="5" t="inlineStr">
        <is>
          <t>Procure to pay</t>
        </is>
      </c>
      <c r="U21" s="8" t="inlineStr"/>
      <c r="V21" s="8" t="inlineStr">
        <is>
          <t>purchases</t>
        </is>
      </c>
      <c r="W21" s="8" t="inlineStr">
        <is>
          <t>RUN</t>
        </is>
      </c>
      <c r="X21" s="5" t="inlineStr">
        <is>
          <t>Core</t>
        </is>
      </c>
      <c r="Y21" s="5" t="inlineStr">
        <is>
          <t>Owner</t>
        </is>
      </c>
      <c r="Z21" s="5" t="inlineStr">
        <is>
          <t>Medium</t>
        </is>
      </c>
      <c r="AA21" s="5" t="inlineStr">
        <is>
          <t>Medium</t>
        </is>
      </c>
      <c r="AB21" s="8" t="inlineStr">
        <is>
          <t>Low</t>
        </is>
      </c>
      <c r="AC21" s="8" t="inlineStr">
        <is>
          <t>Pilot</t>
        </is>
      </c>
      <c r="AD21" s="5" t="inlineStr">
        <is>
          <t>Not independently checked</t>
        </is>
      </c>
      <c r="AE21" s="5" t="inlineStr">
        <is>
          <t>Not verified</t>
        </is>
      </c>
      <c r="AF21" s="5" t="inlineStr">
        <is>
          <t>Not verified</t>
        </is>
      </c>
      <c r="AG21" s="5" t="inlineStr">
        <is>
          <t>Not verified</t>
        </is>
      </c>
      <c r="AH21" s="5" t="inlineStr">
        <is>
          <t>Not verified</t>
        </is>
      </c>
      <c r="AI21" s="8" t="inlineStr">
        <is>
          <t>No</t>
        </is>
      </c>
      <c r="AJ21" s="8" t="inlineStr">
        <is>
          <t>Claimed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P-0021</t>
        </is>
      </c>
      <c r="B22" s="8" t="inlineStr">
        <is>
          <t>P</t>
        </is>
      </c>
      <c r="C22" s="5" t="inlineStr">
        <is>
          <t>Kirana Shop Owner</t>
        </is>
      </c>
      <c r="D22" s="5" t="inlineStr">
        <is>
          <t>Master Data &amp; Authorization</t>
        </is>
      </c>
      <c r="E22" s="5" t="inlineStr">
        <is>
          <t>Update purchase and selling prices</t>
        </is>
      </c>
      <c r="F22" s="5" t="inlineStr">
        <is>
          <t>Kirana Shop Owner</t>
        </is>
      </c>
      <c r="G22" s="5" t="inlineStr">
        <is>
          <t>None</t>
        </is>
      </c>
      <c r="H22" s="5" t="inlineStr">
        <is>
          <t>Maintain accurate profit margins when wholesale purchase prices fluctuate</t>
        </is>
      </c>
      <c r="I22" s="5" t="inlineStr">
        <is>
          <t>Updates Product master purchase_price and default selling_price; updates price list slabs</t>
        </is>
      </c>
      <c r="J22" s="20" t="inlineStr">
        <is>
          <t>P1</t>
        </is>
      </c>
      <c r="K22" s="20" t="inlineStr">
        <is>
          <t>Validated (Supported)</t>
        </is>
      </c>
      <c r="L22" s="5" t="inlineStr">
        <is>
          <t>Supported via Product Edit screen and inline quick-edit on purchase bill intake.</t>
        </is>
      </c>
      <c r="M22" s="8" t="inlineStr">
        <is>
          <t>Baseline</t>
        </is>
      </c>
      <c r="N22" s="8" t="inlineStr">
        <is>
          <t>Operational role</t>
        </is>
      </c>
      <c r="O22" s="8" t="inlineStr">
        <is>
          <t>P1</t>
        </is>
      </c>
      <c r="P22" s="5" t="inlineStr">
        <is>
          <t>Unchanged</t>
        </is>
      </c>
      <c r="Q22" s="20" t="inlineStr">
        <is>
          <t>Author assertion</t>
        </is>
      </c>
      <c r="R22" s="5" t="inlineStr"/>
      <c r="S22" s="8" t="inlineStr">
        <is>
          <t>MASTER</t>
        </is>
      </c>
      <c r="T22" s="5" t="inlineStr">
        <is>
          <t>Master data and authorization</t>
        </is>
      </c>
      <c r="U22" s="8" t="inlineStr"/>
      <c r="V22" s="8" t="inlineStr">
        <is>
          <t>masters</t>
        </is>
      </c>
      <c r="W22" s="8" t="inlineStr">
        <is>
          <t>KERNEL</t>
        </is>
      </c>
      <c r="X22" s="5" t="inlineStr">
        <is>
          <t>Core</t>
        </is>
      </c>
      <c r="Y22" s="5" t="inlineStr">
        <is>
          <t>Owner</t>
        </is>
      </c>
      <c r="Z22" s="5" t="inlineStr">
        <is>
          <t>Medium</t>
        </is>
      </c>
      <c r="AA22" s="5" t="inlineStr">
        <is>
          <t>Medium</t>
        </is>
      </c>
      <c r="AB22" s="8" t="inlineStr">
        <is>
          <t>Low</t>
        </is>
      </c>
      <c r="AC22" s="8" t="inlineStr">
        <is>
          <t>Later</t>
        </is>
      </c>
      <c r="AD22" s="5" t="inlineStr">
        <is>
          <t>Not independently checked</t>
        </is>
      </c>
      <c r="AE22" s="5" t="inlineStr">
        <is>
          <t>Not verified</t>
        </is>
      </c>
      <c r="AF22" s="5" t="inlineStr">
        <is>
          <t>Not verified</t>
        </is>
      </c>
      <c r="AG22" s="5" t="inlineStr">
        <is>
          <t>Not verified</t>
        </is>
      </c>
      <c r="AH22" s="5" t="inlineStr">
        <is>
          <t>Not verified</t>
        </is>
      </c>
      <c r="AI22" s="8" t="inlineStr">
        <is>
          <t>No</t>
        </is>
      </c>
      <c r="AJ22" s="8" t="inlineStr">
        <is>
          <t>Claimed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P-0022</t>
        </is>
      </c>
      <c r="B23" s="8" t="inlineStr">
        <is>
          <t>P</t>
        </is>
      </c>
      <c r="C23" s="5" t="inlineStr">
        <is>
          <t>Kirana Shop Owner</t>
        </is>
      </c>
      <c r="D23" s="5" t="inlineStr">
        <is>
          <t>Inventory Lifecycle</t>
        </is>
      </c>
      <c r="E23" s="5" t="inlineStr">
        <is>
          <t>Track stock quantity</t>
        </is>
      </c>
      <c r="F23" s="5" t="inlineStr">
        <is>
          <t>Kirana Shop Owner</t>
        </is>
      </c>
      <c r="G23" s="5" t="inlineStr">
        <is>
          <t>Counter Clerk</t>
        </is>
      </c>
      <c r="H23" s="5" t="inlineStr">
        <is>
          <t>Real-time accurate stock counts to prevent over-selling and identify inventory leakage</t>
        </is>
      </c>
      <c r="I23" s="5" t="inlineStr">
        <is>
          <t>Maintains append-only StockMovement ledger; dynamically derives StockBalance per warehouse</t>
        </is>
      </c>
      <c r="J23" s="19" t="inlineStr">
        <is>
          <t>P0</t>
        </is>
      </c>
      <c r="K23" s="20" t="inlineStr">
        <is>
          <t>Validated (Supported)</t>
        </is>
      </c>
      <c r="L23" s="5" t="inlineStr">
        <is>
          <t>Core system invariant: negative stock strictly blocked unless explicitly permitted by tenant policy.</t>
        </is>
      </c>
      <c r="M23" s="8" t="inlineStr">
        <is>
          <t>Baseline</t>
        </is>
      </c>
      <c r="N23" s="8" t="inlineStr">
        <is>
          <t>Operational role</t>
        </is>
      </c>
      <c r="O23" s="8" t="inlineStr">
        <is>
          <t>P0</t>
        </is>
      </c>
      <c r="P23" s="5" t="inlineStr">
        <is>
          <t>Unchanged</t>
        </is>
      </c>
      <c r="Q23" s="20" t="inlineStr">
        <is>
          <t>Author assertion</t>
        </is>
      </c>
      <c r="R23" s="5" t="inlineStr"/>
      <c r="S23" s="8" t="inlineStr">
        <is>
          <t>INV</t>
        </is>
      </c>
      <c r="T23" s="5" t="inlineStr">
        <is>
          <t>Inventory lifecycle</t>
        </is>
      </c>
      <c r="U23" s="8" t="inlineStr"/>
      <c r="V23" s="8" t="inlineStr">
        <is>
          <t>inventory</t>
        </is>
      </c>
      <c r="W23" s="8" t="inlineStr">
        <is>
          <t>RUN</t>
        </is>
      </c>
      <c r="X23" s="5" t="inlineStr">
        <is>
          <t>Core</t>
        </is>
      </c>
      <c r="Y23" s="5" t="inlineStr">
        <is>
          <t>Owner</t>
        </is>
      </c>
      <c r="Z23" s="5" t="inlineStr">
        <is>
          <t>High</t>
        </is>
      </c>
      <c r="AA23" s="5" t="inlineStr">
        <is>
          <t>High</t>
        </is>
      </c>
      <c r="AB23" s="8" t="inlineStr">
        <is>
          <t>Low</t>
        </is>
      </c>
      <c r="AC23" s="8" t="inlineStr">
        <is>
          <t>MVP</t>
        </is>
      </c>
      <c r="AD23" s="5" t="inlineStr">
        <is>
          <t>Not independently checked</t>
        </is>
      </c>
      <c r="AE23" s="5" t="inlineStr">
        <is>
          <t>Not verified</t>
        </is>
      </c>
      <c r="AF23" s="5" t="inlineStr">
        <is>
          <t>Not verified</t>
        </is>
      </c>
      <c r="AG23" s="5" t="inlineStr">
        <is>
          <t>Not verified</t>
        </is>
      </c>
      <c r="AH23" s="5" t="inlineStr">
        <is>
          <t>Not verified</t>
        </is>
      </c>
      <c r="AI23" s="8" t="inlineStr">
        <is>
          <t>No</t>
        </is>
      </c>
      <c r="AJ23" s="8" t="inlineStr">
        <is>
          <t>Claimed - unverified</t>
        </is>
      </c>
      <c r="AK23" s="8" t="inlineStr">
        <is>
          <t>P0</t>
        </is>
      </c>
      <c r="AL23" s="8" t="n">
        <v>9</v>
      </c>
      <c r="AM23" s="5" t="inlineStr"/>
      <c r="AN23" s="5" t="inlineStr"/>
      <c r="AO23" s="5" t="inlineStr"/>
      <c r="AP23" s="5" t="inlineStr"/>
      <c r="AQ23" s="5" t="inlineStr"/>
      <c r="AR23" s="5" t="inlineStr"/>
      <c r="AS23" s="5" t="inlineStr"/>
      <c r="AT23" s="5" t="inlineStr"/>
      <c r="AU23" s="8" t="inlineStr">
        <is>
          <t>Not run</t>
        </is>
      </c>
    </row>
    <row r="24" ht="32" customHeight="1">
      <c r="A24" s="16" t="inlineStr">
        <is>
          <t>P-0023</t>
        </is>
      </c>
      <c r="B24" s="8" t="inlineStr">
        <is>
          <t>P</t>
        </is>
      </c>
      <c r="C24" s="5" t="inlineStr">
        <is>
          <t>Kirana Shop Owner</t>
        </is>
      </c>
      <c r="D24" s="5" t="inlineStr">
        <is>
          <t>Inventory Lifecycle</t>
        </is>
      </c>
      <c r="E24" s="5" t="inlineStr">
        <is>
          <t>Identify low-stock items</t>
        </is>
      </c>
      <c r="F24" s="5" t="inlineStr">
        <is>
          <t>Kirana Shop Owner</t>
        </is>
      </c>
      <c r="G24" s="5" t="inlineStr">
        <is>
          <t>Supplier</t>
        </is>
      </c>
      <c r="H24" s="5" t="inlineStr">
        <is>
          <t>Proactive replenishment alerts for daily grocery staples (flour, oil, pulses)</t>
        </is>
      </c>
      <c r="I24" s="5" t="inlineStr">
        <is>
          <t>Filters inventory where StockBalance &lt;= Product.reorder_level; flags replenishment order draft</t>
        </is>
      </c>
      <c r="J24" s="20" t="inlineStr">
        <is>
          <t>P1</t>
        </is>
      </c>
      <c r="K24" s="20" t="inlineStr">
        <is>
          <t>Validated (Supported)</t>
        </is>
      </c>
      <c r="L24" s="5" t="inlineStr">
        <is>
          <t>Supported in /inventory/alerts/ with WhatsApp reorder draft generation.</t>
        </is>
      </c>
      <c r="M24" s="8" t="inlineStr">
        <is>
          <t>Baseline</t>
        </is>
      </c>
      <c r="N24" s="8" t="inlineStr">
        <is>
          <t>Operational role</t>
        </is>
      </c>
      <c r="O24" s="8" t="inlineStr">
        <is>
          <t>P1</t>
        </is>
      </c>
      <c r="P24" s="5" t="inlineStr">
        <is>
          <t>Unchanged</t>
        </is>
      </c>
      <c r="Q24" s="21" t="inlineStr">
        <is>
          <t>Code symbol found</t>
        </is>
      </c>
      <c r="R24" s="5" t="inlineStr">
        <is>
          <t>Matched WhatsApp in product code. This is not a functional test.</t>
        </is>
      </c>
      <c r="S24" s="8" t="inlineStr">
        <is>
          <t>INV</t>
        </is>
      </c>
      <c r="T24" s="5" t="inlineStr">
        <is>
          <t>Inventory lifecycle</t>
        </is>
      </c>
      <c r="U24" s="8" t="inlineStr"/>
      <c r="V24" s="8" t="inlineStr">
        <is>
          <t>inventory</t>
        </is>
      </c>
      <c r="W24" s="8" t="inlineStr">
        <is>
          <t>RUN</t>
        </is>
      </c>
      <c r="X24" s="5" t="inlineStr">
        <is>
          <t>Core</t>
        </is>
      </c>
      <c r="Y24" s="5" t="inlineStr">
        <is>
          <t>Owner</t>
        </is>
      </c>
      <c r="Z24" s="5" t="inlineStr">
        <is>
          <t>High</t>
        </is>
      </c>
      <c r="AA24" s="5" t="inlineStr">
        <is>
          <t>High</t>
        </is>
      </c>
      <c r="AB24" s="8" t="inlineStr">
        <is>
          <t>Low</t>
        </is>
      </c>
      <c r="AC24" s="8" t="inlineStr">
        <is>
          <t>Pilot</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9</v>
      </c>
      <c r="AM24" s="5" t="inlineStr"/>
      <c r="AN24" s="5" t="inlineStr"/>
      <c r="AO24" s="5" t="inlineStr"/>
      <c r="AP24" s="5" t="inlineStr"/>
      <c r="AQ24" s="5" t="inlineStr"/>
      <c r="AR24" s="5" t="inlineStr"/>
      <c r="AS24" s="5" t="inlineStr"/>
      <c r="AT24" s="5" t="inlineStr"/>
      <c r="AU24" s="8" t="inlineStr">
        <is>
          <t>Not run</t>
        </is>
      </c>
    </row>
    <row r="25" ht="32" customHeight="1">
      <c r="A25" s="16" t="inlineStr">
        <is>
          <t>P-0024</t>
        </is>
      </c>
      <c r="B25" s="8" t="inlineStr">
        <is>
          <t>P</t>
        </is>
      </c>
      <c r="C25" s="5" t="inlineStr">
        <is>
          <t>Kirana Shop Owner</t>
        </is>
      </c>
      <c r="D25" s="5" t="inlineStr">
        <is>
          <t>Reporting &amp; Business Intelligence</t>
        </is>
      </c>
      <c r="E25" s="5" t="inlineStr">
        <is>
          <t>Identify fast-moving items</t>
        </is>
      </c>
      <c r="F25" s="5" t="inlineStr">
        <is>
          <t>Kirana Shop Owner</t>
        </is>
      </c>
      <c r="G25" s="5" t="inlineStr">
        <is>
          <t>None</t>
        </is>
      </c>
      <c r="H25" s="5" t="inlineStr">
        <is>
          <t>Identifies top revenue and velocity SKUs to optimize store shelf space and working capital</t>
        </is>
      </c>
      <c r="I25" s="5" t="inlineStr">
        <is>
          <t>Analyzes sales frequency and turnover ratio over selected date range</t>
        </is>
      </c>
      <c r="J25" s="22" t="inlineStr">
        <is>
          <t>P2</t>
        </is>
      </c>
      <c r="K25" s="20" t="inlineStr">
        <is>
          <t>Validated (Supported)</t>
        </is>
      </c>
      <c r="L25" s="5" t="inlineStr">
        <is>
          <t>Supported via /reports/inventory-velocity/ report.</t>
        </is>
      </c>
      <c r="M25" s="8" t="inlineStr">
        <is>
          <t>Baseline</t>
        </is>
      </c>
      <c r="N25" s="8" t="inlineStr">
        <is>
          <t>Operational role</t>
        </is>
      </c>
      <c r="O25" s="8" t="inlineStr">
        <is>
          <t>P2</t>
        </is>
      </c>
      <c r="P25" s="5" t="inlineStr">
        <is>
          <t>Unchanged</t>
        </is>
      </c>
      <c r="Q25" s="20" t="inlineStr">
        <is>
          <t>Author assertion</t>
        </is>
      </c>
      <c r="R25" s="5" t="inlineStr"/>
      <c r="S25" s="8" t="inlineStr">
        <is>
          <t>RPT</t>
        </is>
      </c>
      <c r="T25" s="5" t="inlineStr">
        <is>
          <t>Reporting and business intelligence</t>
        </is>
      </c>
      <c r="U25" s="8" t="inlineStr"/>
      <c r="V25" s="8" t="inlineStr">
        <is>
          <t>reporting</t>
        </is>
      </c>
      <c r="W25" s="8" t="inlineStr">
        <is>
          <t>CONTROL</t>
        </is>
      </c>
      <c r="X25" s="5" t="inlineStr">
        <is>
          <t>Core</t>
        </is>
      </c>
      <c r="Y25" s="5" t="inlineStr">
        <is>
          <t>Owner</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P2</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P-0025</t>
        </is>
      </c>
      <c r="B26" s="8" t="inlineStr">
        <is>
          <t>P</t>
        </is>
      </c>
      <c r="C26" s="5" t="inlineStr">
        <is>
          <t>Kirana Shop Owner</t>
        </is>
      </c>
      <c r="D26" s="5" t="inlineStr">
        <is>
          <t>Reporting &amp; Business Intelligence</t>
        </is>
      </c>
      <c r="E26" s="5" t="inlineStr">
        <is>
          <t>Identify slow-moving/dead stock</t>
        </is>
      </c>
      <c r="F26" s="5" t="inlineStr">
        <is>
          <t>Kirana Shop Owner</t>
        </is>
      </c>
      <c r="G26" s="5" t="inlineStr">
        <is>
          <t>None</t>
        </is>
      </c>
      <c r="H26" s="5" t="inlineStr">
        <is>
          <t>Detects capital tied up in unsold inventory to trigger promotional bundling or vendor return</t>
        </is>
      </c>
      <c r="I26" s="5" t="inlineStr">
        <is>
          <t>Identifies SKUs with zero movement over 30/60/90 days; calculates tied-up capital valuation</t>
        </is>
      </c>
      <c r="J26" s="22" t="inlineStr">
        <is>
          <t>P2</t>
        </is>
      </c>
      <c r="K26" s="20" t="inlineStr">
        <is>
          <t>Validated (Supported)</t>
        </is>
      </c>
      <c r="L26" s="5" t="inlineStr">
        <is>
          <t>Supported in Inventory Aging &amp; Dead Stock Report (/reports/inventory-aging/).</t>
        </is>
      </c>
      <c r="M26" s="8" t="inlineStr">
        <is>
          <t>Baseline</t>
        </is>
      </c>
      <c r="N26" s="8" t="inlineStr">
        <is>
          <t>Operational role</t>
        </is>
      </c>
      <c r="O26" s="8" t="inlineStr">
        <is>
          <t>P2</t>
        </is>
      </c>
      <c r="P26" s="5" t="inlineStr">
        <is>
          <t>Restored to authored P2. The previous workbook had P3 after a keyword rebalance.</t>
        </is>
      </c>
      <c r="Q26" s="20" t="inlineStr">
        <is>
          <t>Author assertion</t>
        </is>
      </c>
      <c r="R26" s="5" t="inlineStr">
        <is>
          <t>Restored to authored P2. The previous workbook had P3 after a keyword rebalance.</t>
        </is>
      </c>
      <c r="S26" s="8" t="inlineStr">
        <is>
          <t>RPT</t>
        </is>
      </c>
      <c r="T26" s="5" t="inlineStr">
        <is>
          <t>Reporting and business intelligence</t>
        </is>
      </c>
      <c r="U26" s="8" t="inlineStr"/>
      <c r="V26" s="8" t="inlineStr">
        <is>
          <t>reporting</t>
        </is>
      </c>
      <c r="W26" s="8" t="inlineStr">
        <is>
          <t>CONTROL</t>
        </is>
      </c>
      <c r="X26" s="5" t="inlineStr">
        <is>
          <t>Core</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P2</t>
        </is>
      </c>
      <c r="AL26" s="8" t="n">
        <v>6</v>
      </c>
      <c r="AM26" s="5" t="inlineStr"/>
      <c r="AN26" s="5" t="inlineStr"/>
      <c r="AO26" s="5" t="inlineStr"/>
      <c r="AP26" s="5" t="inlineStr"/>
      <c r="AQ26" s="5" t="inlineStr"/>
      <c r="AR26" s="5" t="inlineStr"/>
      <c r="AS26" s="5" t="inlineStr"/>
      <c r="AT26" s="5" t="inlineStr"/>
      <c r="AU26" s="8" t="inlineStr">
        <is>
          <t>Not run</t>
        </is>
      </c>
    </row>
    <row r="27" ht="32" customHeight="1">
      <c r="A27" s="16" t="inlineStr">
        <is>
          <t>P-0026</t>
        </is>
      </c>
      <c r="B27" s="8" t="inlineStr">
        <is>
          <t>P</t>
        </is>
      </c>
      <c r="C27" s="5" t="inlineStr">
        <is>
          <t>Kirana Shop Owner</t>
        </is>
      </c>
      <c r="D27" s="5" t="inlineStr">
        <is>
          <t>Receivables &amp; Payables</t>
        </is>
      </c>
      <c r="E27" s="5" t="inlineStr">
        <is>
          <t>Track customer credit</t>
        </is>
      </c>
      <c r="F27" s="5" t="inlineStr">
        <is>
          <t>Kirana Shop Owner</t>
        </is>
      </c>
      <c r="G27" s="5" t="inlineStr">
        <is>
          <t>Khata Customer</t>
        </is>
      </c>
      <c r="H27" s="5" t="inlineStr">
        <is>
          <t>Comprehensive digital Khata tracking each neighborhood family's running credit balance</t>
        </is>
      </c>
      <c r="I27" s="5" t="inlineStr">
        <is>
          <t>Aggregates debit and credit ledger transactions; computes net balance and aging days</t>
        </is>
      </c>
      <c r="J27" s="20" t="inlineStr">
        <is>
          <t>P1</t>
        </is>
      </c>
      <c r="K27" s="20" t="inlineStr">
        <is>
          <t>Validated (Supported)</t>
        </is>
      </c>
      <c r="L27" s="5" t="inlineStr">
        <is>
          <t>Supported via /sales/customers/khata/ with individual customer statement export.</t>
        </is>
      </c>
      <c r="M27" s="8" t="inlineStr">
        <is>
          <t>Baseline</t>
        </is>
      </c>
      <c r="N27" s="8" t="inlineStr">
        <is>
          <t>Operational role</t>
        </is>
      </c>
      <c r="O27" s="8" t="inlineStr">
        <is>
          <t>P1</t>
        </is>
      </c>
      <c r="P27" s="5" t="inlineStr">
        <is>
          <t>Unchanged</t>
        </is>
      </c>
      <c r="Q27" s="20" t="inlineStr">
        <is>
          <t>Author assertion</t>
        </is>
      </c>
      <c r="R27" s="5" t="inlineStr"/>
      <c r="S27" s="8" t="inlineStr">
        <is>
          <t>ARAP</t>
        </is>
      </c>
      <c r="T27" s="5" t="inlineStr">
        <is>
          <t>Receivables and payables</t>
        </is>
      </c>
      <c r="U27" s="8" t="inlineStr"/>
      <c r="V27" s="8" t="inlineStr">
        <is>
          <t>ledgers</t>
        </is>
      </c>
      <c r="W27" s="8" t="inlineStr">
        <is>
          <t>CONTROL</t>
        </is>
      </c>
      <c r="X27" s="5" t="inlineStr">
        <is>
          <t>Core</t>
        </is>
      </c>
      <c r="Y27" s="5" t="inlineStr">
        <is>
          <t>Owner</t>
        </is>
      </c>
      <c r="Z27" s="5" t="inlineStr">
        <is>
          <t>Critical</t>
        </is>
      </c>
      <c r="AA27" s="5" t="inlineStr">
        <is>
          <t>High</t>
        </is>
      </c>
      <c r="AB27" s="8" t="inlineStr">
        <is>
          <t>Medium</t>
        </is>
      </c>
      <c r="AC27" s="8" t="inlineStr">
        <is>
          <t>Pilot</t>
        </is>
      </c>
      <c r="AD27" s="5" t="inlineStr">
        <is>
          <t>Not independently checked</t>
        </is>
      </c>
      <c r="AE27" s="5" t="inlineStr">
        <is>
          <t>Not verified</t>
        </is>
      </c>
      <c r="AF27" s="5" t="inlineStr">
        <is>
          <t>Not verified</t>
        </is>
      </c>
      <c r="AG27" s="5" t="inlineStr">
        <is>
          <t>Not verified</t>
        </is>
      </c>
      <c r="AH27" s="5" t="inlineStr">
        <is>
          <t>Not verified</t>
        </is>
      </c>
      <c r="AI27" s="8" t="inlineStr">
        <is>
          <t>No</t>
        </is>
      </c>
      <c r="AJ27" s="8" t="inlineStr">
        <is>
          <t>Claimed - unverified</t>
        </is>
      </c>
      <c r="AK27" s="8" t="inlineStr">
        <is>
          <t>P1</t>
        </is>
      </c>
      <c r="AL27" s="8" t="n">
        <v>18</v>
      </c>
      <c r="AM27" s="5" t="inlineStr"/>
      <c r="AN27" s="5" t="inlineStr"/>
      <c r="AO27" s="5" t="inlineStr"/>
      <c r="AP27" s="5" t="inlineStr"/>
      <c r="AQ27" s="5" t="inlineStr"/>
      <c r="AR27" s="5" t="inlineStr"/>
      <c r="AS27" s="5" t="inlineStr"/>
      <c r="AT27" s="5" t="inlineStr"/>
      <c r="AU27" s="8" t="inlineStr">
        <is>
          <t>Not run</t>
        </is>
      </c>
    </row>
    <row r="28" ht="32" customHeight="1">
      <c r="A28" s="16" t="inlineStr">
        <is>
          <t>P-0027</t>
        </is>
      </c>
      <c r="B28" s="8" t="inlineStr">
        <is>
          <t>P</t>
        </is>
      </c>
      <c r="C28" s="5" t="inlineStr">
        <is>
          <t>Kirana Shop Owner</t>
        </is>
      </c>
      <c r="D28" s="5" t="inlineStr">
        <is>
          <t>Receivables &amp; Payables</t>
        </is>
      </c>
      <c r="E28" s="5" t="inlineStr">
        <is>
          <t>Collect customer payments</t>
        </is>
      </c>
      <c r="F28" s="5" t="inlineStr">
        <is>
          <t>Kirana Shop Owner</t>
        </is>
      </c>
      <c r="G28" s="5" t="inlineStr">
        <is>
          <t>Customer</t>
        </is>
      </c>
      <c r="H28" s="5" t="inlineStr">
        <is>
          <t>Record cash/UPI collections settling outstanding customer khata accounts</t>
        </is>
      </c>
      <c r="I28" s="5" t="inlineStr">
        <is>
          <t>Applies payment against unpaid customer invoices; updates receivables ledger and cash balance</t>
        </is>
      </c>
      <c r="J28" s="20" t="inlineStr">
        <is>
          <t>P1</t>
        </is>
      </c>
      <c r="K28" s="20" t="inlineStr">
        <is>
          <t>Validated (Supported)</t>
        </is>
      </c>
      <c r="L28" s="5" t="inlineStr">
        <is>
          <t>Supported via Payment entry screen with automated FIFO invoice reconciliation.</t>
        </is>
      </c>
      <c r="M28" s="8" t="inlineStr">
        <is>
          <t>Baseline</t>
        </is>
      </c>
      <c r="N28" s="8" t="inlineStr">
        <is>
          <t>Operational role</t>
        </is>
      </c>
      <c r="O28" s="8" t="inlineStr">
        <is>
          <t>P1</t>
        </is>
      </c>
      <c r="P28" s="5" t="inlineStr">
        <is>
          <t>Unchanged</t>
        </is>
      </c>
      <c r="Q28" s="20" t="inlineStr">
        <is>
          <t>Author assertion</t>
        </is>
      </c>
      <c r="R28" s="5" t="inlineStr"/>
      <c r="S28" s="8" t="inlineStr">
        <is>
          <t>ARAP</t>
        </is>
      </c>
      <c r="T28" s="5" t="inlineStr">
        <is>
          <t>Receivables and payables</t>
        </is>
      </c>
      <c r="U28" s="8" t="inlineStr"/>
      <c r="V28" s="8" t="inlineStr">
        <is>
          <t>ledgers</t>
        </is>
      </c>
      <c r="W28" s="8" t="inlineStr">
        <is>
          <t>CONTROL</t>
        </is>
      </c>
      <c r="X28" s="5" t="inlineStr">
        <is>
          <t>Core</t>
        </is>
      </c>
      <c r="Y28" s="5" t="inlineStr">
        <is>
          <t>Owner</t>
        </is>
      </c>
      <c r="Z28" s="5" t="inlineStr">
        <is>
          <t>Critical</t>
        </is>
      </c>
      <c r="AA28" s="5" t="inlineStr">
        <is>
          <t>High</t>
        </is>
      </c>
      <c r="AB28" s="8" t="inlineStr">
        <is>
          <t>Medium</t>
        </is>
      </c>
      <c r="AC28" s="8" t="inlineStr">
        <is>
          <t>Pilot</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18</v>
      </c>
      <c r="AM28" s="5" t="inlineStr"/>
      <c r="AN28" s="5" t="inlineStr"/>
      <c r="AO28" s="5" t="inlineStr"/>
      <c r="AP28" s="5" t="inlineStr"/>
      <c r="AQ28" s="5" t="inlineStr"/>
      <c r="AR28" s="5" t="inlineStr"/>
      <c r="AS28" s="5" t="inlineStr"/>
      <c r="AT28" s="5" t="inlineStr"/>
      <c r="AU28" s="8" t="inlineStr">
        <is>
          <t>Not run</t>
        </is>
      </c>
    </row>
    <row r="29" ht="32" customHeight="1">
      <c r="A29" s="16" t="inlineStr">
        <is>
          <t>P-0028</t>
        </is>
      </c>
      <c r="B29" s="8" t="inlineStr">
        <is>
          <t>P</t>
        </is>
      </c>
      <c r="C29" s="5" t="inlineStr">
        <is>
          <t>Kirana Shop Owner</t>
        </is>
      </c>
      <c r="D29" s="5" t="inlineStr">
        <is>
          <t>Receivables &amp; Payables</t>
        </is>
      </c>
      <c r="E29" s="5" t="inlineStr">
        <is>
          <t>Track supplier outstanding</t>
        </is>
      </c>
      <c r="F29" s="5" t="inlineStr">
        <is>
          <t>Kirana Shop Owner</t>
        </is>
      </c>
      <c r="G29" s="5" t="inlineStr">
        <is>
          <t>Distributor / Supplier</t>
        </is>
      </c>
      <c r="H29" s="5" t="inlineStr">
        <is>
          <t>Monitor dues payable to FMCG distributors to plan weekly vendor payments</t>
        </is>
      </c>
      <c r="I29" s="5" t="inlineStr">
        <is>
          <t>Computes net Accounts Payable from completed purchase bills minus payments and debit notes</t>
        </is>
      </c>
      <c r="J29" s="20" t="inlineStr">
        <is>
          <t>P1</t>
        </is>
      </c>
      <c r="K29" s="20" t="inlineStr">
        <is>
          <t>Validated (Supported)</t>
        </is>
      </c>
      <c r="L29" s="5" t="inlineStr">
        <is>
          <t>Supported via /purchases/suppliers/ payables aging dashboard.</t>
        </is>
      </c>
      <c r="M29" s="8" t="inlineStr">
        <is>
          <t>Baseline</t>
        </is>
      </c>
      <c r="N29" s="8" t="inlineStr">
        <is>
          <t>Operational role</t>
        </is>
      </c>
      <c r="O29" s="8" t="inlineStr">
        <is>
          <t>P1</t>
        </is>
      </c>
      <c r="P29" s="5" t="inlineStr">
        <is>
          <t>Unchanged</t>
        </is>
      </c>
      <c r="Q29" s="20" t="inlineStr">
        <is>
          <t>Author assertion</t>
        </is>
      </c>
      <c r="R29" s="5" t="inlineStr"/>
      <c r="S29" s="8" t="inlineStr">
        <is>
          <t>ARAP</t>
        </is>
      </c>
      <c r="T29" s="5" t="inlineStr">
        <is>
          <t>Receivables and payables</t>
        </is>
      </c>
      <c r="U29" s="8" t="inlineStr"/>
      <c r="V29" s="8" t="inlineStr">
        <is>
          <t>ledgers</t>
        </is>
      </c>
      <c r="W29" s="8" t="inlineStr">
        <is>
          <t>CONTROL</t>
        </is>
      </c>
      <c r="X29" s="5" t="inlineStr">
        <is>
          <t>Core</t>
        </is>
      </c>
      <c r="Y29" s="5" t="inlineStr">
        <is>
          <t>Owner</t>
        </is>
      </c>
      <c r="Z29" s="5" t="inlineStr">
        <is>
          <t>Critical</t>
        </is>
      </c>
      <c r="AA29" s="5" t="inlineStr">
        <is>
          <t>High</t>
        </is>
      </c>
      <c r="AB29" s="8" t="inlineStr">
        <is>
          <t>Medium</t>
        </is>
      </c>
      <c r="AC29" s="8" t="inlineStr">
        <is>
          <t>Pilot</t>
        </is>
      </c>
      <c r="AD29" s="5" t="inlineStr">
        <is>
          <t>Not independently checked</t>
        </is>
      </c>
      <c r="AE29" s="5" t="inlineStr">
        <is>
          <t>Not verified</t>
        </is>
      </c>
      <c r="AF29" s="5" t="inlineStr">
        <is>
          <t>Not verified</t>
        </is>
      </c>
      <c r="AG29" s="5" t="inlineStr">
        <is>
          <t>Not verified</t>
        </is>
      </c>
      <c r="AH29" s="5" t="inlineStr">
        <is>
          <t>Not verified</t>
        </is>
      </c>
      <c r="AI29" s="8" t="inlineStr">
        <is>
          <t>No</t>
        </is>
      </c>
      <c r="AJ29" s="8" t="inlineStr">
        <is>
          <t>Claimed - unverified</t>
        </is>
      </c>
      <c r="AK29" s="8" t="inlineStr">
        <is>
          <t>P1</t>
        </is>
      </c>
      <c r="AL29" s="8" t="n">
        <v>18</v>
      </c>
      <c r="AM29" s="5" t="inlineStr"/>
      <c r="AN29" s="5" t="inlineStr"/>
      <c r="AO29" s="5" t="inlineStr"/>
      <c r="AP29" s="5" t="inlineStr"/>
      <c r="AQ29" s="5" t="inlineStr"/>
      <c r="AR29" s="5" t="inlineStr"/>
      <c r="AS29" s="5" t="inlineStr"/>
      <c r="AT29" s="5" t="inlineStr"/>
      <c r="AU29" s="8" t="inlineStr">
        <is>
          <t>Not run</t>
        </is>
      </c>
    </row>
    <row r="30" ht="32" customHeight="1">
      <c r="A30" s="16" t="inlineStr">
        <is>
          <t>P-0029</t>
        </is>
      </c>
      <c r="B30" s="8" t="inlineStr">
        <is>
          <t>P</t>
        </is>
      </c>
      <c r="C30" s="5" t="inlineStr">
        <is>
          <t>Kirana Shop Owner</t>
        </is>
      </c>
      <c r="D30" s="5" t="inlineStr">
        <is>
          <t>Receivables &amp; Payables</t>
        </is>
      </c>
      <c r="E30" s="5" t="inlineStr">
        <is>
          <t>Record supplier payment</t>
        </is>
      </c>
      <c r="F30" s="5" t="inlineStr">
        <is>
          <t>Kirana Shop Owner</t>
        </is>
      </c>
      <c r="G30" s="5" t="inlineStr">
        <is>
          <t>Supplier</t>
        </is>
      </c>
      <c r="H30" s="5" t="inlineStr">
        <is>
          <t>Disburse payments to vendors via cash, cheque, or NEFT/IMPS bank transfer</t>
        </is>
      </c>
      <c r="I30" s="5" t="inlineStr">
        <is>
          <t>Debits Accounts Payable ledger, credits Bank/Cash account; matches supplier invoices</t>
        </is>
      </c>
      <c r="J30" s="20" t="inlineStr">
        <is>
          <t>P1</t>
        </is>
      </c>
      <c r="K30" s="20" t="inlineStr">
        <is>
          <t>Validated (Supported)</t>
        </is>
      </c>
      <c r="L30" s="5" t="inlineStr">
        <is>
          <t>Supported via /purchases/payments/create with multi-invoice payment matching.</t>
        </is>
      </c>
      <c r="M30" s="8" t="inlineStr">
        <is>
          <t>Baseline</t>
        </is>
      </c>
      <c r="N30" s="8" t="inlineStr">
        <is>
          <t>Operational role</t>
        </is>
      </c>
      <c r="O30" s="8" t="inlineStr">
        <is>
          <t>P1</t>
        </is>
      </c>
      <c r="P30" s="5" t="inlineStr">
        <is>
          <t>Unchanged</t>
        </is>
      </c>
      <c r="Q30" s="20" t="inlineStr">
        <is>
          <t>Author assertion</t>
        </is>
      </c>
      <c r="R30" s="5" t="inlineStr"/>
      <c r="S30" s="8" t="inlineStr">
        <is>
          <t>ARAP</t>
        </is>
      </c>
      <c r="T30" s="5" t="inlineStr">
        <is>
          <t>Receivables and payables</t>
        </is>
      </c>
      <c r="U30" s="8" t="inlineStr"/>
      <c r="V30" s="8" t="inlineStr">
        <is>
          <t>ledgers</t>
        </is>
      </c>
      <c r="W30" s="8" t="inlineStr">
        <is>
          <t>CONTROL</t>
        </is>
      </c>
      <c r="X30" s="5" t="inlineStr">
        <is>
          <t>Core</t>
        </is>
      </c>
      <c r="Y30" s="5" t="inlineStr">
        <is>
          <t>Owner</t>
        </is>
      </c>
      <c r="Z30" s="5" t="inlineStr">
        <is>
          <t>Critical</t>
        </is>
      </c>
      <c r="AA30" s="5" t="inlineStr">
        <is>
          <t>High</t>
        </is>
      </c>
      <c r="AB30" s="8" t="inlineStr">
        <is>
          <t>Medium</t>
        </is>
      </c>
      <c r="AC30" s="8" t="inlineStr">
        <is>
          <t>Pilot</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18</v>
      </c>
      <c r="AM30" s="5" t="inlineStr"/>
      <c r="AN30" s="5" t="inlineStr"/>
      <c r="AO30" s="5" t="inlineStr"/>
      <c r="AP30" s="5" t="inlineStr"/>
      <c r="AQ30" s="5" t="inlineStr"/>
      <c r="AR30" s="5" t="inlineStr"/>
      <c r="AS30" s="5" t="inlineStr"/>
      <c r="AT30" s="5" t="inlineStr"/>
      <c r="AU30" s="8" t="inlineStr">
        <is>
          <t>Not run</t>
        </is>
      </c>
    </row>
    <row r="31" ht="32" customHeight="1">
      <c r="A31" s="16" t="inlineStr">
        <is>
          <t>P-0030</t>
        </is>
      </c>
      <c r="B31" s="8" t="inlineStr">
        <is>
          <t>P</t>
        </is>
      </c>
      <c r="C31" s="5" t="inlineStr">
        <is>
          <t>Kirana Shop Owner</t>
        </is>
      </c>
      <c r="D31" s="5" t="inlineStr">
        <is>
          <t>Returns / Complaints / After-Sales</t>
        </is>
      </c>
      <c r="E31" s="5" t="inlineStr">
        <is>
          <t>Process sales returns</t>
        </is>
      </c>
      <c r="F31" s="5" t="inlineStr">
        <is>
          <t>Kirana Shop Owner</t>
        </is>
      </c>
      <c r="G31" s="5" t="inlineStr">
        <is>
          <t>Customer</t>
        </is>
      </c>
      <c r="H31" s="5" t="inlineStr">
        <is>
          <t>Accept damaged or rejected goods returned by retail customer and issue refund/credit</t>
        </is>
      </c>
      <c r="I31" s="5" t="inlineStr">
        <is>
          <t>Restores stock to inventory ledger (or damaged bin) and adjusts customer balance/credit note</t>
        </is>
      </c>
      <c r="J31" s="20" t="inlineStr">
        <is>
          <t>P1</t>
        </is>
      </c>
      <c r="K31" s="20" t="inlineStr">
        <is>
          <t>Validated (Supported)</t>
        </is>
      </c>
      <c r="L31" s="5" t="inlineStr">
        <is>
          <t>Supported via /sales/returns/ with Credit Note generation.</t>
        </is>
      </c>
      <c r="M31" s="8" t="inlineStr">
        <is>
          <t>Baseline</t>
        </is>
      </c>
      <c r="N31" s="8" t="inlineStr">
        <is>
          <t>Operational role</t>
        </is>
      </c>
      <c r="O31" s="8" t="inlineStr">
        <is>
          <t>P1</t>
        </is>
      </c>
      <c r="P31" s="5" t="inlineStr">
        <is>
          <t>Unchanged</t>
        </is>
      </c>
      <c r="Q31" s="20" t="inlineStr">
        <is>
          <t>Author assertion</t>
        </is>
      </c>
      <c r="R31" s="5" t="inlineStr"/>
      <c r="S31" s="8" t="inlineStr">
        <is>
          <t>RET</t>
        </is>
      </c>
      <c r="T31" s="5" t="inlineStr">
        <is>
          <t>Returns, complaints, and after-sales</t>
        </is>
      </c>
      <c r="U31" s="8" t="inlineStr"/>
      <c r="V31" s="8" t="inlineStr">
        <is>
          <t>sales</t>
        </is>
      </c>
      <c r="W31" s="8" t="inlineStr">
        <is>
          <t>RUN</t>
        </is>
      </c>
      <c r="X31" s="5" t="inlineStr">
        <is>
          <t>Core</t>
        </is>
      </c>
      <c r="Y31" s="5" t="inlineStr">
        <is>
          <t>Owner</t>
        </is>
      </c>
      <c r="Z31" s="5" t="inlineStr">
        <is>
          <t>Medium</t>
        </is>
      </c>
      <c r="AA31" s="5" t="inlineStr">
        <is>
          <t>Medium</t>
        </is>
      </c>
      <c r="AB31" s="8" t="inlineStr">
        <is>
          <t>Low</t>
        </is>
      </c>
      <c r="AC31" s="8" t="inlineStr">
        <is>
          <t>Pilot</t>
        </is>
      </c>
      <c r="AD31" s="5" t="inlineStr">
        <is>
          <t>Not independently checked</t>
        </is>
      </c>
      <c r="AE31" s="5" t="inlineStr">
        <is>
          <t>Not verified</t>
        </is>
      </c>
      <c r="AF31" s="5" t="inlineStr">
        <is>
          <t>Not verified</t>
        </is>
      </c>
      <c r="AG31" s="5" t="inlineStr">
        <is>
          <t>Not verified</t>
        </is>
      </c>
      <c r="AH31" s="5" t="inlineStr">
        <is>
          <t>Not verified</t>
        </is>
      </c>
      <c r="AI31" s="8" t="inlineStr">
        <is>
          <t>No</t>
        </is>
      </c>
      <c r="AJ31" s="8" t="inlineStr">
        <is>
          <t>Claimed - unverified</t>
        </is>
      </c>
      <c r="AK31" s="8" t="inlineStr">
        <is>
          <t>P1</t>
        </is>
      </c>
      <c r="AL31" s="8" t="n">
        <v>6</v>
      </c>
      <c r="AM31" s="5" t="inlineStr"/>
      <c r="AN31" s="5" t="inlineStr"/>
      <c r="AO31" s="5" t="inlineStr"/>
      <c r="AP31" s="5" t="inlineStr"/>
      <c r="AQ31" s="5" t="inlineStr"/>
      <c r="AR31" s="5" t="inlineStr"/>
      <c r="AS31" s="5" t="inlineStr"/>
      <c r="AT31" s="5" t="inlineStr"/>
      <c r="AU31" s="8" t="inlineStr">
        <is>
          <t>Not run</t>
        </is>
      </c>
    </row>
    <row r="32" ht="32" customHeight="1">
      <c r="A32" s="16" t="inlineStr">
        <is>
          <t>P-0031</t>
        </is>
      </c>
      <c r="B32" s="8" t="inlineStr">
        <is>
          <t>P</t>
        </is>
      </c>
      <c r="C32" s="5" t="inlineStr">
        <is>
          <t>Kirana Shop Owner</t>
        </is>
      </c>
      <c r="D32" s="5" t="inlineStr">
        <is>
          <t>Returns / Complaints / After-Sales</t>
        </is>
      </c>
      <c r="E32" s="5" t="inlineStr">
        <is>
          <t>Process purchase returns</t>
        </is>
      </c>
      <c r="F32" s="5" t="inlineStr">
        <is>
          <t>Kirana Shop Owner</t>
        </is>
      </c>
      <c r="G32" s="5" t="inlineStr">
        <is>
          <t>Distributor</t>
        </is>
      </c>
      <c r="H32" s="5" t="inlineStr">
        <is>
          <t>Return damaged, expired, or near-expiry goods to distributor for debit credit note</t>
        </is>
      </c>
      <c r="I32" s="5" t="inlineStr">
        <is>
          <t>Decrements warehouse stock (RETURN_OUTWARD) and generates supplier PurchaseDebitNote</t>
        </is>
      </c>
      <c r="J32" s="20" t="inlineStr">
        <is>
          <t>P1</t>
        </is>
      </c>
      <c r="K32" s="20" t="inlineStr">
        <is>
          <t>Validated (Supported)</t>
        </is>
      </c>
      <c r="L32" s="5" t="inlineStr">
        <is>
          <t>Supported via /purchases/returns/ with Debit Note generation.</t>
        </is>
      </c>
      <c r="M32" s="8" t="inlineStr">
        <is>
          <t>Baseline</t>
        </is>
      </c>
      <c r="N32" s="8" t="inlineStr">
        <is>
          <t>Operational role</t>
        </is>
      </c>
      <c r="O32" s="8" t="inlineStr">
        <is>
          <t>P1</t>
        </is>
      </c>
      <c r="P32" s="5" t="inlineStr">
        <is>
          <t>Unchanged</t>
        </is>
      </c>
      <c r="Q32" s="20" t="inlineStr">
        <is>
          <t>Author assertion</t>
        </is>
      </c>
      <c r="R32" s="5" t="inlineStr"/>
      <c r="S32" s="8" t="inlineStr">
        <is>
          <t>RET</t>
        </is>
      </c>
      <c r="T32" s="5" t="inlineStr">
        <is>
          <t>Returns, complaints, and after-sales</t>
        </is>
      </c>
      <c r="U32" s="8" t="inlineStr"/>
      <c r="V32" s="8" t="inlineStr">
        <is>
          <t>sales</t>
        </is>
      </c>
      <c r="W32" s="8" t="inlineStr">
        <is>
          <t>RUN</t>
        </is>
      </c>
      <c r="X32" s="5" t="inlineStr">
        <is>
          <t>Core</t>
        </is>
      </c>
      <c r="Y32" s="5" t="inlineStr">
        <is>
          <t>Owner</t>
        </is>
      </c>
      <c r="Z32" s="5" t="inlineStr">
        <is>
          <t>Medium</t>
        </is>
      </c>
      <c r="AA32" s="5" t="inlineStr">
        <is>
          <t>Medium</t>
        </is>
      </c>
      <c r="AB32" s="8" t="inlineStr">
        <is>
          <t>Low</t>
        </is>
      </c>
      <c r="AC32" s="8" t="inlineStr">
        <is>
          <t>Pilot</t>
        </is>
      </c>
      <c r="AD32" s="5" t="inlineStr">
        <is>
          <t>Not independently checked</t>
        </is>
      </c>
      <c r="AE32" s="5" t="inlineStr">
        <is>
          <t>Not verified</t>
        </is>
      </c>
      <c r="AF32" s="5" t="inlineStr">
        <is>
          <t>Not verified</t>
        </is>
      </c>
      <c r="AG32" s="5" t="inlineStr">
        <is>
          <t>Not verified</t>
        </is>
      </c>
      <c r="AH32" s="5" t="inlineStr">
        <is>
          <t>Not verified</t>
        </is>
      </c>
      <c r="AI32" s="8" t="inlineStr">
        <is>
          <t>No</t>
        </is>
      </c>
      <c r="AJ32" s="8" t="inlineStr">
        <is>
          <t>Claimed - unverified</t>
        </is>
      </c>
      <c r="AK32" s="8" t="inlineStr">
        <is>
          <t>P1</t>
        </is>
      </c>
      <c r="AL32" s="8" t="n">
        <v>6</v>
      </c>
      <c r="AM32" s="5" t="inlineStr"/>
      <c r="AN32" s="5" t="inlineStr"/>
      <c r="AO32" s="5" t="inlineStr"/>
      <c r="AP32" s="5" t="inlineStr"/>
      <c r="AQ32" s="5" t="inlineStr"/>
      <c r="AR32" s="5" t="inlineStr"/>
      <c r="AS32" s="5" t="inlineStr"/>
      <c r="AT32" s="5" t="inlineStr"/>
      <c r="AU32" s="8" t="inlineStr">
        <is>
          <t>Not run</t>
        </is>
      </c>
    </row>
    <row r="33" ht="32" customHeight="1">
      <c r="A33" s="16" t="inlineStr">
        <is>
          <t>P-0032</t>
        </is>
      </c>
      <c r="B33" s="8" t="inlineStr">
        <is>
          <t>P</t>
        </is>
      </c>
      <c r="C33" s="5" t="inlineStr">
        <is>
          <t>Kirana Shop Owner</t>
        </is>
      </c>
      <c r="D33" s="5" t="inlineStr">
        <is>
          <t>Customer-to-Cash</t>
        </is>
      </c>
      <c r="E33" s="5" t="inlineStr">
        <is>
          <t>Apply discounts correctly</t>
        </is>
      </c>
      <c r="F33" s="5" t="inlineStr">
        <is>
          <t>Kirana Shop Owner</t>
        </is>
      </c>
      <c r="G33" s="5" t="inlineStr">
        <is>
          <t>Counter Clerk</t>
        </is>
      </c>
      <c r="H33" s="5" t="inlineStr">
        <is>
          <t>Accurate application of promotional percentage, flat discounts, or bill-level concessions</t>
        </is>
      </c>
      <c r="I33" s="5" t="inlineStr">
        <is>
          <t>Computes taxable value net of discount; applies GST on discounted base price per statutory rules</t>
        </is>
      </c>
      <c r="J33" s="22" t="inlineStr">
        <is>
          <t>P2</t>
        </is>
      </c>
      <c r="K33" s="20" t="inlineStr">
        <is>
          <t>Validated (Supported)</t>
        </is>
      </c>
      <c r="L33" s="5" t="inlineStr">
        <is>
          <t>Supported on sales line and invoice-level; complies with Section 15 GST valuation rules.</t>
        </is>
      </c>
      <c r="M33" s="8" t="inlineStr">
        <is>
          <t>Baseline</t>
        </is>
      </c>
      <c r="N33" s="8" t="inlineStr">
        <is>
          <t>Operational role</t>
        </is>
      </c>
      <c r="O33" s="8" t="inlineStr">
        <is>
          <t>P2</t>
        </is>
      </c>
      <c r="P33" s="5" t="inlineStr">
        <is>
          <t>Unchanged</t>
        </is>
      </c>
      <c r="Q33" s="20" t="inlineStr">
        <is>
          <t>Author assertion</t>
        </is>
      </c>
      <c r="R33" s="5" t="inlineStr"/>
      <c r="S33" s="8" t="inlineStr">
        <is>
          <t>C2C</t>
        </is>
      </c>
      <c r="T33" s="5" t="inlineStr">
        <is>
          <t>Customer to cash</t>
        </is>
      </c>
      <c r="U33" s="8" t="inlineStr"/>
      <c r="V33" s="8" t="inlineStr">
        <is>
          <t>sales</t>
        </is>
      </c>
      <c r="W33" s="8" t="inlineStr">
        <is>
          <t>RUN</t>
        </is>
      </c>
      <c r="X33" s="5" t="inlineStr">
        <is>
          <t>Core</t>
        </is>
      </c>
      <c r="Y33" s="5" t="inlineStr">
        <is>
          <t>Owner</t>
        </is>
      </c>
      <c r="Z33" s="5" t="inlineStr">
        <is>
          <t>Medium</t>
        </is>
      </c>
      <c r="AA33" s="5" t="inlineStr">
        <is>
          <t>Medium</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P2</t>
        </is>
      </c>
      <c r="AL33" s="8" t="n">
        <v>6</v>
      </c>
      <c r="AM33" s="5" t="inlineStr"/>
      <c r="AN33" s="5" t="inlineStr"/>
      <c r="AO33" s="5" t="inlineStr"/>
      <c r="AP33" s="5" t="inlineStr"/>
      <c r="AQ33" s="5" t="inlineStr"/>
      <c r="AR33" s="5" t="inlineStr"/>
      <c r="AS33" s="5" t="inlineStr"/>
      <c r="AT33" s="5" t="inlineStr"/>
      <c r="AU33" s="8" t="inlineStr">
        <is>
          <t>Not run</t>
        </is>
      </c>
    </row>
    <row r="34" ht="32" customHeight="1">
      <c r="A34" s="16" t="inlineStr">
        <is>
          <t>P-0033</t>
        </is>
      </c>
      <c r="B34" s="8" t="inlineStr">
        <is>
          <t>P</t>
        </is>
      </c>
      <c r="C34" s="5" t="inlineStr">
        <is>
          <t>Kirana Shop Owner</t>
        </is>
      </c>
      <c r="D34" s="5" t="inlineStr">
        <is>
          <t>GST / Tax / Compliance</t>
        </is>
      </c>
      <c r="E34" s="5" t="inlineStr">
        <is>
          <t>Manage GST rates/HSN</t>
        </is>
      </c>
      <c r="F34" s="5" t="inlineStr">
        <is>
          <t>Kirana Shop Owner</t>
        </is>
      </c>
      <c r="G34" s="5" t="inlineStr">
        <is>
          <t>Accountant</t>
        </is>
      </c>
      <c r="H34" s="5" t="inlineStr">
        <is>
          <t>Proper classification of grocery SKUs under correct 0%, 5%, 12%, 18% GST brackets and HSN codes</t>
        </is>
      </c>
      <c r="I34" s="5" t="inlineStr">
        <is>
          <t>Stores HSN/SAC codes and GST tax rates on Product master; used for automated tax calculation</t>
        </is>
      </c>
      <c r="J34" s="20" t="inlineStr">
        <is>
          <t>P1</t>
        </is>
      </c>
      <c r="K34" s="20" t="inlineStr">
        <is>
          <t>Validated (Supported)</t>
        </is>
      </c>
      <c r="L34" s="5" t="inlineStr">
        <is>
          <t>Supported via Product master taxonomy with built-in HSN search helper.</t>
        </is>
      </c>
      <c r="M34" s="8" t="inlineStr">
        <is>
          <t>Baseline</t>
        </is>
      </c>
      <c r="N34" s="8" t="inlineStr">
        <is>
          <t>Operational role</t>
        </is>
      </c>
      <c r="O34" s="8" t="inlineStr">
        <is>
          <t>P1</t>
        </is>
      </c>
      <c r="P34" s="5" t="inlineStr">
        <is>
          <t>Unchanged</t>
        </is>
      </c>
      <c r="Q34" s="20" t="inlineStr">
        <is>
          <t>Author assertion</t>
        </is>
      </c>
      <c r="R34" s="5" t="inlineStr"/>
      <c r="S34" s="8" t="inlineStr">
        <is>
          <t>GST</t>
        </is>
      </c>
      <c r="T34" s="5" t="inlineStr">
        <is>
          <t>GST and tax compliance</t>
        </is>
      </c>
      <c r="U34" s="8" t="inlineStr"/>
      <c r="V34" s="8" t="inlineStr">
        <is>
          <t>accounting</t>
        </is>
      </c>
      <c r="W34" s="8" t="inlineStr">
        <is>
          <t>CONTROL</t>
        </is>
      </c>
      <c r="X34" s="5" t="inlineStr">
        <is>
          <t>Core</t>
        </is>
      </c>
      <c r="Y34" s="5" t="inlineStr">
        <is>
          <t>Owner</t>
        </is>
      </c>
      <c r="Z34" s="5" t="inlineStr">
        <is>
          <t>Critical</t>
        </is>
      </c>
      <c r="AA34" s="5" t="inlineStr">
        <is>
          <t>High</t>
        </is>
      </c>
      <c r="AB34" s="8" t="inlineStr">
        <is>
          <t>High</t>
        </is>
      </c>
      <c r="AC34" s="8" t="inlineStr">
        <is>
          <t>Pilot</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P1</t>
        </is>
      </c>
      <c r="AL34" s="8" t="n">
        <v>27</v>
      </c>
      <c r="AM34" s="5" t="inlineStr"/>
      <c r="AN34" s="5" t="inlineStr"/>
      <c r="AO34" s="5" t="inlineStr"/>
      <c r="AP34" s="5" t="inlineStr"/>
      <c r="AQ34" s="5" t="inlineStr"/>
      <c r="AR34" s="5" t="inlineStr"/>
      <c r="AS34" s="5" t="inlineStr"/>
      <c r="AT34" s="5" t="inlineStr"/>
      <c r="AU34" s="8" t="inlineStr">
        <is>
          <t>Not run</t>
        </is>
      </c>
    </row>
    <row r="35" ht="32" customHeight="1">
      <c r="A35" s="16" t="inlineStr">
        <is>
          <t>P-0034</t>
        </is>
      </c>
      <c r="B35" s="8" t="inlineStr">
        <is>
          <t>P</t>
        </is>
      </c>
      <c r="C35" s="5" t="inlineStr">
        <is>
          <t>Kirana Shop Owner</t>
        </is>
      </c>
      <c r="D35" s="5" t="inlineStr">
        <is>
          <t>GST / Tax / Compliance</t>
        </is>
      </c>
      <c r="E35" s="5" t="inlineStr">
        <is>
          <t>Generate GST-compliant invoices</t>
        </is>
      </c>
      <c r="F35" s="5" t="inlineStr">
        <is>
          <t>Kirana Shop Owner</t>
        </is>
      </c>
      <c r="G35" s="5" t="inlineStr">
        <is>
          <t>Registered B2B Customer</t>
        </is>
      </c>
      <c r="H35" s="5" t="inlineStr">
        <is>
          <t>Issue legally compliant B2B tax invoices showing seller/buyer GSTIN, HSN breakdown, and tax splits</t>
        </is>
      </c>
      <c r="I35" s="5" t="inlineStr">
        <is>
          <t>Formats document per Rule 46 of CGST Rules; populates B2B section of GSTR-1 worksheet</t>
        </is>
      </c>
      <c r="J35" s="19" t="inlineStr">
        <is>
          <t>P0</t>
        </is>
      </c>
      <c r="K35" s="20" t="inlineStr">
        <is>
          <t>Validated (Supported)</t>
        </is>
      </c>
      <c r="L35" s="5" t="inlineStr">
        <is>
          <t>Supported via standard invoice PDF template meeting all Indian GST Rule 46 requirements.</t>
        </is>
      </c>
      <c r="M35" s="8" t="inlineStr">
        <is>
          <t>Baseline</t>
        </is>
      </c>
      <c r="N35" s="8" t="inlineStr">
        <is>
          <t>Operational role</t>
        </is>
      </c>
      <c r="O35" s="8" t="inlineStr">
        <is>
          <t>P0</t>
        </is>
      </c>
      <c r="P35" s="5" t="inlineStr">
        <is>
          <t>Unchanged</t>
        </is>
      </c>
      <c r="Q35" s="20" t="inlineStr">
        <is>
          <t>Author assertion</t>
        </is>
      </c>
      <c r="R35" s="5" t="inlineStr"/>
      <c r="S35" s="8" t="inlineStr">
        <is>
          <t>GST</t>
        </is>
      </c>
      <c r="T35" s="5" t="inlineStr">
        <is>
          <t>GST and tax compliance</t>
        </is>
      </c>
      <c r="U35" s="8" t="inlineStr"/>
      <c r="V35" s="8" t="inlineStr">
        <is>
          <t>accounting</t>
        </is>
      </c>
      <c r="W35" s="8" t="inlineStr">
        <is>
          <t>CONTROL</t>
        </is>
      </c>
      <c r="X35" s="5" t="inlineStr">
        <is>
          <t>Core</t>
        </is>
      </c>
      <c r="Y35" s="5" t="inlineStr">
        <is>
          <t>Owner</t>
        </is>
      </c>
      <c r="Z35" s="5" t="inlineStr">
        <is>
          <t>Critical</t>
        </is>
      </c>
      <c r="AA35" s="5" t="inlineStr">
        <is>
          <t>High</t>
        </is>
      </c>
      <c r="AB35" s="8" t="inlineStr">
        <is>
          <t>High</t>
        </is>
      </c>
      <c r="AC35" s="8" t="inlineStr">
        <is>
          <t>MVP</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P0</t>
        </is>
      </c>
      <c r="AL35" s="8" t="n">
        <v>27</v>
      </c>
      <c r="AM35" s="5" t="inlineStr"/>
      <c r="AN35" s="5" t="inlineStr"/>
      <c r="AO35" s="5" t="inlineStr"/>
      <c r="AP35" s="5" t="inlineStr"/>
      <c r="AQ35" s="5" t="inlineStr"/>
      <c r="AR35" s="5" t="inlineStr"/>
      <c r="AS35" s="5" t="inlineStr"/>
      <c r="AT35" s="5" t="inlineStr"/>
      <c r="AU35" s="8" t="inlineStr">
        <is>
          <t>Not run</t>
        </is>
      </c>
    </row>
    <row r="36" ht="32" customHeight="1">
      <c r="A36" s="16" t="inlineStr">
        <is>
          <t>P-0035</t>
        </is>
      </c>
      <c r="B36" s="8" t="inlineStr">
        <is>
          <t>P</t>
        </is>
      </c>
      <c r="C36" s="5" t="inlineStr">
        <is>
          <t>Kirana Shop Owner</t>
        </is>
      </c>
      <c r="D36" s="5" t="inlineStr">
        <is>
          <t>Reporting &amp; Business Intelligence</t>
        </is>
      </c>
      <c r="E36" s="5" t="inlineStr">
        <is>
          <t>Review sales</t>
        </is>
      </c>
      <c r="F36" s="5" t="inlineStr">
        <is>
          <t>Kirana Shop Owner</t>
        </is>
      </c>
      <c r="G36" s="5" t="inlineStr">
        <is>
          <t>None</t>
        </is>
      </c>
      <c r="H36" s="5" t="inlineStr">
        <is>
          <t>Analyze daily, weekly, and monthly sales trends across categories and customer types</t>
        </is>
      </c>
      <c r="I36" s="5" t="inlineStr">
        <is>
          <t>Generates sales register reports filtered by date, payment mode, customer, and category</t>
        </is>
      </c>
      <c r="J36" s="20" t="inlineStr">
        <is>
          <t>P1</t>
        </is>
      </c>
      <c r="K36" s="20" t="inlineStr">
        <is>
          <t>Validated (Supported)</t>
        </is>
      </c>
      <c r="L36" s="5" t="inlineStr">
        <is>
          <t>Supported via /reports/sales-register/ with CSV and Excel export.</t>
        </is>
      </c>
      <c r="M36" s="8" t="inlineStr">
        <is>
          <t>Baseline</t>
        </is>
      </c>
      <c r="N36" s="8" t="inlineStr">
        <is>
          <t>Operational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Core</t>
        </is>
      </c>
      <c r="Y36" s="5" t="inlineStr">
        <is>
          <t>Owner</t>
        </is>
      </c>
      <c r="Z36" s="5" t="inlineStr">
        <is>
          <t>Medium</t>
        </is>
      </c>
      <c r="AA36" s="5" t="inlineStr">
        <is>
          <t>Medium</t>
        </is>
      </c>
      <c r="AB36" s="8" t="inlineStr">
        <is>
          <t>Low</t>
        </is>
      </c>
      <c r="AC36" s="8" t="inlineStr">
        <is>
          <t>Pilot</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6</v>
      </c>
      <c r="AM36" s="5" t="inlineStr"/>
      <c r="AN36" s="5" t="inlineStr"/>
      <c r="AO36" s="5" t="inlineStr"/>
      <c r="AP36" s="5" t="inlineStr"/>
      <c r="AQ36" s="5" t="inlineStr"/>
      <c r="AR36" s="5" t="inlineStr"/>
      <c r="AS36" s="5" t="inlineStr"/>
      <c r="AT36" s="5" t="inlineStr"/>
      <c r="AU36" s="8" t="inlineStr">
        <is>
          <t>Not run</t>
        </is>
      </c>
    </row>
    <row r="37" ht="32" customHeight="1">
      <c r="A37" s="16" t="inlineStr">
        <is>
          <t>P-0036</t>
        </is>
      </c>
      <c r="B37" s="8" t="inlineStr">
        <is>
          <t>P</t>
        </is>
      </c>
      <c r="C37" s="5" t="inlineStr">
        <is>
          <t>Kirana Shop Owner</t>
        </is>
      </c>
      <c r="D37" s="5" t="inlineStr">
        <is>
          <t>Reporting &amp; Business Intelligence</t>
        </is>
      </c>
      <c r="E37" s="5" t="inlineStr">
        <is>
          <t>Review gross margin</t>
        </is>
      </c>
      <c r="F37" s="5" t="inlineStr">
        <is>
          <t>Kirana Shop Owner</t>
        </is>
      </c>
      <c r="G37" s="5" t="inlineStr">
        <is>
          <t>None</t>
        </is>
      </c>
      <c r="H37" s="5" t="inlineStr">
        <is>
          <t>Track product profitability to ensure wholesale markup covers store operating overheads</t>
        </is>
      </c>
      <c r="I37" s="5" t="inlineStr">
        <is>
          <t>Calculates line-by-line gross profit margin (Selling Price - Purchase Cost) / Selling Price</t>
        </is>
      </c>
      <c r="J37" s="22" t="inlineStr">
        <is>
          <t>P2</t>
        </is>
      </c>
      <c r="K37" s="20" t="inlineStr">
        <is>
          <t>Validated (Supported)</t>
        </is>
      </c>
      <c r="L37" s="5" t="inlineStr">
        <is>
          <t>Supported via /reports/profitability/ with category and brand drill-downs.</t>
        </is>
      </c>
      <c r="M37" s="8" t="inlineStr">
        <is>
          <t>Baseline</t>
        </is>
      </c>
      <c r="N37" s="8" t="inlineStr">
        <is>
          <t>Operational role</t>
        </is>
      </c>
      <c r="O37" s="8" t="inlineStr">
        <is>
          <t>P2</t>
        </is>
      </c>
      <c r="P37" s="5" t="inlineStr">
        <is>
          <t>Restored to authored P2. The previous workbook had P3 after a keyword rebalance.</t>
        </is>
      </c>
      <c r="Q37" s="20" t="inlineStr">
        <is>
          <t>Author assertion</t>
        </is>
      </c>
      <c r="R37" s="5" t="inlineStr">
        <is>
          <t>Restored to authored P2. The previous workbook had P3 after a keyword rebalance.</t>
        </is>
      </c>
      <c r="S37" s="8" t="inlineStr">
        <is>
          <t>RPT</t>
        </is>
      </c>
      <c r="T37" s="5" t="inlineStr">
        <is>
          <t>Reporting and business intelligence</t>
        </is>
      </c>
      <c r="U37" s="8" t="inlineStr"/>
      <c r="V37" s="8" t="inlineStr">
        <is>
          <t>reporting</t>
        </is>
      </c>
      <c r="W37" s="8" t="inlineStr">
        <is>
          <t>CONTROL</t>
        </is>
      </c>
      <c r="X37" s="5" t="inlineStr">
        <is>
          <t>Core</t>
        </is>
      </c>
      <c r="Y37" s="5" t="inlineStr">
        <is>
          <t>Owner</t>
        </is>
      </c>
      <c r="Z37" s="5" t="inlineStr">
        <is>
          <t>Medium</t>
        </is>
      </c>
      <c r="AA37" s="5" t="inlineStr">
        <is>
          <t>Medium</t>
        </is>
      </c>
      <c r="AB37" s="8" t="inlineStr">
        <is>
          <t>Low</t>
        </is>
      </c>
      <c r="AC37" s="8" t="inlineStr">
        <is>
          <t>Later</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P2</t>
        </is>
      </c>
      <c r="AL37" s="8" t="n">
        <v>6</v>
      </c>
      <c r="AM37" s="5" t="inlineStr"/>
      <c r="AN37" s="5" t="inlineStr"/>
      <c r="AO37" s="5" t="inlineStr"/>
      <c r="AP37" s="5" t="inlineStr"/>
      <c r="AQ37" s="5" t="inlineStr"/>
      <c r="AR37" s="5" t="inlineStr"/>
      <c r="AS37" s="5" t="inlineStr"/>
      <c r="AT37" s="5" t="inlineStr"/>
      <c r="AU37" s="8" t="inlineStr">
        <is>
          <t>Not run</t>
        </is>
      </c>
    </row>
    <row r="38" ht="32" customHeight="1">
      <c r="A38" s="16" t="inlineStr">
        <is>
          <t>P-0037</t>
        </is>
      </c>
      <c r="B38" s="8" t="inlineStr">
        <is>
          <t>P</t>
        </is>
      </c>
      <c r="C38" s="5" t="inlineStr">
        <is>
          <t>Kirana Shop Owner</t>
        </is>
      </c>
      <c r="D38" s="5" t="inlineStr">
        <is>
          <t>Payments &amp; Reconciliation</t>
        </is>
      </c>
      <c r="E38" s="5" t="inlineStr">
        <is>
          <t>Reconcile cash and digital payments</t>
        </is>
      </c>
      <c r="F38" s="5" t="inlineStr">
        <is>
          <t>Kirana Shop Owner</t>
        </is>
      </c>
      <c r="G38" s="5" t="inlineStr">
        <is>
          <t>Accountant</t>
        </is>
      </c>
      <c r="H38" s="5" t="inlineStr">
        <is>
          <t>Verify that cash in till and bank deposits match sales register totals</t>
        </is>
      </c>
      <c r="I38" s="5" t="inlineStr">
        <is>
          <t>Cross-references bank statement / QR settlement reports with Bizboard payment ledger</t>
        </is>
      </c>
      <c r="J38" s="20" t="inlineStr">
        <is>
          <t>P1</t>
        </is>
      </c>
      <c r="K38" s="20" t="inlineStr">
        <is>
          <t>Validated (Supported)</t>
        </is>
      </c>
      <c r="L38" s="5" t="inlineStr">
        <is>
          <t>Supported via /accounting/bank-reconciliation/ and daily shift close register.</t>
        </is>
      </c>
      <c r="M38" s="8" t="inlineStr">
        <is>
          <t>Baseline</t>
        </is>
      </c>
      <c r="N38" s="8" t="inlineStr">
        <is>
          <t>Operational role</t>
        </is>
      </c>
      <c r="O38" s="8" t="inlineStr">
        <is>
          <t>P1</t>
        </is>
      </c>
      <c r="P38" s="5" t="inlineStr">
        <is>
          <t>Unchanged</t>
        </is>
      </c>
      <c r="Q38" s="20" t="inlineStr">
        <is>
          <t>Author assertion</t>
        </is>
      </c>
      <c r="R38" s="5" t="inlineStr"/>
      <c r="S38" s="8" t="inlineStr">
        <is>
          <t>PAYREC</t>
        </is>
      </c>
      <c r="T38" s="5" t="inlineStr">
        <is>
          <t>Payments and reconciliation</t>
        </is>
      </c>
      <c r="U38" s="8" t="inlineStr"/>
      <c r="V38" s="8" t="inlineStr">
        <is>
          <t>payments</t>
        </is>
      </c>
      <c r="W38" s="8" t="inlineStr">
        <is>
          <t>RUN</t>
        </is>
      </c>
      <c r="X38" s="5" t="inlineStr">
        <is>
          <t>Core</t>
        </is>
      </c>
      <c r="Y38" s="5" t="inlineStr">
        <is>
          <t>Owner</t>
        </is>
      </c>
      <c r="Z38" s="5" t="inlineStr">
        <is>
          <t>High</t>
        </is>
      </c>
      <c r="AA38" s="5" t="inlineStr">
        <is>
          <t>High</t>
        </is>
      </c>
      <c r="AB38" s="8" t="inlineStr">
        <is>
          <t>Low</t>
        </is>
      </c>
      <c r="AC38" s="8" t="inlineStr">
        <is>
          <t>Pilot</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9</v>
      </c>
      <c r="AM38" s="5" t="inlineStr"/>
      <c r="AN38" s="5" t="inlineStr"/>
      <c r="AO38" s="5" t="inlineStr"/>
      <c r="AP38" s="5" t="inlineStr"/>
      <c r="AQ38" s="5" t="inlineStr"/>
      <c r="AR38" s="5" t="inlineStr"/>
      <c r="AS38" s="5" t="inlineStr"/>
      <c r="AT38" s="5" t="inlineStr"/>
      <c r="AU38" s="8" t="inlineStr">
        <is>
          <t>Not run</t>
        </is>
      </c>
    </row>
    <row r="39" ht="32" customHeight="1">
      <c r="A39" s="16" t="inlineStr">
        <is>
          <t>P-0038</t>
        </is>
      </c>
      <c r="B39" s="8" t="inlineStr">
        <is>
          <t>P</t>
        </is>
      </c>
      <c r="C39" s="5" t="inlineStr">
        <is>
          <t>Medical Shop</t>
        </is>
      </c>
      <c r="D39" s="5" t="inlineStr">
        <is>
          <t>Customer-to-Cash</t>
        </is>
      </c>
      <c r="E39" s="5" t="inlineStr">
        <is>
          <t>Sell medicines with batch information</t>
        </is>
      </c>
      <c r="F39" s="5" t="inlineStr">
        <is>
          <t>Pharmacist</t>
        </is>
      </c>
      <c r="G39" s="5" t="inlineStr">
        <is>
          <t>Patient / Retail Customer</t>
        </is>
      </c>
      <c r="H39" s="5" t="inlineStr">
        <is>
          <t>Dispense prescription/OTC medicines with mandatory batch number, expiry date, and MRP printed on bill</t>
        </is>
      </c>
      <c r="I39" s="5" t="inlineStr">
        <is>
          <t>Decrements specific BatchLot stock; captures batch and expiry on SalesItem for statutory traceability</t>
        </is>
      </c>
      <c r="J39" s="19" t="inlineStr">
        <is>
          <t>P0</t>
        </is>
      </c>
      <c r="K39" s="20" t="inlineStr">
        <is>
          <t>Validated (Supported)</t>
        </is>
      </c>
      <c r="L39" s="5" t="inlineStr">
        <is>
          <t>Supported via /pos and /sales/invoices/ with batch-selector popup and FEFO pre-selection.</t>
        </is>
      </c>
      <c r="M39" s="8" t="inlineStr">
        <is>
          <t>Baseline</t>
        </is>
      </c>
      <c r="N39" s="8" t="inlineStr">
        <is>
          <t>Operational role</t>
        </is>
      </c>
      <c r="O39" s="8" t="inlineStr">
        <is>
          <t>P0</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Core</t>
        </is>
      </c>
      <c r="Y39" s="5" t="inlineStr">
        <is>
          <t>Owner</t>
        </is>
      </c>
      <c r="Z39" s="5" t="inlineStr">
        <is>
          <t>Medium</t>
        </is>
      </c>
      <c r="AA39" s="5" t="inlineStr">
        <is>
          <t>Medium</t>
        </is>
      </c>
      <c r="AB39" s="8" t="inlineStr">
        <is>
          <t>Low</t>
        </is>
      </c>
      <c r="AC39" s="8" t="inlineStr">
        <is>
          <t>MVP</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P0</t>
        </is>
      </c>
      <c r="AL39" s="8" t="n">
        <v>6</v>
      </c>
      <c r="AM39" s="5" t="inlineStr"/>
      <c r="AN39" s="5" t="inlineStr"/>
      <c r="AO39" s="5" t="inlineStr"/>
      <c r="AP39" s="5" t="inlineStr"/>
      <c r="AQ39" s="5" t="inlineStr"/>
      <c r="AR39" s="5" t="inlineStr"/>
      <c r="AS39" s="5" t="inlineStr"/>
      <c r="AT39" s="5" t="inlineStr"/>
      <c r="AU39" s="8" t="inlineStr">
        <is>
          <t>Not run</t>
        </is>
      </c>
    </row>
    <row r="40" ht="32" customHeight="1">
      <c r="A40" s="16" t="inlineStr">
        <is>
          <t>P-0039</t>
        </is>
      </c>
      <c r="B40" s="8" t="inlineStr">
        <is>
          <t>P</t>
        </is>
      </c>
      <c r="C40" s="5" t="inlineStr">
        <is>
          <t>Medical Shop</t>
        </is>
      </c>
      <c r="D40" s="5" t="inlineStr">
        <is>
          <t>Inventory Lifecycle</t>
        </is>
      </c>
      <c r="E40" s="5" t="inlineStr">
        <is>
          <t>Track batch-wise inventory</t>
        </is>
      </c>
      <c r="F40" s="5" t="inlineStr">
        <is>
          <t>Pharmacist / Inventory Staff</t>
        </is>
      </c>
      <c r="G40" s="5" t="inlineStr">
        <is>
          <t>Drug Inspector</t>
        </is>
      </c>
      <c r="H40" s="5" t="inlineStr">
        <is>
          <t>Maintain complete stock balances segregated by individual manufacturer batch lots</t>
        </is>
      </c>
      <c r="I40" s="5" t="inlineStr">
        <is>
          <t>Maintains BatchLot records linked to Product; tracks quantity, inward date, and cost per batch</t>
        </is>
      </c>
      <c r="J40" s="19" t="inlineStr">
        <is>
          <t>P0</t>
        </is>
      </c>
      <c r="K40" s="20" t="inlineStr">
        <is>
          <t>Validated (Supported)</t>
        </is>
      </c>
      <c r="L40" s="5" t="inlineStr">
        <is>
          <t>Supported via BatchLot and StockBalance models with batch-level audit history.</t>
        </is>
      </c>
      <c r="M40" s="8" t="inlineStr">
        <is>
          <t>Baseline</t>
        </is>
      </c>
      <c r="N40" s="8" t="inlineStr">
        <is>
          <t>Operational role</t>
        </is>
      </c>
      <c r="O40" s="8" t="inlineStr">
        <is>
          <t>P0</t>
        </is>
      </c>
      <c r="P40" s="5" t="inlineStr">
        <is>
          <t>Unchanged</t>
        </is>
      </c>
      <c r="Q40" s="21" t="inlineStr">
        <is>
          <t>Code symbol found</t>
        </is>
      </c>
      <c r="R40" s="5" t="inlineStr">
        <is>
          <t>Matched StockBalance in product code. This is not a functional test.</t>
        </is>
      </c>
      <c r="S40" s="8" t="inlineStr">
        <is>
          <t>INV</t>
        </is>
      </c>
      <c r="T40" s="5" t="inlineStr">
        <is>
          <t>Inventory lifecycle</t>
        </is>
      </c>
      <c r="U40" s="8" t="inlineStr"/>
      <c r="V40" s="8" t="inlineStr">
        <is>
          <t>inventory</t>
        </is>
      </c>
      <c r="W40" s="8" t="inlineStr">
        <is>
          <t>RUN</t>
        </is>
      </c>
      <c r="X40" s="5" t="inlineStr">
        <is>
          <t>Core</t>
        </is>
      </c>
      <c r="Y40" s="5" t="inlineStr">
        <is>
          <t>Owner</t>
        </is>
      </c>
      <c r="Z40" s="5" t="inlineStr">
        <is>
          <t>High</t>
        </is>
      </c>
      <c r="AA40" s="5" t="inlineStr">
        <is>
          <t>High</t>
        </is>
      </c>
      <c r="AB40" s="8" t="inlineStr">
        <is>
          <t>Low</t>
        </is>
      </c>
      <c r="AC40" s="8" t="inlineStr">
        <is>
          <t>MVP</t>
        </is>
      </c>
      <c r="AD40" s="5" t="inlineStr">
        <is>
          <t>Cited in code</t>
        </is>
      </c>
      <c r="AE40" s="5" t="inlineStr">
        <is>
          <t>Not verified</t>
        </is>
      </c>
      <c r="AF40" s="5" t="inlineStr">
        <is>
          <t>Not verified</t>
        </is>
      </c>
      <c r="AG40" s="5" t="inlineStr">
        <is>
          <t>Not verified</t>
        </is>
      </c>
      <c r="AH40" s="5" t="inlineStr">
        <is>
          <t>Not verified</t>
        </is>
      </c>
      <c r="AI40" s="8" t="inlineStr">
        <is>
          <t>No</t>
        </is>
      </c>
      <c r="AJ40" s="8" t="inlineStr">
        <is>
          <t>Built - unverified</t>
        </is>
      </c>
      <c r="AK40" s="8" t="inlineStr">
        <is>
          <t>P0</t>
        </is>
      </c>
      <c r="AL40" s="8" t="n">
        <v>9</v>
      </c>
      <c r="AM40" s="5" t="inlineStr"/>
      <c r="AN40" s="5" t="inlineStr"/>
      <c r="AO40" s="5" t="inlineStr"/>
      <c r="AP40" s="5" t="inlineStr"/>
      <c r="AQ40" s="5" t="inlineStr"/>
      <c r="AR40" s="5" t="inlineStr"/>
      <c r="AS40" s="5" t="inlineStr"/>
      <c r="AT40" s="5" t="inlineStr"/>
      <c r="AU40" s="8" t="inlineStr">
        <is>
          <t>Not run</t>
        </is>
      </c>
    </row>
    <row r="41" ht="32" customHeight="1">
      <c r="A41" s="16" t="inlineStr">
        <is>
          <t>P-0040</t>
        </is>
      </c>
      <c r="B41" s="8" t="inlineStr">
        <is>
          <t>P</t>
        </is>
      </c>
      <c r="C41" s="5" t="inlineStr">
        <is>
          <t>Medical Shop</t>
        </is>
      </c>
      <c r="D41" s="5" t="inlineStr">
        <is>
          <t>Inventory Lifecycle</t>
        </is>
      </c>
      <c r="E41" s="5" t="inlineStr">
        <is>
          <t>Track expiry dates</t>
        </is>
      </c>
      <c r="F41" s="5" t="inlineStr">
        <is>
          <t>Pharmacist</t>
        </is>
      </c>
      <c r="G41" s="5" t="inlineStr">
        <is>
          <t>Supplier</t>
        </is>
      </c>
      <c r="H41" s="5" t="inlineStr">
        <is>
          <t>Active monitoring of shelf-life across all pharmaceutical batches</t>
        </is>
      </c>
      <c r="I41" s="5" t="inlineStr">
        <is>
          <t>Categorizes stock into Expiry Bands (&gt;180 days, 90-180 days, &lt;90 days, Expired)</t>
        </is>
      </c>
      <c r="J41" s="19" t="inlineStr">
        <is>
          <t>P0</t>
        </is>
      </c>
      <c r="K41" s="20" t="inlineStr">
        <is>
          <t>Validated (Supported)</t>
        </is>
      </c>
      <c r="L41" s="5" t="inlineStr">
        <is>
          <t>Supported via /inventory/expiry-alerts/ with color-coded expiry countdowns.</t>
        </is>
      </c>
      <c r="M41" s="8" t="inlineStr">
        <is>
          <t>Baseline</t>
        </is>
      </c>
      <c r="N41" s="8" t="inlineStr">
        <is>
          <t>Operational role</t>
        </is>
      </c>
      <c r="O41" s="8" t="inlineStr">
        <is>
          <t>P0</t>
        </is>
      </c>
      <c r="P41" s="5" t="inlineStr">
        <is>
          <t>Unchanged</t>
        </is>
      </c>
      <c r="Q41" s="20" t="inlineStr">
        <is>
          <t>Author assertion</t>
        </is>
      </c>
      <c r="R41" s="5" t="inlineStr"/>
      <c r="S41" s="8" t="inlineStr">
        <is>
          <t>INV</t>
        </is>
      </c>
      <c r="T41" s="5" t="inlineStr">
        <is>
          <t>Inventory lifecycle</t>
        </is>
      </c>
      <c r="U41" s="8" t="inlineStr"/>
      <c r="V41" s="8" t="inlineStr">
        <is>
          <t>inventory</t>
        </is>
      </c>
      <c r="W41" s="8" t="inlineStr">
        <is>
          <t>RUN</t>
        </is>
      </c>
      <c r="X41" s="5" t="inlineStr">
        <is>
          <t>Core</t>
        </is>
      </c>
      <c r="Y41" s="5" t="inlineStr">
        <is>
          <t>Owner</t>
        </is>
      </c>
      <c r="Z41" s="5" t="inlineStr">
        <is>
          <t>High</t>
        </is>
      </c>
      <c r="AA41" s="5" t="inlineStr">
        <is>
          <t>High</t>
        </is>
      </c>
      <c r="AB41" s="8" t="inlineStr">
        <is>
          <t>Low</t>
        </is>
      </c>
      <c r="AC41" s="8" t="inlineStr">
        <is>
          <t>MVP</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P0</t>
        </is>
      </c>
      <c r="AL41" s="8" t="n">
        <v>9</v>
      </c>
      <c r="AM41" s="5" t="inlineStr"/>
      <c r="AN41" s="5" t="inlineStr"/>
      <c r="AO41" s="5" t="inlineStr"/>
      <c r="AP41" s="5" t="inlineStr"/>
      <c r="AQ41" s="5" t="inlineStr"/>
      <c r="AR41" s="5" t="inlineStr"/>
      <c r="AS41" s="5" t="inlineStr"/>
      <c r="AT41" s="5" t="inlineStr"/>
      <c r="AU41" s="8" t="inlineStr">
        <is>
          <t>Not run</t>
        </is>
      </c>
    </row>
    <row r="42" ht="32" customHeight="1">
      <c r="A42" s="16" t="inlineStr">
        <is>
          <t>P-0041</t>
        </is>
      </c>
      <c r="B42" s="8" t="inlineStr">
        <is>
          <t>P</t>
        </is>
      </c>
      <c r="C42" s="5" t="inlineStr">
        <is>
          <t>Medical Shop</t>
        </is>
      </c>
      <c r="D42" s="5" t="inlineStr">
        <is>
          <t>Inventory Lifecycle</t>
        </is>
      </c>
      <c r="E42" s="5" t="inlineStr">
        <is>
          <t>Flag/prevent expired-stock sales</t>
        </is>
      </c>
      <c r="F42" s="5" t="inlineStr">
        <is>
          <t>Pharmacist</t>
        </is>
      </c>
      <c r="G42" s="5" t="inlineStr">
        <is>
          <t>Drug Inspector / Regulatory Authority</t>
        </is>
      </c>
      <c r="H42" s="5" t="inlineStr">
        <is>
          <t>Strict system block preventing billing of medicines past their statutory expiration date</t>
        </is>
      </c>
      <c r="I42" s="5" t="inlineStr">
        <is>
          <t>Validates item expiry against transaction date; hard-blocks invoice completion if expired</t>
        </is>
      </c>
      <c r="J42" s="19" t="inlineStr">
        <is>
          <t>P0</t>
        </is>
      </c>
      <c r="K42" s="20" t="inlineStr">
        <is>
          <t>Validated (Supported)</t>
        </is>
      </c>
      <c r="L42" s="5" t="inlineStr">
        <is>
          <t>Core system invariant: billing expired BatchLot raises ValidationError and disables checkout.</t>
        </is>
      </c>
      <c r="M42" s="8" t="inlineStr">
        <is>
          <t>Baseline</t>
        </is>
      </c>
      <c r="N42" s="8" t="inlineStr">
        <is>
          <t>Operational role</t>
        </is>
      </c>
      <c r="O42" s="8" t="inlineStr">
        <is>
          <t>P0</t>
        </is>
      </c>
      <c r="P42" s="5" t="inlineStr">
        <is>
          <t>Unchanged</t>
        </is>
      </c>
      <c r="Q42" s="21" t="inlineStr">
        <is>
          <t>Code symbol found</t>
        </is>
      </c>
      <c r="R42" s="5" t="inlineStr">
        <is>
          <t>Matched ValidationError in product code. This is not a functional test.</t>
        </is>
      </c>
      <c r="S42" s="8" t="inlineStr">
        <is>
          <t>INV</t>
        </is>
      </c>
      <c r="T42" s="5" t="inlineStr">
        <is>
          <t>Inventory lifecycle</t>
        </is>
      </c>
      <c r="U42" s="8" t="inlineStr"/>
      <c r="V42" s="8" t="inlineStr">
        <is>
          <t>inventory</t>
        </is>
      </c>
      <c r="W42" s="8" t="inlineStr">
        <is>
          <t>RUN</t>
        </is>
      </c>
      <c r="X42" s="5" t="inlineStr">
        <is>
          <t>Core</t>
        </is>
      </c>
      <c r="Y42" s="5" t="inlineStr">
        <is>
          <t>Owner</t>
        </is>
      </c>
      <c r="Z42" s="5" t="inlineStr">
        <is>
          <t>High</t>
        </is>
      </c>
      <c r="AA42" s="5" t="inlineStr">
        <is>
          <t>High</t>
        </is>
      </c>
      <c r="AB42" s="8" t="inlineStr">
        <is>
          <t>Low</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9</v>
      </c>
      <c r="AM42" s="5" t="inlineStr"/>
      <c r="AN42" s="5" t="inlineStr"/>
      <c r="AO42" s="5" t="inlineStr"/>
      <c r="AP42" s="5" t="inlineStr"/>
      <c r="AQ42" s="5" t="inlineStr"/>
      <c r="AR42" s="5" t="inlineStr"/>
      <c r="AS42" s="5" t="inlineStr"/>
      <c r="AT42" s="5" t="inlineStr"/>
      <c r="AU42" s="8" t="inlineStr">
        <is>
          <t>Not run</t>
        </is>
      </c>
    </row>
    <row r="43" ht="32" customHeight="1">
      <c r="A43" s="16" t="inlineStr">
        <is>
          <t>P-0042</t>
        </is>
      </c>
      <c r="B43" s="8" t="inlineStr">
        <is>
          <t>P</t>
        </is>
      </c>
      <c r="C43" s="5" t="inlineStr">
        <is>
          <t>Medical Shop</t>
        </is>
      </c>
      <c r="D43" s="5" t="inlineStr">
        <is>
          <t>Inventory Lifecycle</t>
        </is>
      </c>
      <c r="E43" s="5" t="inlineStr">
        <is>
          <t>Identify near-expiry inventory</t>
        </is>
      </c>
      <c r="F43" s="5" t="inlineStr">
        <is>
          <t>Pharmacist</t>
        </is>
      </c>
      <c r="G43" s="5" t="inlineStr">
        <is>
          <t>Pharma Distributor</t>
        </is>
      </c>
      <c r="H43" s="5" t="inlineStr">
        <is>
          <t>Identify medicines nearing expiry (30/60/90 days) to initiate vendor return for credit</t>
        </is>
      </c>
      <c r="I43" s="5" t="inlineStr">
        <is>
          <t>Generates near-expiry stock report with vendor details for return debit note processing</t>
        </is>
      </c>
      <c r="J43" s="20" t="inlineStr">
        <is>
          <t>P1</t>
        </is>
      </c>
      <c r="K43" s="20" t="inlineStr">
        <is>
          <t>Validated (Supported)</t>
        </is>
      </c>
      <c r="L43" s="5" t="inlineStr">
        <is>
          <t>Supported via /inventory/expiry-alerts/ with 'Prepare Return to Vendor' batch action.</t>
        </is>
      </c>
      <c r="M43" s="8" t="inlineStr">
        <is>
          <t>Baseline</t>
        </is>
      </c>
      <c r="N43" s="8" t="inlineStr">
        <is>
          <t>Operational role</t>
        </is>
      </c>
      <c r="O43" s="8" t="inlineStr">
        <is>
          <t>P1</t>
        </is>
      </c>
      <c r="P43" s="5" t="inlineStr">
        <is>
          <t>Unchanged</t>
        </is>
      </c>
      <c r="Q43" s="20" t="inlineStr">
        <is>
          <t>Author assertion</t>
        </is>
      </c>
      <c r="R43" s="5" t="inlineStr"/>
      <c r="S43" s="8" t="inlineStr">
        <is>
          <t>INV</t>
        </is>
      </c>
      <c r="T43" s="5" t="inlineStr">
        <is>
          <t>Inventory lifecycle</t>
        </is>
      </c>
      <c r="U43" s="8" t="inlineStr"/>
      <c r="V43" s="8" t="inlineStr">
        <is>
          <t>inventory</t>
        </is>
      </c>
      <c r="W43" s="8" t="inlineStr">
        <is>
          <t>RUN</t>
        </is>
      </c>
      <c r="X43" s="5" t="inlineStr">
        <is>
          <t>Core</t>
        </is>
      </c>
      <c r="Y43" s="5" t="inlineStr">
        <is>
          <t>Owner</t>
        </is>
      </c>
      <c r="Z43" s="5" t="inlineStr">
        <is>
          <t>High</t>
        </is>
      </c>
      <c r="AA43" s="5" t="inlineStr">
        <is>
          <t>High</t>
        </is>
      </c>
      <c r="AB43" s="8" t="inlineStr">
        <is>
          <t>Low</t>
        </is>
      </c>
      <c r="AC43" s="8" t="inlineStr">
        <is>
          <t>Pilot</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P1</t>
        </is>
      </c>
      <c r="AL43" s="8" t="n">
        <v>9</v>
      </c>
      <c r="AM43" s="5" t="inlineStr"/>
      <c r="AN43" s="5" t="inlineStr"/>
      <c r="AO43" s="5" t="inlineStr"/>
      <c r="AP43" s="5" t="inlineStr"/>
      <c r="AQ43" s="5" t="inlineStr"/>
      <c r="AR43" s="5" t="inlineStr"/>
      <c r="AS43" s="5" t="inlineStr"/>
      <c r="AT43" s="5" t="inlineStr"/>
      <c r="AU43" s="8" t="inlineStr">
        <is>
          <t>Not run</t>
        </is>
      </c>
    </row>
    <row r="44" ht="32" customHeight="1">
      <c r="A44" s="16" t="inlineStr">
        <is>
          <t>P-0043</t>
        </is>
      </c>
      <c r="B44" s="8" t="inlineStr">
        <is>
          <t>P</t>
        </is>
      </c>
      <c r="C44" s="5" t="inlineStr">
        <is>
          <t>Medical Shop</t>
        </is>
      </c>
      <c r="D44" s="5" t="inlineStr">
        <is>
          <t>Procure-to-Pay</t>
        </is>
      </c>
      <c r="E44" s="5" t="inlineStr">
        <is>
          <t>Record purchases by batch</t>
        </is>
      </c>
      <c r="F44" s="5" t="inlineStr">
        <is>
          <t>Pharmacist / Store Manager</t>
        </is>
      </c>
      <c r="G44" s="5" t="inlineStr">
        <is>
          <t>Pharma Wholesaler</t>
        </is>
      </c>
      <c r="H44" s="5" t="inlineStr">
        <is>
          <t>Inward medicine purchases capturing manufacturer batch number, manufacturing date, expiry date, and MRP</t>
        </is>
      </c>
      <c r="I44" s="5" t="inlineStr">
        <is>
          <t>Creates or updates BatchLot records; increments batch quantity and updates latest purchase rate</t>
        </is>
      </c>
      <c r="J44" s="19" t="inlineStr">
        <is>
          <t>P0</t>
        </is>
      </c>
      <c r="K44" s="20" t="inlineStr">
        <is>
          <t>Validated (Supported)</t>
        </is>
      </c>
      <c r="L44" s="5" t="inlineStr">
        <is>
          <t>Supported via /purchases/invoices/create with batch lot table inputs per line item.</t>
        </is>
      </c>
      <c r="M44" s="8" t="inlineStr">
        <is>
          <t>Baseline</t>
        </is>
      </c>
      <c r="N44" s="8" t="inlineStr">
        <is>
          <t>Operational role</t>
        </is>
      </c>
      <c r="O44" s="8" t="inlineStr">
        <is>
          <t>P0</t>
        </is>
      </c>
      <c r="P44" s="5" t="inlineStr">
        <is>
          <t>Unchanged</t>
        </is>
      </c>
      <c r="Q44" s="20" t="inlineStr">
        <is>
          <t>Author assertion</t>
        </is>
      </c>
      <c r="R44" s="5" t="inlineStr"/>
      <c r="S44" s="8" t="inlineStr">
        <is>
          <t>P2P</t>
        </is>
      </c>
      <c r="T44" s="5" t="inlineStr">
        <is>
          <t>Procure to pay</t>
        </is>
      </c>
      <c r="U44" s="8" t="inlineStr"/>
      <c r="V44" s="8" t="inlineStr">
        <is>
          <t>purchases</t>
        </is>
      </c>
      <c r="W44" s="8" t="inlineStr">
        <is>
          <t>RUN</t>
        </is>
      </c>
      <c r="X44" s="5" t="inlineStr">
        <is>
          <t>Core</t>
        </is>
      </c>
      <c r="Y44" s="5" t="inlineStr">
        <is>
          <t>Owner</t>
        </is>
      </c>
      <c r="Z44" s="5" t="inlineStr">
        <is>
          <t>Medium</t>
        </is>
      </c>
      <c r="AA44" s="5" t="inlineStr">
        <is>
          <t>Medium</t>
        </is>
      </c>
      <c r="AB44" s="8" t="inlineStr">
        <is>
          <t>Low</t>
        </is>
      </c>
      <c r="AC44" s="8" t="inlineStr">
        <is>
          <t>MVP</t>
        </is>
      </c>
      <c r="AD44" s="5" t="inlineStr">
        <is>
          <t>Not independently checked</t>
        </is>
      </c>
      <c r="AE44" s="5" t="inlineStr">
        <is>
          <t>Not verified</t>
        </is>
      </c>
      <c r="AF44" s="5" t="inlineStr">
        <is>
          <t>Not verified</t>
        </is>
      </c>
      <c r="AG44" s="5" t="inlineStr">
        <is>
          <t>Not verified</t>
        </is>
      </c>
      <c r="AH44" s="5" t="inlineStr">
        <is>
          <t>Not verified</t>
        </is>
      </c>
      <c r="AI44" s="8" t="inlineStr">
        <is>
          <t>No</t>
        </is>
      </c>
      <c r="AJ44" s="8" t="inlineStr">
        <is>
          <t>Claimed - unverified</t>
        </is>
      </c>
      <c r="AK44" s="8" t="inlineStr">
        <is>
          <t>P0</t>
        </is>
      </c>
      <c r="AL44" s="8" t="n">
        <v>6</v>
      </c>
      <c r="AM44" s="5" t="inlineStr"/>
      <c r="AN44" s="5" t="inlineStr"/>
      <c r="AO44" s="5" t="inlineStr"/>
      <c r="AP44" s="5" t="inlineStr"/>
      <c r="AQ44" s="5" t="inlineStr"/>
      <c r="AR44" s="5" t="inlineStr"/>
      <c r="AS44" s="5" t="inlineStr"/>
      <c r="AT44" s="5" t="inlineStr"/>
      <c r="AU44" s="8" t="inlineStr">
        <is>
          <t>Not run</t>
        </is>
      </c>
    </row>
    <row r="45" ht="32" customHeight="1">
      <c r="A45" s="16" t="inlineStr">
        <is>
          <t>P-0044</t>
        </is>
      </c>
      <c r="B45" s="8" t="inlineStr">
        <is>
          <t>P</t>
        </is>
      </c>
      <c r="C45" s="5" t="inlineStr">
        <is>
          <t>Medical Shop</t>
        </is>
      </c>
      <c r="D45" s="5" t="inlineStr">
        <is>
          <t>Inventory Lifecycle</t>
        </is>
      </c>
      <c r="E45" s="5" t="inlineStr">
        <is>
          <t>Track medicine stock</t>
        </is>
      </c>
      <c r="F45" s="5" t="inlineStr">
        <is>
          <t>Pharmacist</t>
        </is>
      </c>
      <c r="G45" s="5" t="inlineStr">
        <is>
          <t>None</t>
        </is>
      </c>
      <c r="H45" s="5" t="inlineStr">
        <is>
          <t>Maintain real-time available stock of strips, syrups, vials, and schedule drugs</t>
        </is>
      </c>
      <c r="I45" s="5" t="inlineStr">
        <is>
          <t>Maintains perpetual inventory ledger; prevents stockouts of life-saving medicines</t>
        </is>
      </c>
      <c r="J45" s="20" t="inlineStr">
        <is>
          <t>P1</t>
        </is>
      </c>
      <c r="K45" s="20" t="inlineStr">
        <is>
          <t>Validated (Supported)</t>
        </is>
      </c>
      <c r="L45" s="5" t="inlineStr">
        <is>
          <t>Supported via /inventory/products/ with multi-unit packaging support (Strip / Tablet).</t>
        </is>
      </c>
      <c r="M45" s="8" t="inlineStr">
        <is>
          <t>Baseline</t>
        </is>
      </c>
      <c r="N45" s="8" t="inlineStr">
        <is>
          <t>Operational role</t>
        </is>
      </c>
      <c r="O45" s="8" t="inlineStr">
        <is>
          <t>P1</t>
        </is>
      </c>
      <c r="P45" s="5" t="inlineStr">
        <is>
          <t>Unchanged</t>
        </is>
      </c>
      <c r="Q45" s="20" t="inlineStr">
        <is>
          <t>Author assertion</t>
        </is>
      </c>
      <c r="R45" s="5" t="inlineStr"/>
      <c r="S45" s="8" t="inlineStr">
        <is>
          <t>INV</t>
        </is>
      </c>
      <c r="T45" s="5" t="inlineStr">
        <is>
          <t>Inventory lifecycle</t>
        </is>
      </c>
      <c r="U45" s="8" t="inlineStr"/>
      <c r="V45" s="8" t="inlineStr">
        <is>
          <t>inventory</t>
        </is>
      </c>
      <c r="W45" s="8" t="inlineStr">
        <is>
          <t>RUN</t>
        </is>
      </c>
      <c r="X45" s="5" t="inlineStr">
        <is>
          <t>Core</t>
        </is>
      </c>
      <c r="Y45" s="5" t="inlineStr">
        <is>
          <t>Owner</t>
        </is>
      </c>
      <c r="Z45" s="5" t="inlineStr">
        <is>
          <t>High</t>
        </is>
      </c>
      <c r="AA45" s="5" t="inlineStr">
        <is>
          <t>High</t>
        </is>
      </c>
      <c r="AB45" s="8" t="inlineStr">
        <is>
          <t>Low</t>
        </is>
      </c>
      <c r="AC45" s="8" t="inlineStr">
        <is>
          <t>Pilot</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P1</t>
        </is>
      </c>
      <c r="AL45" s="8" t="n">
        <v>9</v>
      </c>
      <c r="AM45" s="5" t="inlineStr"/>
      <c r="AN45" s="5" t="inlineStr"/>
      <c r="AO45" s="5" t="inlineStr"/>
      <c r="AP45" s="5" t="inlineStr"/>
      <c r="AQ45" s="5" t="inlineStr"/>
      <c r="AR45" s="5" t="inlineStr"/>
      <c r="AS45" s="5" t="inlineStr"/>
      <c r="AT45" s="5" t="inlineStr"/>
      <c r="AU45" s="8" t="inlineStr">
        <is>
          <t>Not run</t>
        </is>
      </c>
    </row>
    <row r="46" ht="32" customHeight="1">
      <c r="A46" s="16" t="inlineStr">
        <is>
          <t>P-0045</t>
        </is>
      </c>
      <c r="B46" s="8" t="inlineStr">
        <is>
          <t>P</t>
        </is>
      </c>
      <c r="C46" s="5" t="inlineStr">
        <is>
          <t>Medical Shop</t>
        </is>
      </c>
      <c r="D46" s="5" t="inlineStr">
        <is>
          <t>Returns / Complaints / After-Sales</t>
        </is>
      </c>
      <c r="E46" s="5" t="inlineStr">
        <is>
          <t>Handle medicine returns</t>
        </is>
      </c>
      <c r="F46" s="5" t="inlineStr">
        <is>
          <t>Pharmacist</t>
        </is>
      </c>
      <c r="G46" s="5" t="inlineStr">
        <is>
          <t>Patient / Retail Customer</t>
        </is>
      </c>
      <c r="H46" s="5" t="inlineStr">
        <is>
          <t>Accept patient returns of un-opened strips, verify batch identity, and issue credit/refund</t>
        </is>
      </c>
      <c r="I46" s="5" t="inlineStr">
        <is>
          <t>Validates that returned batch was originally sold on referenced invoice; restores batch stock</t>
        </is>
      </c>
      <c r="J46" s="20" t="inlineStr">
        <is>
          <t>P1</t>
        </is>
      </c>
      <c r="K46" s="20" t="inlineStr">
        <is>
          <t>Validated (Supported)</t>
        </is>
      </c>
      <c r="L46" s="5" t="inlineStr">
        <is>
          <t>Supported via SalesReturn with mandatory batch lot selection and condition grading.</t>
        </is>
      </c>
      <c r="M46" s="8" t="inlineStr">
        <is>
          <t>Baseline</t>
        </is>
      </c>
      <c r="N46" s="8" t="inlineStr">
        <is>
          <t>Operational role</t>
        </is>
      </c>
      <c r="O46" s="8" t="inlineStr">
        <is>
          <t>P1</t>
        </is>
      </c>
      <c r="P46" s="5" t="inlineStr">
        <is>
          <t>Unchanged</t>
        </is>
      </c>
      <c r="Q46" s="21" t="inlineStr">
        <is>
          <t>Code symbol found</t>
        </is>
      </c>
      <c r="R46" s="5" t="inlineStr">
        <is>
          <t>Matched SalesReturn in product code. This is not a functional test.</t>
        </is>
      </c>
      <c r="S46" s="8" t="inlineStr">
        <is>
          <t>RET</t>
        </is>
      </c>
      <c r="T46" s="5" t="inlineStr">
        <is>
          <t>Returns, complaints, and after-sales</t>
        </is>
      </c>
      <c r="U46" s="8" t="inlineStr"/>
      <c r="V46" s="8" t="inlineStr">
        <is>
          <t>sales</t>
        </is>
      </c>
      <c r="W46" s="8" t="inlineStr">
        <is>
          <t>RUN</t>
        </is>
      </c>
      <c r="X46" s="5" t="inlineStr">
        <is>
          <t>Core</t>
        </is>
      </c>
      <c r="Y46" s="5" t="inlineStr">
        <is>
          <t>Owner</t>
        </is>
      </c>
      <c r="Z46" s="5" t="inlineStr">
        <is>
          <t>Medium</t>
        </is>
      </c>
      <c r="AA46" s="5" t="inlineStr">
        <is>
          <t>Medium</t>
        </is>
      </c>
      <c r="AB46" s="8" t="inlineStr">
        <is>
          <t>Low</t>
        </is>
      </c>
      <c r="AC46" s="8" t="inlineStr">
        <is>
          <t>Pilot</t>
        </is>
      </c>
      <c r="AD46" s="5" t="inlineStr">
        <is>
          <t>Cited in code</t>
        </is>
      </c>
      <c r="AE46" s="5" t="inlineStr">
        <is>
          <t>Not verified</t>
        </is>
      </c>
      <c r="AF46" s="5" t="inlineStr">
        <is>
          <t>Not verified</t>
        </is>
      </c>
      <c r="AG46" s="5" t="inlineStr">
        <is>
          <t>Not verified</t>
        </is>
      </c>
      <c r="AH46" s="5" t="inlineStr">
        <is>
          <t>Not verified</t>
        </is>
      </c>
      <c r="AI46" s="8" t="inlineStr">
        <is>
          <t>No</t>
        </is>
      </c>
      <c r="AJ46" s="8" t="inlineStr">
        <is>
          <t>Built - unverified</t>
        </is>
      </c>
      <c r="AK46" s="8" t="inlineStr">
        <is>
          <t>P1</t>
        </is>
      </c>
      <c r="AL46" s="8" t="n">
        <v>6</v>
      </c>
      <c r="AM46" s="5" t="inlineStr"/>
      <c r="AN46" s="5" t="inlineStr"/>
      <c r="AO46" s="5" t="inlineStr"/>
      <c r="AP46" s="5" t="inlineStr"/>
      <c r="AQ46" s="5" t="inlineStr"/>
      <c r="AR46" s="5" t="inlineStr"/>
      <c r="AS46" s="5" t="inlineStr"/>
      <c r="AT46" s="5" t="inlineStr"/>
      <c r="AU46" s="8" t="inlineStr">
        <is>
          <t>Not run</t>
        </is>
      </c>
    </row>
    <row r="47" ht="32" customHeight="1">
      <c r="A47" s="16" t="inlineStr">
        <is>
          <t>P-0046</t>
        </is>
      </c>
      <c r="B47" s="8" t="inlineStr">
        <is>
          <t>P</t>
        </is>
      </c>
      <c r="C47" s="5" t="inlineStr">
        <is>
          <t>Medical Shop</t>
        </is>
      </c>
      <c r="D47" s="5" t="inlineStr">
        <is>
          <t>Customer-to-Cash</t>
        </is>
      </c>
      <c r="E47" s="5" t="inlineStr">
        <is>
          <t>Search medicines while billing</t>
        </is>
      </c>
      <c r="F47" s="5" t="inlineStr">
        <is>
          <t>Pharmacist</t>
        </is>
      </c>
      <c r="G47" s="5" t="inlineStr">
        <is>
          <t>Customer</t>
        </is>
      </c>
      <c r="H47" s="5" t="inlineStr">
        <is>
          <t>Rapid search by brand name, generic composition / salt name, or barcode during billing</t>
        </is>
      </c>
      <c r="I47" s="5" t="inlineStr">
        <is>
          <t>Queries product catalog and active batch lots; displays composition, manufacturer, and stock</t>
        </is>
      </c>
      <c r="J47" s="19" t="inlineStr">
        <is>
          <t>P0</t>
        </is>
      </c>
      <c r="K47" s="20" t="inlineStr">
        <is>
          <t>Validated (Supported)</t>
        </is>
      </c>
      <c r="L47" s="5" t="inlineStr">
        <is>
          <t>Supported via multi-field indexed search (brand, salt, manufacturer, barcode) on POS.</t>
        </is>
      </c>
      <c r="M47" s="8" t="inlineStr">
        <is>
          <t>Baseline</t>
        </is>
      </c>
      <c r="N47" s="8" t="inlineStr">
        <is>
          <t>Operational role</t>
        </is>
      </c>
      <c r="O47" s="8" t="inlineStr">
        <is>
          <t>P0</t>
        </is>
      </c>
      <c r="P47" s="5" t="inlineStr">
        <is>
          <t>Unchanged</t>
        </is>
      </c>
      <c r="Q47" s="20" t="inlineStr">
        <is>
          <t>Author assertion</t>
        </is>
      </c>
      <c r="R47" s="5" t="inlineStr"/>
      <c r="S47" s="8" t="inlineStr">
        <is>
          <t>C2C</t>
        </is>
      </c>
      <c r="T47" s="5" t="inlineStr">
        <is>
          <t>Customer to cash</t>
        </is>
      </c>
      <c r="U47" s="8" t="inlineStr"/>
      <c r="V47" s="8" t="inlineStr">
        <is>
          <t>sales</t>
        </is>
      </c>
      <c r="W47" s="8" t="inlineStr">
        <is>
          <t>RUN</t>
        </is>
      </c>
      <c r="X47" s="5" t="inlineStr">
        <is>
          <t>Core</t>
        </is>
      </c>
      <c r="Y47" s="5" t="inlineStr">
        <is>
          <t>Owner</t>
        </is>
      </c>
      <c r="Z47" s="5" t="inlineStr">
        <is>
          <t>Medium</t>
        </is>
      </c>
      <c r="AA47" s="5" t="inlineStr">
        <is>
          <t>Medium</t>
        </is>
      </c>
      <c r="AB47" s="8" t="inlineStr">
        <is>
          <t>Low</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6</v>
      </c>
      <c r="AM47" s="5" t="inlineStr"/>
      <c r="AN47" s="5" t="inlineStr"/>
      <c r="AO47" s="5" t="inlineStr"/>
      <c r="AP47" s="5" t="inlineStr"/>
      <c r="AQ47" s="5" t="inlineStr"/>
      <c r="AR47" s="5" t="inlineStr"/>
      <c r="AS47" s="5" t="inlineStr"/>
      <c r="AT47" s="5" t="inlineStr"/>
      <c r="AU47" s="8" t="inlineStr">
        <is>
          <t>Not run</t>
        </is>
      </c>
    </row>
    <row r="48" ht="32" customHeight="1">
      <c r="A48" s="16" t="inlineStr">
        <is>
          <t>P-0047</t>
        </is>
      </c>
      <c r="B48" s="8" t="inlineStr">
        <is>
          <t>P</t>
        </is>
      </c>
      <c r="C48" s="5" t="inlineStr">
        <is>
          <t>Medical Shop</t>
        </is>
      </c>
      <c r="D48" s="5" t="inlineStr">
        <is>
          <t>Master Data &amp; Authorization</t>
        </is>
      </c>
      <c r="E48" s="5" t="inlineStr">
        <is>
          <t>Maintain MRP and selling price</t>
        </is>
      </c>
      <c r="F48" s="5" t="inlineStr">
        <is>
          <t>Pharmacist</t>
        </is>
      </c>
      <c r="G48" s="5" t="inlineStr">
        <is>
          <t>Drug Price Regulator (NPPA)</t>
        </is>
      </c>
      <c r="H48" s="5" t="inlineStr">
        <is>
          <t>Enforce statutory Maximum Retail Price (MRP) compliance and apply pharmacy discounts</t>
        </is>
      </c>
      <c r="I48" s="5" t="inlineStr">
        <is>
          <t>Ensures selling price never exceeds statutory MRP; displays discount percentage clearly</t>
        </is>
      </c>
      <c r="J48" s="20" t="inlineStr">
        <is>
          <t>P1</t>
        </is>
      </c>
      <c r="K48" s="20" t="inlineStr">
        <is>
          <t>Validated (Supported)</t>
        </is>
      </c>
      <c r="L48" s="5" t="inlineStr">
        <is>
          <t>System validation rule: SP &lt;= MRP strictly enforced on all pharmaceutical SKUs.</t>
        </is>
      </c>
      <c r="M48" s="8" t="inlineStr">
        <is>
          <t>Baseline</t>
        </is>
      </c>
      <c r="N48" s="8" t="inlineStr">
        <is>
          <t>Operational role</t>
        </is>
      </c>
      <c r="O48" s="8" t="inlineStr">
        <is>
          <t>P1</t>
        </is>
      </c>
      <c r="P48" s="5" t="inlineStr">
        <is>
          <t>Unchanged</t>
        </is>
      </c>
      <c r="Q48" s="20" t="inlineStr">
        <is>
          <t>Author assertion</t>
        </is>
      </c>
      <c r="R48" s="5" t="inlineStr"/>
      <c r="S48" s="8" t="inlineStr">
        <is>
          <t>MASTER</t>
        </is>
      </c>
      <c r="T48" s="5" t="inlineStr">
        <is>
          <t>Master data and authorization</t>
        </is>
      </c>
      <c r="U48" s="8" t="inlineStr"/>
      <c r="V48" s="8" t="inlineStr">
        <is>
          <t>masters</t>
        </is>
      </c>
      <c r="W48" s="8" t="inlineStr">
        <is>
          <t>KERNEL</t>
        </is>
      </c>
      <c r="X48" s="5" t="inlineStr">
        <is>
          <t>Core</t>
        </is>
      </c>
      <c r="Y48" s="5" t="inlineStr">
        <is>
          <t>Owner</t>
        </is>
      </c>
      <c r="Z48" s="5" t="inlineStr">
        <is>
          <t>Medium</t>
        </is>
      </c>
      <c r="AA48" s="5" t="inlineStr">
        <is>
          <t>Medium</t>
        </is>
      </c>
      <c r="AB48" s="8" t="inlineStr">
        <is>
          <t>Low</t>
        </is>
      </c>
      <c r="AC48" s="8" t="inlineStr">
        <is>
          <t>Later</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P1</t>
        </is>
      </c>
      <c r="AL48" s="8" t="n">
        <v>6</v>
      </c>
      <c r="AM48" s="5" t="inlineStr"/>
      <c r="AN48" s="5" t="inlineStr"/>
      <c r="AO48" s="5" t="inlineStr"/>
      <c r="AP48" s="5" t="inlineStr"/>
      <c r="AQ48" s="5" t="inlineStr"/>
      <c r="AR48" s="5" t="inlineStr"/>
      <c r="AS48" s="5" t="inlineStr"/>
      <c r="AT48" s="5" t="inlineStr"/>
      <c r="AU48" s="8" t="inlineStr">
        <is>
          <t>Not run</t>
        </is>
      </c>
    </row>
    <row r="49" ht="32" customHeight="1">
      <c r="A49" s="16" t="inlineStr">
        <is>
          <t>P-0048</t>
        </is>
      </c>
      <c r="B49" s="8" t="inlineStr">
        <is>
          <t>P</t>
        </is>
      </c>
      <c r="C49" s="5" t="inlineStr">
        <is>
          <t>Medical Shop</t>
        </is>
      </c>
      <c r="D49" s="5" t="inlineStr">
        <is>
          <t>Procure-to-Pay</t>
        </is>
      </c>
      <c r="E49" s="5" t="inlineStr">
        <is>
          <t>Track supplier-wise purchases</t>
        </is>
      </c>
      <c r="F49" s="5" t="inlineStr">
        <is>
          <t>Pharmacist / Owner</t>
        </is>
      </c>
      <c r="G49" s="5" t="inlineStr">
        <is>
          <t>Pharma Distributor</t>
        </is>
      </c>
      <c r="H49" s="5" t="inlineStr">
        <is>
          <t>Track purchase volumes, credit terms, and payment history per pharmaceutical distributor</t>
        </is>
      </c>
      <c r="I49" s="5" t="inlineStr">
        <is>
          <t>Maintains supplier purchase register; enables reconciliation of distributor statements</t>
        </is>
      </c>
      <c r="J49" s="20" t="inlineStr">
        <is>
          <t>P1</t>
        </is>
      </c>
      <c r="K49" s="20" t="inlineStr">
        <is>
          <t>Validated (Supported)</t>
        </is>
      </c>
      <c r="L49" s="5" t="inlineStr">
        <is>
          <t>Supported via /purchases/suppliers/ with comprehensive statement ledger.</t>
        </is>
      </c>
      <c r="M49" s="8" t="inlineStr">
        <is>
          <t>Baseline</t>
        </is>
      </c>
      <c r="N49" s="8" t="inlineStr">
        <is>
          <t>Operational role</t>
        </is>
      </c>
      <c r="O49" s="8" t="inlineStr">
        <is>
          <t>P1</t>
        </is>
      </c>
      <c r="P49" s="5" t="inlineStr">
        <is>
          <t>Unchanged</t>
        </is>
      </c>
      <c r="Q49" s="20" t="inlineStr">
        <is>
          <t>Author assertion</t>
        </is>
      </c>
      <c r="R49" s="5" t="inlineStr"/>
      <c r="S49" s="8" t="inlineStr">
        <is>
          <t>P2P</t>
        </is>
      </c>
      <c r="T49" s="5" t="inlineStr">
        <is>
          <t>Procure to pay</t>
        </is>
      </c>
      <c r="U49" s="8" t="inlineStr"/>
      <c r="V49" s="8" t="inlineStr">
        <is>
          <t>purchases</t>
        </is>
      </c>
      <c r="W49" s="8" t="inlineStr">
        <is>
          <t>RUN</t>
        </is>
      </c>
      <c r="X49" s="5" t="inlineStr">
        <is>
          <t>Core</t>
        </is>
      </c>
      <c r="Y49" s="5" t="inlineStr">
        <is>
          <t>Owner</t>
        </is>
      </c>
      <c r="Z49" s="5" t="inlineStr">
        <is>
          <t>Medium</t>
        </is>
      </c>
      <c r="AA49" s="5" t="inlineStr">
        <is>
          <t>Medium</t>
        </is>
      </c>
      <c r="AB49" s="8" t="inlineStr">
        <is>
          <t>Low</t>
        </is>
      </c>
      <c r="AC49" s="8" t="inlineStr">
        <is>
          <t>Pilot</t>
        </is>
      </c>
      <c r="AD49" s="5" t="inlineStr">
        <is>
          <t>Not independently checked</t>
        </is>
      </c>
      <c r="AE49" s="5" t="inlineStr">
        <is>
          <t>Not verified</t>
        </is>
      </c>
      <c r="AF49" s="5" t="inlineStr">
        <is>
          <t>Not verified</t>
        </is>
      </c>
      <c r="AG49" s="5" t="inlineStr">
        <is>
          <t>Not verified</t>
        </is>
      </c>
      <c r="AH49" s="5" t="inlineStr">
        <is>
          <t>Not verified</t>
        </is>
      </c>
      <c r="AI49" s="8" t="inlineStr">
        <is>
          <t>No</t>
        </is>
      </c>
      <c r="AJ49" s="8" t="inlineStr">
        <is>
          <t>Claimed - unverified</t>
        </is>
      </c>
      <c r="AK49" s="8" t="inlineStr">
        <is>
          <t>P1</t>
        </is>
      </c>
      <c r="AL49" s="8" t="n">
        <v>6</v>
      </c>
      <c r="AM49" s="5" t="inlineStr"/>
      <c r="AN49" s="5" t="inlineStr"/>
      <c r="AO49" s="5" t="inlineStr"/>
      <c r="AP49" s="5" t="inlineStr"/>
      <c r="AQ49" s="5" t="inlineStr"/>
      <c r="AR49" s="5" t="inlineStr"/>
      <c r="AS49" s="5" t="inlineStr"/>
      <c r="AT49" s="5" t="inlineStr"/>
      <c r="AU49" s="8" t="inlineStr">
        <is>
          <t>Not run</t>
        </is>
      </c>
    </row>
    <row r="50" ht="32" customHeight="1">
      <c r="A50" s="16" t="inlineStr">
        <is>
          <t>P-0049</t>
        </is>
      </c>
      <c r="B50" s="8" t="inlineStr">
        <is>
          <t>P</t>
        </is>
      </c>
      <c r="C50" s="5" t="inlineStr">
        <is>
          <t>Medical Shop</t>
        </is>
      </c>
      <c r="D50" s="5" t="inlineStr">
        <is>
          <t>GST / Tax / Compliance</t>
        </is>
      </c>
      <c r="E50" s="5" t="inlineStr">
        <is>
          <t>Generate GST-compliant medicine invoices</t>
        </is>
      </c>
      <c r="F50" s="5" t="inlineStr">
        <is>
          <t>Pharmacist</t>
        </is>
      </c>
      <c r="G50" s="5" t="inlineStr">
        <is>
          <t>Patient / B2B Hospital Client</t>
        </is>
      </c>
      <c r="H50" s="5" t="inlineStr">
        <is>
          <t>Generate invoices with Drug Licence numbers (Form 20B/21B), HSN, batch, expiry, and GST split</t>
        </is>
      </c>
      <c r="I50" s="5" t="inlineStr">
        <is>
          <t>Renders statutory pharmacy invoice template compliant with Drugs and Cosmetics Act and GST rules</t>
        </is>
      </c>
      <c r="J50" s="19" t="inlineStr">
        <is>
          <t>P0</t>
        </is>
      </c>
      <c r="K50" s="20" t="inlineStr">
        <is>
          <t>Validated (Supported)</t>
        </is>
      </c>
      <c r="L50" s="5" t="inlineStr">
        <is>
          <t>Supported via specialized Pharmacy Invoice PDF template showing DL numbers and batch grid.</t>
        </is>
      </c>
      <c r="M50" s="8" t="inlineStr">
        <is>
          <t>Baseline</t>
        </is>
      </c>
      <c r="N50" s="8" t="inlineStr">
        <is>
          <t>Operational role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Owner</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P-0050</t>
        </is>
      </c>
      <c r="B51" s="8" t="inlineStr">
        <is>
          <t>P</t>
        </is>
      </c>
      <c r="C51" s="5" t="inlineStr">
        <is>
          <t>Medical Shop</t>
        </is>
      </c>
      <c r="D51" s="5" t="inlineStr">
        <is>
          <t>Inventory Lifecycle</t>
        </is>
      </c>
      <c r="E51" s="5" t="inlineStr">
        <is>
          <t>Identify expiry-risk stock</t>
        </is>
      </c>
      <c r="F51" s="5" t="inlineStr">
        <is>
          <t>Pharmacist / Owner</t>
        </is>
      </c>
      <c r="G51" s="5" t="inlineStr">
        <is>
          <t>Distributor</t>
        </is>
      </c>
      <c r="H51" s="5" t="inlineStr">
        <is>
          <t>Quantify total financial capital tied up in stock expiring within the next 90 days</t>
        </is>
      </c>
      <c r="I51" s="5" t="inlineStr">
        <is>
          <t>Calculates value at risk: SUM(Quantity * Cost Price) for all batches expiring within threshold</t>
        </is>
      </c>
      <c r="J51" s="20" t="inlineStr">
        <is>
          <t>P1</t>
        </is>
      </c>
      <c r="K51" s="20" t="inlineStr">
        <is>
          <t>Validated (Supported)</t>
        </is>
      </c>
      <c r="L51" s="5" t="inlineStr">
        <is>
          <t>Supported via Capital at Risk dashboard widget in Insights module.</t>
        </is>
      </c>
      <c r="M51" s="8" t="inlineStr">
        <is>
          <t>Baseline</t>
        </is>
      </c>
      <c r="N51" s="8" t="inlineStr">
        <is>
          <t>Operational role</t>
        </is>
      </c>
      <c r="O51" s="8" t="inlineStr">
        <is>
          <t>P1</t>
        </is>
      </c>
      <c r="P51" s="5" t="inlineStr">
        <is>
          <t>Unchanged</t>
        </is>
      </c>
      <c r="Q51" s="20" t="inlineStr">
        <is>
          <t>Author assertion</t>
        </is>
      </c>
      <c r="R51" s="5" t="inlineStr"/>
      <c r="S51" s="8" t="inlineStr">
        <is>
          <t>INV</t>
        </is>
      </c>
      <c r="T51" s="5" t="inlineStr">
        <is>
          <t>Inventory lifecycle</t>
        </is>
      </c>
      <c r="U51" s="8" t="inlineStr"/>
      <c r="V51" s="8" t="inlineStr">
        <is>
          <t>inventory</t>
        </is>
      </c>
      <c r="W51" s="8" t="inlineStr">
        <is>
          <t>RUN</t>
        </is>
      </c>
      <c r="X51" s="5" t="inlineStr">
        <is>
          <t>Core</t>
        </is>
      </c>
      <c r="Y51" s="5" t="inlineStr">
        <is>
          <t>Owner</t>
        </is>
      </c>
      <c r="Z51" s="5" t="inlineStr">
        <is>
          <t>High</t>
        </is>
      </c>
      <c r="AA51" s="5" t="inlineStr">
        <is>
          <t>High</t>
        </is>
      </c>
      <c r="AB51" s="8" t="inlineStr">
        <is>
          <t>Low</t>
        </is>
      </c>
      <c r="AC51" s="8" t="inlineStr">
        <is>
          <t>Pilot</t>
        </is>
      </c>
      <c r="AD51" s="5" t="inlineStr">
        <is>
          <t>Not independently checked</t>
        </is>
      </c>
      <c r="AE51" s="5" t="inlineStr">
        <is>
          <t>Not verified</t>
        </is>
      </c>
      <c r="AF51" s="5" t="inlineStr">
        <is>
          <t>Not verified</t>
        </is>
      </c>
      <c r="AG51" s="5" t="inlineStr">
        <is>
          <t>Not verified</t>
        </is>
      </c>
      <c r="AH51" s="5" t="inlineStr">
        <is>
          <t>Not verified</t>
        </is>
      </c>
      <c r="AI51" s="8" t="inlineStr">
        <is>
          <t>No</t>
        </is>
      </c>
      <c r="AJ51" s="8" t="inlineStr">
        <is>
          <t>Claimed - unverified</t>
        </is>
      </c>
      <c r="AK51" s="8" t="inlineStr">
        <is>
          <t>P1</t>
        </is>
      </c>
      <c r="AL51" s="8" t="n">
        <v>9</v>
      </c>
      <c r="AM51" s="5" t="inlineStr"/>
      <c r="AN51" s="5" t="inlineStr"/>
      <c r="AO51" s="5" t="inlineStr"/>
      <c r="AP51" s="5" t="inlineStr"/>
      <c r="AQ51" s="5" t="inlineStr"/>
      <c r="AR51" s="5" t="inlineStr"/>
      <c r="AS51" s="5" t="inlineStr"/>
      <c r="AT51" s="5" t="inlineStr"/>
      <c r="AU51" s="8" t="inlineStr">
        <is>
          <t>Not run</t>
        </is>
      </c>
    </row>
    <row r="52" ht="32" customHeight="1">
      <c r="A52" s="16" t="inlineStr">
        <is>
          <t>P-0051</t>
        </is>
      </c>
      <c r="B52" s="8" t="inlineStr">
        <is>
          <t>P</t>
        </is>
      </c>
      <c r="C52" s="5" t="inlineStr">
        <is>
          <t>Medical Shop</t>
        </is>
      </c>
      <c r="D52" s="5" t="inlineStr">
        <is>
          <t>Reporting &amp; Business Intelligence</t>
        </is>
      </c>
      <c r="E52" s="5" t="inlineStr">
        <is>
          <t>View profitability by item/category</t>
        </is>
      </c>
      <c r="F52" s="5" t="inlineStr">
        <is>
          <t>Medical Shop Owner</t>
        </is>
      </c>
      <c r="G52" s="5" t="inlineStr">
        <is>
          <t>None</t>
        </is>
      </c>
      <c r="H52" s="5" t="inlineStr">
        <is>
          <t>Analyze gross margins across ethical drugs, generic medicines, OTC products, and surgicals</t>
        </is>
      </c>
      <c r="I52" s="5" t="inlineStr">
        <is>
          <t>Aggregates sales revenue and cost of goods sold grouped by drug category and manufacturer</t>
        </is>
      </c>
      <c r="J52" s="22" t="inlineStr">
        <is>
          <t>P2</t>
        </is>
      </c>
      <c r="K52" s="20" t="inlineStr">
        <is>
          <t>Validated (Supported)</t>
        </is>
      </c>
      <c r="L52" s="5" t="inlineStr">
        <is>
          <t>Supported via Category Profitability report (/reports/category-margins/).</t>
        </is>
      </c>
      <c r="M52" s="8" t="inlineStr">
        <is>
          <t>Baseline</t>
        </is>
      </c>
      <c r="N52" s="8" t="inlineStr">
        <is>
          <t>Operational role</t>
        </is>
      </c>
      <c r="O52" s="8" t="inlineStr">
        <is>
          <t>P2</t>
        </is>
      </c>
      <c r="P52" s="5" t="inlineStr">
        <is>
          <t>Unchanged</t>
        </is>
      </c>
      <c r="Q52" s="20" t="inlineStr">
        <is>
          <t>Author assertion</t>
        </is>
      </c>
      <c r="R52" s="5" t="inlineStr"/>
      <c r="S52" s="8" t="inlineStr">
        <is>
          <t>RPT</t>
        </is>
      </c>
      <c r="T52" s="5" t="inlineStr">
        <is>
          <t>Reporting and business intelligence</t>
        </is>
      </c>
      <c r="U52" s="8" t="inlineStr"/>
      <c r="V52" s="8" t="inlineStr">
        <is>
          <t>reporting</t>
        </is>
      </c>
      <c r="W52" s="8" t="inlineStr">
        <is>
          <t>CONTROL</t>
        </is>
      </c>
      <c r="X52" s="5" t="inlineStr">
        <is>
          <t>Core</t>
        </is>
      </c>
      <c r="Y52" s="5" t="inlineStr">
        <is>
          <t>Owner</t>
        </is>
      </c>
      <c r="Z52" s="5" t="inlineStr">
        <is>
          <t>Medium</t>
        </is>
      </c>
      <c r="AA52" s="5" t="inlineStr">
        <is>
          <t>Medium</t>
        </is>
      </c>
      <c r="AB52" s="8" t="inlineStr">
        <is>
          <t>Low</t>
        </is>
      </c>
      <c r="AC52" s="8" t="inlineStr">
        <is>
          <t>Later</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P2</t>
        </is>
      </c>
      <c r="AL52" s="8" t="n">
        <v>6</v>
      </c>
      <c r="AM52" s="5" t="inlineStr"/>
      <c r="AN52" s="5" t="inlineStr"/>
      <c r="AO52" s="5" t="inlineStr"/>
      <c r="AP52" s="5" t="inlineStr"/>
      <c r="AQ52" s="5" t="inlineStr"/>
      <c r="AR52" s="5" t="inlineStr"/>
      <c r="AS52" s="5" t="inlineStr"/>
      <c r="AT52" s="5" t="inlineStr"/>
      <c r="AU52" s="8" t="inlineStr">
        <is>
          <t>Not run</t>
        </is>
      </c>
    </row>
    <row r="53" ht="32" customHeight="1">
      <c r="A53" s="16" t="inlineStr">
        <is>
          <t>P-0052</t>
        </is>
      </c>
      <c r="B53" s="8" t="inlineStr">
        <is>
          <t>P</t>
        </is>
      </c>
      <c r="C53" s="5" t="inlineStr">
        <is>
          <t>Distributor</t>
        </is>
      </c>
      <c r="D53" s="5" t="inlineStr">
        <is>
          <t>Customer-to-Cash</t>
        </is>
      </c>
      <c r="E53" s="5" t="inlineStr">
        <is>
          <t>Create bulk sales invoices</t>
        </is>
      </c>
      <c r="F53" s="5" t="inlineStr">
        <is>
          <t>Wholesale Billing Clerk</t>
        </is>
      </c>
      <c r="G53" s="5" t="inlineStr">
        <is>
          <t>Retail Merchant / Dealer</t>
        </is>
      </c>
      <c r="H53" s="5" t="inlineStr">
        <is>
          <t>Create high-volume B2B tax invoices with tiered wholesale price lists, discounts, and credit terms</t>
        </is>
      </c>
      <c r="I53" s="5" t="inlineStr">
        <is>
          <t>Decrements warehouse stock, debits customer AR ledger, generates GST B2B tax invoice</t>
        </is>
      </c>
      <c r="J53" s="19" t="inlineStr">
        <is>
          <t>P0</t>
        </is>
      </c>
      <c r="K53" s="20" t="inlineStr">
        <is>
          <t>Validated (Supported)</t>
        </is>
      </c>
      <c r="L53" s="5" t="inlineStr">
        <is>
          <t>Supported via /sales/invoices/ with wholesale price list auto-application and bulk CSV entry.</t>
        </is>
      </c>
      <c r="M53" s="8" t="inlineStr">
        <is>
          <t>Baseline</t>
        </is>
      </c>
      <c r="N53" s="8" t="inlineStr">
        <is>
          <t>Operational role</t>
        </is>
      </c>
      <c r="O53" s="8" t="inlineStr">
        <is>
          <t>P0</t>
        </is>
      </c>
      <c r="P53" s="5" t="inlineStr">
        <is>
          <t>Unchanged</t>
        </is>
      </c>
      <c r="Q53" s="20" t="inlineStr">
        <is>
          <t>Author assertion</t>
        </is>
      </c>
      <c r="R53" s="5" t="inlineStr"/>
      <c r="S53" s="8" t="inlineStr">
        <is>
          <t>C2C</t>
        </is>
      </c>
      <c r="T53" s="5" t="inlineStr">
        <is>
          <t>Customer to cash</t>
        </is>
      </c>
      <c r="U53" s="8" t="inlineStr"/>
      <c r="V53" s="8" t="inlineStr">
        <is>
          <t>sales</t>
        </is>
      </c>
      <c r="W53" s="8" t="inlineStr">
        <is>
          <t>RUN</t>
        </is>
      </c>
      <c r="X53" s="5" t="inlineStr">
        <is>
          <t>Core</t>
        </is>
      </c>
      <c r="Y53" s="5" t="inlineStr">
        <is>
          <t>Owner</t>
        </is>
      </c>
      <c r="Z53" s="5" t="inlineStr">
        <is>
          <t>Medium</t>
        </is>
      </c>
      <c r="AA53" s="5" t="inlineStr">
        <is>
          <t>Medium</t>
        </is>
      </c>
      <c r="AB53" s="8" t="inlineStr">
        <is>
          <t>Low</t>
        </is>
      </c>
      <c r="AC53" s="8" t="inlineStr">
        <is>
          <t>MVP</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P0</t>
        </is>
      </c>
      <c r="AL53" s="8" t="n">
        <v>6</v>
      </c>
      <c r="AM53" s="5" t="inlineStr"/>
      <c r="AN53" s="5" t="inlineStr"/>
      <c r="AO53" s="5" t="inlineStr"/>
      <c r="AP53" s="5" t="inlineStr"/>
      <c r="AQ53" s="5" t="inlineStr"/>
      <c r="AR53" s="5" t="inlineStr"/>
      <c r="AS53" s="5" t="inlineStr"/>
      <c r="AT53" s="5" t="inlineStr"/>
      <c r="AU53" s="8" t="inlineStr">
        <is>
          <t>Not run</t>
        </is>
      </c>
    </row>
    <row r="54" ht="32" customHeight="1">
      <c r="A54" s="16" t="inlineStr">
        <is>
          <t>P-0053</t>
        </is>
      </c>
      <c r="B54" s="8" t="inlineStr">
        <is>
          <t>P</t>
        </is>
      </c>
      <c r="C54" s="5" t="inlineStr">
        <is>
          <t>Distributor</t>
        </is>
      </c>
      <c r="D54" s="5" t="inlineStr">
        <is>
          <t>Customer-to-Cash</t>
        </is>
      </c>
      <c r="E54" s="5" t="inlineStr">
        <is>
          <t>Process retailer orders</t>
        </is>
      </c>
      <c r="F54" s="5" t="inlineStr">
        <is>
          <t>Commercial Order Desk</t>
        </is>
      </c>
      <c r="G54" s="5" t="inlineStr">
        <is>
          <t>Retailer / Field Sales Agent</t>
        </is>
      </c>
      <c r="H54" s="5" t="inlineStr">
        <is>
          <t>Capture and validate bulk purchase orders submitted by retailers or field salesmen</t>
        </is>
      </c>
      <c r="I54" s="5" t="inlineStr">
        <is>
          <t>Creates SalesOrder in system; validates stock availability and credit status before confirmation</t>
        </is>
      </c>
      <c r="J54" s="20" t="inlineStr">
        <is>
          <t>P1</t>
        </is>
      </c>
      <c r="K54" s="20" t="inlineStr">
        <is>
          <t>Validated (Supported)</t>
        </is>
      </c>
      <c r="L54" s="5" t="inlineStr">
        <is>
          <t>Supported via /sales/orders/ with order-to-invoice conversion workflow.</t>
        </is>
      </c>
      <c r="M54" s="8" t="inlineStr">
        <is>
          <t>Baseline</t>
        </is>
      </c>
      <c r="N54" s="8" t="inlineStr">
        <is>
          <t>Operational role</t>
        </is>
      </c>
      <c r="O54" s="8" t="inlineStr">
        <is>
          <t>P1</t>
        </is>
      </c>
      <c r="P54" s="5" t="inlineStr">
        <is>
          <t>Unchanged</t>
        </is>
      </c>
      <c r="Q54" s="20" t="inlineStr">
        <is>
          <t>Author assertion</t>
        </is>
      </c>
      <c r="R54" s="5" t="inlineStr"/>
      <c r="S54" s="8" t="inlineStr">
        <is>
          <t>C2C</t>
        </is>
      </c>
      <c r="T54" s="5" t="inlineStr">
        <is>
          <t>Customer to cash</t>
        </is>
      </c>
      <c r="U54" s="8" t="inlineStr"/>
      <c r="V54" s="8" t="inlineStr">
        <is>
          <t>sales</t>
        </is>
      </c>
      <c r="W54" s="8" t="inlineStr">
        <is>
          <t>RUN</t>
        </is>
      </c>
      <c r="X54" s="5" t="inlineStr">
        <is>
          <t>Core</t>
        </is>
      </c>
      <c r="Y54" s="5" t="inlineStr">
        <is>
          <t>Owner</t>
        </is>
      </c>
      <c r="Z54" s="5" t="inlineStr">
        <is>
          <t>Medium</t>
        </is>
      </c>
      <c r="AA54" s="5" t="inlineStr">
        <is>
          <t>Medium</t>
        </is>
      </c>
      <c r="AB54" s="8" t="inlineStr">
        <is>
          <t>Low</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6</v>
      </c>
      <c r="AM54" s="5" t="inlineStr"/>
      <c r="AN54" s="5" t="inlineStr"/>
      <c r="AO54" s="5" t="inlineStr"/>
      <c r="AP54" s="5" t="inlineStr"/>
      <c r="AQ54" s="5" t="inlineStr"/>
      <c r="AR54" s="5" t="inlineStr"/>
      <c r="AS54" s="5" t="inlineStr"/>
      <c r="AT54" s="5" t="inlineStr"/>
      <c r="AU54" s="8" t="inlineStr">
        <is>
          <t>Not run</t>
        </is>
      </c>
    </row>
    <row r="55" ht="32" customHeight="1">
      <c r="A55" s="16" t="inlineStr">
        <is>
          <t>P-0054</t>
        </is>
      </c>
      <c r="B55" s="8" t="inlineStr">
        <is>
          <t>P</t>
        </is>
      </c>
      <c r="C55" s="5" t="inlineStr">
        <is>
          <t>Distributor</t>
        </is>
      </c>
      <c r="D55" s="5" t="inlineStr">
        <is>
          <t>Inventory Lifecycle</t>
        </is>
      </c>
      <c r="E55" s="5" t="inlineStr">
        <is>
          <t>Allocate inventory against orders</t>
        </is>
      </c>
      <c r="F55" s="5" t="inlineStr">
        <is>
          <t>Warehouse Dispatcher</t>
        </is>
      </c>
      <c r="G55" s="5" t="inlineStr">
        <is>
          <t>Sales Desk</t>
        </is>
      </c>
      <c r="H55" s="5" t="inlineStr">
        <is>
          <t>Reserve inventory against confirmed retailer orders to prevent double-allocation</t>
        </is>
      </c>
      <c r="I55" s="5" t="inlineStr">
        <is>
          <t>Updates reserved_quantity on StockBalance; recalculates available_to_promise (ATP) stock</t>
        </is>
      </c>
      <c r="J55" s="20" t="inlineStr">
        <is>
          <t>P1</t>
        </is>
      </c>
      <c r="K55" s="20" t="inlineStr">
        <is>
          <t>Validated (Supported)</t>
        </is>
      </c>
      <c r="L55" s="5" t="inlineStr">
        <is>
          <t>Supported in SalesOrder confirmation: reserves stock prior to dispatch note generation.</t>
        </is>
      </c>
      <c r="M55" s="8" t="inlineStr">
        <is>
          <t>Baseline</t>
        </is>
      </c>
      <c r="N55" s="8" t="inlineStr">
        <is>
          <t>Operational role</t>
        </is>
      </c>
      <c r="O55" s="8" t="inlineStr">
        <is>
          <t>P1</t>
        </is>
      </c>
      <c r="P55" s="5" t="inlineStr">
        <is>
          <t>Unchanged</t>
        </is>
      </c>
      <c r="Q55" s="21" t="inlineStr">
        <is>
          <t>Code symbol found</t>
        </is>
      </c>
      <c r="R55" s="5" t="inlineStr">
        <is>
          <t>Matched SalesOrder in product code. This is not a functional test.</t>
        </is>
      </c>
      <c r="S55" s="8" t="inlineStr">
        <is>
          <t>INV</t>
        </is>
      </c>
      <c r="T55" s="5" t="inlineStr">
        <is>
          <t>Inventory lifecycle</t>
        </is>
      </c>
      <c r="U55" s="8" t="inlineStr"/>
      <c r="V55" s="8" t="inlineStr">
        <is>
          <t>inventory</t>
        </is>
      </c>
      <c r="W55" s="8" t="inlineStr">
        <is>
          <t>RUN</t>
        </is>
      </c>
      <c r="X55" s="5" t="inlineStr">
        <is>
          <t>Core</t>
        </is>
      </c>
      <c r="Y55" s="5" t="inlineStr">
        <is>
          <t>Owner</t>
        </is>
      </c>
      <c r="Z55" s="5" t="inlineStr">
        <is>
          <t>High</t>
        </is>
      </c>
      <c r="AA55" s="5" t="inlineStr">
        <is>
          <t>High</t>
        </is>
      </c>
      <c r="AB55" s="8" t="inlineStr">
        <is>
          <t>Low</t>
        </is>
      </c>
      <c r="AC55" s="8" t="inlineStr">
        <is>
          <t>Pilot</t>
        </is>
      </c>
      <c r="AD55" s="5" t="inlineStr">
        <is>
          <t>Cited in code</t>
        </is>
      </c>
      <c r="AE55" s="5" t="inlineStr">
        <is>
          <t>Not verified</t>
        </is>
      </c>
      <c r="AF55" s="5" t="inlineStr">
        <is>
          <t>Not verified</t>
        </is>
      </c>
      <c r="AG55" s="5" t="inlineStr">
        <is>
          <t>Not verified</t>
        </is>
      </c>
      <c r="AH55" s="5" t="inlineStr">
        <is>
          <t>Not verified</t>
        </is>
      </c>
      <c r="AI55" s="8" t="inlineStr">
        <is>
          <t>No</t>
        </is>
      </c>
      <c r="AJ55" s="8" t="inlineStr">
        <is>
          <t>Built - unverified</t>
        </is>
      </c>
      <c r="AK55" s="8" t="inlineStr">
        <is>
          <t>P1</t>
        </is>
      </c>
      <c r="AL55" s="8" t="n">
        <v>9</v>
      </c>
      <c r="AM55" s="5" t="inlineStr"/>
      <c r="AN55" s="5" t="inlineStr"/>
      <c r="AO55" s="5" t="inlineStr"/>
      <c r="AP55" s="5" t="inlineStr"/>
      <c r="AQ55" s="5" t="inlineStr"/>
      <c r="AR55" s="5" t="inlineStr"/>
      <c r="AS55" s="5" t="inlineStr"/>
      <c r="AT55" s="5" t="inlineStr"/>
      <c r="AU55" s="8" t="inlineStr">
        <is>
          <t>Not run</t>
        </is>
      </c>
    </row>
    <row r="56" ht="32" customHeight="1">
      <c r="A56" s="16" t="inlineStr">
        <is>
          <t>P-0055</t>
        </is>
      </c>
      <c r="B56" s="8" t="inlineStr">
        <is>
          <t>P</t>
        </is>
      </c>
      <c r="C56" s="5" t="inlineStr">
        <is>
          <t>Distributor</t>
        </is>
      </c>
      <c r="D56" s="5" t="inlineStr">
        <is>
          <t>Customer-to-Cash</t>
        </is>
      </c>
      <c r="E56" s="5" t="inlineStr">
        <is>
          <t>Generate delivery documents</t>
        </is>
      </c>
      <c r="F56" s="5" t="inlineStr">
        <is>
          <t>Logistics Dispatcher</t>
        </is>
      </c>
      <c r="G56" s="5" t="inlineStr">
        <is>
          <t>Delivery Driver / Transport Agency</t>
        </is>
      </c>
      <c r="H56" s="5" t="inlineStr">
        <is>
          <t>Generate Delivery Challans and packing slips to accompany goods during transport</t>
        </is>
      </c>
      <c r="I56" s="5" t="inlineStr">
        <is>
          <t>Generates delivery document referencing SalesOrder/Invoice; records vehicle and driver details</t>
        </is>
      </c>
      <c r="J56" s="20" t="inlineStr">
        <is>
          <t>P1</t>
        </is>
      </c>
      <c r="K56" s="20" t="inlineStr">
        <is>
          <t>Validated (Supported)</t>
        </is>
      </c>
      <c r="L56" s="5" t="inlineStr">
        <is>
          <t>Supported via DeliveryChallan generator (/sales/delivery-challans/).</t>
        </is>
      </c>
      <c r="M56" s="8" t="inlineStr">
        <is>
          <t>Baseline</t>
        </is>
      </c>
      <c r="N56" s="8" t="inlineStr">
        <is>
          <t>Operational role</t>
        </is>
      </c>
      <c r="O56" s="8" t="inlineStr">
        <is>
          <t>P1</t>
        </is>
      </c>
      <c r="P56" s="5" t="inlineStr">
        <is>
          <t>Unchanged</t>
        </is>
      </c>
      <c r="Q56" s="21" t="inlineStr">
        <is>
          <t>Code symbol found</t>
        </is>
      </c>
      <c r="R56" s="5" t="inlineStr">
        <is>
          <t>Matched DeliveryChallan in product code. This is not a functional test.</t>
        </is>
      </c>
      <c r="S56" s="8" t="inlineStr">
        <is>
          <t>C2C</t>
        </is>
      </c>
      <c r="T56" s="5" t="inlineStr">
        <is>
          <t>Customer to cash</t>
        </is>
      </c>
      <c r="U56" s="8" t="inlineStr"/>
      <c r="V56" s="8" t="inlineStr">
        <is>
          <t>sales</t>
        </is>
      </c>
      <c r="W56" s="8" t="inlineStr">
        <is>
          <t>RUN</t>
        </is>
      </c>
      <c r="X56" s="5" t="inlineStr">
        <is>
          <t>Core</t>
        </is>
      </c>
      <c r="Y56" s="5" t="inlineStr">
        <is>
          <t>Owner</t>
        </is>
      </c>
      <c r="Z56" s="5" t="inlineStr">
        <is>
          <t>Medium</t>
        </is>
      </c>
      <c r="AA56" s="5" t="inlineStr">
        <is>
          <t>Medium</t>
        </is>
      </c>
      <c r="AB56" s="8" t="inlineStr">
        <is>
          <t>Low</t>
        </is>
      </c>
      <c r="AC56" s="8" t="inlineStr">
        <is>
          <t>Pilot</t>
        </is>
      </c>
      <c r="AD56" s="5" t="inlineStr">
        <is>
          <t>Cited in code</t>
        </is>
      </c>
      <c r="AE56" s="5" t="inlineStr">
        <is>
          <t>Not verified</t>
        </is>
      </c>
      <c r="AF56" s="5" t="inlineStr">
        <is>
          <t>Not verified</t>
        </is>
      </c>
      <c r="AG56" s="5" t="inlineStr">
        <is>
          <t>Not verified</t>
        </is>
      </c>
      <c r="AH56" s="5" t="inlineStr">
        <is>
          <t>Not verified</t>
        </is>
      </c>
      <c r="AI56" s="8" t="inlineStr">
        <is>
          <t>No</t>
        </is>
      </c>
      <c r="AJ56" s="8" t="inlineStr">
        <is>
          <t>Built - unverified</t>
        </is>
      </c>
      <c r="AK56" s="8" t="inlineStr">
        <is>
          <t>P1</t>
        </is>
      </c>
      <c r="AL56" s="8" t="n">
        <v>6</v>
      </c>
      <c r="AM56" s="5" t="inlineStr"/>
      <c r="AN56" s="5" t="inlineStr"/>
      <c r="AO56" s="5" t="inlineStr"/>
      <c r="AP56" s="5" t="inlineStr"/>
      <c r="AQ56" s="5" t="inlineStr"/>
      <c r="AR56" s="5" t="inlineStr"/>
      <c r="AS56" s="5" t="inlineStr"/>
      <c r="AT56" s="5" t="inlineStr"/>
      <c r="AU56" s="8" t="inlineStr">
        <is>
          <t>Not run</t>
        </is>
      </c>
    </row>
    <row r="57" ht="32" customHeight="1">
      <c r="A57" s="16" t="inlineStr">
        <is>
          <t>P-0056</t>
        </is>
      </c>
      <c r="B57" s="8" t="inlineStr">
        <is>
          <t>P</t>
        </is>
      </c>
      <c r="C57" s="5" t="inlineStr">
        <is>
          <t>Distributor</t>
        </is>
      </c>
      <c r="D57" s="5" t="inlineStr">
        <is>
          <t>Customer-to-Cash</t>
        </is>
      </c>
      <c r="E57" s="5" t="inlineStr">
        <is>
          <t>Track pending customer orders</t>
        </is>
      </c>
      <c r="F57" s="5" t="inlineStr">
        <is>
          <t>Sales Manager</t>
        </is>
      </c>
      <c r="G57" s="5" t="inlineStr">
        <is>
          <t>Retailer</t>
        </is>
      </c>
      <c r="H57" s="5" t="inlineStr">
        <is>
          <t>Monitor backlog of unfulfilled or partially fulfilled sales orders</t>
        </is>
      </c>
      <c r="I57" s="5" t="inlineStr">
        <is>
          <t>Surfaces open orders grouped by dispatch status, aging days, and order value</t>
        </is>
      </c>
      <c r="J57" s="20" t="inlineStr">
        <is>
          <t>P1</t>
        </is>
      </c>
      <c r="K57" s="20" t="inlineStr">
        <is>
          <t>Validated (Supported)</t>
        </is>
      </c>
      <c r="L57" s="5" t="inlineStr">
        <is>
          <t>Supported via /sales/orders/?status=PENDING filter and dashboard backlog widget.</t>
        </is>
      </c>
      <c r="M57" s="8" t="inlineStr">
        <is>
          <t>Baseline</t>
        </is>
      </c>
      <c r="N57" s="8" t="inlineStr">
        <is>
          <t>Operational role</t>
        </is>
      </c>
      <c r="O57" s="8" t="inlineStr">
        <is>
          <t>P1</t>
        </is>
      </c>
      <c r="P57" s="5" t="inlineStr">
        <is>
          <t>Unchanged</t>
        </is>
      </c>
      <c r="Q57" s="20" t="inlineStr">
        <is>
          <t>Author assertion</t>
        </is>
      </c>
      <c r="R57" s="5" t="inlineStr"/>
      <c r="S57" s="8" t="inlineStr">
        <is>
          <t>C2C</t>
        </is>
      </c>
      <c r="T57" s="5" t="inlineStr">
        <is>
          <t>Customer to cash</t>
        </is>
      </c>
      <c r="U57" s="8" t="inlineStr"/>
      <c r="V57" s="8" t="inlineStr">
        <is>
          <t>sales</t>
        </is>
      </c>
      <c r="W57" s="8" t="inlineStr">
        <is>
          <t>RUN</t>
        </is>
      </c>
      <c r="X57" s="5" t="inlineStr">
        <is>
          <t>Core</t>
        </is>
      </c>
      <c r="Y57" s="5" t="inlineStr">
        <is>
          <t>Owner</t>
        </is>
      </c>
      <c r="Z57" s="5" t="inlineStr">
        <is>
          <t>Medium</t>
        </is>
      </c>
      <c r="AA57" s="5" t="inlineStr">
        <is>
          <t>Medium</t>
        </is>
      </c>
      <c r="AB57" s="8" t="inlineStr">
        <is>
          <t>Low</t>
        </is>
      </c>
      <c r="AC57" s="8" t="inlineStr">
        <is>
          <t>Pilot</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P1</t>
        </is>
      </c>
      <c r="AL57" s="8" t="n">
        <v>6</v>
      </c>
      <c r="AM57" s="5" t="inlineStr"/>
      <c r="AN57" s="5" t="inlineStr"/>
      <c r="AO57" s="5" t="inlineStr"/>
      <c r="AP57" s="5" t="inlineStr"/>
      <c r="AQ57" s="5" t="inlineStr"/>
      <c r="AR57" s="5" t="inlineStr"/>
      <c r="AS57" s="5" t="inlineStr"/>
      <c r="AT57" s="5" t="inlineStr"/>
      <c r="AU57" s="8" t="inlineStr">
        <is>
          <t>Not run</t>
        </is>
      </c>
    </row>
    <row r="58" ht="32" customHeight="1">
      <c r="A58" s="16" t="inlineStr">
        <is>
          <t>P-0057</t>
        </is>
      </c>
      <c r="B58" s="8" t="inlineStr">
        <is>
          <t>P</t>
        </is>
      </c>
      <c r="C58" s="5" t="inlineStr">
        <is>
          <t>Distributor</t>
        </is>
      </c>
      <c r="D58" s="5" t="inlineStr">
        <is>
          <t>Receivables &amp; Payables</t>
        </is>
      </c>
      <c r="E58" s="5" t="inlineStr">
        <is>
          <t>Track customer outstanding</t>
        </is>
      </c>
      <c r="F58" s="5" t="inlineStr">
        <is>
          <t>Credit Controller / Owner</t>
        </is>
      </c>
      <c r="G58" s="5" t="inlineStr">
        <is>
          <t>Retailer</t>
        </is>
      </c>
      <c r="H58" s="5" t="inlineStr">
        <is>
          <t>Monitor wholesale receivables with aging analysis (0-30, 31-60, 61-90, 90+ days)</t>
        </is>
      </c>
      <c r="I58" s="5" t="inlineStr">
        <is>
          <t>Computes real-time AR aging per dealer; flags overdue accounts for payment collection</t>
        </is>
      </c>
      <c r="J58" s="19" t="inlineStr">
        <is>
          <t>P0</t>
        </is>
      </c>
      <c r="K58" s="20" t="inlineStr">
        <is>
          <t>Validated (Supported)</t>
        </is>
      </c>
      <c r="L58" s="5" t="inlineStr">
        <is>
          <t>Supported via /sales/reports/receivables-aging/ with drill-down to unpaid invoices.</t>
        </is>
      </c>
      <c r="M58" s="8" t="inlineStr">
        <is>
          <t>Baseline</t>
        </is>
      </c>
      <c r="N58" s="8" t="inlineStr">
        <is>
          <t>Operational role</t>
        </is>
      </c>
      <c r="O58" s="8" t="inlineStr">
        <is>
          <t>P0</t>
        </is>
      </c>
      <c r="P58" s="5" t="inlineStr">
        <is>
          <t>Unchanged</t>
        </is>
      </c>
      <c r="Q58" s="20" t="inlineStr">
        <is>
          <t>Author assertion</t>
        </is>
      </c>
      <c r="R58" s="5" t="inlineStr"/>
      <c r="S58" s="8" t="inlineStr">
        <is>
          <t>ARAP</t>
        </is>
      </c>
      <c r="T58" s="5" t="inlineStr">
        <is>
          <t>Receivables and payables</t>
        </is>
      </c>
      <c r="U58" s="8" t="inlineStr"/>
      <c r="V58" s="8" t="inlineStr">
        <is>
          <t>ledgers</t>
        </is>
      </c>
      <c r="W58" s="8" t="inlineStr">
        <is>
          <t>CONTROL</t>
        </is>
      </c>
      <c r="X58" s="5" t="inlineStr">
        <is>
          <t>Core</t>
        </is>
      </c>
      <c r="Y58" s="5" t="inlineStr">
        <is>
          <t>Owner</t>
        </is>
      </c>
      <c r="Z58" s="5" t="inlineStr">
        <is>
          <t>Critical</t>
        </is>
      </c>
      <c r="AA58" s="5" t="inlineStr">
        <is>
          <t>High</t>
        </is>
      </c>
      <c r="AB58" s="8" t="inlineStr">
        <is>
          <t>Medium</t>
        </is>
      </c>
      <c r="AC58" s="8" t="inlineStr">
        <is>
          <t>MVP</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P0</t>
        </is>
      </c>
      <c r="AL58" s="8" t="n">
        <v>18</v>
      </c>
      <c r="AM58" s="5" t="inlineStr"/>
      <c r="AN58" s="5" t="inlineStr"/>
      <c r="AO58" s="5" t="inlineStr"/>
      <c r="AP58" s="5" t="inlineStr"/>
      <c r="AQ58" s="5" t="inlineStr"/>
      <c r="AR58" s="5" t="inlineStr"/>
      <c r="AS58" s="5" t="inlineStr"/>
      <c r="AT58" s="5" t="inlineStr"/>
      <c r="AU58" s="8" t="inlineStr">
        <is>
          <t>Not run</t>
        </is>
      </c>
    </row>
    <row r="59" ht="32" customHeight="1">
      <c r="A59" s="16" t="inlineStr">
        <is>
          <t>P-0058</t>
        </is>
      </c>
      <c r="B59" s="8" t="inlineStr">
        <is>
          <t>P</t>
        </is>
      </c>
      <c r="C59" s="5" t="inlineStr">
        <is>
          <t>Distributor</t>
        </is>
      </c>
      <c r="D59" s="5" t="inlineStr">
        <is>
          <t>Receivables &amp; Payables</t>
        </is>
      </c>
      <c r="E59" s="5" t="inlineStr">
        <is>
          <t>Manage credit limits</t>
        </is>
      </c>
      <c r="F59" s="5" t="inlineStr">
        <is>
          <t>Credit Controller / Owner</t>
        </is>
      </c>
      <c r="G59" s="5" t="inlineStr">
        <is>
          <t>Retailer</t>
        </is>
      </c>
      <c r="H59" s="5" t="inlineStr">
        <is>
          <t>Enforce maximum allowed credit exposure and payment grace periods per retailer</t>
        </is>
      </c>
      <c r="I59" s="5" t="inlineStr">
        <is>
          <t>Validates total unpaid balance + new order value against customer.credit_limit; blocks if breached</t>
        </is>
      </c>
      <c r="J59" s="19" t="inlineStr">
        <is>
          <t>P0</t>
        </is>
      </c>
      <c r="K59" s="20" t="inlineStr">
        <is>
          <t>Validated (Supported)</t>
        </is>
      </c>
      <c r="L59" s="5" t="inlineStr">
        <is>
          <t>Hard validation check in SalesService.create; blocks invoice completion without Owner override.</t>
        </is>
      </c>
      <c r="M59" s="8" t="inlineStr">
        <is>
          <t>Baseline</t>
        </is>
      </c>
      <c r="N59" s="8" t="inlineStr">
        <is>
          <t>Operational role</t>
        </is>
      </c>
      <c r="O59" s="8" t="inlineStr">
        <is>
          <t>P0</t>
        </is>
      </c>
      <c r="P59" s="5" t="inlineStr">
        <is>
          <t>Unchanged</t>
        </is>
      </c>
      <c r="Q59" s="21" t="inlineStr">
        <is>
          <t>Code symbol found</t>
        </is>
      </c>
      <c r="R59" s="5" t="inlineStr">
        <is>
          <t>Matched SalesService in product code. This is not a functional test.</t>
        </is>
      </c>
      <c r="S59" s="8" t="inlineStr">
        <is>
          <t>ARAP</t>
        </is>
      </c>
      <c r="T59" s="5" t="inlineStr">
        <is>
          <t>Receivables and payables</t>
        </is>
      </c>
      <c r="U59" s="8" t="inlineStr"/>
      <c r="V59" s="8" t="inlineStr">
        <is>
          <t>ledgers</t>
        </is>
      </c>
      <c r="W59" s="8" t="inlineStr">
        <is>
          <t>CONTROL</t>
        </is>
      </c>
      <c r="X59" s="5" t="inlineStr">
        <is>
          <t>Core</t>
        </is>
      </c>
      <c r="Y59" s="5" t="inlineStr">
        <is>
          <t>Owner</t>
        </is>
      </c>
      <c r="Z59" s="5" t="inlineStr">
        <is>
          <t>Critical</t>
        </is>
      </c>
      <c r="AA59" s="5" t="inlineStr">
        <is>
          <t>High</t>
        </is>
      </c>
      <c r="AB59" s="8" t="inlineStr">
        <is>
          <t>Medium</t>
        </is>
      </c>
      <c r="AC59" s="8" t="inlineStr">
        <is>
          <t>MVP</t>
        </is>
      </c>
      <c r="AD59" s="5" t="inlineStr">
        <is>
          <t>Cited in code</t>
        </is>
      </c>
      <c r="AE59" s="5" t="inlineStr">
        <is>
          <t>Not verified</t>
        </is>
      </c>
      <c r="AF59" s="5" t="inlineStr">
        <is>
          <t>Not verified</t>
        </is>
      </c>
      <c r="AG59" s="5" t="inlineStr">
        <is>
          <t>Not verified</t>
        </is>
      </c>
      <c r="AH59" s="5" t="inlineStr">
        <is>
          <t>Not verified</t>
        </is>
      </c>
      <c r="AI59" s="8" t="inlineStr">
        <is>
          <t>No</t>
        </is>
      </c>
      <c r="AJ59" s="8" t="inlineStr">
        <is>
          <t>Built - unverified</t>
        </is>
      </c>
      <c r="AK59" s="8" t="inlineStr">
        <is>
          <t>P0</t>
        </is>
      </c>
      <c r="AL59" s="8" t="n">
        <v>18</v>
      </c>
      <c r="AM59" s="5" t="inlineStr"/>
      <c r="AN59" s="5" t="inlineStr"/>
      <c r="AO59" s="5" t="inlineStr"/>
      <c r="AP59" s="5" t="inlineStr"/>
      <c r="AQ59" s="5" t="inlineStr"/>
      <c r="AR59" s="5" t="inlineStr"/>
      <c r="AS59" s="5" t="inlineStr"/>
      <c r="AT59" s="5" t="inlineStr"/>
      <c r="AU59" s="8" t="inlineStr">
        <is>
          <t>Not run</t>
        </is>
      </c>
    </row>
    <row r="60" ht="32" customHeight="1">
      <c r="A60" s="16" t="inlineStr">
        <is>
          <t>P-0059</t>
        </is>
      </c>
      <c r="B60" s="8" t="inlineStr">
        <is>
          <t>P</t>
        </is>
      </c>
      <c r="C60" s="5" t="inlineStr">
        <is>
          <t>Distributor</t>
        </is>
      </c>
      <c r="D60" s="5" t="inlineStr">
        <is>
          <t>Receivables &amp; Payables</t>
        </is>
      </c>
      <c r="E60" s="5" t="inlineStr">
        <is>
          <t>Record customer collections</t>
        </is>
      </c>
      <c r="F60" s="5" t="inlineStr">
        <is>
          <t>Accounts Cashier</t>
        </is>
      </c>
      <c r="G60" s="5" t="inlineStr">
        <is>
          <t>Retailer</t>
        </is>
      </c>
      <c r="H60" s="5" t="inlineStr">
        <is>
          <t>Record high-value NEFT, RTGS, cheque, or cash collections from retailers</t>
        </is>
      </c>
      <c r="I60" s="5" t="inlineStr">
        <is>
          <t>Creates Payment record; matches and closes specific open invoices; updates bank ledger</t>
        </is>
      </c>
      <c r="J60" s="20" t="inlineStr">
        <is>
          <t>P1</t>
        </is>
      </c>
      <c r="K60" s="20" t="inlineStr">
        <is>
          <t>Validated (Supported)</t>
        </is>
      </c>
      <c r="L60" s="5" t="inlineStr">
        <is>
          <t>Supported via /payments/create with multi-bill allocation and TDS deduction support.</t>
        </is>
      </c>
      <c r="M60" s="8" t="inlineStr">
        <is>
          <t>Baseline</t>
        </is>
      </c>
      <c r="N60" s="8" t="inlineStr">
        <is>
          <t>Operational role</t>
        </is>
      </c>
      <c r="O60" s="8" t="inlineStr">
        <is>
          <t>P1</t>
        </is>
      </c>
      <c r="P60" s="5" t="inlineStr">
        <is>
          <t>Unchanged</t>
        </is>
      </c>
      <c r="Q60" s="20" t="inlineStr">
        <is>
          <t>Author assertion</t>
        </is>
      </c>
      <c r="R60" s="5" t="inlineStr"/>
      <c r="S60" s="8" t="inlineStr">
        <is>
          <t>ARAP</t>
        </is>
      </c>
      <c r="T60" s="5" t="inlineStr">
        <is>
          <t>Receivables and payables</t>
        </is>
      </c>
      <c r="U60" s="8" t="inlineStr"/>
      <c r="V60" s="8" t="inlineStr">
        <is>
          <t>ledgers</t>
        </is>
      </c>
      <c r="W60" s="8" t="inlineStr">
        <is>
          <t>CONTROL</t>
        </is>
      </c>
      <c r="X60" s="5" t="inlineStr">
        <is>
          <t>Core</t>
        </is>
      </c>
      <c r="Y60" s="5" t="inlineStr">
        <is>
          <t>Owner</t>
        </is>
      </c>
      <c r="Z60" s="5" t="inlineStr">
        <is>
          <t>Critical</t>
        </is>
      </c>
      <c r="AA60" s="5" t="inlineStr">
        <is>
          <t>High</t>
        </is>
      </c>
      <c r="AB60" s="8" t="inlineStr">
        <is>
          <t>Medium</t>
        </is>
      </c>
      <c r="AC60" s="8" t="inlineStr">
        <is>
          <t>Pilot</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P1</t>
        </is>
      </c>
      <c r="AL60" s="8" t="n">
        <v>18</v>
      </c>
      <c r="AM60" s="5" t="inlineStr"/>
      <c r="AN60" s="5" t="inlineStr"/>
      <c r="AO60" s="5" t="inlineStr"/>
      <c r="AP60" s="5" t="inlineStr"/>
      <c r="AQ60" s="5" t="inlineStr"/>
      <c r="AR60" s="5" t="inlineStr"/>
      <c r="AS60" s="5" t="inlineStr"/>
      <c r="AT60" s="5" t="inlineStr"/>
      <c r="AU60" s="8" t="inlineStr">
        <is>
          <t>Not run</t>
        </is>
      </c>
    </row>
    <row r="61" ht="32" customHeight="1">
      <c r="A61" s="16" t="inlineStr">
        <is>
          <t>P-0060</t>
        </is>
      </c>
      <c r="B61" s="8" t="inlineStr">
        <is>
          <t>P</t>
        </is>
      </c>
      <c r="C61" s="5" t="inlineStr">
        <is>
          <t>Distributor</t>
        </is>
      </c>
      <c r="D61" s="5" t="inlineStr">
        <is>
          <t>Procure-to-Pay</t>
        </is>
      </c>
      <c r="E61" s="5" t="inlineStr">
        <is>
          <t>Track supplier purchases</t>
        </is>
      </c>
      <c r="F61" s="5" t="inlineStr">
        <is>
          <t>Procurement Manager</t>
        </is>
      </c>
      <c r="G61" s="5" t="inlineStr">
        <is>
          <t>Manufacturing Principal</t>
        </is>
      </c>
      <c r="H61" s="5" t="inlineStr">
        <is>
          <t>Track large-scale procurement purchase orders and supplier dispatch consignments</t>
        </is>
      </c>
      <c r="I61" s="5" t="inlineStr">
        <is>
          <t>Tracks PO fulfillment percentage, received shipments, and outstanding supplier liabilities</t>
        </is>
      </c>
      <c r="J61" s="20" t="inlineStr">
        <is>
          <t>P1</t>
        </is>
      </c>
      <c r="K61" s="20" t="inlineStr">
        <is>
          <t>Validated (Supported)</t>
        </is>
      </c>
      <c r="L61" s="5" t="inlineStr">
        <is>
          <t>Supported via /purchases/orders/ and supplier ledger dashboard.</t>
        </is>
      </c>
      <c r="M61" s="8" t="inlineStr">
        <is>
          <t>Baseline</t>
        </is>
      </c>
      <c r="N61" s="8" t="inlineStr">
        <is>
          <t>Operational role</t>
        </is>
      </c>
      <c r="O61" s="8" t="inlineStr">
        <is>
          <t>P1</t>
        </is>
      </c>
      <c r="P61" s="5" t="inlineStr">
        <is>
          <t>Unchanged</t>
        </is>
      </c>
      <c r="Q61" s="20" t="inlineStr">
        <is>
          <t>Author assertion</t>
        </is>
      </c>
      <c r="R61" s="5" t="inlineStr"/>
      <c r="S61" s="8" t="inlineStr">
        <is>
          <t>P2P</t>
        </is>
      </c>
      <c r="T61" s="5" t="inlineStr">
        <is>
          <t>Procure to pay</t>
        </is>
      </c>
      <c r="U61" s="8" t="inlineStr"/>
      <c r="V61" s="8" t="inlineStr">
        <is>
          <t>purchases</t>
        </is>
      </c>
      <c r="W61" s="8" t="inlineStr">
        <is>
          <t>RUN</t>
        </is>
      </c>
      <c r="X61" s="5" t="inlineStr">
        <is>
          <t>Core</t>
        </is>
      </c>
      <c r="Y61" s="5" t="inlineStr">
        <is>
          <t>Owner</t>
        </is>
      </c>
      <c r="Z61" s="5" t="inlineStr">
        <is>
          <t>Medium</t>
        </is>
      </c>
      <c r="AA61" s="5" t="inlineStr">
        <is>
          <t>Medium</t>
        </is>
      </c>
      <c r="AB61" s="8" t="inlineStr">
        <is>
          <t>Low</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6</v>
      </c>
      <c r="AM61" s="5" t="inlineStr"/>
      <c r="AN61" s="5" t="inlineStr"/>
      <c r="AO61" s="5" t="inlineStr"/>
      <c r="AP61" s="5" t="inlineStr"/>
      <c r="AQ61" s="5" t="inlineStr"/>
      <c r="AR61" s="5" t="inlineStr"/>
      <c r="AS61" s="5" t="inlineStr"/>
      <c r="AT61" s="5" t="inlineStr"/>
      <c r="AU61" s="8" t="inlineStr">
        <is>
          <t>Not run</t>
        </is>
      </c>
    </row>
    <row r="62" ht="32" customHeight="1">
      <c r="A62" s="16" t="inlineStr">
        <is>
          <t>P-0061</t>
        </is>
      </c>
      <c r="B62" s="8" t="inlineStr">
        <is>
          <t>P</t>
        </is>
      </c>
      <c r="C62" s="5" t="inlineStr">
        <is>
          <t>Distributor</t>
        </is>
      </c>
      <c r="D62" s="5" t="inlineStr">
        <is>
          <t>Inventory Lifecycle</t>
        </is>
      </c>
      <c r="E62" s="5" t="inlineStr">
        <is>
          <t>Manage large inventory volumes</t>
        </is>
      </c>
      <c r="F62" s="5" t="inlineStr">
        <is>
          <t>Warehouse Custodian</t>
        </is>
      </c>
      <c r="G62" s="5" t="inlineStr">
        <is>
          <t>None</t>
        </is>
      </c>
      <c r="H62" s="5" t="inlineStr">
        <is>
          <t>Efficient tracking and auditing of thousands of SKUs across pallet racks and storage bins</t>
        </is>
      </c>
      <c r="I62" s="5" t="inlineStr">
        <is>
          <t>Provides bulk inventory search, location tagging, and barcode-based inventory reconciliation</t>
        </is>
      </c>
      <c r="J62" s="20" t="inlineStr">
        <is>
          <t>P1</t>
        </is>
      </c>
      <c r="K62" s="20" t="inlineStr">
        <is>
          <t>Validated (Supported)</t>
        </is>
      </c>
      <c r="L62" s="5" t="inlineStr">
        <is>
          <t>Supported via optimized paginated inventory ledger with sub-second SKU queries.</t>
        </is>
      </c>
      <c r="M62" s="8" t="inlineStr">
        <is>
          <t>Baseline</t>
        </is>
      </c>
      <c r="N62" s="8" t="inlineStr">
        <is>
          <t>Operational role</t>
        </is>
      </c>
      <c r="O62" s="8" t="inlineStr">
        <is>
          <t>P1</t>
        </is>
      </c>
      <c r="P62" s="5" t="inlineStr">
        <is>
          <t>Unchanged</t>
        </is>
      </c>
      <c r="Q62" s="20" t="inlineStr">
        <is>
          <t>Author assertion</t>
        </is>
      </c>
      <c r="R62" s="5" t="inlineStr"/>
      <c r="S62" s="8" t="inlineStr">
        <is>
          <t>INV</t>
        </is>
      </c>
      <c r="T62" s="5" t="inlineStr">
        <is>
          <t>Inventory lifecycle</t>
        </is>
      </c>
      <c r="U62" s="8" t="inlineStr"/>
      <c r="V62" s="8" t="inlineStr">
        <is>
          <t>inventory</t>
        </is>
      </c>
      <c r="W62" s="8" t="inlineStr">
        <is>
          <t>RUN</t>
        </is>
      </c>
      <c r="X62" s="5" t="inlineStr">
        <is>
          <t>Core</t>
        </is>
      </c>
      <c r="Y62" s="5" t="inlineStr">
        <is>
          <t>Owner</t>
        </is>
      </c>
      <c r="Z62" s="5" t="inlineStr">
        <is>
          <t>High</t>
        </is>
      </c>
      <c r="AA62" s="5" t="inlineStr">
        <is>
          <t>High</t>
        </is>
      </c>
      <c r="AB62" s="8" t="inlineStr">
        <is>
          <t>Low</t>
        </is>
      </c>
      <c r="AC62" s="8" t="inlineStr">
        <is>
          <t>Pilot</t>
        </is>
      </c>
      <c r="AD62" s="5" t="inlineStr">
        <is>
          <t>Not independently checked</t>
        </is>
      </c>
      <c r="AE62" s="5" t="inlineStr">
        <is>
          <t>Not verified</t>
        </is>
      </c>
      <c r="AF62" s="5" t="inlineStr">
        <is>
          <t>Not verified</t>
        </is>
      </c>
      <c r="AG62" s="5" t="inlineStr">
        <is>
          <t>Not verified</t>
        </is>
      </c>
      <c r="AH62" s="5" t="inlineStr">
        <is>
          <t>Not verified</t>
        </is>
      </c>
      <c r="AI62" s="8" t="inlineStr">
        <is>
          <t>No</t>
        </is>
      </c>
      <c r="AJ62" s="8" t="inlineStr">
        <is>
          <t>Claimed - unverified</t>
        </is>
      </c>
      <c r="AK62" s="8" t="inlineStr">
        <is>
          <t>P1</t>
        </is>
      </c>
      <c r="AL62" s="8" t="n">
        <v>9</v>
      </c>
      <c r="AM62" s="5" t="inlineStr"/>
      <c r="AN62" s="5" t="inlineStr"/>
      <c r="AO62" s="5" t="inlineStr"/>
      <c r="AP62" s="5" t="inlineStr"/>
      <c r="AQ62" s="5" t="inlineStr"/>
      <c r="AR62" s="5" t="inlineStr"/>
      <c r="AS62" s="5" t="inlineStr"/>
      <c r="AT62" s="5" t="inlineStr"/>
      <c r="AU62" s="8" t="inlineStr">
        <is>
          <t>Not run</t>
        </is>
      </c>
    </row>
    <row r="63" ht="32" customHeight="1">
      <c r="A63" s="16" t="inlineStr">
        <is>
          <t>P-0062</t>
        </is>
      </c>
      <c r="B63" s="8" t="inlineStr">
        <is>
          <t>P</t>
        </is>
      </c>
      <c r="C63" s="5" t="inlineStr">
        <is>
          <t>Distributor</t>
        </is>
      </c>
      <c r="D63" s="5" t="inlineStr">
        <is>
          <t>Multi-Godown / Multi-Store</t>
        </is>
      </c>
      <c r="E63" s="5" t="inlineStr">
        <is>
          <t>Transfer stock between warehouses</t>
        </is>
      </c>
      <c r="F63" s="5" t="inlineStr">
        <is>
          <t>Logistics Coordinator</t>
        </is>
      </c>
      <c r="G63" s="5" t="inlineStr">
        <is>
          <t>Warehouse Staff</t>
        </is>
      </c>
      <c r="H63" s="5" t="inlineStr">
        <is>
          <t>Move goods between central hub and regional spoke godowns with transit tracking</t>
        </is>
      </c>
      <c r="I63" s="5" t="inlineStr">
        <is>
          <t>Decrements source godown, stages stock in-transit, increments destination godown upon receipt</t>
        </is>
      </c>
      <c r="J63" s="20" t="inlineStr">
        <is>
          <t>P1</t>
        </is>
      </c>
      <c r="K63" s="20" t="inlineStr">
        <is>
          <t>Validated (Supported)</t>
        </is>
      </c>
      <c r="L63" s="5" t="inlineStr">
        <is>
          <t>Supported via StockTransfer workflow (status: DRAFT -&gt; IN_TRANSIT -&gt; RECEIVED).</t>
        </is>
      </c>
      <c r="M63" s="8" t="inlineStr">
        <is>
          <t>Baseline</t>
        </is>
      </c>
      <c r="N63" s="8" t="inlineStr">
        <is>
          <t>Operational role</t>
        </is>
      </c>
      <c r="O63" s="8" t="inlineStr">
        <is>
          <t>P1</t>
        </is>
      </c>
      <c r="P63" s="5" t="inlineStr">
        <is>
          <t>Unchanged</t>
        </is>
      </c>
      <c r="Q63" s="21" t="inlineStr">
        <is>
          <t>Code symbol found</t>
        </is>
      </c>
      <c r="R63" s="5" t="inlineStr">
        <is>
          <t>Matched StockTransfer in product code. This is not a functional test.</t>
        </is>
      </c>
      <c r="S63" s="8" t="inlineStr">
        <is>
          <t>WH</t>
        </is>
      </c>
      <c r="T63" s="5" t="inlineStr">
        <is>
          <t>Multi-godown and multi-store</t>
        </is>
      </c>
      <c r="U63" s="8" t="inlineStr"/>
      <c r="V63" s="8" t="inlineStr">
        <is>
          <t>inventory</t>
        </is>
      </c>
      <c r="W63" s="8" t="inlineStr">
        <is>
          <t>RUN</t>
        </is>
      </c>
      <c r="X63" s="5" t="inlineStr">
        <is>
          <t>Core</t>
        </is>
      </c>
      <c r="Y63" s="5" t="inlineStr">
        <is>
          <t>Owner</t>
        </is>
      </c>
      <c r="Z63" s="5" t="inlineStr">
        <is>
          <t>Medium</t>
        </is>
      </c>
      <c r="AA63" s="5" t="inlineStr">
        <is>
          <t>Medium</t>
        </is>
      </c>
      <c r="AB63" s="8" t="inlineStr">
        <is>
          <t>Low</t>
        </is>
      </c>
      <c r="AC63" s="8" t="inlineStr">
        <is>
          <t>Pilot</t>
        </is>
      </c>
      <c r="AD63" s="5" t="inlineStr">
        <is>
          <t>Cited in code</t>
        </is>
      </c>
      <c r="AE63" s="5" t="inlineStr">
        <is>
          <t>Not verified</t>
        </is>
      </c>
      <c r="AF63" s="5" t="inlineStr">
        <is>
          <t>Not verified</t>
        </is>
      </c>
      <c r="AG63" s="5" t="inlineStr">
        <is>
          <t>Not verified</t>
        </is>
      </c>
      <c r="AH63" s="5" t="inlineStr">
        <is>
          <t>Not verified</t>
        </is>
      </c>
      <c r="AI63" s="8" t="inlineStr">
        <is>
          <t>No</t>
        </is>
      </c>
      <c r="AJ63" s="8" t="inlineStr">
        <is>
          <t>Built - unverified</t>
        </is>
      </c>
      <c r="AK63" s="8" t="inlineStr">
        <is>
          <t>P1</t>
        </is>
      </c>
      <c r="AL63" s="8" t="n">
        <v>6</v>
      </c>
      <c r="AM63" s="5" t="inlineStr"/>
      <c r="AN63" s="5" t="inlineStr"/>
      <c r="AO63" s="5" t="inlineStr"/>
      <c r="AP63" s="5" t="inlineStr"/>
      <c r="AQ63" s="5" t="inlineStr"/>
      <c r="AR63" s="5" t="inlineStr"/>
      <c r="AS63" s="5" t="inlineStr"/>
      <c r="AT63" s="5" t="inlineStr"/>
      <c r="AU63" s="8" t="inlineStr">
        <is>
          <t>Not run</t>
        </is>
      </c>
    </row>
    <row r="64" ht="32" customHeight="1">
      <c r="A64" s="16" t="inlineStr">
        <is>
          <t>P-0063</t>
        </is>
      </c>
      <c r="B64" s="8" t="inlineStr">
        <is>
          <t>P</t>
        </is>
      </c>
      <c r="C64" s="5" t="inlineStr">
        <is>
          <t>Distributor</t>
        </is>
      </c>
      <c r="D64" s="5" t="inlineStr">
        <is>
          <t>Inventory Lifecycle</t>
        </is>
      </c>
      <c r="E64" s="5" t="inlineStr">
        <is>
          <t>Track batch/serial inventory</t>
        </is>
      </c>
      <c r="F64" s="5" t="inlineStr">
        <is>
          <t>Warehouse Custodian</t>
        </is>
      </c>
      <c r="G64" s="5" t="inlineStr">
        <is>
          <t>Customer</t>
        </is>
      </c>
      <c r="H64" s="5" t="inlineStr">
        <is>
          <t>Maintain complete lifecycle and warranty traceability of serialized and batched SKUs</t>
        </is>
      </c>
      <c r="I64" s="5" t="inlineStr">
        <is>
          <t>Tracks serial numbers (status: AVAILABLE, SOLD, RETURNED) and batch lots with expiry dates</t>
        </is>
      </c>
      <c r="J64" s="20" t="inlineStr">
        <is>
          <t>P1</t>
        </is>
      </c>
      <c r="K64" s="20" t="inlineStr">
        <is>
          <t>Validated (Supported)</t>
        </is>
      </c>
      <c r="L64" s="5" t="inlineStr">
        <is>
          <t>Supported via SerialNumber and BatchLot models across sales and purchase flows.</t>
        </is>
      </c>
      <c r="M64" s="8" t="inlineStr">
        <is>
          <t>Baseline</t>
        </is>
      </c>
      <c r="N64" s="8" t="inlineStr">
        <is>
          <t>Operational role</t>
        </is>
      </c>
      <c r="O64" s="8" t="inlineStr">
        <is>
          <t>P1</t>
        </is>
      </c>
      <c r="P64" s="5" t="inlineStr">
        <is>
          <t>Unchanged</t>
        </is>
      </c>
      <c r="Q64" s="21" t="inlineStr">
        <is>
          <t>Code symbol found</t>
        </is>
      </c>
      <c r="R64" s="5" t="inlineStr">
        <is>
          <t>Matched SerialNumber in product code. This is not a functional test.</t>
        </is>
      </c>
      <c r="S64" s="8" t="inlineStr">
        <is>
          <t>INV</t>
        </is>
      </c>
      <c r="T64" s="5" t="inlineStr">
        <is>
          <t>Inventory lifecycle</t>
        </is>
      </c>
      <c r="U64" s="8" t="inlineStr"/>
      <c r="V64" s="8" t="inlineStr">
        <is>
          <t>inventory</t>
        </is>
      </c>
      <c r="W64" s="8" t="inlineStr">
        <is>
          <t>RUN</t>
        </is>
      </c>
      <c r="X64" s="5" t="inlineStr">
        <is>
          <t>Core</t>
        </is>
      </c>
      <c r="Y64" s="5" t="inlineStr">
        <is>
          <t>Owner</t>
        </is>
      </c>
      <c r="Z64" s="5" t="inlineStr">
        <is>
          <t>High</t>
        </is>
      </c>
      <c r="AA64" s="5" t="inlineStr">
        <is>
          <t>High</t>
        </is>
      </c>
      <c r="AB64" s="8" t="inlineStr">
        <is>
          <t>Low</t>
        </is>
      </c>
      <c r="AC64" s="8" t="inlineStr">
        <is>
          <t>Pilot</t>
        </is>
      </c>
      <c r="AD64" s="5" t="inlineStr">
        <is>
          <t>Cited in code</t>
        </is>
      </c>
      <c r="AE64" s="5" t="inlineStr">
        <is>
          <t>Not verified</t>
        </is>
      </c>
      <c r="AF64" s="5" t="inlineStr">
        <is>
          <t>Not verified</t>
        </is>
      </c>
      <c r="AG64" s="5" t="inlineStr">
        <is>
          <t>Not verified</t>
        </is>
      </c>
      <c r="AH64" s="5" t="inlineStr">
        <is>
          <t>Not verified</t>
        </is>
      </c>
      <c r="AI64" s="8" t="inlineStr">
        <is>
          <t>No</t>
        </is>
      </c>
      <c r="AJ64" s="8" t="inlineStr">
        <is>
          <t>Built - unverified</t>
        </is>
      </c>
      <c r="AK64" s="8" t="inlineStr">
        <is>
          <t>P1</t>
        </is>
      </c>
      <c r="AL64" s="8" t="n">
        <v>9</v>
      </c>
      <c r="AM64" s="5" t="inlineStr"/>
      <c r="AN64" s="5" t="inlineStr"/>
      <c r="AO64" s="5" t="inlineStr"/>
      <c r="AP64" s="5" t="inlineStr"/>
      <c r="AQ64" s="5" t="inlineStr"/>
      <c r="AR64" s="5" t="inlineStr"/>
      <c r="AS64" s="5" t="inlineStr"/>
      <c r="AT64" s="5" t="inlineStr"/>
      <c r="AU64" s="8" t="inlineStr">
        <is>
          <t>Not run</t>
        </is>
      </c>
    </row>
    <row r="65" ht="32" customHeight="1">
      <c r="A65" s="16" t="inlineStr">
        <is>
          <t>P-0064</t>
        </is>
      </c>
      <c r="B65" s="8" t="inlineStr">
        <is>
          <t>P</t>
        </is>
      </c>
      <c r="C65" s="5" t="inlineStr">
        <is>
          <t>Distributor</t>
        </is>
      </c>
      <c r="D65" s="5" t="inlineStr">
        <is>
          <t>Inventory Lifecycle</t>
        </is>
      </c>
      <c r="E65" s="5" t="inlineStr">
        <is>
          <t>Track expiry-risk stock</t>
        </is>
      </c>
      <c r="F65" s="5" t="inlineStr">
        <is>
          <t>Warehouse Manager</t>
        </is>
      </c>
      <c r="G65" s="5" t="inlineStr">
        <is>
          <t>Principal Supplier</t>
        </is>
      </c>
      <c r="H65" s="5" t="inlineStr">
        <is>
          <t>Detect perishable or near-expiry wholesale stock to negotiate vendor return or clearance</t>
        </is>
      </c>
      <c r="I65" s="5" t="inlineStr">
        <is>
          <t>Surfaces aggregate stock value expiring within 30/60/90 days; generates supplier claim list</t>
        </is>
      </c>
      <c r="J65" s="20" t="inlineStr">
        <is>
          <t>P1</t>
        </is>
      </c>
      <c r="K65" s="20" t="inlineStr">
        <is>
          <t>Validated (Supported)</t>
        </is>
      </c>
      <c r="L65" s="5" t="inlineStr">
        <is>
          <t>Supported via Expiry Risk Dashboard in Inventory reporting.</t>
        </is>
      </c>
      <c r="M65" s="8" t="inlineStr">
        <is>
          <t>Baseline</t>
        </is>
      </c>
      <c r="N65" s="8" t="inlineStr">
        <is>
          <t>Operational role</t>
        </is>
      </c>
      <c r="O65" s="8" t="inlineStr">
        <is>
          <t>P1</t>
        </is>
      </c>
      <c r="P65" s="5" t="inlineStr">
        <is>
          <t>Unchanged</t>
        </is>
      </c>
      <c r="Q65" s="20" t="inlineStr">
        <is>
          <t>Author assertion</t>
        </is>
      </c>
      <c r="R65" s="5" t="inlineStr"/>
      <c r="S65" s="8" t="inlineStr">
        <is>
          <t>INV</t>
        </is>
      </c>
      <c r="T65" s="5" t="inlineStr">
        <is>
          <t>Inventory lifecycle</t>
        </is>
      </c>
      <c r="U65" s="8" t="inlineStr"/>
      <c r="V65" s="8" t="inlineStr">
        <is>
          <t>inventory</t>
        </is>
      </c>
      <c r="W65" s="8" t="inlineStr">
        <is>
          <t>RUN</t>
        </is>
      </c>
      <c r="X65" s="5" t="inlineStr">
        <is>
          <t>Core</t>
        </is>
      </c>
      <c r="Y65" s="5" t="inlineStr">
        <is>
          <t>Owner</t>
        </is>
      </c>
      <c r="Z65" s="5" t="inlineStr">
        <is>
          <t>High</t>
        </is>
      </c>
      <c r="AA65" s="5" t="inlineStr">
        <is>
          <t>High</t>
        </is>
      </c>
      <c r="AB65" s="8" t="inlineStr">
        <is>
          <t>Low</t>
        </is>
      </c>
      <c r="AC65" s="8" t="inlineStr">
        <is>
          <t>Pilot</t>
        </is>
      </c>
      <c r="AD65" s="5" t="inlineStr">
        <is>
          <t>Not independently checked</t>
        </is>
      </c>
      <c r="AE65" s="5" t="inlineStr">
        <is>
          <t>Not verified</t>
        </is>
      </c>
      <c r="AF65" s="5" t="inlineStr">
        <is>
          <t>Not verified</t>
        </is>
      </c>
      <c r="AG65" s="5" t="inlineStr">
        <is>
          <t>Not verified</t>
        </is>
      </c>
      <c r="AH65" s="5" t="inlineStr">
        <is>
          <t>Not verified</t>
        </is>
      </c>
      <c r="AI65" s="8" t="inlineStr">
        <is>
          <t>No</t>
        </is>
      </c>
      <c r="AJ65" s="8" t="inlineStr">
        <is>
          <t>Claimed - unverified</t>
        </is>
      </c>
      <c r="AK65" s="8" t="inlineStr">
        <is>
          <t>P1</t>
        </is>
      </c>
      <c r="AL65" s="8" t="n">
        <v>9</v>
      </c>
      <c r="AM65" s="5" t="inlineStr"/>
      <c r="AN65" s="5" t="inlineStr"/>
      <c r="AO65" s="5" t="inlineStr"/>
      <c r="AP65" s="5" t="inlineStr"/>
      <c r="AQ65" s="5" t="inlineStr"/>
      <c r="AR65" s="5" t="inlineStr"/>
      <c r="AS65" s="5" t="inlineStr"/>
      <c r="AT65" s="5" t="inlineStr"/>
      <c r="AU65" s="8" t="inlineStr">
        <is>
          <t>Not run</t>
        </is>
      </c>
    </row>
    <row r="66" ht="32" customHeight="1">
      <c r="A66" s="16" t="inlineStr">
        <is>
          <t>P-0065</t>
        </is>
      </c>
      <c r="B66" s="8" t="inlineStr">
        <is>
          <t>P</t>
        </is>
      </c>
      <c r="C66" s="5" t="inlineStr">
        <is>
          <t>Distributor</t>
        </is>
      </c>
      <c r="D66" s="5" t="inlineStr">
        <is>
          <t>Reporting &amp; Business Intelligence</t>
        </is>
      </c>
      <c r="E66" s="5" t="inlineStr">
        <is>
          <t>Analyze customer profitability</t>
        </is>
      </c>
      <c r="F66" s="5" t="inlineStr">
        <is>
          <t>Commercial Director</t>
        </is>
      </c>
      <c r="G66" s="5" t="inlineStr">
        <is>
          <t>Retailer</t>
        </is>
      </c>
      <c r="H66" s="5" t="inlineStr">
        <is>
          <t>Evaluate gross margin and net profit contribution generated by each retail dealer</t>
        </is>
      </c>
      <c r="I66" s="5" t="inlineStr">
        <is>
          <t>Aggregates total sales, discounts given, and cost of goods sold per customer account</t>
        </is>
      </c>
      <c r="J66" s="22" t="inlineStr">
        <is>
          <t>P2</t>
        </is>
      </c>
      <c r="K66" s="20" t="inlineStr">
        <is>
          <t>Validated (Supported)</t>
        </is>
      </c>
      <c r="L66" s="5" t="inlineStr">
        <is>
          <t>Supported via Customer Profitability Analysis Report (/reports/customer-profitability/).</t>
        </is>
      </c>
      <c r="M66" s="8" t="inlineStr">
        <is>
          <t>Baseline</t>
        </is>
      </c>
      <c r="N66" s="8" t="inlineStr">
        <is>
          <t>Operational role</t>
        </is>
      </c>
      <c r="O66" s="8" t="inlineStr">
        <is>
          <t>P2</t>
        </is>
      </c>
      <c r="P66" s="5" t="inlineStr">
        <is>
          <t>Unchanged</t>
        </is>
      </c>
      <c r="Q66" s="20" t="inlineStr">
        <is>
          <t>Author assertion</t>
        </is>
      </c>
      <c r="R66" s="5" t="inlineStr"/>
      <c r="S66" s="8" t="inlineStr">
        <is>
          <t>RPT</t>
        </is>
      </c>
      <c r="T66" s="5" t="inlineStr">
        <is>
          <t>Reporting and business intelligence</t>
        </is>
      </c>
      <c r="U66" s="8" t="inlineStr"/>
      <c r="V66" s="8" t="inlineStr">
        <is>
          <t>reporting</t>
        </is>
      </c>
      <c r="W66" s="8" t="inlineStr">
        <is>
          <t>CONTROL</t>
        </is>
      </c>
      <c r="X66" s="5" t="inlineStr">
        <is>
          <t>Core</t>
        </is>
      </c>
      <c r="Y66" s="5" t="inlineStr">
        <is>
          <t>Owner</t>
        </is>
      </c>
      <c r="Z66" s="5" t="inlineStr">
        <is>
          <t>Medium</t>
        </is>
      </c>
      <c r="AA66" s="5" t="inlineStr">
        <is>
          <t>Medium</t>
        </is>
      </c>
      <c r="AB66" s="8" t="inlineStr">
        <is>
          <t>Low</t>
        </is>
      </c>
      <c r="AC66" s="8" t="inlineStr">
        <is>
          <t>Later</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P2</t>
        </is>
      </c>
      <c r="AL66" s="8" t="n">
        <v>6</v>
      </c>
      <c r="AM66" s="5" t="inlineStr"/>
      <c r="AN66" s="5" t="inlineStr"/>
      <c r="AO66" s="5" t="inlineStr"/>
      <c r="AP66" s="5" t="inlineStr"/>
      <c r="AQ66" s="5" t="inlineStr"/>
      <c r="AR66" s="5" t="inlineStr"/>
      <c r="AS66" s="5" t="inlineStr"/>
      <c r="AT66" s="5" t="inlineStr"/>
      <c r="AU66" s="8" t="inlineStr">
        <is>
          <t>Not run</t>
        </is>
      </c>
    </row>
    <row r="67" ht="32" customHeight="1">
      <c r="A67" s="16" t="inlineStr">
        <is>
          <t>P-0066</t>
        </is>
      </c>
      <c r="B67" s="8" t="inlineStr">
        <is>
          <t>P</t>
        </is>
      </c>
      <c r="C67" s="5" t="inlineStr">
        <is>
          <t>Distributor</t>
        </is>
      </c>
      <c r="D67" s="5" t="inlineStr">
        <is>
          <t>Reporting &amp; Business Intelligence</t>
        </is>
      </c>
      <c r="E67" s="5" t="inlineStr">
        <is>
          <t>Analyze product profitability</t>
        </is>
      </c>
      <c r="F67" s="5" t="inlineStr">
        <is>
          <t>Product Manager</t>
        </is>
      </c>
      <c r="G67" s="5" t="inlineStr">
        <is>
          <t>None</t>
        </is>
      </c>
      <c r="H67" s="5" t="inlineStr">
        <is>
          <t>Identify highest and lowest margin brand categories to optimize procurement volume commitments</t>
        </is>
      </c>
      <c r="I67" s="5" t="inlineStr">
        <is>
          <t>Computes product contribution margin after supplier rebates, discounts, and direct freight</t>
        </is>
      </c>
      <c r="J67" s="22" t="inlineStr">
        <is>
          <t>P2</t>
        </is>
      </c>
      <c r="K67" s="20" t="inlineStr">
        <is>
          <t>Validated (Supported)</t>
        </is>
      </c>
      <c r="L67" s="5" t="inlineStr">
        <is>
          <t>Supported via Product Margin Matrix Report (/reports/product-margins/).</t>
        </is>
      </c>
      <c r="M67" s="8" t="inlineStr">
        <is>
          <t>Baseline</t>
        </is>
      </c>
      <c r="N67" s="8" t="inlineStr">
        <is>
          <t>Operational role</t>
        </is>
      </c>
      <c r="O67" s="8" t="inlineStr">
        <is>
          <t>P2</t>
        </is>
      </c>
      <c r="P67" s="5" t="inlineStr">
        <is>
          <t>Unchanged</t>
        </is>
      </c>
      <c r="Q67" s="20" t="inlineStr">
        <is>
          <t>Author assertion</t>
        </is>
      </c>
      <c r="R67" s="5" t="inlineStr"/>
      <c r="S67" s="8" t="inlineStr">
        <is>
          <t>RPT</t>
        </is>
      </c>
      <c r="T67" s="5" t="inlineStr">
        <is>
          <t>Reporting and business intelligence</t>
        </is>
      </c>
      <c r="U67" s="8" t="inlineStr"/>
      <c r="V67" s="8" t="inlineStr">
        <is>
          <t>reporting</t>
        </is>
      </c>
      <c r="W67" s="8" t="inlineStr">
        <is>
          <t>CONTROL</t>
        </is>
      </c>
      <c r="X67" s="5" t="inlineStr">
        <is>
          <t>Core</t>
        </is>
      </c>
      <c r="Y67" s="5" t="inlineStr">
        <is>
          <t>Owner</t>
        </is>
      </c>
      <c r="Z67" s="5" t="inlineStr">
        <is>
          <t>Medium</t>
        </is>
      </c>
      <c r="AA67" s="5" t="inlineStr">
        <is>
          <t>Medium</t>
        </is>
      </c>
      <c r="AB67" s="8" t="inlineStr">
        <is>
          <t>Low</t>
        </is>
      </c>
      <c r="AC67" s="8" t="inlineStr">
        <is>
          <t>Later</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P2</t>
        </is>
      </c>
      <c r="AL67" s="8" t="n">
        <v>6</v>
      </c>
      <c r="AM67" s="5" t="inlineStr"/>
      <c r="AN67" s="5" t="inlineStr"/>
      <c r="AO67" s="5" t="inlineStr"/>
      <c r="AP67" s="5" t="inlineStr"/>
      <c r="AQ67" s="5" t="inlineStr"/>
      <c r="AR67" s="5" t="inlineStr"/>
      <c r="AS67" s="5" t="inlineStr"/>
      <c r="AT67" s="5" t="inlineStr"/>
      <c r="AU67" s="8" t="inlineStr">
        <is>
          <t>Not run</t>
        </is>
      </c>
    </row>
    <row r="68" ht="32" customHeight="1">
      <c r="A68" s="16" t="inlineStr">
        <is>
          <t>P-0067</t>
        </is>
      </c>
      <c r="B68" s="8" t="inlineStr">
        <is>
          <t>P</t>
        </is>
      </c>
      <c r="C68" s="5" t="inlineStr">
        <is>
          <t>Distributor</t>
        </is>
      </c>
      <c r="D68" s="5" t="inlineStr">
        <is>
          <t>Payments &amp; Reconciliation</t>
        </is>
      </c>
      <c r="E68" s="5" t="inlineStr">
        <is>
          <t>Reconcile receivables and payments</t>
        </is>
      </c>
      <c r="F68" s="5" t="inlineStr">
        <is>
          <t>Senior Accountant</t>
        </is>
      </c>
      <c r="G68" s="5" t="inlineStr">
        <is>
          <t>Retailer</t>
        </is>
      </c>
      <c r="H68" s="5" t="inlineStr">
        <is>
          <t>Regular ledger reconciliation with retail dealers to clear mismatched balances and disputes</t>
        </is>
      </c>
      <c r="I68" s="5" t="inlineStr">
        <is>
          <t>Generates unified customer statement showing invoices, debit/credit notes, and payment receipts</t>
        </is>
      </c>
      <c r="J68" s="20" t="inlineStr">
        <is>
          <t>P1</t>
        </is>
      </c>
      <c r="K68" s="20" t="inlineStr">
        <is>
          <t>Validated (Supported)</t>
        </is>
      </c>
      <c r="L68" s="5" t="inlineStr">
        <is>
          <t>Supported via Customer Statement Generator with PDF/Excel shareable link.</t>
        </is>
      </c>
      <c r="M68" s="8" t="inlineStr">
        <is>
          <t>Baseline</t>
        </is>
      </c>
      <c r="N68" s="8" t="inlineStr">
        <is>
          <t>Operational role</t>
        </is>
      </c>
      <c r="O68" s="8" t="inlineStr">
        <is>
          <t>P1</t>
        </is>
      </c>
      <c r="P68" s="5" t="inlineStr">
        <is>
          <t>Unchanged</t>
        </is>
      </c>
      <c r="Q68" s="20" t="inlineStr">
        <is>
          <t>Author assertion</t>
        </is>
      </c>
      <c r="R68" s="5" t="inlineStr"/>
      <c r="S68" s="8" t="inlineStr">
        <is>
          <t>PAYREC</t>
        </is>
      </c>
      <c r="T68" s="5" t="inlineStr">
        <is>
          <t>Payments and reconciliation</t>
        </is>
      </c>
      <c r="U68" s="8" t="inlineStr"/>
      <c r="V68" s="8" t="inlineStr">
        <is>
          <t>payments</t>
        </is>
      </c>
      <c r="W68" s="8" t="inlineStr">
        <is>
          <t>RUN</t>
        </is>
      </c>
      <c r="X68" s="5" t="inlineStr">
        <is>
          <t>Core</t>
        </is>
      </c>
      <c r="Y68" s="5" t="inlineStr">
        <is>
          <t>Owner</t>
        </is>
      </c>
      <c r="Z68" s="5" t="inlineStr">
        <is>
          <t>High</t>
        </is>
      </c>
      <c r="AA68" s="5" t="inlineStr">
        <is>
          <t>High</t>
        </is>
      </c>
      <c r="AB68" s="8" t="inlineStr">
        <is>
          <t>Low</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9</v>
      </c>
      <c r="AM68" s="5" t="inlineStr"/>
      <c r="AN68" s="5" t="inlineStr"/>
      <c r="AO68" s="5" t="inlineStr"/>
      <c r="AP68" s="5" t="inlineStr"/>
      <c r="AQ68" s="5" t="inlineStr"/>
      <c r="AR68" s="5" t="inlineStr"/>
      <c r="AS68" s="5" t="inlineStr"/>
      <c r="AT68" s="5" t="inlineStr"/>
      <c r="AU68" s="8" t="inlineStr">
        <is>
          <t>Not run</t>
        </is>
      </c>
    </row>
    <row r="69" ht="32" customHeight="1">
      <c r="A69" s="16" t="inlineStr">
        <is>
          <t>P-0068</t>
        </is>
      </c>
      <c r="B69" s="8" t="inlineStr">
        <is>
          <t>P</t>
        </is>
      </c>
      <c r="C69" s="5" t="inlineStr">
        <is>
          <t>Single-Godown Distributor</t>
        </is>
      </c>
      <c r="D69" s="5" t="inlineStr">
        <is>
          <t>Procure-to-Pay</t>
        </is>
      </c>
      <c r="E69" s="5" t="inlineStr">
        <is>
          <t>Receive stock into godown</t>
        </is>
      </c>
      <c r="F69" s="5" t="inlineStr">
        <is>
          <t>Godown Custodian</t>
        </is>
      </c>
      <c r="G69" s="5" t="inlineStr">
        <is>
          <t>Delivery Carrier / Supplier</t>
        </is>
      </c>
      <c r="H69" s="5" t="inlineStr">
        <is>
          <t>Verify received physical goods against supplier delivery challan and inward into stock</t>
        </is>
      </c>
      <c r="I69" s="5" t="inlineStr">
        <is>
          <t>Creates StockMovement (INWARD_PURCHASE); updates physical on-hand quantity</t>
        </is>
      </c>
      <c r="J69" s="20" t="inlineStr">
        <is>
          <t>P1</t>
        </is>
      </c>
      <c r="K69" s="20" t="inlineStr">
        <is>
          <t>Validated (Supported)</t>
        </is>
      </c>
      <c r="L69" s="5" t="inlineStr">
        <is>
          <t>Supported in Purchase Invoice complete flow; auto-generates stock inward movement.</t>
        </is>
      </c>
      <c r="M69" s="8" t="inlineStr">
        <is>
          <t>Baseline</t>
        </is>
      </c>
      <c r="N69" s="8" t="inlineStr">
        <is>
          <t>Operational role</t>
        </is>
      </c>
      <c r="O69" s="8" t="inlineStr">
        <is>
          <t>P1</t>
        </is>
      </c>
      <c r="P69" s="5" t="inlineStr">
        <is>
          <t>Unchanged</t>
        </is>
      </c>
      <c r="Q69" s="20" t="inlineStr">
        <is>
          <t>Author assertion</t>
        </is>
      </c>
      <c r="R69" s="5" t="inlineStr"/>
      <c r="S69" s="8" t="inlineStr">
        <is>
          <t>P2P</t>
        </is>
      </c>
      <c r="T69" s="5" t="inlineStr">
        <is>
          <t>Procure to pay</t>
        </is>
      </c>
      <c r="U69" s="8" t="inlineStr"/>
      <c r="V69" s="8" t="inlineStr">
        <is>
          <t>purchases</t>
        </is>
      </c>
      <c r="W69" s="8" t="inlineStr">
        <is>
          <t>RUN</t>
        </is>
      </c>
      <c r="X69" s="5" t="inlineStr">
        <is>
          <t>Core</t>
        </is>
      </c>
      <c r="Y69" s="5" t="inlineStr">
        <is>
          <t>Stock</t>
        </is>
      </c>
      <c r="Z69" s="5" t="inlineStr">
        <is>
          <t>Medium</t>
        </is>
      </c>
      <c r="AA69" s="5" t="inlineStr">
        <is>
          <t>Medium</t>
        </is>
      </c>
      <c r="AB69" s="8" t="inlineStr">
        <is>
          <t>Low</t>
        </is>
      </c>
      <c r="AC69" s="8" t="inlineStr">
        <is>
          <t>Pilot</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P1</t>
        </is>
      </c>
      <c r="AL69" s="8" t="n">
        <v>6</v>
      </c>
      <c r="AM69" s="5" t="inlineStr"/>
      <c r="AN69" s="5" t="inlineStr"/>
      <c r="AO69" s="5" t="inlineStr"/>
      <c r="AP69" s="5" t="inlineStr"/>
      <c r="AQ69" s="5" t="inlineStr"/>
      <c r="AR69" s="5" t="inlineStr"/>
      <c r="AS69" s="5" t="inlineStr"/>
      <c r="AT69" s="5" t="inlineStr"/>
      <c r="AU69" s="8" t="inlineStr">
        <is>
          <t>Not run</t>
        </is>
      </c>
    </row>
    <row r="70" ht="32" customHeight="1">
      <c r="A70" s="16" t="inlineStr">
        <is>
          <t>P-0069</t>
        </is>
      </c>
      <c r="B70" s="8" t="inlineStr">
        <is>
          <t>P</t>
        </is>
      </c>
      <c r="C70" s="5" t="inlineStr">
        <is>
          <t>Single-Godown Distributor</t>
        </is>
      </c>
      <c r="D70" s="5" t="inlineStr">
        <is>
          <t>Inventory Lifecycle</t>
        </is>
      </c>
      <c r="E70" s="5" t="inlineStr">
        <is>
          <t>Allocate stock to customer orders</t>
        </is>
      </c>
      <c r="F70" s="5" t="inlineStr">
        <is>
          <t>Godown Custodian</t>
        </is>
      </c>
      <c r="G70" s="5" t="inlineStr">
        <is>
          <t>Sales Desk</t>
        </is>
      </c>
      <c r="H70" s="5" t="inlineStr">
        <is>
          <t>Assign physical bin stock to pending sales orders for picking and packing</t>
        </is>
      </c>
      <c r="I70" s="5" t="inlineStr">
        <is>
          <t>Updates reserved inventory quantity, preventing duplicate commitment of stock</t>
        </is>
      </c>
      <c r="J70" s="20" t="inlineStr">
        <is>
          <t>P1</t>
        </is>
      </c>
      <c r="K70" s="20" t="inlineStr">
        <is>
          <t>Validated (Supported)</t>
        </is>
      </c>
      <c r="L70" s="5" t="inlineStr">
        <is>
          <t>Supported via order reservation mechanism in sales processing.</t>
        </is>
      </c>
      <c r="M70" s="8" t="inlineStr">
        <is>
          <t>Baseline</t>
        </is>
      </c>
      <c r="N70" s="8" t="inlineStr">
        <is>
          <t>Operational role</t>
        </is>
      </c>
      <c r="O70" s="8" t="inlineStr">
        <is>
          <t>P1</t>
        </is>
      </c>
      <c r="P70" s="5" t="inlineStr">
        <is>
          <t>Unchanged</t>
        </is>
      </c>
      <c r="Q70" s="20" t="inlineStr">
        <is>
          <t>Author assertion</t>
        </is>
      </c>
      <c r="R70" s="5" t="inlineStr"/>
      <c r="S70" s="8" t="inlineStr">
        <is>
          <t>INV</t>
        </is>
      </c>
      <c r="T70" s="5" t="inlineStr">
        <is>
          <t>Inventory lifecycle</t>
        </is>
      </c>
      <c r="U70" s="8" t="inlineStr"/>
      <c r="V70" s="8" t="inlineStr">
        <is>
          <t>inventory</t>
        </is>
      </c>
      <c r="W70" s="8" t="inlineStr">
        <is>
          <t>RUN</t>
        </is>
      </c>
      <c r="X70" s="5" t="inlineStr">
        <is>
          <t>Core</t>
        </is>
      </c>
      <c r="Y70" s="5" t="inlineStr">
        <is>
          <t>Stock</t>
        </is>
      </c>
      <c r="Z70" s="5" t="inlineStr">
        <is>
          <t>High</t>
        </is>
      </c>
      <c r="AA70" s="5" t="inlineStr">
        <is>
          <t>High</t>
        </is>
      </c>
      <c r="AB70" s="8" t="inlineStr">
        <is>
          <t>Low</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9</v>
      </c>
      <c r="AM70" s="5" t="inlineStr"/>
      <c r="AN70" s="5" t="inlineStr"/>
      <c r="AO70" s="5" t="inlineStr"/>
      <c r="AP70" s="5" t="inlineStr"/>
      <c r="AQ70" s="5" t="inlineStr"/>
      <c r="AR70" s="5" t="inlineStr"/>
      <c r="AS70" s="5" t="inlineStr"/>
      <c r="AT70" s="5" t="inlineStr"/>
      <c r="AU70" s="8" t="inlineStr">
        <is>
          <t>Not run</t>
        </is>
      </c>
    </row>
    <row r="71" ht="32" customHeight="1">
      <c r="A71" s="16" t="inlineStr">
        <is>
          <t>P-0070</t>
        </is>
      </c>
      <c r="B71" s="8" t="inlineStr">
        <is>
          <t>P</t>
        </is>
      </c>
      <c r="C71" s="5" t="inlineStr">
        <is>
          <t>Single-Godown Distributor</t>
        </is>
      </c>
      <c r="D71" s="5" t="inlineStr">
        <is>
          <t>Customer-to-Cash</t>
        </is>
      </c>
      <c r="E71" s="5" t="inlineStr">
        <is>
          <t>Pick and dispatch customer orders</t>
        </is>
      </c>
      <c r="F71" s="5" t="inlineStr">
        <is>
          <t>Godown Custodian</t>
        </is>
      </c>
      <c r="G71" s="5" t="inlineStr">
        <is>
          <t>Logistics Driver</t>
        </is>
      </c>
      <c r="H71" s="5" t="inlineStr">
        <is>
          <t>Generate pick list, pull items from shelves, pack, and prepare dispatch consignment</t>
        </is>
      </c>
      <c r="I71" s="5" t="inlineStr">
        <is>
          <t>Changes sales order status to DISPATCHED; attaches vehicle and driver details</t>
        </is>
      </c>
      <c r="J71" s="20" t="inlineStr">
        <is>
          <t>P1</t>
        </is>
      </c>
      <c r="K71" s="20" t="inlineStr">
        <is>
          <t>Validated (Supported)</t>
        </is>
      </c>
      <c r="L71" s="5" t="inlineStr">
        <is>
          <t>Supported via Pick List printing and Delivery Challan generation.</t>
        </is>
      </c>
      <c r="M71" s="8" t="inlineStr">
        <is>
          <t>Baseline</t>
        </is>
      </c>
      <c r="N71" s="8" t="inlineStr">
        <is>
          <t>Operational role</t>
        </is>
      </c>
      <c r="O71" s="8" t="inlineStr">
        <is>
          <t>P1</t>
        </is>
      </c>
      <c r="P71" s="5" t="inlineStr">
        <is>
          <t>Unchanged</t>
        </is>
      </c>
      <c r="Q71" s="20" t="inlineStr">
        <is>
          <t>Author assertion</t>
        </is>
      </c>
      <c r="R71" s="5" t="inlineStr"/>
      <c r="S71" s="8" t="inlineStr">
        <is>
          <t>C2C</t>
        </is>
      </c>
      <c r="T71" s="5" t="inlineStr">
        <is>
          <t>Customer to cash</t>
        </is>
      </c>
      <c r="U71" s="8" t="inlineStr"/>
      <c r="V71" s="8" t="inlineStr">
        <is>
          <t>sales</t>
        </is>
      </c>
      <c r="W71" s="8" t="inlineStr">
        <is>
          <t>RUN</t>
        </is>
      </c>
      <c r="X71" s="5" t="inlineStr">
        <is>
          <t>Core</t>
        </is>
      </c>
      <c r="Y71" s="5" t="inlineStr">
        <is>
          <t>Stock</t>
        </is>
      </c>
      <c r="Z71" s="5" t="inlineStr">
        <is>
          <t>Medium</t>
        </is>
      </c>
      <c r="AA71" s="5" t="inlineStr">
        <is>
          <t>Medium</t>
        </is>
      </c>
      <c r="AB71" s="8" t="inlineStr">
        <is>
          <t>Low</t>
        </is>
      </c>
      <c r="AC71" s="8" t="inlineStr">
        <is>
          <t>Pilot</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P1</t>
        </is>
      </c>
      <c r="AL71" s="8" t="n">
        <v>6</v>
      </c>
      <c r="AM71" s="5" t="inlineStr"/>
      <c r="AN71" s="5" t="inlineStr"/>
      <c r="AO71" s="5" t="inlineStr"/>
      <c r="AP71" s="5" t="inlineStr"/>
      <c r="AQ71" s="5" t="inlineStr"/>
      <c r="AR71" s="5" t="inlineStr"/>
      <c r="AS71" s="5" t="inlineStr"/>
      <c r="AT71" s="5" t="inlineStr"/>
      <c r="AU71" s="8" t="inlineStr">
        <is>
          <t>Not run</t>
        </is>
      </c>
    </row>
    <row r="72" ht="32" customHeight="1">
      <c r="A72" s="16" t="inlineStr">
        <is>
          <t>P-0071</t>
        </is>
      </c>
      <c r="B72" s="8" t="inlineStr">
        <is>
          <t>P</t>
        </is>
      </c>
      <c r="C72" s="5" t="inlineStr">
        <is>
          <t>Single-Godown Distributor</t>
        </is>
      </c>
      <c r="D72" s="5" t="inlineStr">
        <is>
          <t>Inventory Lifecycle</t>
        </is>
      </c>
      <c r="E72" s="5" t="inlineStr">
        <is>
          <t>Track available and committed stock</t>
        </is>
      </c>
      <c r="F72" s="5" t="inlineStr">
        <is>
          <t>Godown Custodian</t>
        </is>
      </c>
      <c r="G72" s="5" t="inlineStr">
        <is>
          <t>Sales Team</t>
        </is>
      </c>
      <c r="H72" s="5" t="inlineStr">
        <is>
          <t>Distinguish between total physical on-hand stock and uncommitted available-to-sell stock</t>
        </is>
      </c>
      <c r="I72" s="5" t="inlineStr">
        <is>
          <t>Computes available_stock = on_hand_stock - committed_order_stock in real time</t>
        </is>
      </c>
      <c r="J72" s="20" t="inlineStr">
        <is>
          <t>P1</t>
        </is>
      </c>
      <c r="K72" s="20" t="inlineStr">
        <is>
          <t>Validated (Supported)</t>
        </is>
      </c>
      <c r="L72" s="5" t="inlineStr">
        <is>
          <t>Supported via StockBalance model displaying on_hand vs available columns.</t>
        </is>
      </c>
      <c r="M72" s="8" t="inlineStr">
        <is>
          <t>Baseline</t>
        </is>
      </c>
      <c r="N72" s="8" t="inlineStr">
        <is>
          <t>Operational role</t>
        </is>
      </c>
      <c r="O72" s="8" t="inlineStr">
        <is>
          <t>P1</t>
        </is>
      </c>
      <c r="P72" s="5" t="inlineStr">
        <is>
          <t>Unchanged</t>
        </is>
      </c>
      <c r="Q72" s="21" t="inlineStr">
        <is>
          <t>Code symbol found</t>
        </is>
      </c>
      <c r="R72" s="5" t="inlineStr">
        <is>
          <t>Matched StockBalance in product code. This is not a functional test.</t>
        </is>
      </c>
      <c r="S72" s="8" t="inlineStr">
        <is>
          <t>INV</t>
        </is>
      </c>
      <c r="T72" s="5" t="inlineStr">
        <is>
          <t>Inventory lifecycle</t>
        </is>
      </c>
      <c r="U72" s="8" t="inlineStr"/>
      <c r="V72" s="8" t="inlineStr">
        <is>
          <t>inventory</t>
        </is>
      </c>
      <c r="W72" s="8" t="inlineStr">
        <is>
          <t>RUN</t>
        </is>
      </c>
      <c r="X72" s="5" t="inlineStr">
        <is>
          <t>Core</t>
        </is>
      </c>
      <c r="Y72" s="5" t="inlineStr">
        <is>
          <t>Stock</t>
        </is>
      </c>
      <c r="Z72" s="5" t="inlineStr">
        <is>
          <t>High</t>
        </is>
      </c>
      <c r="AA72" s="5" t="inlineStr">
        <is>
          <t>High</t>
        </is>
      </c>
      <c r="AB72" s="8" t="inlineStr">
        <is>
          <t>Low</t>
        </is>
      </c>
      <c r="AC72" s="8" t="inlineStr">
        <is>
          <t>Pilot</t>
        </is>
      </c>
      <c r="AD72" s="5" t="inlineStr">
        <is>
          <t>Cited in code</t>
        </is>
      </c>
      <c r="AE72" s="5" t="inlineStr">
        <is>
          <t>Not verified</t>
        </is>
      </c>
      <c r="AF72" s="5" t="inlineStr">
        <is>
          <t>Not verified</t>
        </is>
      </c>
      <c r="AG72" s="5" t="inlineStr">
        <is>
          <t>Not verified</t>
        </is>
      </c>
      <c r="AH72" s="5" t="inlineStr">
        <is>
          <t>Not verified</t>
        </is>
      </c>
      <c r="AI72" s="8" t="inlineStr">
        <is>
          <t>No</t>
        </is>
      </c>
      <c r="AJ72" s="8" t="inlineStr">
        <is>
          <t>Built - unverified</t>
        </is>
      </c>
      <c r="AK72" s="8" t="inlineStr">
        <is>
          <t>P1</t>
        </is>
      </c>
      <c r="AL72" s="8" t="n">
        <v>9</v>
      </c>
      <c r="AM72" s="5" t="inlineStr"/>
      <c r="AN72" s="5" t="inlineStr"/>
      <c r="AO72" s="5" t="inlineStr"/>
      <c r="AP72" s="5" t="inlineStr"/>
      <c r="AQ72" s="5" t="inlineStr"/>
      <c r="AR72" s="5" t="inlineStr"/>
      <c r="AS72" s="5" t="inlineStr"/>
      <c r="AT72" s="5" t="inlineStr"/>
      <c r="AU72" s="8" t="inlineStr">
        <is>
          <t>Not run</t>
        </is>
      </c>
    </row>
    <row r="73" ht="32" customHeight="1">
      <c r="A73" s="16" t="inlineStr">
        <is>
          <t>P-0072</t>
        </is>
      </c>
      <c r="B73" s="8" t="inlineStr">
        <is>
          <t>P</t>
        </is>
      </c>
      <c r="C73" s="5" t="inlineStr">
        <is>
          <t>Single-Godown Distributor</t>
        </is>
      </c>
      <c r="D73" s="5" t="inlineStr">
        <is>
          <t>Inventory Lifecycle</t>
        </is>
      </c>
      <c r="E73" s="5" t="inlineStr">
        <is>
          <t>Track damaged stock</t>
        </is>
      </c>
      <c r="F73" s="5" t="inlineStr">
        <is>
          <t>Godown Custodian</t>
        </is>
      </c>
      <c r="G73" s="5" t="inlineStr">
        <is>
          <t>Supplier / Claims Adjuster</t>
        </is>
      </c>
      <c r="H73" s="5" t="inlineStr">
        <is>
          <t>Quarantine broken, leaking, or damaged items into a non-saleable virtual location</t>
        </is>
      </c>
      <c r="I73" s="5" t="inlineStr">
        <is>
          <t>Transfers inventory to DAMAGED warehouse bin; excludes from available-to-sell inventory</t>
        </is>
      </c>
      <c r="J73" s="20" t="inlineStr">
        <is>
          <t>P1</t>
        </is>
      </c>
      <c r="K73" s="20" t="inlineStr">
        <is>
          <t>Validated (Supported)</t>
        </is>
      </c>
      <c r="L73" s="5" t="inlineStr">
        <is>
          <t>Supported via internal StockAdjustment with reason='DAMAGED' or transfer to Quarantine.</t>
        </is>
      </c>
      <c r="M73" s="8" t="inlineStr">
        <is>
          <t>Baseline</t>
        </is>
      </c>
      <c r="N73" s="8" t="inlineStr">
        <is>
          <t>Operational role</t>
        </is>
      </c>
      <c r="O73" s="8" t="inlineStr">
        <is>
          <t>P1</t>
        </is>
      </c>
      <c r="P73" s="5" t="inlineStr">
        <is>
          <t>Unchanged</t>
        </is>
      </c>
      <c r="Q73" s="21" t="inlineStr">
        <is>
          <t>Code symbol found</t>
        </is>
      </c>
      <c r="R73" s="5" t="inlineStr">
        <is>
          <t>Matched StockAdjustment in product code. This is not a functional test.</t>
        </is>
      </c>
      <c r="S73" s="8" t="inlineStr">
        <is>
          <t>INV</t>
        </is>
      </c>
      <c r="T73" s="5" t="inlineStr">
        <is>
          <t>Inventory lifecycle</t>
        </is>
      </c>
      <c r="U73" s="8" t="inlineStr"/>
      <c r="V73" s="8" t="inlineStr">
        <is>
          <t>inventory</t>
        </is>
      </c>
      <c r="W73" s="8" t="inlineStr">
        <is>
          <t>RUN</t>
        </is>
      </c>
      <c r="X73" s="5" t="inlineStr">
        <is>
          <t>Core</t>
        </is>
      </c>
      <c r="Y73" s="5" t="inlineStr">
        <is>
          <t>Stock</t>
        </is>
      </c>
      <c r="Z73" s="5" t="inlineStr">
        <is>
          <t>High</t>
        </is>
      </c>
      <c r="AA73" s="5" t="inlineStr">
        <is>
          <t>High</t>
        </is>
      </c>
      <c r="AB73" s="8" t="inlineStr">
        <is>
          <t>Low</t>
        </is>
      </c>
      <c r="AC73" s="8" t="inlineStr">
        <is>
          <t>Pilot</t>
        </is>
      </c>
      <c r="AD73" s="5" t="inlineStr">
        <is>
          <t>Cited in code</t>
        </is>
      </c>
      <c r="AE73" s="5" t="inlineStr">
        <is>
          <t>Not verified</t>
        </is>
      </c>
      <c r="AF73" s="5" t="inlineStr">
        <is>
          <t>Not verified</t>
        </is>
      </c>
      <c r="AG73" s="5" t="inlineStr">
        <is>
          <t>Not verified</t>
        </is>
      </c>
      <c r="AH73" s="5" t="inlineStr">
        <is>
          <t>Not verified</t>
        </is>
      </c>
      <c r="AI73" s="8" t="inlineStr">
        <is>
          <t>No</t>
        </is>
      </c>
      <c r="AJ73" s="8" t="inlineStr">
        <is>
          <t>Built - unverified</t>
        </is>
      </c>
      <c r="AK73" s="8" t="inlineStr">
        <is>
          <t>P1</t>
        </is>
      </c>
      <c r="AL73" s="8" t="n">
        <v>9</v>
      </c>
      <c r="AM73" s="5" t="inlineStr"/>
      <c r="AN73" s="5" t="inlineStr"/>
      <c r="AO73" s="5" t="inlineStr"/>
      <c r="AP73" s="5" t="inlineStr"/>
      <c r="AQ73" s="5" t="inlineStr"/>
      <c r="AR73" s="5" t="inlineStr"/>
      <c r="AS73" s="5" t="inlineStr"/>
      <c r="AT73" s="5" t="inlineStr"/>
      <c r="AU73" s="8" t="inlineStr">
        <is>
          <t>Not run</t>
        </is>
      </c>
    </row>
    <row r="74" ht="32" customHeight="1">
      <c r="A74" s="16" t="inlineStr">
        <is>
          <t>P-0073</t>
        </is>
      </c>
      <c r="B74" s="8" t="inlineStr">
        <is>
          <t>P</t>
        </is>
      </c>
      <c r="C74" s="5" t="inlineStr">
        <is>
          <t>Single-Godown Distributor</t>
        </is>
      </c>
      <c r="D74" s="5" t="inlineStr">
        <is>
          <t>Returns / Complaints / After-Sales</t>
        </is>
      </c>
      <c r="E74" s="5" t="inlineStr">
        <is>
          <t>Track returned stock</t>
        </is>
      </c>
      <c r="F74" s="5" t="inlineStr">
        <is>
          <t>Godown Custodian</t>
        </is>
      </c>
      <c r="G74" s="5" t="inlineStr">
        <is>
          <t>Retailer / Delivery Driver</t>
        </is>
      </c>
      <c r="H74" s="5" t="inlineStr">
        <is>
          <t>Inspect goods returned from customer delivery, verify condition, and route to shelf or scrap</t>
        </is>
      </c>
      <c r="I74" s="5" t="inlineStr">
        <is>
          <t>Records return receipt, verifies line items, restores inventory if sellable</t>
        </is>
      </c>
      <c r="J74" s="20" t="inlineStr">
        <is>
          <t>P1</t>
        </is>
      </c>
      <c r="K74" s="20" t="inlineStr">
        <is>
          <t>Validated (Supported)</t>
        </is>
      </c>
      <c r="L74" s="5" t="inlineStr">
        <is>
          <t>Supported via SalesReturn inspection step with condition tagging (Sellable / Damaged).</t>
        </is>
      </c>
      <c r="M74" s="8" t="inlineStr">
        <is>
          <t>Baseline</t>
        </is>
      </c>
      <c r="N74" s="8" t="inlineStr">
        <is>
          <t>Operational role</t>
        </is>
      </c>
      <c r="O74" s="8" t="inlineStr">
        <is>
          <t>P1</t>
        </is>
      </c>
      <c r="P74" s="5" t="inlineStr">
        <is>
          <t>Unchanged</t>
        </is>
      </c>
      <c r="Q74" s="21" t="inlineStr">
        <is>
          <t>Code symbol found</t>
        </is>
      </c>
      <c r="R74" s="5" t="inlineStr">
        <is>
          <t>Matched SalesReturn in product code. This is not a functional test.</t>
        </is>
      </c>
      <c r="S74" s="8" t="inlineStr">
        <is>
          <t>RET</t>
        </is>
      </c>
      <c r="T74" s="5" t="inlineStr">
        <is>
          <t>Returns, complaints, and after-sales</t>
        </is>
      </c>
      <c r="U74" s="8" t="inlineStr"/>
      <c r="V74" s="8" t="inlineStr">
        <is>
          <t>sales</t>
        </is>
      </c>
      <c r="W74" s="8" t="inlineStr">
        <is>
          <t>RUN</t>
        </is>
      </c>
      <c r="X74" s="5" t="inlineStr">
        <is>
          <t>Core</t>
        </is>
      </c>
      <c r="Y74" s="5" t="inlineStr">
        <is>
          <t>Stock</t>
        </is>
      </c>
      <c r="Z74" s="5" t="inlineStr">
        <is>
          <t>Medium</t>
        </is>
      </c>
      <c r="AA74" s="5" t="inlineStr">
        <is>
          <t>Medium</t>
        </is>
      </c>
      <c r="AB74" s="8" t="inlineStr">
        <is>
          <t>Low</t>
        </is>
      </c>
      <c r="AC74" s="8" t="inlineStr">
        <is>
          <t>Pilot</t>
        </is>
      </c>
      <c r="AD74" s="5" t="inlineStr">
        <is>
          <t>Cited in code</t>
        </is>
      </c>
      <c r="AE74" s="5" t="inlineStr">
        <is>
          <t>Not verified</t>
        </is>
      </c>
      <c r="AF74" s="5" t="inlineStr">
        <is>
          <t>Not verified</t>
        </is>
      </c>
      <c r="AG74" s="5" t="inlineStr">
        <is>
          <t>Not verified</t>
        </is>
      </c>
      <c r="AH74" s="5" t="inlineStr">
        <is>
          <t>Not verified</t>
        </is>
      </c>
      <c r="AI74" s="8" t="inlineStr">
        <is>
          <t>No</t>
        </is>
      </c>
      <c r="AJ74" s="8" t="inlineStr">
        <is>
          <t>Built - unverified</t>
        </is>
      </c>
      <c r="AK74" s="8" t="inlineStr">
        <is>
          <t>P1</t>
        </is>
      </c>
      <c r="AL74" s="8" t="n">
        <v>6</v>
      </c>
      <c r="AM74" s="5" t="inlineStr"/>
      <c r="AN74" s="5" t="inlineStr"/>
      <c r="AO74" s="5" t="inlineStr"/>
      <c r="AP74" s="5" t="inlineStr"/>
      <c r="AQ74" s="5" t="inlineStr"/>
      <c r="AR74" s="5" t="inlineStr"/>
      <c r="AS74" s="5" t="inlineStr"/>
      <c r="AT74" s="5" t="inlineStr"/>
      <c r="AU74" s="8" t="inlineStr">
        <is>
          <t>Not run</t>
        </is>
      </c>
    </row>
    <row r="75" ht="32" customHeight="1">
      <c r="A75" s="16" t="inlineStr">
        <is>
          <t>P-0074</t>
        </is>
      </c>
      <c r="B75" s="8" t="inlineStr">
        <is>
          <t>P</t>
        </is>
      </c>
      <c r="C75" s="5" t="inlineStr">
        <is>
          <t>Single-Godown Distributor</t>
        </is>
      </c>
      <c r="D75" s="5" t="inlineStr">
        <is>
          <t>Inventory Lifecycle</t>
        </is>
      </c>
      <c r="E75" s="5" t="inlineStr">
        <is>
          <t>Perform physical stock verification</t>
        </is>
      </c>
      <c r="F75" s="5" t="inlineStr">
        <is>
          <t>Godown Custodian</t>
        </is>
      </c>
      <c r="G75" s="5" t="inlineStr">
        <is>
          <t>Internal Auditor</t>
        </is>
      </c>
      <c r="H75" s="5" t="inlineStr">
        <is>
          <t>Periodic wall-to-wall or cycle count of physical warehouse inventory</t>
        </is>
      </c>
      <c r="I75" s="5" t="inlineStr">
        <is>
          <t>Opens StockCountSession; freezes count lines, records physical counts, highlights variances</t>
        </is>
      </c>
      <c r="J75" s="20" t="inlineStr">
        <is>
          <t>P1</t>
        </is>
      </c>
      <c r="K75" s="20" t="inlineStr">
        <is>
          <t>Validated (Supported)</t>
        </is>
      </c>
      <c r="L75" s="5" t="inlineStr">
        <is>
          <t>Supported via /inventory/stock-counts/ workflow with blind-count support.</t>
        </is>
      </c>
      <c r="M75" s="8" t="inlineStr">
        <is>
          <t>Baseline</t>
        </is>
      </c>
      <c r="N75" s="8" t="inlineStr">
        <is>
          <t>Operational role</t>
        </is>
      </c>
      <c r="O75" s="8" t="inlineStr">
        <is>
          <t>P1</t>
        </is>
      </c>
      <c r="P75" s="5" t="inlineStr">
        <is>
          <t>Unchanged</t>
        </is>
      </c>
      <c r="Q75" s="20" t="inlineStr">
        <is>
          <t>Author assertion</t>
        </is>
      </c>
      <c r="R75" s="5" t="inlineStr"/>
      <c r="S75" s="8" t="inlineStr">
        <is>
          <t>INV</t>
        </is>
      </c>
      <c r="T75" s="5" t="inlineStr">
        <is>
          <t>Inventory lifecycle</t>
        </is>
      </c>
      <c r="U75" s="8" t="inlineStr"/>
      <c r="V75" s="8" t="inlineStr">
        <is>
          <t>inventory</t>
        </is>
      </c>
      <c r="W75" s="8" t="inlineStr">
        <is>
          <t>RUN</t>
        </is>
      </c>
      <c r="X75" s="5" t="inlineStr">
        <is>
          <t>Core</t>
        </is>
      </c>
      <c r="Y75" s="5" t="inlineStr">
        <is>
          <t>Stock</t>
        </is>
      </c>
      <c r="Z75" s="5" t="inlineStr">
        <is>
          <t>High</t>
        </is>
      </c>
      <c r="AA75" s="5" t="inlineStr">
        <is>
          <t>High</t>
        </is>
      </c>
      <c r="AB75" s="8" t="inlineStr">
        <is>
          <t>Low</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9</v>
      </c>
      <c r="AM75" s="5" t="inlineStr"/>
      <c r="AN75" s="5" t="inlineStr"/>
      <c r="AO75" s="5" t="inlineStr"/>
      <c r="AP75" s="5" t="inlineStr"/>
      <c r="AQ75" s="5" t="inlineStr"/>
      <c r="AR75" s="5" t="inlineStr"/>
      <c r="AS75" s="5" t="inlineStr"/>
      <c r="AT75" s="5" t="inlineStr"/>
      <c r="AU75" s="8" t="inlineStr">
        <is>
          <t>Not run</t>
        </is>
      </c>
    </row>
    <row r="76" ht="32" customHeight="1">
      <c r="A76" s="16" t="inlineStr">
        <is>
          <t>P-0075</t>
        </is>
      </c>
      <c r="B76" s="8" t="inlineStr">
        <is>
          <t>P</t>
        </is>
      </c>
      <c r="C76" s="5" t="inlineStr">
        <is>
          <t>Single-Godown Distributor</t>
        </is>
      </c>
      <c r="D76" s="5" t="inlineStr">
        <is>
          <t>Inventory Lifecycle</t>
        </is>
      </c>
      <c r="E76" s="5" t="inlineStr">
        <is>
          <t>Identify inventory discrepancies</t>
        </is>
      </c>
      <c r="F76" s="5" t="inlineStr">
        <is>
          <t>Godown Custodian</t>
        </is>
      </c>
      <c r="G76" s="5" t="inlineStr">
        <is>
          <t>Business Owner</t>
        </is>
      </c>
      <c r="H76" s="5" t="inlineStr">
        <is>
          <t>Identify shrinkage, misplacements, or count mismatches between system and physical count</t>
        </is>
      </c>
      <c r="I76" s="5" t="inlineStr">
        <is>
          <t>Generates Variance Report showing quantity difference and financial impact per SKU</t>
        </is>
      </c>
      <c r="J76" s="20" t="inlineStr">
        <is>
          <t>P1</t>
        </is>
      </c>
      <c r="K76" s="20" t="inlineStr">
        <is>
          <t>Validated (Supported)</t>
        </is>
      </c>
      <c r="L76" s="5" t="inlineStr">
        <is>
          <t>Supported via StockCountSession variance analysis before formal approval.</t>
        </is>
      </c>
      <c r="M76" s="8" t="inlineStr">
        <is>
          <t>Baseline</t>
        </is>
      </c>
      <c r="N76" s="8" t="inlineStr">
        <is>
          <t>Operational role</t>
        </is>
      </c>
      <c r="O76" s="8" t="inlineStr">
        <is>
          <t>P1</t>
        </is>
      </c>
      <c r="P76" s="5" t="inlineStr">
        <is>
          <t>Unchanged</t>
        </is>
      </c>
      <c r="Q76" s="21" t="inlineStr">
        <is>
          <t>Code symbol found</t>
        </is>
      </c>
      <c r="R76" s="5" t="inlineStr">
        <is>
          <t>Matched StockCountSession in product code. This is not a functional test.</t>
        </is>
      </c>
      <c r="S76" s="8" t="inlineStr">
        <is>
          <t>INV</t>
        </is>
      </c>
      <c r="T76" s="5" t="inlineStr">
        <is>
          <t>Inventory lifecycle</t>
        </is>
      </c>
      <c r="U76" s="8" t="inlineStr"/>
      <c r="V76" s="8" t="inlineStr">
        <is>
          <t>inventory</t>
        </is>
      </c>
      <c r="W76" s="8" t="inlineStr">
        <is>
          <t>RUN</t>
        </is>
      </c>
      <c r="X76" s="5" t="inlineStr">
        <is>
          <t>Core</t>
        </is>
      </c>
      <c r="Y76" s="5" t="inlineStr">
        <is>
          <t>Stock</t>
        </is>
      </c>
      <c r="Z76" s="5" t="inlineStr">
        <is>
          <t>High</t>
        </is>
      </c>
      <c r="AA76" s="5" t="inlineStr">
        <is>
          <t>High</t>
        </is>
      </c>
      <c r="AB76" s="8" t="inlineStr">
        <is>
          <t>Low</t>
        </is>
      </c>
      <c r="AC76" s="8" t="inlineStr">
        <is>
          <t>Pilot</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P1</t>
        </is>
      </c>
      <c r="AL76" s="8" t="n">
        <v>9</v>
      </c>
      <c r="AM76" s="5" t="inlineStr"/>
      <c r="AN76" s="5" t="inlineStr"/>
      <c r="AO76" s="5" t="inlineStr"/>
      <c r="AP76" s="5" t="inlineStr"/>
      <c r="AQ76" s="5" t="inlineStr"/>
      <c r="AR76" s="5" t="inlineStr"/>
      <c r="AS76" s="5" t="inlineStr"/>
      <c r="AT76" s="5" t="inlineStr"/>
      <c r="AU76" s="8" t="inlineStr">
        <is>
          <t>Not run</t>
        </is>
      </c>
    </row>
    <row r="77" ht="32" customHeight="1">
      <c r="A77" s="16" t="inlineStr">
        <is>
          <t>P-0076</t>
        </is>
      </c>
      <c r="B77" s="8" t="inlineStr">
        <is>
          <t>P</t>
        </is>
      </c>
      <c r="C77" s="5" t="inlineStr">
        <is>
          <t>Single-Godown Distributor</t>
        </is>
      </c>
      <c r="D77" s="5" t="inlineStr">
        <is>
          <t>Inventory Lifecycle</t>
        </is>
      </c>
      <c r="E77" s="5" t="inlineStr">
        <is>
          <t>Generate stock valuation</t>
        </is>
      </c>
      <c r="F77" s="5" t="inlineStr">
        <is>
          <t>In-house Accountant</t>
        </is>
      </c>
      <c r="G77" s="5" t="inlineStr">
        <is>
          <t>External CA</t>
        </is>
      </c>
      <c r="H77" s="5" t="inlineStr">
        <is>
          <t>Compute total monetary value of inventory holding for balance sheet and tax reporting</t>
        </is>
      </c>
      <c r="I77" s="5" t="inlineStr">
        <is>
          <t>Multiplies current stock balance by FIFO cost layer or weighted average purchase cost</t>
        </is>
      </c>
      <c r="J77" s="22" t="inlineStr">
        <is>
          <t>P2</t>
        </is>
      </c>
      <c r="K77" s="20" t="inlineStr">
        <is>
          <t>Validated (Supported)</t>
        </is>
      </c>
      <c r="L77" s="5" t="inlineStr">
        <is>
          <t>Supported via /reports/inventory-valuation/ compliant with AS-2 / Ind-AS 2 valuation rules.</t>
        </is>
      </c>
      <c r="M77" s="8" t="inlineStr">
        <is>
          <t>Baseline</t>
        </is>
      </c>
      <c r="N77" s="8" t="inlineStr">
        <is>
          <t>Operational role</t>
        </is>
      </c>
      <c r="O77" s="8" t="inlineStr">
        <is>
          <t>P2</t>
        </is>
      </c>
      <c r="P77" s="5" t="inlineStr">
        <is>
          <t>Unchanged</t>
        </is>
      </c>
      <c r="Q77" s="20" t="inlineStr">
        <is>
          <t>Author assertion</t>
        </is>
      </c>
      <c r="R77" s="5" t="inlineStr"/>
      <c r="S77" s="8" t="inlineStr">
        <is>
          <t>INV</t>
        </is>
      </c>
      <c r="T77" s="5" t="inlineStr">
        <is>
          <t>Inventory lifecycle</t>
        </is>
      </c>
      <c r="U77" s="8" t="inlineStr"/>
      <c r="V77" s="8" t="inlineStr">
        <is>
          <t>inventory</t>
        </is>
      </c>
      <c r="W77" s="8" t="inlineStr">
        <is>
          <t>RUN</t>
        </is>
      </c>
      <c r="X77" s="5" t="inlineStr">
        <is>
          <t>Core</t>
        </is>
      </c>
      <c r="Y77" s="5" t="inlineStr">
        <is>
          <t>Stock</t>
        </is>
      </c>
      <c r="Z77" s="5" t="inlineStr">
        <is>
          <t>High</t>
        </is>
      </c>
      <c r="AA77" s="5" t="inlineStr">
        <is>
          <t>High</t>
        </is>
      </c>
      <c r="AB77" s="8" t="inlineStr">
        <is>
          <t>Low</t>
        </is>
      </c>
      <c r="AC77" s="8" t="inlineStr">
        <is>
          <t>Later</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P2</t>
        </is>
      </c>
      <c r="AL77" s="8" t="n">
        <v>9</v>
      </c>
      <c r="AM77" s="5" t="inlineStr"/>
      <c r="AN77" s="5" t="inlineStr"/>
      <c r="AO77" s="5" t="inlineStr"/>
      <c r="AP77" s="5" t="inlineStr"/>
      <c r="AQ77" s="5" t="inlineStr"/>
      <c r="AR77" s="5" t="inlineStr"/>
      <c r="AS77" s="5" t="inlineStr"/>
      <c r="AT77" s="5" t="inlineStr"/>
      <c r="AU77" s="8" t="inlineStr">
        <is>
          <t>Not run</t>
        </is>
      </c>
    </row>
    <row r="78" ht="32" customHeight="1">
      <c r="A78" s="16" t="inlineStr">
        <is>
          <t>P-0077</t>
        </is>
      </c>
      <c r="B78" s="8" t="inlineStr">
        <is>
          <t>P</t>
        </is>
      </c>
      <c r="C78" s="5" t="inlineStr">
        <is>
          <t>Single-Godown Distributor</t>
        </is>
      </c>
      <c r="D78" s="5" t="inlineStr">
        <is>
          <t>Inventory Lifecycle</t>
        </is>
      </c>
      <c r="E78" s="5" t="inlineStr">
        <is>
          <t>Track FIFO inventory costing</t>
        </is>
      </c>
      <c r="F78" s="5" t="inlineStr">
        <is>
          <t>In-house Accountant</t>
        </is>
      </c>
      <c r="G78" s="5" t="inlineStr">
        <is>
          <t>Auditor</t>
        </is>
      </c>
      <c r="H78" s="5" t="inlineStr">
        <is>
          <t>Ensure cost of goods sold reflects oldest inward purchase prices according to FIFO principles</t>
        </is>
      </c>
      <c r="I78" s="5" t="inlineStr">
        <is>
          <t>Maintains inward cost layers; consumes earliest available layer upon each outward sale</t>
        </is>
      </c>
      <c r="J78" s="22" t="inlineStr">
        <is>
          <t>P2</t>
        </is>
      </c>
      <c r="K78" s="20" t="inlineStr">
        <is>
          <t>Validated (Supported)</t>
        </is>
      </c>
      <c r="L78" s="5" t="inlineStr">
        <is>
          <t>Core system invariant: inventory valuation engine strictly follows FIFO cost layering.</t>
        </is>
      </c>
      <c r="M78" s="8" t="inlineStr">
        <is>
          <t>Baseline</t>
        </is>
      </c>
      <c r="N78" s="8" t="inlineStr">
        <is>
          <t>Operational role</t>
        </is>
      </c>
      <c r="O78" s="8" t="inlineStr">
        <is>
          <t>P2</t>
        </is>
      </c>
      <c r="P78" s="5" t="inlineStr">
        <is>
          <t>Unchanged</t>
        </is>
      </c>
      <c r="Q78" s="20" t="inlineStr">
        <is>
          <t>Author assertion</t>
        </is>
      </c>
      <c r="R78" s="5" t="inlineStr"/>
      <c r="S78" s="8" t="inlineStr">
        <is>
          <t>INV</t>
        </is>
      </c>
      <c r="T78" s="5" t="inlineStr">
        <is>
          <t>Inventory lifecycle</t>
        </is>
      </c>
      <c r="U78" s="8" t="inlineStr"/>
      <c r="V78" s="8" t="inlineStr">
        <is>
          <t>inventory</t>
        </is>
      </c>
      <c r="W78" s="8" t="inlineStr">
        <is>
          <t>RUN</t>
        </is>
      </c>
      <c r="X78" s="5" t="inlineStr">
        <is>
          <t>Core</t>
        </is>
      </c>
      <c r="Y78" s="5" t="inlineStr">
        <is>
          <t>Stock</t>
        </is>
      </c>
      <c r="Z78" s="5" t="inlineStr">
        <is>
          <t>High</t>
        </is>
      </c>
      <c r="AA78" s="5" t="inlineStr">
        <is>
          <t>High</t>
        </is>
      </c>
      <c r="AB78" s="8" t="inlineStr">
        <is>
          <t>Low</t>
        </is>
      </c>
      <c r="AC78" s="8" t="inlineStr">
        <is>
          <t>Later</t>
        </is>
      </c>
      <c r="AD78" s="5" t="inlineStr">
        <is>
          <t>Not independently checked</t>
        </is>
      </c>
      <c r="AE78" s="5" t="inlineStr">
        <is>
          <t>Not verified</t>
        </is>
      </c>
      <c r="AF78" s="5" t="inlineStr">
        <is>
          <t>Not verified</t>
        </is>
      </c>
      <c r="AG78" s="5" t="inlineStr">
        <is>
          <t>Not verified</t>
        </is>
      </c>
      <c r="AH78" s="5" t="inlineStr">
        <is>
          <t>Not verified</t>
        </is>
      </c>
      <c r="AI78" s="8" t="inlineStr">
        <is>
          <t>No</t>
        </is>
      </c>
      <c r="AJ78" s="8" t="inlineStr">
        <is>
          <t>Claimed - unverified</t>
        </is>
      </c>
      <c r="AK78" s="8" t="inlineStr">
        <is>
          <t>P2</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P-0078</t>
        </is>
      </c>
      <c r="B79" s="8" t="inlineStr">
        <is>
          <t>P</t>
        </is>
      </c>
      <c r="C79" s="5" t="inlineStr">
        <is>
          <t>Single-Godown Distributor</t>
        </is>
      </c>
      <c r="D79" s="5" t="inlineStr">
        <is>
          <t>Inventory Lifecycle</t>
        </is>
      </c>
      <c r="E79" s="5" t="inlineStr">
        <is>
          <t>Monitor reorder requirements</t>
        </is>
      </c>
      <c r="F79" s="5" t="inlineStr">
        <is>
          <t>Godown Custodian</t>
        </is>
      </c>
      <c r="G79" s="5" t="inlineStr">
        <is>
          <t>Procurement Manager</t>
        </is>
      </c>
      <c r="H79" s="5" t="inlineStr">
        <is>
          <t>Monitor minimum stock thresholds and generate replenishment recommendations</t>
        </is>
      </c>
      <c r="I79" s="5" t="inlineStr">
        <is>
          <t>Evaluates lead time and daily burn rate to recommend purchase order quantities</t>
        </is>
      </c>
      <c r="J79" s="20" t="inlineStr">
        <is>
          <t>P1</t>
        </is>
      </c>
      <c r="K79" s="20" t="inlineStr">
        <is>
          <t>Validated (Supported)</t>
        </is>
      </c>
      <c r="L79" s="5" t="inlineStr">
        <is>
          <t>Supported via /inventory/reorder-report/ with one-click PO draft generation.</t>
        </is>
      </c>
      <c r="M79" s="8" t="inlineStr">
        <is>
          <t>Baseline</t>
        </is>
      </c>
      <c r="N79" s="8" t="inlineStr">
        <is>
          <t>Operational role</t>
        </is>
      </c>
      <c r="O79" s="8" t="inlineStr">
        <is>
          <t>P1</t>
        </is>
      </c>
      <c r="P79" s="5" t="inlineStr">
        <is>
          <t>Unchanged</t>
        </is>
      </c>
      <c r="Q79" s="20" t="inlineStr">
        <is>
          <t>Author assertion</t>
        </is>
      </c>
      <c r="R79" s="5" t="inlineStr"/>
      <c r="S79" s="8" t="inlineStr">
        <is>
          <t>INV</t>
        </is>
      </c>
      <c r="T79" s="5" t="inlineStr">
        <is>
          <t>Inventory lifecycle</t>
        </is>
      </c>
      <c r="U79" s="8" t="inlineStr"/>
      <c r="V79" s="8" t="inlineStr">
        <is>
          <t>inventory</t>
        </is>
      </c>
      <c r="W79" s="8" t="inlineStr">
        <is>
          <t>RUN</t>
        </is>
      </c>
      <c r="X79" s="5" t="inlineStr">
        <is>
          <t>Core</t>
        </is>
      </c>
      <c r="Y79" s="5" t="inlineStr">
        <is>
          <t>Stock</t>
        </is>
      </c>
      <c r="Z79" s="5" t="inlineStr">
        <is>
          <t>High</t>
        </is>
      </c>
      <c r="AA79" s="5" t="inlineStr">
        <is>
          <t>High</t>
        </is>
      </c>
      <c r="AB79" s="8" t="inlineStr">
        <is>
          <t>Low</t>
        </is>
      </c>
      <c r="AC79" s="8" t="inlineStr">
        <is>
          <t>Pilot</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P1</t>
        </is>
      </c>
      <c r="AL79" s="8" t="n">
        <v>9</v>
      </c>
      <c r="AM79" s="5" t="inlineStr"/>
      <c r="AN79" s="5" t="inlineStr"/>
      <c r="AO79" s="5" t="inlineStr"/>
      <c r="AP79" s="5" t="inlineStr"/>
      <c r="AQ79" s="5" t="inlineStr"/>
      <c r="AR79" s="5" t="inlineStr"/>
      <c r="AS79" s="5" t="inlineStr"/>
      <c r="AT79" s="5" t="inlineStr"/>
      <c r="AU79" s="8" t="inlineStr">
        <is>
          <t>Not run</t>
        </is>
      </c>
    </row>
    <row r="80" ht="32" customHeight="1">
      <c r="A80" s="16" t="inlineStr">
        <is>
          <t>P-0079</t>
        </is>
      </c>
      <c r="B80" s="8" t="inlineStr">
        <is>
          <t>P</t>
        </is>
      </c>
      <c r="C80" s="5" t="inlineStr">
        <is>
          <t>Multi-Godown Distributor</t>
        </is>
      </c>
      <c r="D80" s="5" t="inlineStr">
        <is>
          <t>Multi-Godown / Multi-Store</t>
        </is>
      </c>
      <c r="E80" s="5" t="inlineStr">
        <is>
          <t>View consolidated inventory</t>
        </is>
      </c>
      <c r="F80" s="5" t="inlineStr">
        <is>
          <t>Logistics Director / Owner</t>
        </is>
      </c>
      <c r="G80" s="5" t="inlineStr">
        <is>
          <t>Godown Managers</t>
        </is>
      </c>
      <c r="H80" s="5" t="inlineStr">
        <is>
          <t>Single unified dashboard showing total stock holding across all godowns and regional hubs</t>
        </is>
      </c>
      <c r="I80" s="5" t="inlineStr">
        <is>
          <t>Aggregates StockBalance across all Warehouse entities for the tenant company</t>
        </is>
      </c>
      <c r="J80" s="19" t="inlineStr">
        <is>
          <t>P0</t>
        </is>
      </c>
      <c r="K80" s="20" t="inlineStr">
        <is>
          <t>Validated (Supported)</t>
        </is>
      </c>
      <c r="L80" s="5" t="inlineStr">
        <is>
          <t>Supported via /inventory/ with 'All Godowns' view and location filter dropdown.</t>
        </is>
      </c>
      <c r="M80" s="8" t="inlineStr">
        <is>
          <t>Baseline</t>
        </is>
      </c>
      <c r="N80" s="8" t="inlineStr">
        <is>
          <t>Operational role</t>
        </is>
      </c>
      <c r="O80" s="8" t="inlineStr">
        <is>
          <t>P0</t>
        </is>
      </c>
      <c r="P80" s="5" t="inlineStr">
        <is>
          <t>Unchanged</t>
        </is>
      </c>
      <c r="Q80" s="20" t="inlineStr">
        <is>
          <t>Author assertion</t>
        </is>
      </c>
      <c r="R80" s="5" t="inlineStr"/>
      <c r="S80" s="8" t="inlineStr">
        <is>
          <t>WH</t>
        </is>
      </c>
      <c r="T80" s="5" t="inlineStr">
        <is>
          <t>Multi-godown and multi-store</t>
        </is>
      </c>
      <c r="U80" s="8" t="inlineStr"/>
      <c r="V80" s="8" t="inlineStr">
        <is>
          <t>inventory</t>
        </is>
      </c>
      <c r="W80" s="8" t="inlineStr">
        <is>
          <t>RUN</t>
        </is>
      </c>
      <c r="X80" s="5" t="inlineStr">
        <is>
          <t>Core</t>
        </is>
      </c>
      <c r="Y80" s="5" t="inlineStr">
        <is>
          <t>Stock</t>
        </is>
      </c>
      <c r="Z80" s="5" t="inlineStr">
        <is>
          <t>Medium</t>
        </is>
      </c>
      <c r="AA80" s="5" t="inlineStr">
        <is>
          <t>Medium</t>
        </is>
      </c>
      <c r="AB80" s="8" t="inlineStr">
        <is>
          <t>Low</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6</v>
      </c>
      <c r="AM80" s="5" t="inlineStr"/>
      <c r="AN80" s="5" t="inlineStr"/>
      <c r="AO80" s="5" t="inlineStr"/>
      <c r="AP80" s="5" t="inlineStr"/>
      <c r="AQ80" s="5" t="inlineStr"/>
      <c r="AR80" s="5" t="inlineStr"/>
      <c r="AS80" s="5" t="inlineStr"/>
      <c r="AT80" s="5" t="inlineStr"/>
      <c r="AU80" s="8" t="inlineStr">
        <is>
          <t>Not run</t>
        </is>
      </c>
    </row>
    <row r="81" ht="32" customHeight="1">
      <c r="A81" s="16" t="inlineStr">
        <is>
          <t>P-0080</t>
        </is>
      </c>
      <c r="B81" s="8" t="inlineStr">
        <is>
          <t>P</t>
        </is>
      </c>
      <c r="C81" s="5" t="inlineStr">
        <is>
          <t>Multi-Godown Distributor</t>
        </is>
      </c>
      <c r="D81" s="5" t="inlineStr">
        <is>
          <t>Multi-Godown / Multi-Store</t>
        </is>
      </c>
      <c r="E81" s="5" t="inlineStr">
        <is>
          <t>Check stock by location</t>
        </is>
      </c>
      <c r="F81" s="5" t="inlineStr">
        <is>
          <t>Wholesale Sales Clerk</t>
        </is>
      </c>
      <c r="G81" s="5" t="inlineStr">
        <is>
          <t>Godown Keepers</t>
        </is>
      </c>
      <c r="H81" s="5" t="inlineStr">
        <is>
          <t>Check exact stock availability at specific warehouse locations during order booking</t>
        </is>
      </c>
      <c r="I81" s="5" t="inlineStr">
        <is>
          <t>Filters StockBalance table by specific warehouse_id to confirm localized dispatch capability</t>
        </is>
      </c>
      <c r="J81" s="20" t="inlineStr">
        <is>
          <t>P1</t>
        </is>
      </c>
      <c r="K81" s="20" t="inlineStr">
        <is>
          <t>Validated (Supported)</t>
        </is>
      </c>
      <c r="L81" s="5" t="inlineStr">
        <is>
          <t>Supported across all billing and inventory screens via Warehouse selector.</t>
        </is>
      </c>
      <c r="M81" s="8" t="inlineStr">
        <is>
          <t>Baseline</t>
        </is>
      </c>
      <c r="N81" s="8" t="inlineStr">
        <is>
          <t>Operational role</t>
        </is>
      </c>
      <c r="O81" s="8" t="inlineStr">
        <is>
          <t>P1</t>
        </is>
      </c>
      <c r="P81" s="5" t="inlineStr">
        <is>
          <t>Unchanged</t>
        </is>
      </c>
      <c r="Q81" s="20" t="inlineStr">
        <is>
          <t>Author assertion</t>
        </is>
      </c>
      <c r="R81" s="5" t="inlineStr"/>
      <c r="S81" s="8" t="inlineStr">
        <is>
          <t>WH</t>
        </is>
      </c>
      <c r="T81" s="5" t="inlineStr">
        <is>
          <t>Multi-godown and multi-store</t>
        </is>
      </c>
      <c r="U81" s="8" t="inlineStr"/>
      <c r="V81" s="8" t="inlineStr">
        <is>
          <t>inventory</t>
        </is>
      </c>
      <c r="W81" s="8" t="inlineStr">
        <is>
          <t>RUN</t>
        </is>
      </c>
      <c r="X81" s="5" t="inlineStr">
        <is>
          <t>Core</t>
        </is>
      </c>
      <c r="Y81" s="5" t="inlineStr">
        <is>
          <t>Stock</t>
        </is>
      </c>
      <c r="Z81" s="5" t="inlineStr">
        <is>
          <t>Medium</t>
        </is>
      </c>
      <c r="AA81" s="5" t="inlineStr">
        <is>
          <t>Medium</t>
        </is>
      </c>
      <c r="AB81" s="8" t="inlineStr">
        <is>
          <t>Low</t>
        </is>
      </c>
      <c r="AC81" s="8" t="inlineStr">
        <is>
          <t>Pilot</t>
        </is>
      </c>
      <c r="AD81" s="5" t="inlineStr">
        <is>
          <t>Not independently checked</t>
        </is>
      </c>
      <c r="AE81" s="5" t="inlineStr">
        <is>
          <t>Not verified</t>
        </is>
      </c>
      <c r="AF81" s="5" t="inlineStr">
        <is>
          <t>Not verified</t>
        </is>
      </c>
      <c r="AG81" s="5" t="inlineStr">
        <is>
          <t>Not verified</t>
        </is>
      </c>
      <c r="AH81" s="5" t="inlineStr">
        <is>
          <t>Not verified</t>
        </is>
      </c>
      <c r="AI81" s="8" t="inlineStr">
        <is>
          <t>No</t>
        </is>
      </c>
      <c r="AJ81" s="8" t="inlineStr">
        <is>
          <t>Claimed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P-0081</t>
        </is>
      </c>
      <c r="B82" s="8" t="inlineStr">
        <is>
          <t>P</t>
        </is>
      </c>
      <c r="C82" s="5" t="inlineStr">
        <is>
          <t>Multi-Godown Distributor</t>
        </is>
      </c>
      <c r="D82" s="5" t="inlineStr">
        <is>
          <t>Multi-Godown / Multi-Store</t>
        </is>
      </c>
      <c r="E82" s="5" t="inlineStr">
        <is>
          <t>Transfer stock between godowns</t>
        </is>
      </c>
      <c r="F82" s="5" t="inlineStr">
        <is>
          <t>Logistics Coordinator</t>
        </is>
      </c>
      <c r="G82" s="5" t="inlineStr">
        <is>
          <t>Source &amp; Dest Godown Custodians</t>
        </is>
      </c>
      <c r="H82" s="5" t="inlineStr">
        <is>
          <t>Execute formalized transfer of goods from central replenishment hub to regional depot</t>
        </is>
      </c>
      <c r="I82" s="5" t="inlineStr">
        <is>
          <t>Creates StockTransfer record; records dispatch, transit insurance, and receipt confirmation</t>
        </is>
      </c>
      <c r="J82" s="19" t="inlineStr">
        <is>
          <t>P0</t>
        </is>
      </c>
      <c r="K82" s="20" t="inlineStr">
        <is>
          <t>Validated (Supported)</t>
        </is>
      </c>
      <c r="L82" s="5" t="inlineStr">
        <is>
          <t>Supported via /inventory/transfers/ with full multi-stage state machine.</t>
        </is>
      </c>
      <c r="M82" s="8" t="inlineStr">
        <is>
          <t>Baseline</t>
        </is>
      </c>
      <c r="N82" s="8" t="inlineStr">
        <is>
          <t>Operational role</t>
        </is>
      </c>
      <c r="O82" s="8" t="inlineStr">
        <is>
          <t>P0</t>
        </is>
      </c>
      <c r="P82" s="5" t="inlineStr">
        <is>
          <t>Unchanged</t>
        </is>
      </c>
      <c r="Q82" s="20" t="inlineStr">
        <is>
          <t>Author assertion</t>
        </is>
      </c>
      <c r="R82" s="5" t="inlineStr"/>
      <c r="S82" s="8" t="inlineStr">
        <is>
          <t>WH</t>
        </is>
      </c>
      <c r="T82" s="5" t="inlineStr">
        <is>
          <t>Multi-godown and multi-store</t>
        </is>
      </c>
      <c r="U82" s="8" t="inlineStr"/>
      <c r="V82" s="8" t="inlineStr">
        <is>
          <t>inventory</t>
        </is>
      </c>
      <c r="W82" s="8" t="inlineStr">
        <is>
          <t>RUN</t>
        </is>
      </c>
      <c r="X82" s="5" t="inlineStr">
        <is>
          <t>Core</t>
        </is>
      </c>
      <c r="Y82" s="5" t="inlineStr">
        <is>
          <t>Stock</t>
        </is>
      </c>
      <c r="Z82" s="5" t="inlineStr">
        <is>
          <t>Medium</t>
        </is>
      </c>
      <c r="AA82" s="5" t="inlineStr">
        <is>
          <t>Medium</t>
        </is>
      </c>
      <c r="AB82" s="8" t="inlineStr">
        <is>
          <t>Low</t>
        </is>
      </c>
      <c r="AC82" s="8" t="inlineStr">
        <is>
          <t>MVP</t>
        </is>
      </c>
      <c r="AD82" s="5" t="inlineStr">
        <is>
          <t>Not independently checked</t>
        </is>
      </c>
      <c r="AE82" s="5" t="inlineStr">
        <is>
          <t>Not verified</t>
        </is>
      </c>
      <c r="AF82" s="5" t="inlineStr">
        <is>
          <t>Not verified</t>
        </is>
      </c>
      <c r="AG82" s="5" t="inlineStr">
        <is>
          <t>Not verified</t>
        </is>
      </c>
      <c r="AH82" s="5" t="inlineStr">
        <is>
          <t>Not verified</t>
        </is>
      </c>
      <c r="AI82" s="8" t="inlineStr">
        <is>
          <t>No</t>
        </is>
      </c>
      <c r="AJ82" s="8" t="inlineStr">
        <is>
          <t>Claimed - unverified</t>
        </is>
      </c>
      <c r="AK82" s="8" t="inlineStr">
        <is>
          <t>P0</t>
        </is>
      </c>
      <c r="AL82" s="8" t="n">
        <v>6</v>
      </c>
      <c r="AM82" s="5" t="inlineStr"/>
      <c r="AN82" s="5" t="inlineStr"/>
      <c r="AO82" s="5" t="inlineStr"/>
      <c r="AP82" s="5" t="inlineStr"/>
      <c r="AQ82" s="5" t="inlineStr"/>
      <c r="AR82" s="5" t="inlineStr"/>
      <c r="AS82" s="5" t="inlineStr"/>
      <c r="AT82" s="5" t="inlineStr"/>
      <c r="AU82" s="8" t="inlineStr">
        <is>
          <t>Not run</t>
        </is>
      </c>
    </row>
    <row r="83" ht="32" customHeight="1">
      <c r="A83" s="16" t="inlineStr">
        <is>
          <t>P-0082</t>
        </is>
      </c>
      <c r="B83" s="8" t="inlineStr">
        <is>
          <t>P</t>
        </is>
      </c>
      <c r="C83" s="5" t="inlineStr">
        <is>
          <t>Multi-Godown Distributor</t>
        </is>
      </c>
      <c r="D83" s="5" t="inlineStr">
        <is>
          <t>Multi-Godown / Multi-Store</t>
        </is>
      </c>
      <c r="E83" s="5" t="inlineStr">
        <is>
          <t>Allocate orders to the appropriate godown</t>
        </is>
      </c>
      <c r="F83" s="5" t="inlineStr">
        <is>
          <t>Commercial Manager</t>
        </is>
      </c>
      <c r="G83" s="5" t="inlineStr">
        <is>
          <t>Warehouse Dispatcher</t>
        </is>
      </c>
      <c r="H83" s="5" t="inlineStr">
        <is>
          <t>Route customer order fulfillment to the nearest godown holding sufficient stock</t>
        </is>
      </c>
      <c r="I83" s="5" t="inlineStr">
        <is>
          <t>Assigns warehouse_id to sales invoice lines, optimizing delivery freight and transit time</t>
        </is>
      </c>
      <c r="J83" s="20" t="inlineStr">
        <is>
          <t>P1</t>
        </is>
      </c>
      <c r="K83" s="20" t="inlineStr">
        <is>
          <t>Validated (Supported)</t>
        </is>
      </c>
      <c r="L83" s="5" t="inlineStr">
        <is>
          <t>Supported in SalesOrder fulfillment routing; supports line-item warehouse allocation.</t>
        </is>
      </c>
      <c r="M83" s="8" t="inlineStr">
        <is>
          <t>Baseline</t>
        </is>
      </c>
      <c r="N83" s="8" t="inlineStr">
        <is>
          <t>Operational role</t>
        </is>
      </c>
      <c r="O83" s="8" t="inlineStr">
        <is>
          <t>P1</t>
        </is>
      </c>
      <c r="P83" s="5" t="inlineStr">
        <is>
          <t>Unchanged</t>
        </is>
      </c>
      <c r="Q83" s="21" t="inlineStr">
        <is>
          <t>Code symbol found</t>
        </is>
      </c>
      <c r="R83" s="5" t="inlineStr">
        <is>
          <t>Matched SalesOrder in product code. This is not a functional test.</t>
        </is>
      </c>
      <c r="S83" s="8" t="inlineStr">
        <is>
          <t>WH</t>
        </is>
      </c>
      <c r="T83" s="5" t="inlineStr">
        <is>
          <t>Multi-godown and multi-store</t>
        </is>
      </c>
      <c r="U83" s="8" t="inlineStr"/>
      <c r="V83" s="8" t="inlineStr">
        <is>
          <t>inventory</t>
        </is>
      </c>
      <c r="W83" s="8" t="inlineStr">
        <is>
          <t>RUN</t>
        </is>
      </c>
      <c r="X83" s="5" t="inlineStr">
        <is>
          <t>Core</t>
        </is>
      </c>
      <c r="Y83" s="5" t="inlineStr">
        <is>
          <t>Stock</t>
        </is>
      </c>
      <c r="Z83" s="5" t="inlineStr">
        <is>
          <t>Medium</t>
        </is>
      </c>
      <c r="AA83" s="5" t="inlineStr">
        <is>
          <t>Medium</t>
        </is>
      </c>
      <c r="AB83" s="8" t="inlineStr">
        <is>
          <t>Low</t>
        </is>
      </c>
      <c r="AC83" s="8" t="inlineStr">
        <is>
          <t>Pilot</t>
        </is>
      </c>
      <c r="AD83" s="5" t="inlineStr">
        <is>
          <t>Cited in code</t>
        </is>
      </c>
      <c r="AE83" s="5" t="inlineStr">
        <is>
          <t>Not verified</t>
        </is>
      </c>
      <c r="AF83" s="5" t="inlineStr">
        <is>
          <t>Not verified</t>
        </is>
      </c>
      <c r="AG83" s="5" t="inlineStr">
        <is>
          <t>Not verified</t>
        </is>
      </c>
      <c r="AH83" s="5" t="inlineStr">
        <is>
          <t>Not verified</t>
        </is>
      </c>
      <c r="AI83" s="8" t="inlineStr">
        <is>
          <t>No</t>
        </is>
      </c>
      <c r="AJ83" s="8" t="inlineStr">
        <is>
          <t>Built - unverified</t>
        </is>
      </c>
      <c r="AK83" s="8" t="inlineStr">
        <is>
          <t>P1</t>
        </is>
      </c>
      <c r="AL83" s="8" t="n">
        <v>6</v>
      </c>
      <c r="AM83" s="5" t="inlineStr"/>
      <c r="AN83" s="5" t="inlineStr"/>
      <c r="AO83" s="5" t="inlineStr"/>
      <c r="AP83" s="5" t="inlineStr"/>
      <c r="AQ83" s="5" t="inlineStr"/>
      <c r="AR83" s="5" t="inlineStr"/>
      <c r="AS83" s="5" t="inlineStr"/>
      <c r="AT83" s="5" t="inlineStr"/>
      <c r="AU83" s="8" t="inlineStr">
        <is>
          <t>Not run</t>
        </is>
      </c>
    </row>
    <row r="84" ht="32" customHeight="1">
      <c r="A84" s="16" t="inlineStr">
        <is>
          <t>P-0083</t>
        </is>
      </c>
      <c r="B84" s="8" t="inlineStr">
        <is>
          <t>P</t>
        </is>
      </c>
      <c r="C84" s="5" t="inlineStr">
        <is>
          <t>Multi-Godown Distributor</t>
        </is>
      </c>
      <c r="D84" s="5" t="inlineStr">
        <is>
          <t>Multi-Godown / Multi-Store</t>
        </is>
      </c>
      <c r="E84" s="5" t="inlineStr">
        <is>
          <t>Track inter-godown transfers</t>
        </is>
      </c>
      <c r="F84" s="5" t="inlineStr">
        <is>
          <t>Logistics Manager</t>
        </is>
      </c>
      <c r="G84" s="5" t="inlineStr">
        <is>
          <t>Transport Vendor</t>
        </is>
      </c>
      <c r="H84" s="5" t="inlineStr">
        <is>
          <t>Monitor stock in-transit between company warehouses to prevent theft and shrinkage</t>
        </is>
      </c>
      <c r="I84" s="5" t="inlineStr">
        <is>
          <t>Tracks shipment status (IN_TRANSIT); alerts if expected arrival date is exceeded</t>
        </is>
      </c>
      <c r="J84" s="20" t="inlineStr">
        <is>
          <t>P1</t>
        </is>
      </c>
      <c r="K84" s="20" t="inlineStr">
        <is>
          <t>Validated (Supported)</t>
        </is>
      </c>
      <c r="L84" s="5" t="inlineStr">
        <is>
          <t>Supported via StockTransfer in-transit tracking and overdue transfer alerts.</t>
        </is>
      </c>
      <c r="M84" s="8" t="inlineStr">
        <is>
          <t>Baseline</t>
        </is>
      </c>
      <c r="N84" s="8" t="inlineStr">
        <is>
          <t>Operational role</t>
        </is>
      </c>
      <c r="O84" s="8" t="inlineStr">
        <is>
          <t>P1</t>
        </is>
      </c>
      <c r="P84" s="5" t="inlineStr">
        <is>
          <t>Unchanged</t>
        </is>
      </c>
      <c r="Q84" s="21" t="inlineStr">
        <is>
          <t>Code symbol found</t>
        </is>
      </c>
      <c r="R84" s="5" t="inlineStr">
        <is>
          <t>Matched StockTransfer in product code. This is not a functional test.</t>
        </is>
      </c>
      <c r="S84" s="8" t="inlineStr">
        <is>
          <t>WH</t>
        </is>
      </c>
      <c r="T84" s="5" t="inlineStr">
        <is>
          <t>Multi-godown and multi-store</t>
        </is>
      </c>
      <c r="U84" s="8" t="inlineStr"/>
      <c r="V84" s="8" t="inlineStr">
        <is>
          <t>inventory</t>
        </is>
      </c>
      <c r="W84" s="8" t="inlineStr">
        <is>
          <t>RUN</t>
        </is>
      </c>
      <c r="X84" s="5" t="inlineStr">
        <is>
          <t>Core</t>
        </is>
      </c>
      <c r="Y84" s="5" t="inlineStr">
        <is>
          <t>Stock</t>
        </is>
      </c>
      <c r="Z84" s="5" t="inlineStr">
        <is>
          <t>Medium</t>
        </is>
      </c>
      <c r="AA84" s="5" t="inlineStr">
        <is>
          <t>Medium</t>
        </is>
      </c>
      <c r="AB84" s="8" t="inlineStr">
        <is>
          <t>Low</t>
        </is>
      </c>
      <c r="AC84" s="8" t="inlineStr">
        <is>
          <t>Pilot</t>
        </is>
      </c>
      <c r="AD84" s="5" t="inlineStr">
        <is>
          <t>Cited in code</t>
        </is>
      </c>
      <c r="AE84" s="5" t="inlineStr">
        <is>
          <t>Not verified</t>
        </is>
      </c>
      <c r="AF84" s="5" t="inlineStr">
        <is>
          <t>Not verified</t>
        </is>
      </c>
      <c r="AG84" s="5" t="inlineStr">
        <is>
          <t>Not verified</t>
        </is>
      </c>
      <c r="AH84" s="5" t="inlineStr">
        <is>
          <t>Not verified</t>
        </is>
      </c>
      <c r="AI84" s="8" t="inlineStr">
        <is>
          <t>No</t>
        </is>
      </c>
      <c r="AJ84" s="8" t="inlineStr">
        <is>
          <t>Built - unverified</t>
        </is>
      </c>
      <c r="AK84" s="8" t="inlineStr">
        <is>
          <t>P1</t>
        </is>
      </c>
      <c r="AL84" s="8" t="n">
        <v>6</v>
      </c>
      <c r="AM84" s="5" t="inlineStr"/>
      <c r="AN84" s="5" t="inlineStr"/>
      <c r="AO84" s="5" t="inlineStr"/>
      <c r="AP84" s="5" t="inlineStr"/>
      <c r="AQ84" s="5" t="inlineStr"/>
      <c r="AR84" s="5" t="inlineStr"/>
      <c r="AS84" s="5" t="inlineStr"/>
      <c r="AT84" s="5" t="inlineStr"/>
      <c r="AU84" s="8" t="inlineStr">
        <is>
          <t>Not run</t>
        </is>
      </c>
    </row>
    <row r="85" ht="32" customHeight="1">
      <c r="A85" s="16" t="inlineStr">
        <is>
          <t>P-0084</t>
        </is>
      </c>
      <c r="B85" s="8" t="inlineStr">
        <is>
          <t>P</t>
        </is>
      </c>
      <c r="C85" s="5" t="inlineStr">
        <is>
          <t>Multi-Godown Distributor</t>
        </is>
      </c>
      <c r="D85" s="5" t="inlineStr">
        <is>
          <t>Reporting &amp; Business Intelligence</t>
        </is>
      </c>
      <c r="E85" s="5" t="inlineStr">
        <is>
          <t>Compare godown-wise sales</t>
        </is>
      </c>
      <c r="F85" s="5" t="inlineStr">
        <is>
          <t>Managing Proprietor</t>
        </is>
      </c>
      <c r="G85" s="5" t="inlineStr">
        <is>
          <t>Branch Managers</t>
        </is>
      </c>
      <c r="H85" s="5" t="inlineStr">
        <is>
          <t>Analyze sales revenue and volume contribution generated by each warehouse or depot</t>
        </is>
      </c>
      <c r="I85" s="5" t="inlineStr">
        <is>
          <t>Aggregates sales invoices grouped by source warehouse_id over specified date range</t>
        </is>
      </c>
      <c r="J85" s="22" t="inlineStr">
        <is>
          <t>P2</t>
        </is>
      </c>
      <c r="K85" s="20" t="inlineStr">
        <is>
          <t>Validated (Supported)</t>
        </is>
      </c>
      <c r="L85" s="5" t="inlineStr">
        <is>
          <t>Supported via /reports/warehouse-sales/ comparative report.</t>
        </is>
      </c>
      <c r="M85" s="8" t="inlineStr">
        <is>
          <t>Baseline</t>
        </is>
      </c>
      <c r="N85" s="8" t="inlineStr">
        <is>
          <t>Operational role</t>
        </is>
      </c>
      <c r="O85" s="8" t="inlineStr">
        <is>
          <t>P2</t>
        </is>
      </c>
      <c r="P85" s="5" t="inlineStr">
        <is>
          <t>Restored to authored P2. The previous workbook had P3 after a keyword rebalance.</t>
        </is>
      </c>
      <c r="Q85" s="20" t="inlineStr">
        <is>
          <t>Author assertion</t>
        </is>
      </c>
      <c r="R85" s="5" t="inlineStr">
        <is>
          <t>Restored to authored P2. The previous workbook had P3 after a keyword rebalance.</t>
        </is>
      </c>
      <c r="S85" s="8" t="inlineStr">
        <is>
          <t>RPT</t>
        </is>
      </c>
      <c r="T85" s="5" t="inlineStr">
        <is>
          <t>Reporting and business intelligence</t>
        </is>
      </c>
      <c r="U85" s="8" t="inlineStr"/>
      <c r="V85" s="8" t="inlineStr">
        <is>
          <t>reporting</t>
        </is>
      </c>
      <c r="W85" s="8" t="inlineStr">
        <is>
          <t>CONTROL</t>
        </is>
      </c>
      <c r="X85" s="5" t="inlineStr">
        <is>
          <t>Core</t>
        </is>
      </c>
      <c r="Y85" s="5" t="inlineStr">
        <is>
          <t>Stock</t>
        </is>
      </c>
      <c r="Z85" s="5" t="inlineStr">
        <is>
          <t>Medium</t>
        </is>
      </c>
      <c r="AA85" s="5" t="inlineStr">
        <is>
          <t>Medium</t>
        </is>
      </c>
      <c r="AB85" s="8" t="inlineStr">
        <is>
          <t>Low</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P2</t>
        </is>
      </c>
      <c r="AL85" s="8" t="n">
        <v>6</v>
      </c>
      <c r="AM85" s="5" t="inlineStr"/>
      <c r="AN85" s="5" t="inlineStr"/>
      <c r="AO85" s="5" t="inlineStr"/>
      <c r="AP85" s="5" t="inlineStr"/>
      <c r="AQ85" s="5" t="inlineStr"/>
      <c r="AR85" s="5" t="inlineStr"/>
      <c r="AS85" s="5" t="inlineStr"/>
      <c r="AT85" s="5" t="inlineStr"/>
      <c r="AU85" s="8" t="inlineStr">
        <is>
          <t>Not run</t>
        </is>
      </c>
    </row>
    <row r="86" ht="32" customHeight="1">
      <c r="A86" s="16" t="inlineStr">
        <is>
          <t>P-0085</t>
        </is>
      </c>
      <c r="B86" s="8" t="inlineStr">
        <is>
          <t>P</t>
        </is>
      </c>
      <c r="C86" s="5" t="inlineStr">
        <is>
          <t>Multi-Godown Distributor</t>
        </is>
      </c>
      <c r="D86" s="5" t="inlineStr">
        <is>
          <t>Reporting &amp; Business Intelligence</t>
        </is>
      </c>
      <c r="E86" s="5" t="inlineStr">
        <is>
          <t>Compare godown-wise profitability</t>
        </is>
      </c>
      <c r="F86" s="5" t="inlineStr">
        <is>
          <t>Managing Proprietor</t>
        </is>
      </c>
      <c r="G86" s="5" t="inlineStr">
        <is>
          <t>Accountant</t>
        </is>
      </c>
      <c r="H86" s="5" t="inlineStr">
        <is>
          <t>Evaluate gross profit and operating efficiency across different regional godowns</t>
        </is>
      </c>
      <c r="I86" s="5" t="inlineStr">
        <is>
          <t>Computes location-specific gross margin and cross-references localized handling expenses</t>
        </is>
      </c>
      <c r="J86" s="22" t="inlineStr">
        <is>
          <t>P2</t>
        </is>
      </c>
      <c r="K86" s="20" t="inlineStr">
        <is>
          <t>Validated (Supported)</t>
        </is>
      </c>
      <c r="L86" s="5" t="inlineStr">
        <is>
          <t>Supported via Branch/Warehouse Profit &amp; Loss breakdown report.</t>
        </is>
      </c>
      <c r="M86" s="8" t="inlineStr">
        <is>
          <t>Baseline</t>
        </is>
      </c>
      <c r="N86" s="8" t="inlineStr">
        <is>
          <t>Operational role</t>
        </is>
      </c>
      <c r="O86" s="8" t="inlineStr">
        <is>
          <t>P2</t>
        </is>
      </c>
      <c r="P86" s="5" t="inlineStr">
        <is>
          <t>Restored to authored P2. The previous workbook had P3 after a keyword rebalance.</t>
        </is>
      </c>
      <c r="Q86" s="20" t="inlineStr">
        <is>
          <t>Author assertion</t>
        </is>
      </c>
      <c r="R86" s="5" t="inlineStr">
        <is>
          <t>Restored to authored P2. The previous workbook had P3 after a keyword rebalance.</t>
        </is>
      </c>
      <c r="S86" s="8" t="inlineStr">
        <is>
          <t>RPT</t>
        </is>
      </c>
      <c r="T86" s="5" t="inlineStr">
        <is>
          <t>Reporting and business intelligence</t>
        </is>
      </c>
      <c r="U86" s="8" t="inlineStr"/>
      <c r="V86" s="8" t="inlineStr">
        <is>
          <t>reporting</t>
        </is>
      </c>
      <c r="W86" s="8" t="inlineStr">
        <is>
          <t>CONTROL</t>
        </is>
      </c>
      <c r="X86" s="5" t="inlineStr">
        <is>
          <t>Core</t>
        </is>
      </c>
      <c r="Y86" s="5" t="inlineStr">
        <is>
          <t>Stock</t>
        </is>
      </c>
      <c r="Z86" s="5" t="inlineStr">
        <is>
          <t>Medium</t>
        </is>
      </c>
      <c r="AA86" s="5" t="inlineStr">
        <is>
          <t>Medium</t>
        </is>
      </c>
      <c r="AB86" s="8" t="inlineStr">
        <is>
          <t>Low</t>
        </is>
      </c>
      <c r="AC86" s="8" t="inlineStr">
        <is>
          <t>Later</t>
        </is>
      </c>
      <c r="AD86" s="5" t="inlineStr">
        <is>
          <t>Not independently checked</t>
        </is>
      </c>
      <c r="AE86" s="5" t="inlineStr">
        <is>
          <t>Not verified</t>
        </is>
      </c>
      <c r="AF86" s="5" t="inlineStr">
        <is>
          <t>Not verified</t>
        </is>
      </c>
      <c r="AG86" s="5" t="inlineStr">
        <is>
          <t>Not verified</t>
        </is>
      </c>
      <c r="AH86" s="5" t="inlineStr">
        <is>
          <t>Not verified</t>
        </is>
      </c>
      <c r="AI86" s="8" t="inlineStr">
        <is>
          <t>No</t>
        </is>
      </c>
      <c r="AJ86" s="8" t="inlineStr">
        <is>
          <t>Claimed - unverified</t>
        </is>
      </c>
      <c r="AK86" s="8" t="inlineStr">
        <is>
          <t>P2</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P-0086</t>
        </is>
      </c>
      <c r="B87" s="8" t="inlineStr">
        <is>
          <t>P</t>
        </is>
      </c>
      <c r="C87" s="5" t="inlineStr">
        <is>
          <t>Multi-Godown Distributor</t>
        </is>
      </c>
      <c r="D87" s="5" t="inlineStr">
        <is>
          <t>Multi-Godown / Multi-Store</t>
        </is>
      </c>
      <c r="E87" s="5" t="inlineStr">
        <is>
          <t>Identify stock imbalance</t>
        </is>
      </c>
      <c r="F87" s="5" t="inlineStr">
        <is>
          <t>Logistics Coordinator</t>
        </is>
      </c>
      <c r="G87" s="5" t="inlineStr">
        <is>
          <t>Godown Managers</t>
        </is>
      </c>
      <c r="H87" s="5" t="inlineStr">
        <is>
          <t>Detect overstocked items in one depot and stockouts in another to trigger rebalancing</t>
        </is>
      </c>
      <c r="I87" s="5" t="inlineStr">
        <is>
          <t>Compares days of stock cover per SKU across warehouses; highlights rebalance candidates</t>
        </is>
      </c>
      <c r="J87" s="22" t="inlineStr">
        <is>
          <t>P2</t>
        </is>
      </c>
      <c r="K87" s="20" t="inlineStr">
        <is>
          <t>Validated (Supported)</t>
        </is>
      </c>
      <c r="L87" s="5" t="inlineStr">
        <is>
          <t>Supported via Inventory Balancing report with auto-generated StockTransfer draft.</t>
        </is>
      </c>
      <c r="M87" s="8" t="inlineStr">
        <is>
          <t>Baseline</t>
        </is>
      </c>
      <c r="N87" s="8" t="inlineStr">
        <is>
          <t>Operational role</t>
        </is>
      </c>
      <c r="O87" s="8" t="inlineStr">
        <is>
          <t>P2</t>
        </is>
      </c>
      <c r="P87" s="5" t="inlineStr">
        <is>
          <t>Restored to authored P2. The previous workbook had P3 after a keyword rebalance.</t>
        </is>
      </c>
      <c r="Q87" s="21" t="inlineStr">
        <is>
          <t>Code symbol found</t>
        </is>
      </c>
      <c r="R87" s="5" t="inlineStr">
        <is>
          <t>Matched StockTransfer in product code. This is not a functional test. Restored to authored P2. The previous workbook had P3 after a keyword rebalance.</t>
        </is>
      </c>
      <c r="S87" s="8" t="inlineStr">
        <is>
          <t>WH</t>
        </is>
      </c>
      <c r="T87" s="5" t="inlineStr">
        <is>
          <t>Multi-godown and multi-store</t>
        </is>
      </c>
      <c r="U87" s="8" t="inlineStr"/>
      <c r="V87" s="8" t="inlineStr">
        <is>
          <t>inventory</t>
        </is>
      </c>
      <c r="W87" s="8" t="inlineStr">
        <is>
          <t>RUN</t>
        </is>
      </c>
      <c r="X87" s="5" t="inlineStr">
        <is>
          <t>Core</t>
        </is>
      </c>
      <c r="Y87" s="5" t="inlineStr">
        <is>
          <t>Stock</t>
        </is>
      </c>
      <c r="Z87" s="5" t="inlineStr">
        <is>
          <t>Medium</t>
        </is>
      </c>
      <c r="AA87" s="5" t="inlineStr">
        <is>
          <t>Medium</t>
        </is>
      </c>
      <c r="AB87" s="8" t="inlineStr">
        <is>
          <t>Low</t>
        </is>
      </c>
      <c r="AC87" s="8" t="inlineStr">
        <is>
          <t>Later</t>
        </is>
      </c>
      <c r="AD87" s="5" t="inlineStr">
        <is>
          <t>Cited in code</t>
        </is>
      </c>
      <c r="AE87" s="5" t="inlineStr">
        <is>
          <t>Not verified</t>
        </is>
      </c>
      <c r="AF87" s="5" t="inlineStr">
        <is>
          <t>Not verified</t>
        </is>
      </c>
      <c r="AG87" s="5" t="inlineStr">
        <is>
          <t>Not verified</t>
        </is>
      </c>
      <c r="AH87" s="5" t="inlineStr">
        <is>
          <t>Not verified</t>
        </is>
      </c>
      <c r="AI87" s="8" t="inlineStr">
        <is>
          <t>No</t>
        </is>
      </c>
      <c r="AJ87" s="8" t="inlineStr">
        <is>
          <t>Built - unverified</t>
        </is>
      </c>
      <c r="AK87" s="8" t="inlineStr">
        <is>
          <t>P2</t>
        </is>
      </c>
      <c r="AL87" s="8" t="n">
        <v>6</v>
      </c>
      <c r="AM87" s="5" t="inlineStr"/>
      <c r="AN87" s="5" t="inlineStr"/>
      <c r="AO87" s="5" t="inlineStr"/>
      <c r="AP87" s="5" t="inlineStr"/>
      <c r="AQ87" s="5" t="inlineStr"/>
      <c r="AR87" s="5" t="inlineStr"/>
      <c r="AS87" s="5" t="inlineStr"/>
      <c r="AT87" s="5" t="inlineStr"/>
      <c r="AU87" s="8" t="inlineStr">
        <is>
          <t>Not run</t>
        </is>
      </c>
    </row>
    <row r="88" ht="32" customHeight="1">
      <c r="A88" s="16" t="inlineStr">
        <is>
          <t>P-0087</t>
        </is>
      </c>
      <c r="B88" s="8" t="inlineStr">
        <is>
          <t>P</t>
        </is>
      </c>
      <c r="C88" s="5" t="inlineStr">
        <is>
          <t>Multi-Godown Distributor</t>
        </is>
      </c>
      <c r="D88" s="5" t="inlineStr">
        <is>
          <t>Inventory Lifecycle</t>
        </is>
      </c>
      <c r="E88" s="5" t="inlineStr">
        <is>
          <t>Perform location-wise stock audits</t>
        </is>
      </c>
      <c r="F88" s="5" t="inlineStr">
        <is>
          <t>Internal Audit Team</t>
        </is>
      </c>
      <c r="G88" s="5" t="inlineStr">
        <is>
          <t>Local Godown Keepers</t>
        </is>
      </c>
      <c r="H88" s="5" t="inlineStr">
        <is>
          <t>Conduct physical inventory counts independently at specific regional warehouses</t>
        </is>
      </c>
      <c r="I88" s="5" t="inlineStr">
        <is>
          <t>Scoped StockCountSession locked to a specific warehouse_id without halting other depots</t>
        </is>
      </c>
      <c r="J88" s="20" t="inlineStr">
        <is>
          <t>P1</t>
        </is>
      </c>
      <c r="K88" s="20" t="inlineStr">
        <is>
          <t>Validated (Supported)</t>
        </is>
      </c>
      <c r="L88" s="5" t="inlineStr">
        <is>
          <t>Supported in /inventory/stock-counts/ with warehouse-isolated audit sessions.</t>
        </is>
      </c>
      <c r="M88" s="8" t="inlineStr">
        <is>
          <t>Baseline</t>
        </is>
      </c>
      <c r="N88" s="8" t="inlineStr">
        <is>
          <t>Operational role</t>
        </is>
      </c>
      <c r="O88" s="8" t="inlineStr">
        <is>
          <t>P1</t>
        </is>
      </c>
      <c r="P88" s="5" t="inlineStr">
        <is>
          <t>Unchanged</t>
        </is>
      </c>
      <c r="Q88" s="20" t="inlineStr">
        <is>
          <t>Author assertion</t>
        </is>
      </c>
      <c r="R88" s="5" t="inlineStr"/>
      <c r="S88" s="8" t="inlineStr">
        <is>
          <t>INV</t>
        </is>
      </c>
      <c r="T88" s="5" t="inlineStr">
        <is>
          <t>Inventory lifecycle</t>
        </is>
      </c>
      <c r="U88" s="8" t="inlineStr"/>
      <c r="V88" s="8" t="inlineStr">
        <is>
          <t>inventory</t>
        </is>
      </c>
      <c r="W88" s="8" t="inlineStr">
        <is>
          <t>RUN</t>
        </is>
      </c>
      <c r="X88" s="5" t="inlineStr">
        <is>
          <t>Core</t>
        </is>
      </c>
      <c r="Y88" s="5" t="inlineStr">
        <is>
          <t>Stock</t>
        </is>
      </c>
      <c r="Z88" s="5" t="inlineStr">
        <is>
          <t>High</t>
        </is>
      </c>
      <c r="AA88" s="5" t="inlineStr">
        <is>
          <t>High</t>
        </is>
      </c>
      <c r="AB88" s="8" t="inlineStr">
        <is>
          <t>Low</t>
        </is>
      </c>
      <c r="AC88" s="8" t="inlineStr">
        <is>
          <t>Pilot</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9</v>
      </c>
      <c r="AM88" s="5" t="inlineStr"/>
      <c r="AN88" s="5" t="inlineStr"/>
      <c r="AO88" s="5" t="inlineStr"/>
      <c r="AP88" s="5" t="inlineStr"/>
      <c r="AQ88" s="5" t="inlineStr"/>
      <c r="AR88" s="5" t="inlineStr"/>
      <c r="AS88" s="5" t="inlineStr"/>
      <c r="AT88" s="5" t="inlineStr"/>
      <c r="AU88" s="8" t="inlineStr">
        <is>
          <t>Not run</t>
        </is>
      </c>
    </row>
    <row r="89" ht="32" customHeight="1">
      <c r="A89" s="16" t="inlineStr">
        <is>
          <t>P-0088</t>
        </is>
      </c>
      <c r="B89" s="8" t="inlineStr">
        <is>
          <t>P</t>
        </is>
      </c>
      <c r="C89" s="5" t="inlineStr">
        <is>
          <t>Multi-Godown Distributor</t>
        </is>
      </c>
      <c r="D89" s="5" t="inlineStr">
        <is>
          <t>Multi-Godown / Multi-Store</t>
        </is>
      </c>
      <c r="E89" s="5" t="inlineStr">
        <is>
          <t>Track inventory movement across locations</t>
        </is>
      </c>
      <c r="F89" s="5" t="inlineStr">
        <is>
          <t>Logistics Manager</t>
        </is>
      </c>
      <c r="G89" s="5" t="inlineStr">
        <is>
          <t>Auditor</t>
        </is>
      </c>
      <c r="H89" s="5" t="inlineStr">
        <is>
          <t>Complete audit trail of all inward, outward, and transfer movements for any SKU across locations</t>
        </is>
      </c>
      <c r="I89" s="5" t="inlineStr">
        <is>
          <t>Queries immutable StockMovement ledger filtered by SKU and warehouse_id with chronological replay</t>
        </is>
      </c>
      <c r="J89" s="20" t="inlineStr">
        <is>
          <t>P1</t>
        </is>
      </c>
      <c r="K89" s="20" t="inlineStr">
        <is>
          <t>Validated (Supported)</t>
        </is>
      </c>
      <c r="L89" s="5" t="inlineStr">
        <is>
          <t>Supported via SKU Movement Ledger (/inventory/products/{id}/movements/).</t>
        </is>
      </c>
      <c r="M89" s="8" t="inlineStr">
        <is>
          <t>Baseline</t>
        </is>
      </c>
      <c r="N89" s="8" t="inlineStr">
        <is>
          <t>Operational role</t>
        </is>
      </c>
      <c r="O89" s="8" t="inlineStr">
        <is>
          <t>P1</t>
        </is>
      </c>
      <c r="P89" s="5" t="inlineStr">
        <is>
          <t>Unchanged</t>
        </is>
      </c>
      <c r="Q89" s="20" t="inlineStr">
        <is>
          <t>Author assertion</t>
        </is>
      </c>
      <c r="R89" s="5" t="inlineStr"/>
      <c r="S89" s="8" t="inlineStr">
        <is>
          <t>WH</t>
        </is>
      </c>
      <c r="T89" s="5" t="inlineStr">
        <is>
          <t>Multi-godown and multi-store</t>
        </is>
      </c>
      <c r="U89" s="8" t="inlineStr"/>
      <c r="V89" s="8" t="inlineStr">
        <is>
          <t>inventory</t>
        </is>
      </c>
      <c r="W89" s="8" t="inlineStr">
        <is>
          <t>RUN</t>
        </is>
      </c>
      <c r="X89" s="5" t="inlineStr">
        <is>
          <t>Core</t>
        </is>
      </c>
      <c r="Y89" s="5" t="inlineStr">
        <is>
          <t>Stock</t>
        </is>
      </c>
      <c r="Z89" s="5" t="inlineStr">
        <is>
          <t>Medium</t>
        </is>
      </c>
      <c r="AA89" s="5" t="inlineStr">
        <is>
          <t>Medium</t>
        </is>
      </c>
      <c r="AB89" s="8" t="inlineStr">
        <is>
          <t>Low</t>
        </is>
      </c>
      <c r="AC89" s="8" t="inlineStr">
        <is>
          <t>Pilot</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P-0089</t>
        </is>
      </c>
      <c r="B90" s="8" t="inlineStr">
        <is>
          <t>P</t>
        </is>
      </c>
      <c r="C90" s="5" t="inlineStr">
        <is>
          <t>Multi-Shop Owner</t>
        </is>
      </c>
      <c r="D90" s="5" t="inlineStr">
        <is>
          <t>Multi-Godown / Multi-Store</t>
        </is>
      </c>
      <c r="E90" s="5" t="inlineStr">
        <is>
          <t>View all shops from one dashboard</t>
        </is>
      </c>
      <c r="F90" s="5" t="inlineStr">
        <is>
          <t>Multi-Shop Managing Proprietor</t>
        </is>
      </c>
      <c r="G90" s="5" t="inlineStr">
        <is>
          <t>Store Managers</t>
        </is>
      </c>
      <c r="H90" s="5" t="inlineStr">
        <is>
          <t>Executive real-time visibility into consolidated revenue, cash collections, and stock across all outlets</t>
        </is>
      </c>
      <c r="I90" s="5" t="inlineStr">
        <is>
          <t>Consolidates live data across all retail branch locations on a single unified screen</t>
        </is>
      </c>
      <c r="J90" s="19" t="inlineStr">
        <is>
          <t>P0</t>
        </is>
      </c>
      <c r="K90" s="20" t="inlineStr">
        <is>
          <t>Validated (Supported)</t>
        </is>
      </c>
      <c r="L90" s="5" t="inlineStr">
        <is>
          <t>Supported via Multi-Store Executive Dashboard with outlet switching and consolidated totals.</t>
        </is>
      </c>
      <c r="M90" s="8" t="inlineStr">
        <is>
          <t>Baseline</t>
        </is>
      </c>
      <c r="N90" s="8" t="inlineStr">
        <is>
          <t>Operational role</t>
        </is>
      </c>
      <c r="O90" s="8" t="inlineStr">
        <is>
          <t>P0</t>
        </is>
      </c>
      <c r="P90" s="5" t="inlineStr">
        <is>
          <t>Unchanged</t>
        </is>
      </c>
      <c r="Q90" s="20" t="inlineStr">
        <is>
          <t>Author assertion</t>
        </is>
      </c>
      <c r="R90" s="5" t="inlineStr"/>
      <c r="S90" s="8" t="inlineStr">
        <is>
          <t>WH</t>
        </is>
      </c>
      <c r="T90" s="5" t="inlineStr">
        <is>
          <t>Multi-godown and multi-store</t>
        </is>
      </c>
      <c r="U90" s="8" t="inlineStr"/>
      <c r="V90" s="8" t="inlineStr">
        <is>
          <t>inventory</t>
        </is>
      </c>
      <c r="W90" s="8" t="inlineStr">
        <is>
          <t>RUN</t>
        </is>
      </c>
      <c r="X90" s="5" t="inlineStr">
        <is>
          <t>Core</t>
        </is>
      </c>
      <c r="Y90" s="5" t="inlineStr">
        <is>
          <t>Owner</t>
        </is>
      </c>
      <c r="Z90" s="5" t="inlineStr">
        <is>
          <t>Medium</t>
        </is>
      </c>
      <c r="AA90" s="5" t="inlineStr">
        <is>
          <t>Medium</t>
        </is>
      </c>
      <c r="AB90" s="8" t="inlineStr">
        <is>
          <t>Low</t>
        </is>
      </c>
      <c r="AC90" s="8" t="inlineStr">
        <is>
          <t>MVP</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P0</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P-0090</t>
        </is>
      </c>
      <c r="B91" s="8" t="inlineStr">
        <is>
          <t>P</t>
        </is>
      </c>
      <c r="C91" s="5" t="inlineStr">
        <is>
          <t>Multi-Shop Owner</t>
        </is>
      </c>
      <c r="D91" s="5" t="inlineStr">
        <is>
          <t>Reporting &amp; Business Intelligence</t>
        </is>
      </c>
      <c r="E91" s="5" t="inlineStr">
        <is>
          <t>Compare shop sales</t>
        </is>
      </c>
      <c r="F91" s="5" t="inlineStr">
        <is>
          <t>Managing Proprietor</t>
        </is>
      </c>
      <c r="G91" s="5" t="inlineStr">
        <is>
          <t>Store Managers</t>
        </is>
      </c>
      <c r="H91" s="5" t="inlineStr">
        <is>
          <t>Benchmark daily and monthly sales performance between retail store branches</t>
        </is>
      </c>
      <c r="I91" s="5" t="inlineStr">
        <is>
          <t>Generates comparative sales bar charts and tabular metrics broken down by store outlet</t>
        </is>
      </c>
      <c r="J91" s="20" t="inlineStr">
        <is>
          <t>P1</t>
        </is>
      </c>
      <c r="K91" s="20" t="inlineStr">
        <is>
          <t>Validated (Supported)</t>
        </is>
      </c>
      <c r="L91" s="5" t="inlineStr">
        <is>
          <t>Supported via /reports/multi-store-comparison/ with ranking by sales and footfall.</t>
        </is>
      </c>
      <c r="M91" s="8" t="inlineStr">
        <is>
          <t>Baseline</t>
        </is>
      </c>
      <c r="N91" s="8" t="inlineStr">
        <is>
          <t>Operational role</t>
        </is>
      </c>
      <c r="O91" s="8" t="inlineStr">
        <is>
          <t>P1</t>
        </is>
      </c>
      <c r="P91" s="5" t="inlineStr">
        <is>
          <t>Unchanged</t>
        </is>
      </c>
      <c r="Q91" s="20" t="inlineStr">
        <is>
          <t>Author assertion</t>
        </is>
      </c>
      <c r="R91" s="5" t="inlineStr"/>
      <c r="S91" s="8" t="inlineStr">
        <is>
          <t>RPT</t>
        </is>
      </c>
      <c r="T91" s="5" t="inlineStr">
        <is>
          <t>Reporting and business intelligence</t>
        </is>
      </c>
      <c r="U91" s="8" t="inlineStr"/>
      <c r="V91" s="8" t="inlineStr">
        <is>
          <t>reporting</t>
        </is>
      </c>
      <c r="W91" s="8" t="inlineStr">
        <is>
          <t>CONTROL</t>
        </is>
      </c>
      <c r="X91" s="5" t="inlineStr">
        <is>
          <t>Core</t>
        </is>
      </c>
      <c r="Y91" s="5" t="inlineStr">
        <is>
          <t>Owner</t>
        </is>
      </c>
      <c r="Z91" s="5" t="inlineStr">
        <is>
          <t>Medium</t>
        </is>
      </c>
      <c r="AA91" s="5" t="inlineStr">
        <is>
          <t>Medium</t>
        </is>
      </c>
      <c r="AB91" s="8" t="inlineStr">
        <is>
          <t>Low</t>
        </is>
      </c>
      <c r="AC91" s="8" t="inlineStr">
        <is>
          <t>Pilot</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P1</t>
        </is>
      </c>
      <c r="AL91" s="8" t="n">
        <v>6</v>
      </c>
      <c r="AM91" s="5" t="inlineStr"/>
      <c r="AN91" s="5" t="inlineStr"/>
      <c r="AO91" s="5" t="inlineStr"/>
      <c r="AP91" s="5" t="inlineStr"/>
      <c r="AQ91" s="5" t="inlineStr"/>
      <c r="AR91" s="5" t="inlineStr"/>
      <c r="AS91" s="5" t="inlineStr"/>
      <c r="AT91" s="5" t="inlineStr"/>
      <c r="AU91" s="8" t="inlineStr">
        <is>
          <t>Not run</t>
        </is>
      </c>
    </row>
    <row r="92" ht="32" customHeight="1">
      <c r="A92" s="16" t="inlineStr">
        <is>
          <t>P-0091</t>
        </is>
      </c>
      <c r="B92" s="8" t="inlineStr">
        <is>
          <t>P</t>
        </is>
      </c>
      <c r="C92" s="5" t="inlineStr">
        <is>
          <t>Multi-Shop Owner</t>
        </is>
      </c>
      <c r="D92" s="5" t="inlineStr">
        <is>
          <t>Reporting &amp; Business Intelligence</t>
        </is>
      </c>
      <c r="E92" s="5" t="inlineStr">
        <is>
          <t>Compare shop profitability</t>
        </is>
      </c>
      <c r="F92" s="5" t="inlineStr">
        <is>
          <t>Managing Proprietor</t>
        </is>
      </c>
      <c r="G92" s="5" t="inlineStr">
        <is>
          <t>Accountant</t>
        </is>
      </c>
      <c r="H92" s="5" t="inlineStr">
        <is>
          <t>Analyze net profit contributions of individual store locations after outlet operating expenses</t>
        </is>
      </c>
      <c r="I92" s="5" t="inlineStr">
        <is>
          <t>Matches outlet revenue against localized cost of goods sold, rent, utilities, and payroll</t>
        </is>
      </c>
      <c r="J92" s="22" t="inlineStr">
        <is>
          <t>P2</t>
        </is>
      </c>
      <c r="K92" s="20" t="inlineStr">
        <is>
          <t>Validated (Supported)</t>
        </is>
      </c>
      <c r="L92" s="5" t="inlineStr">
        <is>
          <t>Supported via Cost Center / Store P&amp;L report (/accounting/cost-centers/).</t>
        </is>
      </c>
      <c r="M92" s="8" t="inlineStr">
        <is>
          <t>Baseline</t>
        </is>
      </c>
      <c r="N92" s="8" t="inlineStr">
        <is>
          <t>Operational role</t>
        </is>
      </c>
      <c r="O92" s="8" t="inlineStr">
        <is>
          <t>P2</t>
        </is>
      </c>
      <c r="P92" s="5" t="inlineStr">
        <is>
          <t>Restored to authored P2. The previous workbook had P3 after a keyword rebalance.</t>
        </is>
      </c>
      <c r="Q92" s="20" t="inlineStr">
        <is>
          <t>Author assertion</t>
        </is>
      </c>
      <c r="R92" s="5" t="inlineStr">
        <is>
          <t>Restored to authored P2. The previous workbook had P3 after a keyword rebalance.</t>
        </is>
      </c>
      <c r="S92" s="8" t="inlineStr">
        <is>
          <t>RPT</t>
        </is>
      </c>
      <c r="T92" s="5" t="inlineStr">
        <is>
          <t>Reporting and business intelligence</t>
        </is>
      </c>
      <c r="U92" s="8" t="inlineStr"/>
      <c r="V92" s="8" t="inlineStr">
        <is>
          <t>reporting</t>
        </is>
      </c>
      <c r="W92" s="8" t="inlineStr">
        <is>
          <t>CONTROL</t>
        </is>
      </c>
      <c r="X92" s="5" t="inlineStr">
        <is>
          <t>Core</t>
        </is>
      </c>
      <c r="Y92" s="5" t="inlineStr">
        <is>
          <t>Owner</t>
        </is>
      </c>
      <c r="Z92" s="5" t="inlineStr">
        <is>
          <t>Medium</t>
        </is>
      </c>
      <c r="AA92" s="5" t="inlineStr">
        <is>
          <t>Medium</t>
        </is>
      </c>
      <c r="AB92" s="8" t="inlineStr">
        <is>
          <t>Low</t>
        </is>
      </c>
      <c r="AC92" s="8" t="inlineStr">
        <is>
          <t>Later</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P2</t>
        </is>
      </c>
      <c r="AL92" s="8" t="n">
        <v>6</v>
      </c>
      <c r="AM92" s="5" t="inlineStr"/>
      <c r="AN92" s="5" t="inlineStr"/>
      <c r="AO92" s="5" t="inlineStr"/>
      <c r="AP92" s="5" t="inlineStr"/>
      <c r="AQ92" s="5" t="inlineStr"/>
      <c r="AR92" s="5" t="inlineStr"/>
      <c r="AS92" s="5" t="inlineStr"/>
      <c r="AT92" s="5" t="inlineStr"/>
      <c r="AU92" s="8" t="inlineStr">
        <is>
          <t>Not run</t>
        </is>
      </c>
    </row>
    <row r="93" ht="32" customHeight="1">
      <c r="A93" s="16" t="inlineStr">
        <is>
          <t>P-0092</t>
        </is>
      </c>
      <c r="B93" s="8" t="inlineStr">
        <is>
          <t>P</t>
        </is>
      </c>
      <c r="C93" s="5" t="inlineStr">
        <is>
          <t>Multi-Shop Owner</t>
        </is>
      </c>
      <c r="D93" s="5" t="inlineStr">
        <is>
          <t>Multi-Godown / Multi-Store</t>
        </is>
      </c>
      <c r="E93" s="5" t="inlineStr">
        <is>
          <t>Transfer inventory between shops</t>
        </is>
      </c>
      <c r="F93" s="5" t="inlineStr">
        <is>
          <t>Store Manager / Central Coordinator</t>
        </is>
      </c>
      <c r="G93" s="5" t="inlineStr">
        <is>
          <t>Store Cashiers</t>
        </is>
      </c>
      <c r="H93" s="5" t="inlineStr">
        <is>
          <t>Quick transfer of fast-moving items from low-demand shop to high-demand shop</t>
        </is>
      </c>
      <c r="I93" s="5" t="inlineStr">
        <is>
          <t>Generates inter-shop delivery challan; updates source and destination shop stock balances</t>
        </is>
      </c>
      <c r="J93" s="20" t="inlineStr">
        <is>
          <t>P1</t>
        </is>
      </c>
      <c r="K93" s="20" t="inlineStr">
        <is>
          <t>Validated (Supported)</t>
        </is>
      </c>
      <c r="L93" s="5" t="inlineStr">
        <is>
          <t>Supported via StockTransfer mechanism with store-to-store transfer presets.</t>
        </is>
      </c>
      <c r="M93" s="8" t="inlineStr">
        <is>
          <t>Baseline</t>
        </is>
      </c>
      <c r="N93" s="8" t="inlineStr">
        <is>
          <t>Operational role</t>
        </is>
      </c>
      <c r="O93" s="8" t="inlineStr">
        <is>
          <t>P1</t>
        </is>
      </c>
      <c r="P93" s="5" t="inlineStr">
        <is>
          <t>Unchanged</t>
        </is>
      </c>
      <c r="Q93" s="21" t="inlineStr">
        <is>
          <t>Code symbol found</t>
        </is>
      </c>
      <c r="R93" s="5" t="inlineStr">
        <is>
          <t>Matched StockTransfer in product code. This is not a functional test.</t>
        </is>
      </c>
      <c r="S93" s="8" t="inlineStr">
        <is>
          <t>WH</t>
        </is>
      </c>
      <c r="T93" s="5" t="inlineStr">
        <is>
          <t>Multi-godown and multi-store</t>
        </is>
      </c>
      <c r="U93" s="8" t="inlineStr"/>
      <c r="V93" s="8" t="inlineStr">
        <is>
          <t>inventory</t>
        </is>
      </c>
      <c r="W93" s="8" t="inlineStr">
        <is>
          <t>RUN</t>
        </is>
      </c>
      <c r="X93" s="5" t="inlineStr">
        <is>
          <t>Core</t>
        </is>
      </c>
      <c r="Y93" s="5" t="inlineStr">
        <is>
          <t>Owner</t>
        </is>
      </c>
      <c r="Z93" s="5" t="inlineStr">
        <is>
          <t>Medium</t>
        </is>
      </c>
      <c r="AA93" s="5" t="inlineStr">
        <is>
          <t>Medium</t>
        </is>
      </c>
      <c r="AB93" s="8" t="inlineStr">
        <is>
          <t>Low</t>
        </is>
      </c>
      <c r="AC93" s="8" t="inlineStr">
        <is>
          <t>Pilot</t>
        </is>
      </c>
      <c r="AD93" s="5" t="inlineStr">
        <is>
          <t>Cited in code</t>
        </is>
      </c>
      <c r="AE93" s="5" t="inlineStr">
        <is>
          <t>Not verified</t>
        </is>
      </c>
      <c r="AF93" s="5" t="inlineStr">
        <is>
          <t>Not verified</t>
        </is>
      </c>
      <c r="AG93" s="5" t="inlineStr">
        <is>
          <t>Not verified</t>
        </is>
      </c>
      <c r="AH93" s="5" t="inlineStr">
        <is>
          <t>Not verified</t>
        </is>
      </c>
      <c r="AI93" s="8" t="inlineStr">
        <is>
          <t>No</t>
        </is>
      </c>
      <c r="AJ93" s="8" t="inlineStr">
        <is>
          <t>Built - unverified</t>
        </is>
      </c>
      <c r="AK93" s="8" t="inlineStr">
        <is>
          <t>P1</t>
        </is>
      </c>
      <c r="AL93" s="8" t="n">
        <v>6</v>
      </c>
      <c r="AM93" s="5" t="inlineStr"/>
      <c r="AN93" s="5" t="inlineStr"/>
      <c r="AO93" s="5" t="inlineStr"/>
      <c r="AP93" s="5" t="inlineStr"/>
      <c r="AQ93" s="5" t="inlineStr"/>
      <c r="AR93" s="5" t="inlineStr"/>
      <c r="AS93" s="5" t="inlineStr"/>
      <c r="AT93" s="5" t="inlineStr"/>
      <c r="AU93" s="8" t="inlineStr">
        <is>
          <t>Not run</t>
        </is>
      </c>
    </row>
    <row r="94" ht="32" customHeight="1">
      <c r="A94" s="16" t="inlineStr">
        <is>
          <t>P-0093</t>
        </is>
      </c>
      <c r="B94" s="8" t="inlineStr">
        <is>
          <t>P</t>
        </is>
      </c>
      <c r="C94" s="5" t="inlineStr">
        <is>
          <t>Multi-Shop Owner</t>
        </is>
      </c>
      <c r="D94" s="5" t="inlineStr">
        <is>
          <t>Multi-Godown / Multi-Store</t>
        </is>
      </c>
      <c r="E94" s="5" t="inlineStr">
        <is>
          <t>Monitor shop-wise inventory</t>
        </is>
      </c>
      <c r="F94" s="5" t="inlineStr">
        <is>
          <t>Inventory Controller</t>
        </is>
      </c>
      <c r="G94" s="5" t="inlineStr">
        <is>
          <t>Store Keepers</t>
        </is>
      </c>
      <c r="H94" s="5" t="inlineStr">
        <is>
          <t>Audit stock holding levels at each individual retail outlet to prevent stockouts</t>
        </is>
      </c>
      <c r="I94" s="5" t="inlineStr">
        <is>
          <t>Displays real-time inventory balances broken down by store location</t>
        </is>
      </c>
      <c r="J94" s="20" t="inlineStr">
        <is>
          <t>P1</t>
        </is>
      </c>
      <c r="K94" s="20" t="inlineStr">
        <is>
          <t>Validated (Supported)</t>
        </is>
      </c>
      <c r="L94" s="5" t="inlineStr">
        <is>
          <t>Supported via /inventory/ with outlet-specific balance views.</t>
        </is>
      </c>
      <c r="M94" s="8" t="inlineStr">
        <is>
          <t>Baseline</t>
        </is>
      </c>
      <c r="N94" s="8" t="inlineStr">
        <is>
          <t>Operational role</t>
        </is>
      </c>
      <c r="O94" s="8" t="inlineStr">
        <is>
          <t>P1</t>
        </is>
      </c>
      <c r="P94" s="5" t="inlineStr">
        <is>
          <t>Unchanged</t>
        </is>
      </c>
      <c r="Q94" s="20" t="inlineStr">
        <is>
          <t>Author assertion</t>
        </is>
      </c>
      <c r="R94" s="5" t="inlineStr"/>
      <c r="S94" s="8" t="inlineStr">
        <is>
          <t>WH</t>
        </is>
      </c>
      <c r="T94" s="5" t="inlineStr">
        <is>
          <t>Multi-godown and multi-store</t>
        </is>
      </c>
      <c r="U94" s="8" t="inlineStr"/>
      <c r="V94" s="8" t="inlineStr">
        <is>
          <t>inventory</t>
        </is>
      </c>
      <c r="W94" s="8" t="inlineStr">
        <is>
          <t>RUN</t>
        </is>
      </c>
      <c r="X94" s="5" t="inlineStr">
        <is>
          <t>Core</t>
        </is>
      </c>
      <c r="Y94" s="5" t="inlineStr">
        <is>
          <t>Owner</t>
        </is>
      </c>
      <c r="Z94" s="5" t="inlineStr">
        <is>
          <t>Medium</t>
        </is>
      </c>
      <c r="AA94" s="5" t="inlineStr">
        <is>
          <t>Medium</t>
        </is>
      </c>
      <c r="AB94" s="8" t="inlineStr">
        <is>
          <t>Low</t>
        </is>
      </c>
      <c r="AC94" s="8" t="inlineStr">
        <is>
          <t>Pilot</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6</v>
      </c>
      <c r="AM94" s="5" t="inlineStr"/>
      <c r="AN94" s="5" t="inlineStr"/>
      <c r="AO94" s="5" t="inlineStr"/>
      <c r="AP94" s="5" t="inlineStr"/>
      <c r="AQ94" s="5" t="inlineStr"/>
      <c r="AR94" s="5" t="inlineStr"/>
      <c r="AS94" s="5" t="inlineStr"/>
      <c r="AT94" s="5" t="inlineStr"/>
      <c r="AU94" s="8" t="inlineStr">
        <is>
          <t>Not run</t>
        </is>
      </c>
    </row>
    <row r="95" ht="32" customHeight="1">
      <c r="A95" s="16" t="inlineStr">
        <is>
          <t>P-0094</t>
        </is>
      </c>
      <c r="B95" s="8" t="inlineStr">
        <is>
          <t>P</t>
        </is>
      </c>
      <c r="C95" s="5" t="inlineStr">
        <is>
          <t>Multi-Shop Owner</t>
        </is>
      </c>
      <c r="D95" s="5" t="inlineStr">
        <is>
          <t>Payments &amp; Reconciliation</t>
        </is>
      </c>
      <c r="E95" s="5" t="inlineStr">
        <is>
          <t>Monitor shop-wise cash collections</t>
        </is>
      </c>
      <c r="F95" s="5" t="inlineStr">
        <is>
          <t>Managing Proprietor / Auditor</t>
        </is>
      </c>
      <c r="G95" s="5" t="inlineStr">
        <is>
          <t>Store Cashiers</t>
        </is>
      </c>
      <c r="H95" s="5" t="inlineStr">
        <is>
          <t>Track physical cash collected at each store drawer and verify bank deposits</t>
        </is>
      </c>
      <c r="I95" s="5" t="inlineStr">
        <is>
          <t>Aggregates daily shift-close cash reports per branch; highlights cash deposit variances</t>
        </is>
      </c>
      <c r="J95" s="20" t="inlineStr">
        <is>
          <t>P1</t>
        </is>
      </c>
      <c r="K95" s="20" t="inlineStr">
        <is>
          <t>Validated (Supported)</t>
        </is>
      </c>
      <c r="L95" s="5" t="inlineStr">
        <is>
          <t>Supported via /accounting/cash-desks/ with store-wise till reconciliation.</t>
        </is>
      </c>
      <c r="M95" s="8" t="inlineStr">
        <is>
          <t>Baseline</t>
        </is>
      </c>
      <c r="N95" s="8" t="inlineStr">
        <is>
          <t>Operational role</t>
        </is>
      </c>
      <c r="O95" s="8" t="inlineStr">
        <is>
          <t>P1</t>
        </is>
      </c>
      <c r="P95" s="5" t="inlineStr">
        <is>
          <t>Unchanged</t>
        </is>
      </c>
      <c r="Q95" s="20" t="inlineStr">
        <is>
          <t>Author assertion</t>
        </is>
      </c>
      <c r="R95" s="5" t="inlineStr"/>
      <c r="S95" s="8" t="inlineStr">
        <is>
          <t>PAYREC</t>
        </is>
      </c>
      <c r="T95" s="5" t="inlineStr">
        <is>
          <t>Payments and reconciliation</t>
        </is>
      </c>
      <c r="U95" s="8" t="inlineStr"/>
      <c r="V95" s="8" t="inlineStr">
        <is>
          <t>payments</t>
        </is>
      </c>
      <c r="W95" s="8" t="inlineStr">
        <is>
          <t>RUN</t>
        </is>
      </c>
      <c r="X95" s="5" t="inlineStr">
        <is>
          <t>Core</t>
        </is>
      </c>
      <c r="Y95" s="5" t="inlineStr">
        <is>
          <t>Owner</t>
        </is>
      </c>
      <c r="Z95" s="5" t="inlineStr">
        <is>
          <t>High</t>
        </is>
      </c>
      <c r="AA95" s="5" t="inlineStr">
        <is>
          <t>High</t>
        </is>
      </c>
      <c r="AB95" s="8" t="inlineStr">
        <is>
          <t>Low</t>
        </is>
      </c>
      <c r="AC95" s="8" t="inlineStr">
        <is>
          <t>Pilot</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P1</t>
        </is>
      </c>
      <c r="AL95" s="8" t="n">
        <v>9</v>
      </c>
      <c r="AM95" s="5" t="inlineStr"/>
      <c r="AN95" s="5" t="inlineStr"/>
      <c r="AO95" s="5" t="inlineStr"/>
      <c r="AP95" s="5" t="inlineStr"/>
      <c r="AQ95" s="5" t="inlineStr"/>
      <c r="AR95" s="5" t="inlineStr"/>
      <c r="AS95" s="5" t="inlineStr"/>
      <c r="AT95" s="5" t="inlineStr"/>
      <c r="AU95" s="8" t="inlineStr">
        <is>
          <t>Not run</t>
        </is>
      </c>
    </row>
    <row r="96" ht="32" customHeight="1">
      <c r="A96" s="16" t="inlineStr">
        <is>
          <t>P-0095</t>
        </is>
      </c>
      <c r="B96" s="8" t="inlineStr">
        <is>
          <t>P</t>
        </is>
      </c>
      <c r="C96" s="5" t="inlineStr">
        <is>
          <t>Multi-Shop Owner</t>
        </is>
      </c>
      <c r="D96" s="5" t="inlineStr">
        <is>
          <t>Receivables &amp; Payables</t>
        </is>
      </c>
      <c r="E96" s="5" t="inlineStr">
        <is>
          <t>Monitor shop-wise outstanding</t>
        </is>
      </c>
      <c r="F96" s="5" t="inlineStr">
        <is>
          <t>Managing Proprietor</t>
        </is>
      </c>
      <c r="G96" s="5" t="inlineStr">
        <is>
          <t>Store Credit Staff</t>
        </is>
      </c>
      <c r="H96" s="5" t="inlineStr">
        <is>
          <t>Monitor customer khata and credit receivables originated across different retail stores</t>
        </is>
      </c>
      <c r="I96" s="5" t="inlineStr">
        <is>
          <t>Segments accounts receivable ledger by originating store location; tracks local recovery</t>
        </is>
      </c>
      <c r="J96" s="20" t="inlineStr">
        <is>
          <t>P1</t>
        </is>
      </c>
      <c r="K96" s="20" t="inlineStr">
        <is>
          <t>Validated (Supported)</t>
        </is>
      </c>
      <c r="L96" s="5" t="inlineStr">
        <is>
          <t>Supported via Customer Ledger filtered by branch/store origin.</t>
        </is>
      </c>
      <c r="M96" s="8" t="inlineStr">
        <is>
          <t>Baseline</t>
        </is>
      </c>
      <c r="N96" s="8" t="inlineStr">
        <is>
          <t>Operational role</t>
        </is>
      </c>
      <c r="O96" s="8" t="inlineStr">
        <is>
          <t>P1</t>
        </is>
      </c>
      <c r="P96" s="5" t="inlineStr">
        <is>
          <t>Unchanged</t>
        </is>
      </c>
      <c r="Q96" s="20" t="inlineStr">
        <is>
          <t>Author assertion</t>
        </is>
      </c>
      <c r="R96" s="5" t="inlineStr"/>
      <c r="S96" s="8" t="inlineStr">
        <is>
          <t>ARAP</t>
        </is>
      </c>
      <c r="T96" s="5" t="inlineStr">
        <is>
          <t>Receivables and payables</t>
        </is>
      </c>
      <c r="U96" s="8" t="inlineStr"/>
      <c r="V96" s="8" t="inlineStr">
        <is>
          <t>ledgers</t>
        </is>
      </c>
      <c r="W96" s="8" t="inlineStr">
        <is>
          <t>CONTROL</t>
        </is>
      </c>
      <c r="X96" s="5" t="inlineStr">
        <is>
          <t>Core</t>
        </is>
      </c>
      <c r="Y96" s="5" t="inlineStr">
        <is>
          <t>Owner</t>
        </is>
      </c>
      <c r="Z96" s="5" t="inlineStr">
        <is>
          <t>Critical</t>
        </is>
      </c>
      <c r="AA96" s="5" t="inlineStr">
        <is>
          <t>High</t>
        </is>
      </c>
      <c r="AB96" s="8" t="inlineStr">
        <is>
          <t>Medium</t>
        </is>
      </c>
      <c r="AC96" s="8" t="inlineStr">
        <is>
          <t>Pilot</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P1</t>
        </is>
      </c>
      <c r="AL96" s="8" t="n">
        <v>18</v>
      </c>
      <c r="AM96" s="5" t="inlineStr"/>
      <c r="AN96" s="5" t="inlineStr"/>
      <c r="AO96" s="5" t="inlineStr"/>
      <c r="AP96" s="5" t="inlineStr"/>
      <c r="AQ96" s="5" t="inlineStr"/>
      <c r="AR96" s="5" t="inlineStr"/>
      <c r="AS96" s="5" t="inlineStr"/>
      <c r="AT96" s="5" t="inlineStr"/>
      <c r="AU96" s="8" t="inlineStr">
        <is>
          <t>Not run</t>
        </is>
      </c>
    </row>
    <row r="97" ht="32" customHeight="1">
      <c r="A97" s="16" t="inlineStr">
        <is>
          <t>P-0096</t>
        </is>
      </c>
      <c r="B97" s="8" t="inlineStr">
        <is>
          <t>P</t>
        </is>
      </c>
      <c r="C97" s="5" t="inlineStr">
        <is>
          <t>Multi-Shop Owner</t>
        </is>
      </c>
      <c r="D97" s="5" t="inlineStr">
        <is>
          <t>Reporting &amp; Business Intelligence</t>
        </is>
      </c>
      <c r="E97" s="5" t="inlineStr">
        <is>
          <t>Consolidate business performance</t>
        </is>
      </c>
      <c r="F97" s="5" t="inlineStr">
        <is>
          <t>Managing Proprietor</t>
        </is>
      </c>
      <c r="G97" s="5" t="inlineStr">
        <is>
          <t>External CA</t>
        </is>
      </c>
      <c r="H97" s="5" t="inlineStr">
        <is>
          <t>Generate company-wide Profit &amp; Loss statement, Balance Sheet, and Trial Balance</t>
        </is>
      </c>
      <c r="I97" s="5" t="inlineStr">
        <is>
          <t>Consolidates all financial journal entries into master double-entry general ledger</t>
        </is>
      </c>
      <c r="J97" s="20" t="inlineStr">
        <is>
          <t>P1</t>
        </is>
      </c>
      <c r="K97" s="20" t="inlineStr">
        <is>
          <t>Validated (Supported)</t>
        </is>
      </c>
      <c r="L97" s="5" t="inlineStr">
        <is>
          <t>Supported via /accounting/reports/ (Trial Balance, P&amp;L, Balance Sheet) with consolidated rollup.</t>
        </is>
      </c>
      <c r="M97" s="8" t="inlineStr">
        <is>
          <t>Baseline</t>
        </is>
      </c>
      <c r="N97" s="8" t="inlineStr">
        <is>
          <t>Operational role</t>
        </is>
      </c>
      <c r="O97" s="8" t="inlineStr">
        <is>
          <t>P1</t>
        </is>
      </c>
      <c r="P97" s="5" t="inlineStr">
        <is>
          <t>Unchanged</t>
        </is>
      </c>
      <c r="Q97" s="20" t="inlineStr">
        <is>
          <t>Author assertion</t>
        </is>
      </c>
      <c r="R97" s="5" t="inlineStr"/>
      <c r="S97" s="8" t="inlineStr">
        <is>
          <t>RPT</t>
        </is>
      </c>
      <c r="T97" s="5" t="inlineStr">
        <is>
          <t>Reporting and business intelligence</t>
        </is>
      </c>
      <c r="U97" s="8" t="inlineStr"/>
      <c r="V97" s="8" t="inlineStr">
        <is>
          <t>reporting</t>
        </is>
      </c>
      <c r="W97" s="8" t="inlineStr">
        <is>
          <t>CONTROL</t>
        </is>
      </c>
      <c r="X97" s="5" t="inlineStr">
        <is>
          <t>Core</t>
        </is>
      </c>
      <c r="Y97" s="5" t="inlineStr">
        <is>
          <t>Owner</t>
        </is>
      </c>
      <c r="Z97" s="5" t="inlineStr">
        <is>
          <t>Medium</t>
        </is>
      </c>
      <c r="AA97" s="5" t="inlineStr">
        <is>
          <t>Medium</t>
        </is>
      </c>
      <c r="AB97" s="8" t="inlineStr">
        <is>
          <t>Low</t>
        </is>
      </c>
      <c r="AC97" s="8" t="inlineStr">
        <is>
          <t>Pilot</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P-0097</t>
        </is>
      </c>
      <c r="B98" s="8" t="inlineStr">
        <is>
          <t>P</t>
        </is>
      </c>
      <c r="C98" s="5" t="inlineStr">
        <is>
          <t>Multi-Shop Owner</t>
        </is>
      </c>
      <c r="D98" s="5" t="inlineStr">
        <is>
          <t>Reporting &amp; Business Intelligence</t>
        </is>
      </c>
      <c r="E98" s="5" t="inlineStr">
        <is>
          <t>Identify underperforming locations</t>
        </is>
      </c>
      <c r="F98" s="5" t="inlineStr">
        <is>
          <t>Managing Proprietor</t>
        </is>
      </c>
      <c r="G98" s="5" t="inlineStr">
        <is>
          <t>Regional Manager</t>
        </is>
      </c>
      <c r="H98" s="5" t="inlineStr">
        <is>
          <t>Identify stores failing to meet sales targets, gross margin benchmarks, or inventory turnover</t>
        </is>
      </c>
      <c r="I98" s="5" t="inlineStr">
        <is>
          <t>Highlights outlets with falling sales velocity, high discount rates, or excessive dead stock</t>
        </is>
      </c>
      <c r="J98" s="22" t="inlineStr">
        <is>
          <t>P2</t>
        </is>
      </c>
      <c r="K98" s="20" t="inlineStr">
        <is>
          <t>Validated (Supported)</t>
        </is>
      </c>
      <c r="L98" s="5" t="inlineStr">
        <is>
          <t>Supported via Store Performance Matrix in Insights module.</t>
        </is>
      </c>
      <c r="M98" s="8" t="inlineStr">
        <is>
          <t>Baseline</t>
        </is>
      </c>
      <c r="N98" s="8" t="inlineStr">
        <is>
          <t>Operational role</t>
        </is>
      </c>
      <c r="O98" s="8" t="inlineStr">
        <is>
          <t>P2</t>
        </is>
      </c>
      <c r="P98" s="5" t="inlineStr">
        <is>
          <t>Restored to authored P2. The previous workbook had P3 after a keyword rebalance.</t>
        </is>
      </c>
      <c r="Q98" s="20" t="inlineStr">
        <is>
          <t>Author assertion</t>
        </is>
      </c>
      <c r="R98" s="5" t="inlineStr">
        <is>
          <t>Restored to authored P2. The previous workbook had P3 after a keyword rebalance.</t>
        </is>
      </c>
      <c r="S98" s="8" t="inlineStr">
        <is>
          <t>RPT</t>
        </is>
      </c>
      <c r="T98" s="5" t="inlineStr">
        <is>
          <t>Reporting and business intelligence</t>
        </is>
      </c>
      <c r="U98" s="8" t="inlineStr"/>
      <c r="V98" s="8" t="inlineStr">
        <is>
          <t>reporting</t>
        </is>
      </c>
      <c r="W98" s="8" t="inlineStr">
        <is>
          <t>CONTROL</t>
        </is>
      </c>
      <c r="X98" s="5" t="inlineStr">
        <is>
          <t>Core</t>
        </is>
      </c>
      <c r="Y98" s="5" t="inlineStr">
        <is>
          <t>Owner</t>
        </is>
      </c>
      <c r="Z98" s="5" t="inlineStr">
        <is>
          <t>Medium</t>
        </is>
      </c>
      <c r="AA98" s="5" t="inlineStr">
        <is>
          <t>Medium</t>
        </is>
      </c>
      <c r="AB98" s="8" t="inlineStr">
        <is>
          <t>Low</t>
        </is>
      </c>
      <c r="AC98" s="8" t="inlineStr">
        <is>
          <t>Later</t>
        </is>
      </c>
      <c r="AD98" s="5" t="inlineStr">
        <is>
          <t>Not independently checked</t>
        </is>
      </c>
      <c r="AE98" s="5" t="inlineStr">
        <is>
          <t>Not verified</t>
        </is>
      </c>
      <c r="AF98" s="5" t="inlineStr">
        <is>
          <t>Not verified</t>
        </is>
      </c>
      <c r="AG98" s="5" t="inlineStr">
        <is>
          <t>Not verified</t>
        </is>
      </c>
      <c r="AH98" s="5" t="inlineStr">
        <is>
          <t>Not verified</t>
        </is>
      </c>
      <c r="AI98" s="8" t="inlineStr">
        <is>
          <t>No</t>
        </is>
      </c>
      <c r="AJ98" s="8" t="inlineStr">
        <is>
          <t>Claimed - unverified</t>
        </is>
      </c>
      <c r="AK98" s="8" t="inlineStr">
        <is>
          <t>P2</t>
        </is>
      </c>
      <c r="AL98" s="8" t="n">
        <v>6</v>
      </c>
      <c r="AM98" s="5" t="inlineStr"/>
      <c r="AN98" s="5" t="inlineStr"/>
      <c r="AO98" s="5" t="inlineStr"/>
      <c r="AP98" s="5" t="inlineStr"/>
      <c r="AQ98" s="5" t="inlineStr"/>
      <c r="AR98" s="5" t="inlineStr"/>
      <c r="AS98" s="5" t="inlineStr"/>
      <c r="AT98" s="5" t="inlineStr"/>
      <c r="AU98" s="8" t="inlineStr">
        <is>
          <t>Not run</t>
        </is>
      </c>
    </row>
    <row r="99" ht="32" customHeight="1">
      <c r="A99" s="16" t="inlineStr">
        <is>
          <t>P-0098</t>
        </is>
      </c>
      <c r="B99" s="8" t="inlineStr">
        <is>
          <t>P</t>
        </is>
      </c>
      <c r="C99" s="5" t="inlineStr">
        <is>
          <t>Multi-Shop Owner</t>
        </is>
      </c>
      <c r="D99" s="5" t="inlineStr">
        <is>
          <t>Master Data &amp; Authorization</t>
        </is>
      </c>
      <c r="E99" s="5" t="inlineStr">
        <is>
          <t>Manage centralized product masters</t>
        </is>
      </c>
      <c r="F99" s="5" t="inlineStr">
        <is>
          <t>Catalog Manager / Admin</t>
        </is>
      </c>
      <c r="G99" s="5" t="inlineStr">
        <is>
          <t>Store Cashiers</t>
        </is>
      </c>
      <c r="H99" s="5" t="inlineStr">
        <is>
          <t>Maintain uniform product catalog, barcodes, HSN codes, and standard pricing across all outlets</t>
        </is>
      </c>
      <c r="I99" s="5" t="inlineStr">
        <is>
          <t>Changes made to central Product master propagate instantly to all store POS terminals</t>
        </is>
      </c>
      <c r="J99" s="20" t="inlineStr">
        <is>
          <t>P1</t>
        </is>
      </c>
      <c r="K99" s="20" t="inlineStr">
        <is>
          <t>Validated (Supported)</t>
        </is>
      </c>
      <c r="L99" s="5" t="inlineStr">
        <is>
          <t>Core system invariant: Product catalog is company-scoped; synchronized across all branches.</t>
        </is>
      </c>
      <c r="M99" s="8" t="inlineStr">
        <is>
          <t>Baseline</t>
        </is>
      </c>
      <c r="N99" s="8" t="inlineStr">
        <is>
          <t>Operational role</t>
        </is>
      </c>
      <c r="O99" s="8" t="inlineStr">
        <is>
          <t>P1</t>
        </is>
      </c>
      <c r="P99" s="5" t="inlineStr">
        <is>
          <t>Unchanged</t>
        </is>
      </c>
      <c r="Q99" s="20" t="inlineStr">
        <is>
          <t>Author assertion</t>
        </is>
      </c>
      <c r="R99" s="5" t="inlineStr"/>
      <c r="S99" s="8" t="inlineStr">
        <is>
          <t>MASTER</t>
        </is>
      </c>
      <c r="T99" s="5" t="inlineStr">
        <is>
          <t>Master data and authorization</t>
        </is>
      </c>
      <c r="U99" s="8" t="inlineStr"/>
      <c r="V99" s="8" t="inlineStr">
        <is>
          <t>masters</t>
        </is>
      </c>
      <c r="W99" s="8" t="inlineStr">
        <is>
          <t>KERNEL</t>
        </is>
      </c>
      <c r="X99" s="5" t="inlineStr">
        <is>
          <t>Core</t>
        </is>
      </c>
      <c r="Y99" s="5" t="inlineStr">
        <is>
          <t>Owner</t>
        </is>
      </c>
      <c r="Z99" s="5" t="inlineStr">
        <is>
          <t>Medium</t>
        </is>
      </c>
      <c r="AA99" s="5" t="inlineStr">
        <is>
          <t>Medium</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P-0099</t>
        </is>
      </c>
      <c r="B100" s="8" t="inlineStr">
        <is>
          <t>P</t>
        </is>
      </c>
      <c r="C100" s="5" t="inlineStr">
        <is>
          <t>Multi-Shop Owner</t>
        </is>
      </c>
      <c r="D100" s="5" t="inlineStr">
        <is>
          <t>Security / Exception / Recovery</t>
        </is>
      </c>
      <c r="E100" s="5" t="inlineStr">
        <is>
          <t>Control user access by shop</t>
        </is>
      </c>
      <c r="F100" s="5" t="inlineStr">
        <is>
          <t>System Administrator</t>
        </is>
      </c>
      <c r="G100" s="5" t="inlineStr">
        <is>
          <t>Store Staff</t>
        </is>
      </c>
      <c r="H100" s="5" t="inlineStr">
        <is>
          <t>Restrict store staff to accessing only their assigned shop's billing and inventory records</t>
        </is>
      </c>
      <c r="I100" s="5" t="inlineStr">
        <is>
          <t>Enforces Row-Level Security (RLS) and warehouse assignment guards on API and UI</t>
        </is>
      </c>
      <c r="J100" s="19" t="inlineStr">
        <is>
          <t>P0</t>
        </is>
      </c>
      <c r="K100" s="20" t="inlineStr">
        <is>
          <t>Validated (Supported)</t>
        </is>
      </c>
      <c r="L100" s="5" t="inlineStr">
        <is>
          <t>Supported via CompanyUser.assigned_warehouses and tenant permission boundaries.</t>
        </is>
      </c>
      <c r="M100" s="8" t="inlineStr">
        <is>
          <t>Baseline</t>
        </is>
      </c>
      <c r="N100" s="8" t="inlineStr">
        <is>
          <t>Operational role</t>
        </is>
      </c>
      <c r="O100" s="8" t="inlineStr">
        <is>
          <t>P0</t>
        </is>
      </c>
      <c r="P100" s="5" t="inlineStr">
        <is>
          <t>Unchanged</t>
        </is>
      </c>
      <c r="Q100" s="21" t="inlineStr">
        <is>
          <t>Code symbol found</t>
        </is>
      </c>
      <c r="R100" s="5" t="inlineStr">
        <is>
          <t>Matched CompanyUser in product code. This is not a functional test.</t>
        </is>
      </c>
      <c r="S100" s="8" t="inlineStr">
        <is>
          <t>OTHER</t>
        </is>
      </c>
      <c r="T100" s="5" t="inlineStr">
        <is>
          <t>Security / Exception / Recovery</t>
        </is>
      </c>
      <c r="U100" s="8" t="inlineStr"/>
      <c r="V100" s="8" t="inlineStr"/>
      <c r="W100" s="8" t="inlineStr">
        <is>
          <t>CONTROL</t>
        </is>
      </c>
      <c r="X100" s="5" t="inlineStr">
        <is>
          <t>Core</t>
        </is>
      </c>
      <c r="Y100" s="5" t="inlineStr">
        <is>
          <t>Owner</t>
        </is>
      </c>
      <c r="Z100" s="5" t="inlineStr">
        <is>
          <t>High</t>
        </is>
      </c>
      <c r="AA100" s="5" t="inlineStr">
        <is>
          <t>Medium</t>
        </is>
      </c>
      <c r="AB100" s="8" t="inlineStr">
        <is>
          <t>Medium</t>
        </is>
      </c>
      <c r="AC100" s="8" t="inlineStr">
        <is>
          <t>MVP</t>
        </is>
      </c>
      <c r="AD100" s="5" t="inlineStr">
        <is>
          <t>Cited in code</t>
        </is>
      </c>
      <c r="AE100" s="5" t="inlineStr">
        <is>
          <t>Not verified</t>
        </is>
      </c>
      <c r="AF100" s="5" t="inlineStr">
        <is>
          <t>Not verified</t>
        </is>
      </c>
      <c r="AG100" s="5" t="inlineStr">
        <is>
          <t>Not verified</t>
        </is>
      </c>
      <c r="AH100" s="5" t="inlineStr">
        <is>
          <t>Not verified</t>
        </is>
      </c>
      <c r="AI100" s="8" t="inlineStr">
        <is>
          <t>No</t>
        </is>
      </c>
      <c r="AJ100" s="8" t="inlineStr">
        <is>
          <t>Built - unverified</t>
        </is>
      </c>
      <c r="AK100" s="8" t="inlineStr">
        <is>
          <t>P0</t>
        </is>
      </c>
      <c r="AL100" s="8" t="n">
        <v>12</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P-0100</t>
        </is>
      </c>
      <c r="B101" s="8" t="inlineStr">
        <is>
          <t>P</t>
        </is>
      </c>
      <c r="C101" s="5" t="inlineStr">
        <is>
          <t>Accountant / GST Operator</t>
        </is>
      </c>
      <c r="D101" s="5" t="inlineStr">
        <is>
          <t>GST / Tax / Compliance</t>
        </is>
      </c>
      <c r="E101" s="5" t="inlineStr">
        <is>
          <t>Review sales transactions</t>
        </is>
      </c>
      <c r="F101" s="5" t="inlineStr">
        <is>
          <t>In-house Accountant</t>
        </is>
      </c>
      <c r="G101" s="5" t="inlineStr">
        <is>
          <t>Billing Operators</t>
        </is>
      </c>
      <c r="H101" s="5" t="inlineStr">
        <is>
          <t>Audit all sales invoices for correct customer GSTIN, tax classification, and rate splits</t>
        </is>
      </c>
      <c r="I101" s="5" t="inlineStr">
        <is>
          <t>Validates tax calculation accuracy; confirms invoice number sequencing and ledger postings</t>
        </is>
      </c>
      <c r="J101" s="20" t="inlineStr">
        <is>
          <t>P1</t>
        </is>
      </c>
      <c r="K101" s="20" t="inlineStr">
        <is>
          <t>Validated (Supported)</t>
        </is>
      </c>
      <c r="L101" s="5" t="inlineStr">
        <is>
          <t>Supported via /sales/invoices/ with audit status filters and tax split breakdown.</t>
        </is>
      </c>
      <c r="M101" s="8" t="inlineStr">
        <is>
          <t>Baseline</t>
        </is>
      </c>
      <c r="N101" s="8" t="inlineStr">
        <is>
          <t>Operational role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Core</t>
        </is>
      </c>
      <c r="Y101" s="5" t="inlineStr">
        <is>
          <t>Accountant</t>
        </is>
      </c>
      <c r="Z101" s="5" t="inlineStr">
        <is>
          <t>Critical</t>
        </is>
      </c>
      <c r="AA101" s="5" t="inlineStr">
        <is>
          <t>High</t>
        </is>
      </c>
      <c r="AB101" s="8" t="inlineStr">
        <is>
          <t>High</t>
        </is>
      </c>
      <c r="AC101" s="8" t="inlineStr">
        <is>
          <t>Pilot</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27</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P-0101</t>
        </is>
      </c>
      <c r="B102" s="8" t="inlineStr">
        <is>
          <t>P</t>
        </is>
      </c>
      <c r="C102" s="5" t="inlineStr">
        <is>
          <t>Accountant / GST Operator</t>
        </is>
      </c>
      <c r="D102" s="5" t="inlineStr">
        <is>
          <t>GST / Tax / Compliance</t>
        </is>
      </c>
      <c r="E102" s="5" t="inlineStr">
        <is>
          <t>Review purchase transactions</t>
        </is>
      </c>
      <c r="F102" s="5" t="inlineStr">
        <is>
          <t>In-house Accountant</t>
        </is>
      </c>
      <c r="G102" s="5" t="inlineStr">
        <is>
          <t>Purchase Manager</t>
        </is>
      </c>
      <c r="H102" s="5" t="inlineStr">
        <is>
          <t>Verify supplier bills for accurate Input Tax Credit (ITC) eligibility and reverse charge</t>
        </is>
      </c>
      <c r="I102" s="5" t="inlineStr">
        <is>
          <t>Matches invoice amounts against purchase entries; validates supplier GSTIN active status</t>
        </is>
      </c>
      <c r="J102" s="20" t="inlineStr">
        <is>
          <t>P1</t>
        </is>
      </c>
      <c r="K102" s="20" t="inlineStr">
        <is>
          <t>Validated (Supported)</t>
        </is>
      </c>
      <c r="L102" s="5" t="inlineStr">
        <is>
          <t>Supported via /purchases/invoices/ with ITC eligibility flags.</t>
        </is>
      </c>
      <c r="M102" s="8" t="inlineStr">
        <is>
          <t>Baseline</t>
        </is>
      </c>
      <c r="N102" s="8" t="inlineStr">
        <is>
          <t>Operational role</t>
        </is>
      </c>
      <c r="O102" s="8" t="inlineStr">
        <is>
          <t>P1</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Core</t>
        </is>
      </c>
      <c r="Y102" s="5" t="inlineStr">
        <is>
          <t>Accountant</t>
        </is>
      </c>
      <c r="Z102" s="5" t="inlineStr">
        <is>
          <t>Critical</t>
        </is>
      </c>
      <c r="AA102" s="5" t="inlineStr">
        <is>
          <t>High</t>
        </is>
      </c>
      <c r="AB102" s="8" t="inlineStr">
        <is>
          <t>High</t>
        </is>
      </c>
      <c r="AC102" s="8" t="inlineStr">
        <is>
          <t>Pilot</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P1</t>
        </is>
      </c>
      <c r="AL102" s="8" t="n">
        <v>27</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P-0102</t>
        </is>
      </c>
      <c r="B103" s="8" t="inlineStr">
        <is>
          <t>P</t>
        </is>
      </c>
      <c r="C103" s="5" t="inlineStr">
        <is>
          <t>Accountant / GST Operator</t>
        </is>
      </c>
      <c r="D103" s="5" t="inlineStr">
        <is>
          <t>GST / Tax / Compliance</t>
        </is>
      </c>
      <c r="E103" s="5" t="inlineStr">
        <is>
          <t>Validate GST data</t>
        </is>
      </c>
      <c r="F103" s="5" t="inlineStr">
        <is>
          <t>In-house Accountant</t>
        </is>
      </c>
      <c r="G103" s="5" t="inlineStr">
        <is>
          <t>External CA</t>
        </is>
      </c>
      <c r="H103" s="5" t="inlineStr">
        <is>
          <t>Automated validation of all outward and inward transactions before statutory return generation</t>
        </is>
      </c>
      <c r="I103" s="5" t="inlineStr">
        <is>
          <t>Runs GST Guard rules: checks GSTIN checksum, HSN mandatory digits, state code vs Place of Supply</t>
        </is>
      </c>
      <c r="J103" s="19" t="inlineStr">
        <is>
          <t>P0</t>
        </is>
      </c>
      <c r="K103" s="20" t="inlineStr">
        <is>
          <t>Validated (Supported)</t>
        </is>
      </c>
      <c r="L103" s="5" t="inlineStr">
        <is>
          <t>Supported via GST Guard validation engine; surfaces actionable error cards on invalid records.</t>
        </is>
      </c>
      <c r="M103" s="8" t="inlineStr">
        <is>
          <t>Baseline</t>
        </is>
      </c>
      <c r="N103" s="8" t="inlineStr">
        <is>
          <t>Operational role</t>
        </is>
      </c>
      <c r="O103" s="8" t="inlineStr">
        <is>
          <t>P0</t>
        </is>
      </c>
      <c r="P103" s="5" t="inlineStr">
        <is>
          <t>Unchanged</t>
        </is>
      </c>
      <c r="Q103" s="20" t="inlineStr">
        <is>
          <t>Author assertion</t>
        </is>
      </c>
      <c r="R103" s="5" t="inlineStr"/>
      <c r="S103" s="8" t="inlineStr">
        <is>
          <t>GST</t>
        </is>
      </c>
      <c r="T103" s="5" t="inlineStr">
        <is>
          <t>GST and tax compliance</t>
        </is>
      </c>
      <c r="U103" s="8" t="inlineStr"/>
      <c r="V103" s="8" t="inlineStr">
        <is>
          <t>accounting</t>
        </is>
      </c>
      <c r="W103" s="8" t="inlineStr">
        <is>
          <t>CONTROL</t>
        </is>
      </c>
      <c r="X103" s="5" t="inlineStr">
        <is>
          <t>Core</t>
        </is>
      </c>
      <c r="Y103" s="5" t="inlineStr">
        <is>
          <t>Accountant</t>
        </is>
      </c>
      <c r="Z103" s="5" t="inlineStr">
        <is>
          <t>Critical</t>
        </is>
      </c>
      <c r="AA103" s="5" t="inlineStr">
        <is>
          <t>High</t>
        </is>
      </c>
      <c r="AB103" s="8" t="inlineStr">
        <is>
          <t>High</t>
        </is>
      </c>
      <c r="AC103" s="8" t="inlineStr">
        <is>
          <t>MVP</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P0</t>
        </is>
      </c>
      <c r="AL103" s="8" t="n">
        <v>27</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P-0103</t>
        </is>
      </c>
      <c r="B104" s="8" t="inlineStr">
        <is>
          <t>P</t>
        </is>
      </c>
      <c r="C104" s="5" t="inlineStr">
        <is>
          <t>Accountant / GST Operator</t>
        </is>
      </c>
      <c r="D104" s="5" t="inlineStr">
        <is>
          <t>GST / Tax / Compliance</t>
        </is>
      </c>
      <c r="E104" s="5" t="inlineStr">
        <is>
          <t>Identify missing GST information</t>
        </is>
      </c>
      <c r="F104" s="5" t="inlineStr">
        <is>
          <t>In-house Accountant</t>
        </is>
      </c>
      <c r="G104" s="5" t="inlineStr">
        <is>
          <t>Billing Clerk</t>
        </is>
      </c>
      <c r="H104" s="5" t="inlineStr">
        <is>
          <t>Detect customer or supplier records with missing GSTIN, state code, or blank HSN</t>
        </is>
      </c>
      <c r="I104" s="5" t="inlineStr">
        <is>
          <t>Filters transactions with missing statutory fields; flags documents blocking clean tax filing</t>
        </is>
      </c>
      <c r="J104" s="20" t="inlineStr">
        <is>
          <t>P1</t>
        </is>
      </c>
      <c r="K104" s="20" t="inlineStr">
        <is>
          <t>Validated (Supported)</t>
        </is>
      </c>
      <c r="L104" s="5" t="inlineStr">
        <is>
          <t>Supported via /gst/missing-data/ exception queue with inline resolution.</t>
        </is>
      </c>
      <c r="M104" s="8" t="inlineStr">
        <is>
          <t>Baseline</t>
        </is>
      </c>
      <c r="N104" s="8" t="inlineStr">
        <is>
          <t>Operational role</t>
        </is>
      </c>
      <c r="O104" s="8" t="inlineStr">
        <is>
          <t>P1</t>
        </is>
      </c>
      <c r="P104" s="5" t="inlineStr">
        <is>
          <t>Unchanged</t>
        </is>
      </c>
      <c r="Q104" s="20" t="inlineStr">
        <is>
          <t>Author assertion</t>
        </is>
      </c>
      <c r="R104" s="5" t="inlineStr"/>
      <c r="S104" s="8" t="inlineStr">
        <is>
          <t>GST</t>
        </is>
      </c>
      <c r="T104" s="5" t="inlineStr">
        <is>
          <t>GST and tax compliance</t>
        </is>
      </c>
      <c r="U104" s="8" t="inlineStr"/>
      <c r="V104" s="8" t="inlineStr">
        <is>
          <t>accounting</t>
        </is>
      </c>
      <c r="W104" s="8" t="inlineStr">
        <is>
          <t>CONTROL</t>
        </is>
      </c>
      <c r="X104" s="5" t="inlineStr">
        <is>
          <t>Core</t>
        </is>
      </c>
      <c r="Y104" s="5" t="inlineStr">
        <is>
          <t>Accountant</t>
        </is>
      </c>
      <c r="Z104" s="5" t="inlineStr">
        <is>
          <t>Critical</t>
        </is>
      </c>
      <c r="AA104" s="5" t="inlineStr">
        <is>
          <t>High</t>
        </is>
      </c>
      <c r="AB104" s="8" t="inlineStr">
        <is>
          <t>High</t>
        </is>
      </c>
      <c r="AC104" s="8" t="inlineStr">
        <is>
          <t>Pilot</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27</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P-0104</t>
        </is>
      </c>
      <c r="B105" s="8" t="inlineStr">
        <is>
          <t>P</t>
        </is>
      </c>
      <c r="C105" s="5" t="inlineStr">
        <is>
          <t>Accountant / GST Operator</t>
        </is>
      </c>
      <c r="D105" s="5" t="inlineStr">
        <is>
          <t>GST / Tax / Compliance</t>
        </is>
      </c>
      <c r="E105" s="5" t="inlineStr">
        <is>
          <t>Reconcile purchase records with GST data</t>
        </is>
      </c>
      <c r="F105" s="5" t="inlineStr">
        <is>
          <t>In-house Accountant</t>
        </is>
      </c>
      <c r="G105" s="5" t="inlineStr">
        <is>
          <t>Supplier / Tax Consultant</t>
        </is>
      </c>
      <c r="H105" s="5" t="inlineStr">
        <is>
          <t>Reconcile inward purchase invoices recorded in books against government GSTR-2B portal data</t>
        </is>
      </c>
      <c r="I105" s="5" t="inlineStr">
        <is>
          <t>Matches supplier GSTIN, invoice number, date, taxable value, and tax amounts; categorizes matches</t>
        </is>
      </c>
      <c r="J105" s="19" t="inlineStr">
        <is>
          <t>P0</t>
        </is>
      </c>
      <c r="K105" s="20" t="inlineStr">
        <is>
          <t>Validated (Supported)</t>
        </is>
      </c>
      <c r="L105" s="5" t="inlineStr">
        <is>
          <t>Supported via GSTR-2B automated reconciliation engine (/gst/gstr2b-recon/).</t>
        </is>
      </c>
      <c r="M105" s="8" t="inlineStr">
        <is>
          <t>Baseline</t>
        </is>
      </c>
      <c r="N105" s="8" t="inlineStr">
        <is>
          <t>Operational role</t>
        </is>
      </c>
      <c r="O105" s="8" t="inlineStr">
        <is>
          <t>P0</t>
        </is>
      </c>
      <c r="P105" s="5" t="inlineStr">
        <is>
          <t>Unchanged</t>
        </is>
      </c>
      <c r="Q105" s="20" t="inlineStr">
        <is>
          <t>Author assertion</t>
        </is>
      </c>
      <c r="R105" s="5" t="inlineStr"/>
      <c r="S105" s="8" t="inlineStr">
        <is>
          <t>GST</t>
        </is>
      </c>
      <c r="T105" s="5" t="inlineStr">
        <is>
          <t>GST and tax compliance</t>
        </is>
      </c>
      <c r="U105" s="8" t="inlineStr"/>
      <c r="V105" s="8" t="inlineStr">
        <is>
          <t>accounting</t>
        </is>
      </c>
      <c r="W105" s="8" t="inlineStr">
        <is>
          <t>CONTROL</t>
        </is>
      </c>
      <c r="X105" s="5" t="inlineStr">
        <is>
          <t>Core</t>
        </is>
      </c>
      <c r="Y105" s="5" t="inlineStr">
        <is>
          <t>Accountant</t>
        </is>
      </c>
      <c r="Z105" s="5" t="inlineStr">
        <is>
          <t>Critical</t>
        </is>
      </c>
      <c r="AA105" s="5" t="inlineStr">
        <is>
          <t>High</t>
        </is>
      </c>
      <c r="AB105" s="8" t="inlineStr">
        <is>
          <t>High</t>
        </is>
      </c>
      <c r="AC105" s="8" t="inlineStr">
        <is>
          <t>MVP</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P0</t>
        </is>
      </c>
      <c r="AL105" s="8" t="n">
        <v>27</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P-0105</t>
        </is>
      </c>
      <c r="B106" s="8" t="inlineStr">
        <is>
          <t>P</t>
        </is>
      </c>
      <c r="C106" s="5" t="inlineStr">
        <is>
          <t>Accountant / GST Operator</t>
        </is>
      </c>
      <c r="D106" s="5" t="inlineStr">
        <is>
          <t>GST / Tax / Compliance</t>
        </is>
      </c>
      <c r="E106" s="5" t="inlineStr">
        <is>
          <t>Review GSTR-2B/IMS information</t>
        </is>
      </c>
      <c r="F106" s="5" t="inlineStr">
        <is>
          <t>In-house Accountant</t>
        </is>
      </c>
      <c r="G106" s="5" t="inlineStr">
        <is>
          <t>External CA</t>
        </is>
      </c>
      <c r="H106" s="5" t="inlineStr">
        <is>
          <t>Import and analyze official GSTR-2B JSON and Invoice Management System (IMS) feeds</t>
        </is>
      </c>
      <c r="I106" s="5" t="inlineStr">
        <is>
          <t>Parses official GSTR-2B JSON format; displays matched, mismatched, and supplier-missing invoices</t>
        </is>
      </c>
      <c r="J106" s="20" t="inlineStr">
        <is>
          <t>P1</t>
        </is>
      </c>
      <c r="K106" s="20" t="inlineStr">
        <is>
          <t>Validated (Supported)</t>
        </is>
      </c>
      <c r="L106" s="5" t="inlineStr">
        <is>
          <t>Supported via GSTR-2B JSON import parser and IMS reconciliation view.</t>
        </is>
      </c>
      <c r="M106" s="8" t="inlineStr">
        <is>
          <t>Baseline</t>
        </is>
      </c>
      <c r="N106" s="8" t="inlineStr">
        <is>
          <t>Operational role</t>
        </is>
      </c>
      <c r="O106" s="8" t="inlineStr">
        <is>
          <t>P1</t>
        </is>
      </c>
      <c r="P106" s="5" t="inlineStr">
        <is>
          <t>Unchanged</t>
        </is>
      </c>
      <c r="Q106" s="20" t="inlineStr">
        <is>
          <t>Author assertion</t>
        </is>
      </c>
      <c r="R106" s="5" t="inlineStr"/>
      <c r="S106" s="8" t="inlineStr">
        <is>
          <t>GST</t>
        </is>
      </c>
      <c r="T106" s="5" t="inlineStr">
        <is>
          <t>GST and tax compliance</t>
        </is>
      </c>
      <c r="U106" s="8" t="inlineStr"/>
      <c r="V106" s="8" t="inlineStr">
        <is>
          <t>accounting</t>
        </is>
      </c>
      <c r="W106" s="8" t="inlineStr">
        <is>
          <t>CONTROL</t>
        </is>
      </c>
      <c r="X106" s="5" t="inlineStr">
        <is>
          <t>Core</t>
        </is>
      </c>
      <c r="Y106" s="5" t="inlineStr">
        <is>
          <t>Accountant</t>
        </is>
      </c>
      <c r="Z106" s="5" t="inlineStr">
        <is>
          <t>Critical</t>
        </is>
      </c>
      <c r="AA106" s="5" t="inlineStr">
        <is>
          <t>High</t>
        </is>
      </c>
      <c r="AB106" s="8" t="inlineStr">
        <is>
          <t>High</t>
        </is>
      </c>
      <c r="AC106" s="8" t="inlineStr">
        <is>
          <t>Pilot</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27</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P-0106</t>
        </is>
      </c>
      <c r="B107" s="8" t="inlineStr">
        <is>
          <t>P</t>
        </is>
      </c>
      <c r="C107" s="5" t="inlineStr">
        <is>
          <t>Accountant / GST Operator</t>
        </is>
      </c>
      <c r="D107" s="5" t="inlineStr">
        <is>
          <t>GST / Tax / Compliance</t>
        </is>
      </c>
      <c r="E107" s="5" t="inlineStr">
        <is>
          <t>Accept/reject/pending invoice actions</t>
        </is>
      </c>
      <c r="F107" s="5" t="inlineStr">
        <is>
          <t>In-house Accountant</t>
        </is>
      </c>
      <c r="G107" s="5" t="inlineStr">
        <is>
          <t>Supplier</t>
        </is>
      </c>
      <c r="H107" s="5" t="inlineStr">
        <is>
          <t>Mark recipient actions (Accept, Reject, Keep Pending) on supplier invoices per IMS guidelines</t>
        </is>
      </c>
      <c r="I107" s="5" t="inlineStr">
        <is>
          <t>Records recipient decision; exports structured action JSON for upload to GST IMS portal</t>
        </is>
      </c>
      <c r="J107" s="20" t="inlineStr">
        <is>
          <t>P1</t>
        </is>
      </c>
      <c r="K107" s="20" t="inlineStr">
        <is>
          <t>Validated (Supported)</t>
        </is>
      </c>
      <c r="L107" s="5" t="inlineStr">
        <is>
          <t>Supported via IMS Action Dashboard with bulk Accept/Reject/Pending decision tagging.</t>
        </is>
      </c>
      <c r="M107" s="8" t="inlineStr">
        <is>
          <t>Baseline</t>
        </is>
      </c>
      <c r="N107" s="8" t="inlineStr">
        <is>
          <t>Operational role</t>
        </is>
      </c>
      <c r="O107" s="8" t="inlineStr">
        <is>
          <t>P1</t>
        </is>
      </c>
      <c r="P107" s="5" t="inlineStr">
        <is>
          <t>Unchanged</t>
        </is>
      </c>
      <c r="Q107" s="20" t="inlineStr">
        <is>
          <t>Author assertion</t>
        </is>
      </c>
      <c r="R107" s="5" t="inlineStr"/>
      <c r="S107" s="8" t="inlineStr">
        <is>
          <t>GST</t>
        </is>
      </c>
      <c r="T107" s="5" t="inlineStr">
        <is>
          <t>GST and tax compliance</t>
        </is>
      </c>
      <c r="U107" s="8" t="inlineStr"/>
      <c r="V107" s="8" t="inlineStr">
        <is>
          <t>accounting</t>
        </is>
      </c>
      <c r="W107" s="8" t="inlineStr">
        <is>
          <t>CONTROL</t>
        </is>
      </c>
      <c r="X107" s="5" t="inlineStr">
        <is>
          <t>Core</t>
        </is>
      </c>
      <c r="Y107" s="5" t="inlineStr">
        <is>
          <t>Accountant</t>
        </is>
      </c>
      <c r="Z107" s="5" t="inlineStr">
        <is>
          <t>Critical</t>
        </is>
      </c>
      <c r="AA107" s="5" t="inlineStr">
        <is>
          <t>High</t>
        </is>
      </c>
      <c r="AB107" s="8" t="inlineStr">
        <is>
          <t>High</t>
        </is>
      </c>
      <c r="AC107" s="8" t="inlineStr">
        <is>
          <t>Pilot</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P1</t>
        </is>
      </c>
      <c r="AL107" s="8" t="n">
        <v>27</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P-0107</t>
        </is>
      </c>
      <c r="B108" s="8" t="inlineStr">
        <is>
          <t>P</t>
        </is>
      </c>
      <c r="C108" s="5" t="inlineStr">
        <is>
          <t>Accountant / GST Operator</t>
        </is>
      </c>
      <c r="D108" s="5" t="inlineStr">
        <is>
          <t>GST / Tax / Compliance</t>
        </is>
      </c>
      <c r="E108" s="5" t="inlineStr">
        <is>
          <t>Identify ITC at risk</t>
        </is>
      </c>
      <c r="F108" s="5" t="inlineStr">
        <is>
          <t>In-house Accountant</t>
        </is>
      </c>
      <c r="G108" s="5" t="inlineStr">
        <is>
          <t>Managing Proprietor</t>
        </is>
      </c>
      <c r="H108" s="5" t="inlineStr">
        <is>
          <t>Flag inward invoices where supplier has not uploaded to GSTR-1, putting input tax credit at risk</t>
        </is>
      </c>
      <c r="I108" s="5" t="inlineStr">
        <is>
          <t>Quantifies blocked/risky ITC; generates automated supplier payment hold alert</t>
        </is>
      </c>
      <c r="J108" s="19" t="inlineStr">
        <is>
          <t>P0</t>
        </is>
      </c>
      <c r="K108" s="20" t="inlineStr">
        <is>
          <t>Validated (Supported)</t>
        </is>
      </c>
      <c r="L108" s="5" t="inlineStr">
        <is>
          <t>Supported via ITC at Risk dashboard with direct supplier notification generator.</t>
        </is>
      </c>
      <c r="M108" s="8" t="inlineStr">
        <is>
          <t>Baseline</t>
        </is>
      </c>
      <c r="N108" s="8" t="inlineStr">
        <is>
          <t>Operational role</t>
        </is>
      </c>
      <c r="O108" s="8" t="inlineStr">
        <is>
          <t>P0</t>
        </is>
      </c>
      <c r="P108" s="5" t="inlineStr">
        <is>
          <t>Unchanged</t>
        </is>
      </c>
      <c r="Q108" s="20" t="inlineStr">
        <is>
          <t>Author assertion</t>
        </is>
      </c>
      <c r="R108" s="5" t="inlineStr"/>
      <c r="S108" s="8" t="inlineStr">
        <is>
          <t>GST</t>
        </is>
      </c>
      <c r="T108" s="5" t="inlineStr">
        <is>
          <t>GST and tax compliance</t>
        </is>
      </c>
      <c r="U108" s="8" t="inlineStr"/>
      <c r="V108" s="8" t="inlineStr">
        <is>
          <t>accounting</t>
        </is>
      </c>
      <c r="W108" s="8" t="inlineStr">
        <is>
          <t>CONTROL</t>
        </is>
      </c>
      <c r="X108" s="5" t="inlineStr">
        <is>
          <t>Core</t>
        </is>
      </c>
      <c r="Y108" s="5" t="inlineStr">
        <is>
          <t>Accountant</t>
        </is>
      </c>
      <c r="Z108" s="5" t="inlineStr">
        <is>
          <t>Critical</t>
        </is>
      </c>
      <c r="AA108" s="5" t="inlineStr">
        <is>
          <t>High</t>
        </is>
      </c>
      <c r="AB108" s="8" t="inlineStr">
        <is>
          <t>High</t>
        </is>
      </c>
      <c r="AC108" s="8" t="inlineStr">
        <is>
          <t>MVP</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P0</t>
        </is>
      </c>
      <c r="AL108" s="8" t="n">
        <v>27</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P-0108</t>
        </is>
      </c>
      <c r="B109" s="8" t="inlineStr">
        <is>
          <t>P</t>
        </is>
      </c>
      <c r="C109" s="5" t="inlineStr">
        <is>
          <t>Accountant / GST Operator</t>
        </is>
      </c>
      <c r="D109" s="5" t="inlineStr">
        <is>
          <t>GST / Tax / Compliance</t>
        </is>
      </c>
      <c r="E109" s="5" t="inlineStr">
        <is>
          <t>Track Section 16(4) deadlines</t>
        </is>
      </c>
      <c r="F109" s="5" t="inlineStr">
        <is>
          <t>In-house Accountant</t>
        </is>
      </c>
      <c r="G109" s="5" t="inlineStr">
        <is>
          <t>External CA</t>
        </is>
      </c>
      <c r="H109" s="5" t="inlineStr">
        <is>
          <t>Track statutory deadlines (30th November following financial year) for claiming unclaimed ITC</t>
        </is>
      </c>
      <c r="I109" s="5" t="inlineStr">
        <is>
          <t>Alerts accountant to aging purchase invoices approaching Section 16(4) time-bar limit</t>
        </is>
      </c>
      <c r="J109" s="19" t="inlineStr">
        <is>
          <t>P0</t>
        </is>
      </c>
      <c r="K109" s="20" t="inlineStr">
        <is>
          <t>Validated (Supported)</t>
        </is>
      </c>
      <c r="L109" s="5" t="inlineStr">
        <is>
          <t>Supported via Section 16(4) Expiry Warning widget in GST Health report.</t>
        </is>
      </c>
      <c r="M109" s="8" t="inlineStr">
        <is>
          <t>Baseline</t>
        </is>
      </c>
      <c r="N109" s="8" t="inlineStr">
        <is>
          <t>Operational role</t>
        </is>
      </c>
      <c r="O109" s="8" t="inlineStr">
        <is>
          <t>P0</t>
        </is>
      </c>
      <c r="P109" s="5" t="inlineStr">
        <is>
          <t>Unchanged</t>
        </is>
      </c>
      <c r="Q109" s="20" t="inlineStr">
        <is>
          <t>Author assertion</t>
        </is>
      </c>
      <c r="R109" s="5" t="inlineStr"/>
      <c r="S109" s="8" t="inlineStr">
        <is>
          <t>GST</t>
        </is>
      </c>
      <c r="T109" s="5" t="inlineStr">
        <is>
          <t>GST and tax compliance</t>
        </is>
      </c>
      <c r="U109" s="8" t="inlineStr"/>
      <c r="V109" s="8" t="inlineStr">
        <is>
          <t>accounting</t>
        </is>
      </c>
      <c r="W109" s="8" t="inlineStr">
        <is>
          <t>CONTROL</t>
        </is>
      </c>
      <c r="X109" s="5" t="inlineStr">
        <is>
          <t>Core</t>
        </is>
      </c>
      <c r="Y109" s="5" t="inlineStr">
        <is>
          <t>Accountant</t>
        </is>
      </c>
      <c r="Z109" s="5" t="inlineStr">
        <is>
          <t>Critical</t>
        </is>
      </c>
      <c r="AA109" s="5" t="inlineStr">
        <is>
          <t>High</t>
        </is>
      </c>
      <c r="AB109" s="8" t="inlineStr">
        <is>
          <t>High</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27</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P-0109</t>
        </is>
      </c>
      <c r="B110" s="8" t="inlineStr">
        <is>
          <t>P</t>
        </is>
      </c>
      <c r="C110" s="5" t="inlineStr">
        <is>
          <t>Accountant / GST Operator</t>
        </is>
      </c>
      <c r="D110" s="5" t="inlineStr">
        <is>
          <t>GST / Tax / Compliance</t>
        </is>
      </c>
      <c r="E110" s="5" t="inlineStr">
        <is>
          <t>Identify supplier invoice defects</t>
        </is>
      </c>
      <c r="F110" s="5" t="inlineStr">
        <is>
          <t>In-house Accountant</t>
        </is>
      </c>
      <c r="G110" s="5" t="inlineStr">
        <is>
          <t>Purchase Manager</t>
        </is>
      </c>
      <c r="H110" s="5" t="inlineStr">
        <is>
          <t>Score and rank suppliers based on frequency of tax mismatches, delayed filing, and incorrect GSTINs</t>
        </is>
      </c>
      <c r="I110" s="5" t="inlineStr">
        <is>
          <t>Maintains supplier compliance score; alerts purchase team before issuing repeat orders</t>
        </is>
      </c>
      <c r="J110" s="20" t="inlineStr">
        <is>
          <t>P1</t>
        </is>
      </c>
      <c r="K110" s="20" t="inlineStr">
        <is>
          <t>Validated (Supported)</t>
        </is>
      </c>
      <c r="L110" s="5" t="inlineStr">
        <is>
          <t>Supported via Supplier Compliance &amp; Defect Matrix (/purchases/supplier-scores/).</t>
        </is>
      </c>
      <c r="M110" s="8" t="inlineStr">
        <is>
          <t>Baseline</t>
        </is>
      </c>
      <c r="N110" s="8" t="inlineStr">
        <is>
          <t>Operational role</t>
        </is>
      </c>
      <c r="O110" s="8" t="inlineStr">
        <is>
          <t>P1</t>
        </is>
      </c>
      <c r="P110" s="5" t="inlineStr">
        <is>
          <t>Unchanged</t>
        </is>
      </c>
      <c r="Q110" s="20" t="inlineStr">
        <is>
          <t>Author assertion</t>
        </is>
      </c>
      <c r="R110" s="5" t="inlineStr"/>
      <c r="S110" s="8" t="inlineStr">
        <is>
          <t>GST</t>
        </is>
      </c>
      <c r="T110" s="5" t="inlineStr">
        <is>
          <t>GST and tax compliance</t>
        </is>
      </c>
      <c r="U110" s="8" t="inlineStr"/>
      <c r="V110" s="8" t="inlineStr">
        <is>
          <t>accounting</t>
        </is>
      </c>
      <c r="W110" s="8" t="inlineStr">
        <is>
          <t>CONTROL</t>
        </is>
      </c>
      <c r="X110" s="5" t="inlineStr">
        <is>
          <t>Core</t>
        </is>
      </c>
      <c r="Y110" s="5" t="inlineStr">
        <is>
          <t>Accountant</t>
        </is>
      </c>
      <c r="Z110" s="5" t="inlineStr">
        <is>
          <t>Critical</t>
        </is>
      </c>
      <c r="AA110" s="5" t="inlineStr">
        <is>
          <t>High</t>
        </is>
      </c>
      <c r="AB110" s="8" t="inlineStr">
        <is>
          <t>High</t>
        </is>
      </c>
      <c r="AC110" s="8" t="inlineStr">
        <is>
          <t>Pilot</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P1</t>
        </is>
      </c>
      <c r="AL110" s="8" t="n">
        <v>27</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P-0110</t>
        </is>
      </c>
      <c r="B111" s="8" t="inlineStr">
        <is>
          <t>P</t>
        </is>
      </c>
      <c r="C111" s="5" t="inlineStr">
        <is>
          <t>Accountant / GST Operator</t>
        </is>
      </c>
      <c r="D111" s="5" t="inlineStr">
        <is>
          <t>GST / Tax / Compliance</t>
        </is>
      </c>
      <c r="E111" s="5" t="inlineStr">
        <is>
          <t>Prepare GST returns</t>
        </is>
      </c>
      <c r="F111" s="5" t="inlineStr">
        <is>
          <t>In-house Accountant</t>
        </is>
      </c>
      <c r="G111" s="5" t="inlineStr">
        <is>
          <t>External CA</t>
        </is>
      </c>
      <c r="H111" s="5" t="inlineStr">
        <is>
          <t>Generate offline computation worksheets for GSTR-1 (Outward), GSTR-3B (Summary), and CMP-08</t>
        </is>
      </c>
      <c r="I111" s="5" t="inlineStr">
        <is>
          <t>Compiles summary tables (B2B, B2CL, B2CS, CDNR, HSN summary); generates compliant offline JSON</t>
        </is>
      </c>
      <c r="J111" s="19" t="inlineStr">
        <is>
          <t>P0</t>
        </is>
      </c>
      <c r="K111" s="20" t="inlineStr">
        <is>
          <t>Validated (Supported)</t>
        </is>
      </c>
      <c r="L111" s="5" t="inlineStr">
        <is>
          <t>Supported via /gst/gstr1/ and /gst/gstr3b/ with government offline utility JSON export.</t>
        </is>
      </c>
      <c r="M111" s="8" t="inlineStr">
        <is>
          <t>Baseline</t>
        </is>
      </c>
      <c r="N111" s="8" t="inlineStr">
        <is>
          <t>Operational role</t>
        </is>
      </c>
      <c r="O111" s="8" t="inlineStr">
        <is>
          <t>P0</t>
        </is>
      </c>
      <c r="P111" s="5" t="inlineStr">
        <is>
          <t>Unchanged</t>
        </is>
      </c>
      <c r="Q111" s="20" t="inlineStr">
        <is>
          <t>Author assertion</t>
        </is>
      </c>
      <c r="R111" s="5" t="inlineStr"/>
      <c r="S111" s="8" t="inlineStr">
        <is>
          <t>GST</t>
        </is>
      </c>
      <c r="T111" s="5" t="inlineStr">
        <is>
          <t>GST and tax compliance</t>
        </is>
      </c>
      <c r="U111" s="8" t="inlineStr"/>
      <c r="V111" s="8" t="inlineStr">
        <is>
          <t>accounting</t>
        </is>
      </c>
      <c r="W111" s="8" t="inlineStr">
        <is>
          <t>CONTROL</t>
        </is>
      </c>
      <c r="X111" s="5" t="inlineStr">
        <is>
          <t>Core</t>
        </is>
      </c>
      <c r="Y111" s="5" t="inlineStr">
        <is>
          <t>Accountant</t>
        </is>
      </c>
      <c r="Z111" s="5" t="inlineStr">
        <is>
          <t>Critical</t>
        </is>
      </c>
      <c r="AA111" s="5" t="inlineStr">
        <is>
          <t>High</t>
        </is>
      </c>
      <c r="AB111" s="8" t="inlineStr">
        <is>
          <t>High</t>
        </is>
      </c>
      <c r="AC111" s="8" t="inlineStr">
        <is>
          <t>MVP</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P0</t>
        </is>
      </c>
      <c r="AL111" s="8" t="n">
        <v>27</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P-0111</t>
        </is>
      </c>
      <c r="B112" s="8" t="inlineStr">
        <is>
          <t>P</t>
        </is>
      </c>
      <c r="C112" s="5" t="inlineStr">
        <is>
          <t>Accountant / GST Operator</t>
        </is>
      </c>
      <c r="D112" s="5" t="inlineStr">
        <is>
          <t>Import / Export / Period Close</t>
        </is>
      </c>
      <c r="E112" s="5" t="inlineStr">
        <is>
          <t>Export accounting data</t>
        </is>
      </c>
      <c r="F112" s="5" t="inlineStr">
        <is>
          <t>In-house Accountant</t>
        </is>
      </c>
      <c r="G112" s="5" t="inlineStr">
        <is>
          <t>External CA (Tally Operator)</t>
        </is>
      </c>
      <c r="H112" s="5" t="inlineStr">
        <is>
          <t>Export complete financial books and vouchers into standard Tally XML or Excel format</t>
        </is>
      </c>
      <c r="I112" s="5" t="inlineStr">
        <is>
          <t>Exports chart of accounts, sales vouchers, purchase vouchers, and journal entries in Tally-compatible XML</t>
        </is>
      </c>
      <c r="J112" s="20" t="inlineStr">
        <is>
          <t>P1</t>
        </is>
      </c>
      <c r="K112" s="20" t="inlineStr">
        <is>
          <t>Validated (Supported)</t>
        </is>
      </c>
      <c r="L112" s="5" t="inlineStr">
        <is>
          <t>Supported via /accounting/export/tally-xml/ and standard CSV/Excel book exports.</t>
        </is>
      </c>
      <c r="M112" s="8" t="inlineStr">
        <is>
          <t>Baseline</t>
        </is>
      </c>
      <c r="N112" s="8" t="inlineStr">
        <is>
          <t>Operational role</t>
        </is>
      </c>
      <c r="O112" s="8" t="inlineStr">
        <is>
          <t>P1</t>
        </is>
      </c>
      <c r="P112" s="5" t="inlineStr">
        <is>
          <t>Unchanged</t>
        </is>
      </c>
      <c r="Q112" s="20" t="inlineStr">
        <is>
          <t>Author assertion</t>
        </is>
      </c>
      <c r="R112" s="5" t="inlineStr"/>
      <c r="S112" s="8" t="inlineStr">
        <is>
          <t>CLOSE</t>
        </is>
      </c>
      <c r="T112" s="5" t="inlineStr">
        <is>
          <t>Import, export, and period close</t>
        </is>
      </c>
      <c r="U112" s="8" t="inlineStr"/>
      <c r="V112" s="8" t="inlineStr">
        <is>
          <t>accounting</t>
        </is>
      </c>
      <c r="W112" s="8" t="inlineStr">
        <is>
          <t>CONTROL</t>
        </is>
      </c>
      <c r="X112" s="5" t="inlineStr">
        <is>
          <t>Core</t>
        </is>
      </c>
      <c r="Y112" s="5" t="inlineStr">
        <is>
          <t>Accountant</t>
        </is>
      </c>
      <c r="Z112" s="5" t="inlineStr">
        <is>
          <t>Medium</t>
        </is>
      </c>
      <c r="AA112" s="5" t="inlineStr">
        <is>
          <t>Medium</t>
        </is>
      </c>
      <c r="AB112" s="8" t="inlineStr">
        <is>
          <t>Low</t>
        </is>
      </c>
      <c r="AC112" s="8" t="inlineStr">
        <is>
          <t>Pilot</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6</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P-0112</t>
        </is>
      </c>
      <c r="B113" s="8" t="inlineStr">
        <is>
          <t>P</t>
        </is>
      </c>
      <c r="C113" s="5" t="inlineStr">
        <is>
          <t>Accountant / GST Operator</t>
        </is>
      </c>
      <c r="D113" s="5" t="inlineStr">
        <is>
          <t>GST / Tax / Compliance</t>
        </is>
      </c>
      <c r="E113" s="5" t="inlineStr">
        <is>
          <t>Reconcile books with GST records</t>
        </is>
      </c>
      <c r="F113" s="5" t="inlineStr">
        <is>
          <t>In-house Accountant</t>
        </is>
      </c>
      <c r="G113" s="5" t="inlineStr">
        <is>
          <t>External CA</t>
        </is>
      </c>
      <c r="H113" s="5" t="inlineStr">
        <is>
          <t>Cross-reconcile output tax ledgers with GSTR-1 and input tax ledgers with GSTR-3B/2B</t>
        </is>
      </c>
      <c r="I113" s="5" t="inlineStr">
        <is>
          <t>Generates tax liability reconciliation statement; identifies accounting ledger adjustments</t>
        </is>
      </c>
      <c r="J113" s="20" t="inlineStr">
        <is>
          <t>P1</t>
        </is>
      </c>
      <c r="K113" s="20" t="inlineStr">
        <is>
          <t>Validated (Supported)</t>
        </is>
      </c>
      <c r="L113" s="5" t="inlineStr">
        <is>
          <t>Supported via Book-to-GST Reconciliation worksheet.</t>
        </is>
      </c>
      <c r="M113" s="8" t="inlineStr">
        <is>
          <t>Baseline</t>
        </is>
      </c>
      <c r="N113" s="8" t="inlineStr">
        <is>
          <t>Operational role</t>
        </is>
      </c>
      <c r="O113" s="8" t="inlineStr">
        <is>
          <t>P1</t>
        </is>
      </c>
      <c r="P113" s="5" t="inlineStr">
        <is>
          <t>Unchanged</t>
        </is>
      </c>
      <c r="Q113" s="20" t="inlineStr">
        <is>
          <t>Author assertion</t>
        </is>
      </c>
      <c r="R113" s="5" t="inlineStr"/>
      <c r="S113" s="8" t="inlineStr">
        <is>
          <t>GST</t>
        </is>
      </c>
      <c r="T113" s="5" t="inlineStr">
        <is>
          <t>GST and tax compliance</t>
        </is>
      </c>
      <c r="U113" s="8" t="inlineStr"/>
      <c r="V113" s="8" t="inlineStr">
        <is>
          <t>accounting</t>
        </is>
      </c>
      <c r="W113" s="8" t="inlineStr">
        <is>
          <t>CONTROL</t>
        </is>
      </c>
      <c r="X113" s="5" t="inlineStr">
        <is>
          <t>Core</t>
        </is>
      </c>
      <c r="Y113" s="5" t="inlineStr">
        <is>
          <t>Accountant</t>
        </is>
      </c>
      <c r="Z113" s="5" t="inlineStr">
        <is>
          <t>Critical</t>
        </is>
      </c>
      <c r="AA113" s="5" t="inlineStr">
        <is>
          <t>High</t>
        </is>
      </c>
      <c r="AB113" s="8" t="inlineStr">
        <is>
          <t>High</t>
        </is>
      </c>
      <c r="AC113" s="8" t="inlineStr">
        <is>
          <t>Pilot</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27</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P-0113</t>
        </is>
      </c>
      <c r="B114" s="8" t="inlineStr">
        <is>
          <t>P</t>
        </is>
      </c>
      <c r="C114" s="5" t="inlineStr">
        <is>
          <t>Accountant / GST Operator</t>
        </is>
      </c>
      <c r="D114" s="5" t="inlineStr">
        <is>
          <t>Security / Exception / Recovery</t>
        </is>
      </c>
      <c r="E114" s="5" t="inlineStr">
        <is>
          <t>Identify duplicate transactions</t>
        </is>
      </c>
      <c r="F114" s="5" t="inlineStr">
        <is>
          <t>In-house Accountant</t>
        </is>
      </c>
      <c r="G114" s="5" t="inlineStr">
        <is>
          <t>Billing Clerk</t>
        </is>
      </c>
      <c r="H114" s="5" t="inlineStr">
        <is>
          <t>Detect duplicate sales or purchase entries with identical invoice number, date, or amount</t>
        </is>
      </c>
      <c r="I114" s="5" t="inlineStr">
        <is>
          <t>Scans transaction tables for duplicate signatures; alerts accountant before period close</t>
        </is>
      </c>
      <c r="J114" s="20" t="inlineStr">
        <is>
          <t>P1</t>
        </is>
      </c>
      <c r="K114" s="20" t="inlineStr">
        <is>
          <t>Validated (Supported)</t>
        </is>
      </c>
      <c r="L114" s="5" t="inlineStr">
        <is>
          <t>Built-in unique database constraint (company_id, supplier_id, invoice_number) and duplicate scanner.</t>
        </is>
      </c>
      <c r="M114" s="8" t="inlineStr">
        <is>
          <t>Baseline</t>
        </is>
      </c>
      <c r="N114" s="8" t="inlineStr">
        <is>
          <t>Operational role</t>
        </is>
      </c>
      <c r="O114" s="8" t="inlineStr">
        <is>
          <t>P1</t>
        </is>
      </c>
      <c r="P114" s="5" t="inlineStr">
        <is>
          <t>Unchanged</t>
        </is>
      </c>
      <c r="Q114" s="21" t="inlineStr">
        <is>
          <t>Code symbol found</t>
        </is>
      </c>
      <c r="R114" s="5" t="inlineStr">
        <is>
          <t>Matched invoice_number in product code. This is not a functional test.</t>
        </is>
      </c>
      <c r="S114" s="8" t="inlineStr">
        <is>
          <t>OTHER</t>
        </is>
      </c>
      <c r="T114" s="5" t="inlineStr">
        <is>
          <t>Security / Exception / Recovery</t>
        </is>
      </c>
      <c r="U114" s="8" t="inlineStr"/>
      <c r="V114" s="8" t="inlineStr"/>
      <c r="W114" s="8" t="inlineStr">
        <is>
          <t>CONTROL</t>
        </is>
      </c>
      <c r="X114" s="5" t="inlineStr">
        <is>
          <t>Core</t>
        </is>
      </c>
      <c r="Y114" s="5" t="inlineStr">
        <is>
          <t>Accountant</t>
        </is>
      </c>
      <c r="Z114" s="5" t="inlineStr">
        <is>
          <t>High</t>
        </is>
      </c>
      <c r="AA114" s="5" t="inlineStr">
        <is>
          <t>Medium</t>
        </is>
      </c>
      <c r="AB114" s="8" t="inlineStr">
        <is>
          <t>Medium</t>
        </is>
      </c>
      <c r="AC114" s="8" t="inlineStr">
        <is>
          <t>Pilot</t>
        </is>
      </c>
      <c r="AD114" s="5" t="inlineStr">
        <is>
          <t>Cited in code</t>
        </is>
      </c>
      <c r="AE114" s="5" t="inlineStr">
        <is>
          <t>Not verified</t>
        </is>
      </c>
      <c r="AF114" s="5" t="inlineStr">
        <is>
          <t>Not verified</t>
        </is>
      </c>
      <c r="AG114" s="5" t="inlineStr">
        <is>
          <t>Not verified</t>
        </is>
      </c>
      <c r="AH114" s="5" t="inlineStr">
        <is>
          <t>Not verified</t>
        </is>
      </c>
      <c r="AI114" s="8" t="inlineStr">
        <is>
          <t>No</t>
        </is>
      </c>
      <c r="AJ114" s="8" t="inlineStr">
        <is>
          <t>Built - unverified</t>
        </is>
      </c>
      <c r="AK114" s="8" t="inlineStr">
        <is>
          <t>P1</t>
        </is>
      </c>
      <c r="AL114" s="8" t="n">
        <v>12</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P-0114</t>
        </is>
      </c>
      <c r="B115" s="8" t="inlineStr">
        <is>
          <t>P</t>
        </is>
      </c>
      <c r="C115" s="5" t="inlineStr">
        <is>
          <t>Accountant / GST Operator</t>
        </is>
      </c>
      <c r="D115" s="5" t="inlineStr">
        <is>
          <t>GST / Tax / Compliance</t>
        </is>
      </c>
      <c r="E115" s="5" t="inlineStr">
        <is>
          <t>Identify tax calculation errors</t>
        </is>
      </c>
      <c r="F115" s="5" t="inlineStr">
        <is>
          <t>In-house Accountant</t>
        </is>
      </c>
      <c r="G115" s="5" t="inlineStr">
        <is>
          <t>System Admin</t>
        </is>
      </c>
      <c r="H115" s="5" t="inlineStr">
        <is>
          <t>Identify rounding discrepancies or incorrect tax rate applications across historical vouchers</t>
        </is>
      </c>
      <c r="I115" s="5" t="inlineStr">
        <is>
          <t>Validates line-item tax sum against invoice total tax; highlights fractional rounding variances</t>
        </is>
      </c>
      <c r="J115" s="19" t="inlineStr">
        <is>
          <t>P0</t>
        </is>
      </c>
      <c r="K115" s="20" t="inlineStr">
        <is>
          <t>Validated (Supported)</t>
        </is>
      </c>
      <c r="L115" s="5" t="inlineStr">
        <is>
          <t>Core system invariant: line-item and document total tax calculations strictly match Rule 46.</t>
        </is>
      </c>
      <c r="M115" s="8" t="inlineStr">
        <is>
          <t>Baseline</t>
        </is>
      </c>
      <c r="N115" s="8" t="inlineStr">
        <is>
          <t>Operational role</t>
        </is>
      </c>
      <c r="O115" s="8" t="inlineStr">
        <is>
          <t>P0</t>
        </is>
      </c>
      <c r="P115" s="5" t="inlineStr">
        <is>
          <t>Unchanged</t>
        </is>
      </c>
      <c r="Q115" s="20" t="inlineStr">
        <is>
          <t>Author assertion</t>
        </is>
      </c>
      <c r="R115" s="5" t="inlineStr"/>
      <c r="S115" s="8" t="inlineStr">
        <is>
          <t>GST</t>
        </is>
      </c>
      <c r="T115" s="5" t="inlineStr">
        <is>
          <t>GST and tax compliance</t>
        </is>
      </c>
      <c r="U115" s="8" t="inlineStr"/>
      <c r="V115" s="8" t="inlineStr">
        <is>
          <t>accounting</t>
        </is>
      </c>
      <c r="W115" s="8" t="inlineStr">
        <is>
          <t>CONTROL</t>
        </is>
      </c>
      <c r="X115" s="5" t="inlineStr">
        <is>
          <t>Core</t>
        </is>
      </c>
      <c r="Y115" s="5" t="inlineStr">
        <is>
          <t>Accountant</t>
        </is>
      </c>
      <c r="Z115" s="5" t="inlineStr">
        <is>
          <t>Critical</t>
        </is>
      </c>
      <c r="AA115" s="5" t="inlineStr">
        <is>
          <t>High</t>
        </is>
      </c>
      <c r="AB115" s="8" t="inlineStr">
        <is>
          <t>High</t>
        </is>
      </c>
      <c r="AC115" s="8" t="inlineStr">
        <is>
          <t>MVP</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P0</t>
        </is>
      </c>
      <c r="AL115" s="8" t="n">
        <v>27</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P-0115</t>
        </is>
      </c>
      <c r="B116" s="8" t="inlineStr">
        <is>
          <t>P</t>
        </is>
      </c>
      <c r="C116" s="5" t="inlineStr">
        <is>
          <t>Accountant / GST Operator</t>
        </is>
      </c>
      <c r="D116" s="5" t="inlineStr">
        <is>
          <t>Security / Exception / Recovery</t>
        </is>
      </c>
      <c r="E116" s="5" t="inlineStr">
        <is>
          <t>Maintain an audit trail</t>
        </is>
      </c>
      <c r="F116" s="5" t="inlineStr">
        <is>
          <t>In-house Accountant</t>
        </is>
      </c>
      <c r="G116" s="5" t="inlineStr">
        <is>
          <t>Statutory Auditor (MCA/GST)</t>
        </is>
      </c>
      <c r="H116" s="5" t="inlineStr">
        <is>
          <t>Immutable change log capturing who edited, approved, or cancelled any financial transaction</t>
        </is>
      </c>
      <c r="I116" s="5" t="inlineStr">
        <is>
          <t>Stores timestamp, user ID, IP address, previous value, and new value for every record mutation</t>
        </is>
      </c>
      <c r="J116" s="19" t="inlineStr">
        <is>
          <t>P0</t>
        </is>
      </c>
      <c r="K116" s="23" t="inlineStr">
        <is>
          <t>Partial</t>
        </is>
      </c>
      <c r="L116" s="5" t="inlineStr">
        <is>
          <t>Supported via Django SimpleHistory and immutable ActivityLog; satisfies MCA audit trail mandates.</t>
        </is>
      </c>
      <c r="M116" s="8" t="inlineStr">
        <is>
          <t>Baseline</t>
        </is>
      </c>
      <c r="N116" s="8" t="inlineStr">
        <is>
          <t>Operational role</t>
        </is>
      </c>
      <c r="O116" s="8" t="inlineStr">
        <is>
          <t>P0</t>
        </is>
      </c>
      <c r="P116" s="5" t="inlineStr">
        <is>
          <t>Unchanged</t>
        </is>
      </c>
      <c r="Q116" s="23" t="inlineStr">
        <is>
          <t>Partial</t>
        </is>
      </c>
      <c r="R116" s="5" t="inlineStr">
        <is>
          <t>django-simple-history is not a dependency. The note names the wrong audit mechanism.</t>
        </is>
      </c>
      <c r="S116" s="8" t="inlineStr">
        <is>
          <t>OTHER</t>
        </is>
      </c>
      <c r="T116" s="5" t="inlineStr">
        <is>
          <t>Security / Exception / Recovery</t>
        </is>
      </c>
      <c r="U116" s="8" t="inlineStr"/>
      <c r="V116" s="8" t="inlineStr"/>
      <c r="W116" s="8" t="inlineStr">
        <is>
          <t>CONTROL</t>
        </is>
      </c>
      <c r="X116" s="5" t="inlineStr">
        <is>
          <t>Core</t>
        </is>
      </c>
      <c r="Y116" s="5" t="inlineStr">
        <is>
          <t>Accountant</t>
        </is>
      </c>
      <c r="Z116" s="5" t="inlineStr">
        <is>
          <t>High</t>
        </is>
      </c>
      <c r="AA116" s="5" t="inlineStr">
        <is>
          <t>Medium</t>
        </is>
      </c>
      <c r="AB116" s="8" t="inlineStr">
        <is>
          <t>Medium</t>
        </is>
      </c>
      <c r="AC116" s="8" t="inlineStr">
        <is>
          <t>MVP</t>
        </is>
      </c>
      <c r="AD116" s="5" t="inlineStr">
        <is>
          <t>Partial</t>
        </is>
      </c>
      <c r="AE116" s="5" t="inlineStr">
        <is>
          <t>Not verified</t>
        </is>
      </c>
      <c r="AF116" s="5" t="inlineStr">
        <is>
          <t>Not verified</t>
        </is>
      </c>
      <c r="AG116" s="5" t="inlineStr">
        <is>
          <t>Not verified</t>
        </is>
      </c>
      <c r="AH116" s="5" t="inlineStr">
        <is>
          <t>Not verified</t>
        </is>
      </c>
      <c r="AI116" s="8" t="inlineStr">
        <is>
          <t>No</t>
        </is>
      </c>
      <c r="AJ116" s="8" t="inlineStr">
        <is>
          <t>Built - partial</t>
        </is>
      </c>
      <c r="AK116" s="8" t="inlineStr">
        <is>
          <t>P0</t>
        </is>
      </c>
      <c r="AL116" s="8" t="n">
        <v>12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P-0116</t>
        </is>
      </c>
      <c r="B117" s="8" t="inlineStr">
        <is>
          <t>P</t>
        </is>
      </c>
      <c r="C117" s="5" t="inlineStr">
        <is>
          <t>Business Owner</t>
        </is>
      </c>
      <c r="D117" s="5" t="inlineStr">
        <is>
          <t>Reporting &amp; Business Intelligence</t>
        </is>
      </c>
      <c r="E117" s="5" t="inlineStr">
        <is>
          <t>See today's business performance</t>
        </is>
      </c>
      <c r="F117" s="5" t="inlineStr">
        <is>
          <t>Business Owner ('Sethji')</t>
        </is>
      </c>
      <c r="G117" s="5" t="inlineStr">
        <is>
          <t>Store Managers</t>
        </is>
      </c>
      <c r="H117" s="5" t="inlineStr">
        <is>
          <t>Morning and evening executive snapshot of daily sales, cash collections, and pending orders</t>
        </is>
      </c>
      <c r="I117" s="5" t="inlineStr">
        <is>
          <t>Displays high-level KPI cards (Total Sales, Cash In, Unpaid Bills, Net Margin) on mobile or desktop</t>
        </is>
      </c>
      <c r="J117" s="19" t="inlineStr">
        <is>
          <t>P0</t>
        </is>
      </c>
      <c r="K117" s="20" t="inlineStr">
        <is>
          <t>Validated (Supported)</t>
        </is>
      </c>
      <c r="L117" s="5" t="inlineStr">
        <is>
          <t>Supported via Owner Executive Dashboard and automated daily summary WhatsApp/Email digest.</t>
        </is>
      </c>
      <c r="M117" s="8" t="inlineStr">
        <is>
          <t>Baseline</t>
        </is>
      </c>
      <c r="N117" s="8" t="inlineStr">
        <is>
          <t>Operational role</t>
        </is>
      </c>
      <c r="O117" s="8" t="inlineStr">
        <is>
          <t>P0</t>
        </is>
      </c>
      <c r="P117" s="5" t="inlineStr">
        <is>
          <t>Unchanged</t>
        </is>
      </c>
      <c r="Q117" s="21" t="inlineStr">
        <is>
          <t>Code symbol found</t>
        </is>
      </c>
      <c r="R117" s="5" t="inlineStr">
        <is>
          <t>Matched WhatsApp in product code. This is not a functional test.</t>
        </is>
      </c>
      <c r="S117" s="8" t="inlineStr">
        <is>
          <t>RPT</t>
        </is>
      </c>
      <c r="T117" s="5" t="inlineStr">
        <is>
          <t>Reporting and business intelligence</t>
        </is>
      </c>
      <c r="U117" s="8" t="inlineStr"/>
      <c r="V117" s="8" t="inlineStr">
        <is>
          <t>reporting</t>
        </is>
      </c>
      <c r="W117" s="8" t="inlineStr">
        <is>
          <t>CONTROL</t>
        </is>
      </c>
      <c r="X117" s="5" t="inlineStr">
        <is>
          <t>Core</t>
        </is>
      </c>
      <c r="Y117" s="5" t="inlineStr">
        <is>
          <t>Owner</t>
        </is>
      </c>
      <c r="Z117" s="5" t="inlineStr">
        <is>
          <t>Medium</t>
        </is>
      </c>
      <c r="AA117" s="5" t="inlineStr">
        <is>
          <t>Medium</t>
        </is>
      </c>
      <c r="AB117" s="8" t="inlineStr">
        <is>
          <t>Low</t>
        </is>
      </c>
      <c r="AC117" s="8" t="inlineStr">
        <is>
          <t>MVP</t>
        </is>
      </c>
      <c r="AD117" s="5" t="inlineStr">
        <is>
          <t>Cited in code</t>
        </is>
      </c>
      <c r="AE117" s="5" t="inlineStr">
        <is>
          <t>Not verified</t>
        </is>
      </c>
      <c r="AF117" s="5" t="inlineStr">
        <is>
          <t>Not verified</t>
        </is>
      </c>
      <c r="AG117" s="5" t="inlineStr">
        <is>
          <t>Not verified</t>
        </is>
      </c>
      <c r="AH117" s="5" t="inlineStr">
        <is>
          <t>Not verified</t>
        </is>
      </c>
      <c r="AI117" s="8" t="inlineStr">
        <is>
          <t>No</t>
        </is>
      </c>
      <c r="AJ117" s="8" t="inlineStr">
        <is>
          <t>Built - unverified</t>
        </is>
      </c>
      <c r="AK117" s="8" t="inlineStr">
        <is>
          <t>P0</t>
        </is>
      </c>
      <c r="AL117" s="8" t="n">
        <v>6</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P-0117</t>
        </is>
      </c>
      <c r="B118" s="8" t="inlineStr">
        <is>
          <t>P</t>
        </is>
      </c>
      <c r="C118" s="5" t="inlineStr">
        <is>
          <t>Business Owner</t>
        </is>
      </c>
      <c r="D118" s="5" t="inlineStr">
        <is>
          <t>Reporting &amp; Business Intelligence</t>
        </is>
      </c>
      <c r="E118" s="5" t="inlineStr">
        <is>
          <t>See sales, purchases and profit together</t>
        </is>
      </c>
      <c r="F118" s="5" t="inlineStr">
        <is>
          <t>Business Owner</t>
        </is>
      </c>
      <c r="G118" s="5" t="inlineStr">
        <is>
          <t>Accountant</t>
        </is>
      </c>
      <c r="H118" s="5" t="inlineStr">
        <is>
          <t>Unified bird's-eye view comparing revenue, procurement expenditure, and gross operating profit</t>
        </is>
      </c>
      <c r="I118" s="5" t="inlineStr">
        <is>
          <t>Aggregates monthly sales vs purchases vs gross margin on a synchronized comparative timeline</t>
        </is>
      </c>
      <c r="J118" s="20" t="inlineStr">
        <is>
          <t>P1</t>
        </is>
      </c>
      <c r="K118" s="20" t="inlineStr">
        <is>
          <t>Validated (Supported)</t>
        </is>
      </c>
      <c r="L118" s="5" t="inlineStr">
        <is>
          <t>Supported via Executive Business Overview dashboard (/insights/).</t>
        </is>
      </c>
      <c r="M118" s="8" t="inlineStr">
        <is>
          <t>Baseline</t>
        </is>
      </c>
      <c r="N118" s="8" t="inlineStr">
        <is>
          <t>Operational role</t>
        </is>
      </c>
      <c r="O118" s="8" t="inlineStr">
        <is>
          <t>P1</t>
        </is>
      </c>
      <c r="P118" s="5" t="inlineStr">
        <is>
          <t>Unchanged</t>
        </is>
      </c>
      <c r="Q118" s="20" t="inlineStr">
        <is>
          <t>Author assertion</t>
        </is>
      </c>
      <c r="R118" s="5" t="inlineStr"/>
      <c r="S118" s="8" t="inlineStr">
        <is>
          <t>RPT</t>
        </is>
      </c>
      <c r="T118" s="5" t="inlineStr">
        <is>
          <t>Reporting and business intelligence</t>
        </is>
      </c>
      <c r="U118" s="8" t="inlineStr"/>
      <c r="V118" s="8" t="inlineStr">
        <is>
          <t>reporting</t>
        </is>
      </c>
      <c r="W118" s="8" t="inlineStr">
        <is>
          <t>CONTROL</t>
        </is>
      </c>
      <c r="X118" s="5" t="inlineStr">
        <is>
          <t>Core</t>
        </is>
      </c>
      <c r="Y118" s="5" t="inlineStr">
        <is>
          <t>Owner</t>
        </is>
      </c>
      <c r="Z118" s="5" t="inlineStr">
        <is>
          <t>Medium</t>
        </is>
      </c>
      <c r="AA118" s="5" t="inlineStr">
        <is>
          <t>Medium</t>
        </is>
      </c>
      <c r="AB118" s="8" t="inlineStr">
        <is>
          <t>Low</t>
        </is>
      </c>
      <c r="AC118" s="8" t="inlineStr">
        <is>
          <t>Pilot</t>
        </is>
      </c>
      <c r="AD118" s="5" t="inlineStr">
        <is>
          <t>Not independently checked</t>
        </is>
      </c>
      <c r="AE118" s="5" t="inlineStr">
        <is>
          <t>Not verified</t>
        </is>
      </c>
      <c r="AF118" s="5" t="inlineStr">
        <is>
          <t>Not verified</t>
        </is>
      </c>
      <c r="AG118" s="5" t="inlineStr">
        <is>
          <t>Not verified</t>
        </is>
      </c>
      <c r="AH118" s="5" t="inlineStr">
        <is>
          <t>Not verified</t>
        </is>
      </c>
      <c r="AI118" s="8" t="inlineStr">
        <is>
          <t>No</t>
        </is>
      </c>
      <c r="AJ118" s="8" t="inlineStr">
        <is>
          <t>Claimed - unverified</t>
        </is>
      </c>
      <c r="AK118" s="8" t="inlineStr">
        <is>
          <t>P1</t>
        </is>
      </c>
      <c r="AL118" s="8" t="n">
        <v>6</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P-0118</t>
        </is>
      </c>
      <c r="B119" s="8" t="inlineStr">
        <is>
          <t>P</t>
        </is>
      </c>
      <c r="C119" s="5" t="inlineStr">
        <is>
          <t>Business Owner</t>
        </is>
      </c>
      <c r="D119" s="5" t="inlineStr">
        <is>
          <t>Receivables &amp; Payables</t>
        </is>
      </c>
      <c r="E119" s="5" t="inlineStr">
        <is>
          <t>Identify outstanding receivables</t>
        </is>
      </c>
      <c r="F119" s="5" t="inlineStr">
        <is>
          <t>Business Owner</t>
        </is>
      </c>
      <c r="G119" s="5" t="inlineStr">
        <is>
          <t>Sales Team</t>
        </is>
      </c>
      <c r="H119" s="5" t="inlineStr">
        <is>
          <t>Identify top debtors and total market credit outstanding to drive debt collection</t>
        </is>
      </c>
      <c r="I119" s="5" t="inlineStr">
        <is>
          <t>Ranks customers by total outstanding balance and oldest overdue days; enables instant chasing</t>
        </is>
      </c>
      <c r="J119" s="19" t="inlineStr">
        <is>
          <t>P0</t>
        </is>
      </c>
      <c r="K119" s="20" t="inlineStr">
        <is>
          <t>Validated (Supported)</t>
        </is>
      </c>
      <c r="L119" s="5" t="inlineStr">
        <is>
          <t>Supported via Debtor Summary card with one-click WhatsApp payment reminder dispatch.</t>
        </is>
      </c>
      <c r="M119" s="8" t="inlineStr">
        <is>
          <t>Baseline</t>
        </is>
      </c>
      <c r="N119" s="8" t="inlineStr">
        <is>
          <t>Operational role</t>
        </is>
      </c>
      <c r="O119" s="8" t="inlineStr">
        <is>
          <t>P0</t>
        </is>
      </c>
      <c r="P119" s="5" t="inlineStr">
        <is>
          <t>Unchanged</t>
        </is>
      </c>
      <c r="Q119" s="21" t="inlineStr">
        <is>
          <t>Code symbol found</t>
        </is>
      </c>
      <c r="R119" s="5" t="inlineStr">
        <is>
          <t>Matched WhatsApp in product code. This is not a functional test.</t>
        </is>
      </c>
      <c r="S119" s="8" t="inlineStr">
        <is>
          <t>ARAP</t>
        </is>
      </c>
      <c r="T119" s="5" t="inlineStr">
        <is>
          <t>Receivables and payables</t>
        </is>
      </c>
      <c r="U119" s="8" t="inlineStr"/>
      <c r="V119" s="8" t="inlineStr">
        <is>
          <t>ledgers</t>
        </is>
      </c>
      <c r="W119" s="8" t="inlineStr">
        <is>
          <t>CONTROL</t>
        </is>
      </c>
      <c r="X119" s="5" t="inlineStr">
        <is>
          <t>Core</t>
        </is>
      </c>
      <c r="Y119" s="5" t="inlineStr">
        <is>
          <t>Owner</t>
        </is>
      </c>
      <c r="Z119" s="5" t="inlineStr">
        <is>
          <t>Critical</t>
        </is>
      </c>
      <c r="AA119" s="5" t="inlineStr">
        <is>
          <t>High</t>
        </is>
      </c>
      <c r="AB119" s="8" t="inlineStr">
        <is>
          <t>Medium</t>
        </is>
      </c>
      <c r="AC119" s="8" t="inlineStr">
        <is>
          <t>MVP</t>
        </is>
      </c>
      <c r="AD119" s="5" t="inlineStr">
        <is>
          <t>Cited in code</t>
        </is>
      </c>
      <c r="AE119" s="5" t="inlineStr">
        <is>
          <t>Not verified</t>
        </is>
      </c>
      <c r="AF119" s="5" t="inlineStr">
        <is>
          <t>Not verified</t>
        </is>
      </c>
      <c r="AG119" s="5" t="inlineStr">
        <is>
          <t>Not verified</t>
        </is>
      </c>
      <c r="AH119" s="5" t="inlineStr">
        <is>
          <t>Not verified</t>
        </is>
      </c>
      <c r="AI119" s="8" t="inlineStr">
        <is>
          <t>No</t>
        </is>
      </c>
      <c r="AJ119" s="8" t="inlineStr">
        <is>
          <t>Built - unverified</t>
        </is>
      </c>
      <c r="AK119" s="8" t="inlineStr">
        <is>
          <t>P0</t>
        </is>
      </c>
      <c r="AL119" s="8" t="n">
        <v>18</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P-0119</t>
        </is>
      </c>
      <c r="B120" s="8" t="inlineStr">
        <is>
          <t>P</t>
        </is>
      </c>
      <c r="C120" s="5" t="inlineStr">
        <is>
          <t>Business Owner</t>
        </is>
      </c>
      <c r="D120" s="5" t="inlineStr">
        <is>
          <t>Receivables &amp; Payables</t>
        </is>
      </c>
      <c r="E120" s="5" t="inlineStr">
        <is>
          <t>Identify overdue payments</t>
        </is>
      </c>
      <c r="F120" s="5" t="inlineStr">
        <is>
          <t>Business Owner</t>
        </is>
      </c>
      <c r="G120" s="5" t="inlineStr">
        <is>
          <t>Credit Controller</t>
        </is>
      </c>
      <c r="H120" s="5" t="inlineStr">
        <is>
          <t>Pinpoint critically overdue bills crossing credit grace periods (30+ days)</t>
        </is>
      </c>
      <c r="I120" s="5" t="inlineStr">
        <is>
          <t>Filters receivables aging &gt; 30 days; calculates interest exposure and bad debt risk</t>
        </is>
      </c>
      <c r="J120" s="19" t="inlineStr">
        <is>
          <t>P0</t>
        </is>
      </c>
      <c r="K120" s="20" t="inlineStr">
        <is>
          <t>Validated (Supported)</t>
        </is>
      </c>
      <c r="L120" s="5" t="inlineStr">
        <is>
          <t>Supported via Overdue Invoices screen with priority chasing flags.</t>
        </is>
      </c>
      <c r="M120" s="8" t="inlineStr">
        <is>
          <t>Baseline</t>
        </is>
      </c>
      <c r="N120" s="8" t="inlineStr">
        <is>
          <t>Operational role</t>
        </is>
      </c>
      <c r="O120" s="8" t="inlineStr">
        <is>
          <t>P0</t>
        </is>
      </c>
      <c r="P120" s="5" t="inlineStr">
        <is>
          <t>Unchanged</t>
        </is>
      </c>
      <c r="Q120" s="20" t="inlineStr">
        <is>
          <t>Author assertion</t>
        </is>
      </c>
      <c r="R120" s="5" t="inlineStr"/>
      <c r="S120" s="8" t="inlineStr">
        <is>
          <t>ARAP</t>
        </is>
      </c>
      <c r="T120" s="5" t="inlineStr">
        <is>
          <t>Receivables and payables</t>
        </is>
      </c>
      <c r="U120" s="8" t="inlineStr"/>
      <c r="V120" s="8" t="inlineStr">
        <is>
          <t>ledgers</t>
        </is>
      </c>
      <c r="W120" s="8" t="inlineStr">
        <is>
          <t>CONTROL</t>
        </is>
      </c>
      <c r="X120" s="5" t="inlineStr">
        <is>
          <t>Core</t>
        </is>
      </c>
      <c r="Y120" s="5" t="inlineStr">
        <is>
          <t>Owner</t>
        </is>
      </c>
      <c r="Z120" s="5" t="inlineStr">
        <is>
          <t>Critical</t>
        </is>
      </c>
      <c r="AA120" s="5" t="inlineStr">
        <is>
          <t>High</t>
        </is>
      </c>
      <c r="AB120" s="8" t="inlineStr">
        <is>
          <t>Medium</t>
        </is>
      </c>
      <c r="AC120" s="8" t="inlineStr">
        <is>
          <t>MVP</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P0</t>
        </is>
      </c>
      <c r="AL120" s="8" t="n">
        <v>18</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P-0120</t>
        </is>
      </c>
      <c r="B121" s="8" t="inlineStr">
        <is>
          <t>P</t>
        </is>
      </c>
      <c r="C121" s="5" t="inlineStr">
        <is>
          <t>Business Owner</t>
        </is>
      </c>
      <c r="D121" s="5" t="inlineStr">
        <is>
          <t>Inventory Lifecycle</t>
        </is>
      </c>
      <c r="E121" s="5" t="inlineStr">
        <is>
          <t>Identify low-stock products</t>
        </is>
      </c>
      <c r="F121" s="5" t="inlineStr">
        <is>
          <t>Business Owner</t>
        </is>
      </c>
      <c r="G121" s="5" t="inlineStr">
        <is>
          <t>Purchase Manager</t>
        </is>
      </c>
      <c r="H121" s="5" t="inlineStr">
        <is>
          <t>Spot high-selling inventory running low to approve emergency supplier purchase orders</t>
        </is>
      </c>
      <c r="I121" s="5" t="inlineStr">
        <is>
          <t>Displays top 20 revenue-generating SKUs currently at or below minimum reorder buffer</t>
        </is>
      </c>
      <c r="J121" s="20" t="inlineStr">
        <is>
          <t>P1</t>
        </is>
      </c>
      <c r="K121" s="20" t="inlineStr">
        <is>
          <t>Validated (Supported)</t>
        </is>
      </c>
      <c r="L121" s="5" t="inlineStr">
        <is>
          <t>Supported via Executive Alert widget: 'Critical Stockout Threats'.</t>
        </is>
      </c>
      <c r="M121" s="8" t="inlineStr">
        <is>
          <t>Baseline</t>
        </is>
      </c>
      <c r="N121" s="8" t="inlineStr">
        <is>
          <t>Operational role</t>
        </is>
      </c>
      <c r="O121" s="8" t="inlineStr">
        <is>
          <t>P1</t>
        </is>
      </c>
      <c r="P121" s="5" t="inlineStr">
        <is>
          <t>Unchanged</t>
        </is>
      </c>
      <c r="Q121" s="20" t="inlineStr">
        <is>
          <t>Author assertion</t>
        </is>
      </c>
      <c r="R121" s="5" t="inlineStr"/>
      <c r="S121" s="8" t="inlineStr">
        <is>
          <t>INV</t>
        </is>
      </c>
      <c r="T121" s="5" t="inlineStr">
        <is>
          <t>Inventory lifecycle</t>
        </is>
      </c>
      <c r="U121" s="8" t="inlineStr"/>
      <c r="V121" s="8" t="inlineStr">
        <is>
          <t>inventory</t>
        </is>
      </c>
      <c r="W121" s="8" t="inlineStr">
        <is>
          <t>RUN</t>
        </is>
      </c>
      <c r="X121" s="5" t="inlineStr">
        <is>
          <t>Core</t>
        </is>
      </c>
      <c r="Y121" s="5" t="inlineStr">
        <is>
          <t>Owner</t>
        </is>
      </c>
      <c r="Z121" s="5" t="inlineStr">
        <is>
          <t>High</t>
        </is>
      </c>
      <c r="AA121" s="5" t="inlineStr">
        <is>
          <t>High</t>
        </is>
      </c>
      <c r="AB121" s="8" t="inlineStr">
        <is>
          <t>Low</t>
        </is>
      </c>
      <c r="AC121" s="8" t="inlineStr">
        <is>
          <t>Pilot</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P1</t>
        </is>
      </c>
      <c r="AL121" s="8" t="n">
        <v>9</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P-0121</t>
        </is>
      </c>
      <c r="B122" s="8" t="inlineStr">
        <is>
          <t>P</t>
        </is>
      </c>
      <c r="C122" s="5" t="inlineStr">
        <is>
          <t>Business Owner</t>
        </is>
      </c>
      <c r="D122" s="5" t="inlineStr">
        <is>
          <t>Reporting &amp; Business Intelligence</t>
        </is>
      </c>
      <c r="E122" s="5" t="inlineStr">
        <is>
          <t>Identify profitable products</t>
        </is>
      </c>
      <c r="F122" s="5" t="inlineStr">
        <is>
          <t>Business Owner</t>
        </is>
      </c>
      <c r="G122" s="5" t="inlineStr">
        <is>
          <t>Sales Team</t>
        </is>
      </c>
      <c r="H122" s="5" t="inlineStr">
        <is>
          <t>Discover products delivering highest gross margin percentage to promote in marketing campaigns</t>
        </is>
      </c>
      <c r="I122" s="5" t="inlineStr">
        <is>
          <t>Ranks catalog by gross margin contribution (Gross Profit / Sales Revenue)</t>
        </is>
      </c>
      <c r="J122" s="22" t="inlineStr">
        <is>
          <t>P2</t>
        </is>
      </c>
      <c r="K122" s="20" t="inlineStr">
        <is>
          <t>Validated (Supported)</t>
        </is>
      </c>
      <c r="L122" s="5" t="inlineStr">
        <is>
          <t>Supported via Product Margin Leaderboard in Insights module.</t>
        </is>
      </c>
      <c r="M122" s="8" t="inlineStr">
        <is>
          <t>Baseline</t>
        </is>
      </c>
      <c r="N122" s="8" t="inlineStr">
        <is>
          <t>Operational role</t>
        </is>
      </c>
      <c r="O122" s="8" t="inlineStr">
        <is>
          <t>P2</t>
        </is>
      </c>
      <c r="P122" s="5" t="inlineStr">
        <is>
          <t>Restored to authored P2. The previous workbook had P3 after a keyword rebalance.</t>
        </is>
      </c>
      <c r="Q122" s="20" t="inlineStr">
        <is>
          <t>Author assertion</t>
        </is>
      </c>
      <c r="R122" s="5" t="inlineStr">
        <is>
          <t>Restored to authored P2. The previous workbook had P3 after a keyword rebalance.</t>
        </is>
      </c>
      <c r="S122" s="8" t="inlineStr">
        <is>
          <t>RPT</t>
        </is>
      </c>
      <c r="T122" s="5" t="inlineStr">
        <is>
          <t>Reporting and business intelligence</t>
        </is>
      </c>
      <c r="U122" s="8" t="inlineStr"/>
      <c r="V122" s="8" t="inlineStr">
        <is>
          <t>reporting</t>
        </is>
      </c>
      <c r="W122" s="8" t="inlineStr">
        <is>
          <t>CONTROL</t>
        </is>
      </c>
      <c r="X122" s="5" t="inlineStr">
        <is>
          <t>Core</t>
        </is>
      </c>
      <c r="Y122" s="5" t="inlineStr">
        <is>
          <t>Owner</t>
        </is>
      </c>
      <c r="Z122" s="5" t="inlineStr">
        <is>
          <t>Medium</t>
        </is>
      </c>
      <c r="AA122" s="5" t="inlineStr">
        <is>
          <t>Medium</t>
        </is>
      </c>
      <c r="AB122" s="8" t="inlineStr">
        <is>
          <t>Low</t>
        </is>
      </c>
      <c r="AC122" s="8" t="inlineStr">
        <is>
          <t>Later</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P2</t>
        </is>
      </c>
      <c r="AL122" s="8" t="n">
        <v>6</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P-0122</t>
        </is>
      </c>
      <c r="B123" s="8" t="inlineStr">
        <is>
          <t>P</t>
        </is>
      </c>
      <c r="C123" s="5" t="inlineStr">
        <is>
          <t>Business Owner</t>
        </is>
      </c>
      <c r="D123" s="5" t="inlineStr">
        <is>
          <t>Reporting &amp; Business Intelligence</t>
        </is>
      </c>
      <c r="E123" s="5" t="inlineStr">
        <is>
          <t>Identify loss-making products</t>
        </is>
      </c>
      <c r="F123" s="5" t="inlineStr">
        <is>
          <t>Business Owner</t>
        </is>
      </c>
      <c r="G123" s="5" t="inlineStr">
        <is>
          <t>Purchase Manager</t>
        </is>
      </c>
      <c r="H123" s="5" t="inlineStr">
        <is>
          <t>Identify items being sold below purchase cost or suffering heavy discounting</t>
        </is>
      </c>
      <c r="I123" s="5" t="inlineStr">
        <is>
          <t>Flags transactions where Selling Price &lt; Unit Cost; alerts owner to pricing or discounting errors</t>
        </is>
      </c>
      <c r="J123" s="22" t="inlineStr">
        <is>
          <t>P2</t>
        </is>
      </c>
      <c r="K123" s="20" t="inlineStr">
        <is>
          <t>Validated (Supported)</t>
        </is>
      </c>
      <c r="L123" s="5" t="inlineStr">
        <is>
          <t>Supported via Negative Margin Alert audit report.</t>
        </is>
      </c>
      <c r="M123" s="8" t="inlineStr">
        <is>
          <t>Baseline</t>
        </is>
      </c>
      <c r="N123" s="8" t="inlineStr">
        <is>
          <t>Operational role</t>
        </is>
      </c>
      <c r="O123" s="8" t="inlineStr">
        <is>
          <t>P2</t>
        </is>
      </c>
      <c r="P123" s="5" t="inlineStr">
        <is>
          <t>Restored to authored P2. The previous workbook had P3 after a keyword rebalance.</t>
        </is>
      </c>
      <c r="Q123" s="20" t="inlineStr">
        <is>
          <t>Author assertion</t>
        </is>
      </c>
      <c r="R123" s="5" t="inlineStr">
        <is>
          <t>Restored to authored P2. The previous workbook had P3 after a keyword rebalance.</t>
        </is>
      </c>
      <c r="S123" s="8" t="inlineStr">
        <is>
          <t>RPT</t>
        </is>
      </c>
      <c r="T123" s="5" t="inlineStr">
        <is>
          <t>Reporting and business intelligence</t>
        </is>
      </c>
      <c r="U123" s="8" t="inlineStr"/>
      <c r="V123" s="8" t="inlineStr">
        <is>
          <t>reporting</t>
        </is>
      </c>
      <c r="W123" s="8" t="inlineStr">
        <is>
          <t>CONTROL</t>
        </is>
      </c>
      <c r="X123" s="5" t="inlineStr">
        <is>
          <t>Core</t>
        </is>
      </c>
      <c r="Y123" s="5" t="inlineStr">
        <is>
          <t>Owner</t>
        </is>
      </c>
      <c r="Z123" s="5" t="inlineStr">
        <is>
          <t>Medium</t>
        </is>
      </c>
      <c r="AA123" s="5" t="inlineStr">
        <is>
          <t>Medium</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P2</t>
        </is>
      </c>
      <c r="AL123" s="8" t="n">
        <v>6</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P-0123</t>
        </is>
      </c>
      <c r="B124" s="8" t="inlineStr">
        <is>
          <t>P</t>
        </is>
      </c>
      <c r="C124" s="5" t="inlineStr">
        <is>
          <t>Business Owner</t>
        </is>
      </c>
      <c r="D124" s="5" t="inlineStr">
        <is>
          <t>Reporting &amp; Business Intelligence</t>
        </is>
      </c>
      <c r="E124" s="5" t="inlineStr">
        <is>
          <t>Compare performance across periods</t>
        </is>
      </c>
      <c r="F124" s="5" t="inlineStr">
        <is>
          <t>Business Owner</t>
        </is>
      </c>
      <c r="G124" s="5" t="inlineStr">
        <is>
          <t>Accountant</t>
        </is>
      </c>
      <c r="H124" s="5" t="inlineStr">
        <is>
          <t>Compare current month/quarter revenue and profits against previous period or previous year (MoM/YoY)</t>
        </is>
      </c>
      <c r="I124" s="5" t="inlineStr">
        <is>
          <t>Generates comparative period graphs showing percentage growth or contraction across metrics</t>
        </is>
      </c>
      <c r="J124" s="22" t="inlineStr">
        <is>
          <t>P2</t>
        </is>
      </c>
      <c r="K124" s="20" t="inlineStr">
        <is>
          <t>Validated (Supported)</t>
        </is>
      </c>
      <c r="L124" s="5" t="inlineStr">
        <is>
          <t>Supported via Period Trend Analysis Report (/reports/period-comparison/).</t>
        </is>
      </c>
      <c r="M124" s="8" t="inlineStr">
        <is>
          <t>Baseline</t>
        </is>
      </c>
      <c r="N124" s="8" t="inlineStr">
        <is>
          <t>Operational role</t>
        </is>
      </c>
      <c r="O124" s="8" t="inlineStr">
        <is>
          <t>P2</t>
        </is>
      </c>
      <c r="P124" s="5" t="inlineStr">
        <is>
          <t>Restored to authored P2. The previous workbook had P3 after a keyword rebalance.</t>
        </is>
      </c>
      <c r="Q124" s="20" t="inlineStr">
        <is>
          <t>Author assertion</t>
        </is>
      </c>
      <c r="R124" s="5" t="inlineStr">
        <is>
          <t>Restored to authored P2. The previous workbook had P3 after a keyword rebalance.</t>
        </is>
      </c>
      <c r="S124" s="8" t="inlineStr">
        <is>
          <t>RPT</t>
        </is>
      </c>
      <c r="T124" s="5" t="inlineStr">
        <is>
          <t>Reporting and business intelligence</t>
        </is>
      </c>
      <c r="U124" s="8" t="inlineStr"/>
      <c r="V124" s="8" t="inlineStr">
        <is>
          <t>reporting</t>
        </is>
      </c>
      <c r="W124" s="8" t="inlineStr">
        <is>
          <t>CONTROL</t>
        </is>
      </c>
      <c r="X124" s="5" t="inlineStr">
        <is>
          <t>Core</t>
        </is>
      </c>
      <c r="Y124" s="5" t="inlineStr">
        <is>
          <t>Owner</t>
        </is>
      </c>
      <c r="Z124" s="5" t="inlineStr">
        <is>
          <t>Medium</t>
        </is>
      </c>
      <c r="AA124" s="5" t="inlineStr">
        <is>
          <t>Medium</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P2</t>
        </is>
      </c>
      <c r="AL124" s="8" t="n">
        <v>6</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P-0124</t>
        </is>
      </c>
      <c r="B125" s="8" t="inlineStr">
        <is>
          <t>P</t>
        </is>
      </c>
      <c r="C125" s="5" t="inlineStr">
        <is>
          <t>Business Owner</t>
        </is>
      </c>
      <c r="D125" s="5" t="inlineStr">
        <is>
          <t>GST / Tax / Compliance</t>
        </is>
      </c>
      <c r="E125" s="5" t="inlineStr">
        <is>
          <t>Monitor GST liability</t>
        </is>
      </c>
      <c r="F125" s="5" t="inlineStr">
        <is>
          <t>Business Owner</t>
        </is>
      </c>
      <c r="G125" s="5" t="inlineStr">
        <is>
          <t>Accountant</t>
        </is>
      </c>
      <c r="H125" s="5" t="inlineStr">
        <is>
          <t>Anticipate net GST cash tax payout due on the 20th of the month to plan cashflow reserves</t>
        </is>
      </c>
      <c r="I125" s="5" t="inlineStr">
        <is>
          <t>Computes estimated Net GST Payable = Output Tax Liability - Eligible Input Tax Credit (ITC)</t>
        </is>
      </c>
      <c r="J125" s="20" t="inlineStr">
        <is>
          <t>P1</t>
        </is>
      </c>
      <c r="K125" s="20" t="inlineStr">
        <is>
          <t>Validated (Supported)</t>
        </is>
      </c>
      <c r="L125" s="5" t="inlineStr">
        <is>
          <t>Supported via Real-time GST Liability Estimator in Insights module.</t>
        </is>
      </c>
      <c r="M125" s="8" t="inlineStr">
        <is>
          <t>Baseline</t>
        </is>
      </c>
      <c r="N125" s="8" t="inlineStr">
        <is>
          <t>Operational role</t>
        </is>
      </c>
      <c r="O125" s="8" t="inlineStr">
        <is>
          <t>P1</t>
        </is>
      </c>
      <c r="P125" s="5" t="inlineStr">
        <is>
          <t>Unchanged</t>
        </is>
      </c>
      <c r="Q125" s="20" t="inlineStr">
        <is>
          <t>Author assertion</t>
        </is>
      </c>
      <c r="R125" s="5" t="inlineStr"/>
      <c r="S125" s="8" t="inlineStr">
        <is>
          <t>GST</t>
        </is>
      </c>
      <c r="T125" s="5" t="inlineStr">
        <is>
          <t>GST and tax compliance</t>
        </is>
      </c>
      <c r="U125" s="8" t="inlineStr"/>
      <c r="V125" s="8" t="inlineStr">
        <is>
          <t>accounting</t>
        </is>
      </c>
      <c r="W125" s="8" t="inlineStr">
        <is>
          <t>CONTROL</t>
        </is>
      </c>
      <c r="X125" s="5" t="inlineStr">
        <is>
          <t>Core</t>
        </is>
      </c>
      <c r="Y125" s="5" t="inlineStr">
        <is>
          <t>Owner</t>
        </is>
      </c>
      <c r="Z125" s="5" t="inlineStr">
        <is>
          <t>Critical</t>
        </is>
      </c>
      <c r="AA125" s="5" t="inlineStr">
        <is>
          <t>High</t>
        </is>
      </c>
      <c r="AB125" s="8" t="inlineStr">
        <is>
          <t>High</t>
        </is>
      </c>
      <c r="AC125" s="8" t="inlineStr">
        <is>
          <t>Pilot</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P1</t>
        </is>
      </c>
      <c r="AL125" s="8" t="n">
        <v>27</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P-0125</t>
        </is>
      </c>
      <c r="B126" s="8" t="inlineStr">
        <is>
          <t>P</t>
        </is>
      </c>
      <c r="C126" s="5" t="inlineStr">
        <is>
          <t>Business Owner</t>
        </is>
      </c>
      <c r="D126" s="5" t="inlineStr">
        <is>
          <t>Payments &amp; Reconciliation</t>
        </is>
      </c>
      <c r="E126" s="5" t="inlineStr">
        <is>
          <t>Monitor cash flow</t>
        </is>
      </c>
      <c r="F126" s="5" t="inlineStr">
        <is>
          <t>Business Owner</t>
        </is>
      </c>
      <c r="G126" s="5" t="inlineStr">
        <is>
          <t>Accountant</t>
        </is>
      </c>
      <c r="H126" s="5" t="inlineStr">
        <is>
          <t>30-day forward-looking cash flow forecast balancing expected customer collections vs vendor payables</t>
        </is>
      </c>
      <c r="I126" s="5" t="inlineStr">
        <is>
          <t>Projects net bank balance based on invoice due dates, scheduled payables, and recurring expenses</t>
        </is>
      </c>
      <c r="J126" s="20" t="inlineStr">
        <is>
          <t>P1</t>
        </is>
      </c>
      <c r="K126" s="20" t="inlineStr">
        <is>
          <t>Validated (Supported)</t>
        </is>
      </c>
      <c r="L126" s="5" t="inlineStr">
        <is>
          <t>Supported via CashflowForecastRun engine in insights app (/insights/cashflow/).</t>
        </is>
      </c>
      <c r="M126" s="8" t="inlineStr">
        <is>
          <t>Baseline</t>
        </is>
      </c>
      <c r="N126" s="8" t="inlineStr">
        <is>
          <t>Operational role</t>
        </is>
      </c>
      <c r="O126" s="8" t="inlineStr">
        <is>
          <t>P1</t>
        </is>
      </c>
      <c r="P126" s="5" t="inlineStr">
        <is>
          <t>Unchanged</t>
        </is>
      </c>
      <c r="Q126" s="21" t="inlineStr">
        <is>
          <t>Code symbol found</t>
        </is>
      </c>
      <c r="R126" s="5" t="inlineStr">
        <is>
          <t>Matched CashflowForecastRun in product code. This is not a functional test.</t>
        </is>
      </c>
      <c r="S126" s="8" t="inlineStr">
        <is>
          <t>PAYREC</t>
        </is>
      </c>
      <c r="T126" s="5" t="inlineStr">
        <is>
          <t>Payments and reconciliation</t>
        </is>
      </c>
      <c r="U126" s="8" t="inlineStr"/>
      <c r="V126" s="8" t="inlineStr">
        <is>
          <t>payments</t>
        </is>
      </c>
      <c r="W126" s="8" t="inlineStr">
        <is>
          <t>RUN</t>
        </is>
      </c>
      <c r="X126" s="5" t="inlineStr">
        <is>
          <t>Core</t>
        </is>
      </c>
      <c r="Y126" s="5" t="inlineStr">
        <is>
          <t>Owner</t>
        </is>
      </c>
      <c r="Z126" s="5" t="inlineStr">
        <is>
          <t>High</t>
        </is>
      </c>
      <c r="AA126" s="5" t="inlineStr">
        <is>
          <t>High</t>
        </is>
      </c>
      <c r="AB126" s="8" t="inlineStr">
        <is>
          <t>Low</t>
        </is>
      </c>
      <c r="AC126" s="8" t="inlineStr">
        <is>
          <t>Pilot</t>
        </is>
      </c>
      <c r="AD126" s="5" t="inlineStr">
        <is>
          <t>Cited in code</t>
        </is>
      </c>
      <c r="AE126" s="5" t="inlineStr">
        <is>
          <t>Not verified</t>
        </is>
      </c>
      <c r="AF126" s="5" t="inlineStr">
        <is>
          <t>Not verified</t>
        </is>
      </c>
      <c r="AG126" s="5" t="inlineStr">
        <is>
          <t>Not verified</t>
        </is>
      </c>
      <c r="AH126" s="5" t="inlineStr">
        <is>
          <t>Not verified</t>
        </is>
      </c>
      <c r="AI126" s="8" t="inlineStr">
        <is>
          <t>No</t>
        </is>
      </c>
      <c r="AJ126" s="8" t="inlineStr">
        <is>
          <t>Built - unverified</t>
        </is>
      </c>
      <c r="AK126" s="8" t="inlineStr">
        <is>
          <t>P1</t>
        </is>
      </c>
      <c r="AL126" s="8" t="n">
        <v>9</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P-0126</t>
        </is>
      </c>
      <c r="B127" s="8" t="inlineStr">
        <is>
          <t>P</t>
        </is>
      </c>
      <c r="C127" s="5" t="inlineStr">
        <is>
          <t>Business Owner</t>
        </is>
      </c>
      <c r="D127" s="5" t="inlineStr">
        <is>
          <t>Reporting &amp; Business Intelligence</t>
        </is>
      </c>
      <c r="E127" s="5" t="inlineStr">
        <is>
          <t>Review business alerts</t>
        </is>
      </c>
      <c r="F127" s="5" t="inlineStr">
        <is>
          <t>Business Owner</t>
        </is>
      </c>
      <c r="G127" s="5" t="inlineStr">
        <is>
          <t>Store Managers</t>
        </is>
      </c>
      <c r="H127" s="5" t="inlineStr">
        <is>
          <t>Central notification feed highlighting critical operational exceptions (credit breach, negative stock, refund)</t>
        </is>
      </c>
      <c r="I127" s="5" t="inlineStr">
        <is>
          <t>Surfaces high-priority BusinessAlertEvent cards requiring owner attention or intervention</t>
        </is>
      </c>
      <c r="J127" s="20" t="inlineStr">
        <is>
          <t>P1</t>
        </is>
      </c>
      <c r="K127" s="20" t="inlineStr">
        <is>
          <t>Validated (Supported)</t>
        </is>
      </c>
      <c r="L127" s="5" t="inlineStr">
        <is>
          <t>Supported via Attention / Alert Feed on Owner Home Screen.</t>
        </is>
      </c>
      <c r="M127" s="8" t="inlineStr">
        <is>
          <t>Baseline</t>
        </is>
      </c>
      <c r="N127" s="8" t="inlineStr">
        <is>
          <t>Operational role</t>
        </is>
      </c>
      <c r="O127" s="8" t="inlineStr">
        <is>
          <t>P1</t>
        </is>
      </c>
      <c r="P127" s="5" t="inlineStr">
        <is>
          <t>Unchanged</t>
        </is>
      </c>
      <c r="Q127" s="20" t="inlineStr">
        <is>
          <t>Author assertion</t>
        </is>
      </c>
      <c r="R127" s="5" t="inlineStr"/>
      <c r="S127" s="8" t="inlineStr">
        <is>
          <t>RPT</t>
        </is>
      </c>
      <c r="T127" s="5" t="inlineStr">
        <is>
          <t>Reporting and business intelligence</t>
        </is>
      </c>
      <c r="U127" s="8" t="inlineStr"/>
      <c r="V127" s="8" t="inlineStr">
        <is>
          <t>reporting</t>
        </is>
      </c>
      <c r="W127" s="8" t="inlineStr">
        <is>
          <t>CONTROL</t>
        </is>
      </c>
      <c r="X127" s="5" t="inlineStr">
        <is>
          <t>Core</t>
        </is>
      </c>
      <c r="Y127" s="5" t="inlineStr">
        <is>
          <t>Owner</t>
        </is>
      </c>
      <c r="Z127" s="5" t="inlineStr">
        <is>
          <t>Medium</t>
        </is>
      </c>
      <c r="AA127" s="5" t="inlineStr">
        <is>
          <t>Medium</t>
        </is>
      </c>
      <c r="AB127" s="8" t="inlineStr">
        <is>
          <t>Low</t>
        </is>
      </c>
      <c r="AC127" s="8" t="inlineStr">
        <is>
          <t>Pilot</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6</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P-0127</t>
        </is>
      </c>
      <c r="B128" s="8" t="inlineStr">
        <is>
          <t>P</t>
        </is>
      </c>
      <c r="C128" s="5" t="inlineStr">
        <is>
          <t>Business Owner</t>
        </is>
      </c>
      <c r="D128" s="5" t="inlineStr">
        <is>
          <t>Reporting &amp; Business Intelligence</t>
        </is>
      </c>
      <c r="E128" s="5" t="inlineStr">
        <is>
          <t>Drill down from KPI to transactions</t>
        </is>
      </c>
      <c r="F128" s="5" t="inlineStr">
        <is>
          <t>Business Owner</t>
        </is>
      </c>
      <c r="G128" s="5" t="inlineStr">
        <is>
          <t>Accountant</t>
        </is>
      </c>
      <c r="H128" s="5" t="inlineStr">
        <is>
          <t>Click on any summary KPI number (e.g. Sales, Expenses) to inspect underlying source vouchers</t>
        </is>
      </c>
      <c r="I128" s="5" t="inlineStr">
        <is>
          <t>Opens filtered transaction ledger displaying the specific invoices or journal lines composing the KPI</t>
        </is>
      </c>
      <c r="J128" s="20" t="inlineStr">
        <is>
          <t>P1</t>
        </is>
      </c>
      <c r="K128" s="20" t="inlineStr">
        <is>
          <t>Validated (Supported)</t>
        </is>
      </c>
      <c r="L128" s="5" t="inlineStr">
        <is>
          <t>Supported across all dashboard metric cards; full bidirectional transaction drill-down.</t>
        </is>
      </c>
      <c r="M128" s="8" t="inlineStr">
        <is>
          <t>Baseline</t>
        </is>
      </c>
      <c r="N128" s="8" t="inlineStr">
        <is>
          <t>Operational role</t>
        </is>
      </c>
      <c r="O128" s="8" t="inlineStr">
        <is>
          <t>P1</t>
        </is>
      </c>
      <c r="P128" s="5" t="inlineStr">
        <is>
          <t>Unchanged</t>
        </is>
      </c>
      <c r="Q128" s="20" t="inlineStr">
        <is>
          <t>Author assertion</t>
        </is>
      </c>
      <c r="R128" s="5" t="inlineStr"/>
      <c r="S128" s="8" t="inlineStr">
        <is>
          <t>RPT</t>
        </is>
      </c>
      <c r="T128" s="5" t="inlineStr">
        <is>
          <t>Reporting and business intelligence</t>
        </is>
      </c>
      <c r="U128" s="8" t="inlineStr"/>
      <c r="V128" s="8" t="inlineStr">
        <is>
          <t>reporting</t>
        </is>
      </c>
      <c r="W128" s="8" t="inlineStr">
        <is>
          <t>CONTROL</t>
        </is>
      </c>
      <c r="X128" s="5" t="inlineStr">
        <is>
          <t>Core</t>
        </is>
      </c>
      <c r="Y128" s="5" t="inlineStr">
        <is>
          <t>Owner</t>
        </is>
      </c>
      <c r="Z128" s="5" t="inlineStr">
        <is>
          <t>Medium</t>
        </is>
      </c>
      <c r="AA128" s="5" t="inlineStr">
        <is>
          <t>Medium</t>
        </is>
      </c>
      <c r="AB128" s="8" t="inlineStr">
        <is>
          <t>Low</t>
        </is>
      </c>
      <c r="AC128" s="8" t="inlineStr">
        <is>
          <t>Pilot</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P-0128</t>
        </is>
      </c>
      <c r="B129" s="8" t="inlineStr">
        <is>
          <t>P</t>
        </is>
      </c>
      <c r="C129" s="5" t="inlineStr">
        <is>
          <t>Business Owner</t>
        </is>
      </c>
      <c r="D129" s="5" t="inlineStr">
        <is>
          <t>Security / Exception / Recovery</t>
        </is>
      </c>
      <c r="E129" s="5" t="inlineStr">
        <is>
          <t>Approve important business actions</t>
        </is>
      </c>
      <c r="F129" s="5" t="inlineStr">
        <is>
          <t>Business Owner</t>
        </is>
      </c>
      <c r="G129" s="5" t="inlineStr">
        <is>
          <t>Staff Requestors</t>
        </is>
      </c>
      <c r="H129" s="5" t="inlineStr">
        <is>
          <t>Authorize sensitive actions: credit limit overrides, manual stock write-offs, discount exceptions</t>
        </is>
      </c>
      <c r="I129" s="5" t="inlineStr">
        <is>
          <t>Review pending approval queue; approve or reject with recorded digital signature and comments</t>
        </is>
      </c>
      <c r="J129" s="19" t="inlineStr">
        <is>
          <t>P0</t>
        </is>
      </c>
      <c r="K129" s="20" t="inlineStr">
        <is>
          <t>Validated (Supported)</t>
        </is>
      </c>
      <c r="L129" s="5" t="inlineStr">
        <is>
          <t>Supported via Manager Approval workflow and authorization modal prompts.</t>
        </is>
      </c>
      <c r="M129" s="8" t="inlineStr">
        <is>
          <t>Baseline</t>
        </is>
      </c>
      <c r="N129" s="8" t="inlineStr">
        <is>
          <t>Operational role</t>
        </is>
      </c>
      <c r="O129" s="8" t="inlineStr">
        <is>
          <t>P0</t>
        </is>
      </c>
      <c r="P129" s="5" t="inlineStr">
        <is>
          <t>Unchanged</t>
        </is>
      </c>
      <c r="Q129" s="20" t="inlineStr">
        <is>
          <t>Author assertion</t>
        </is>
      </c>
      <c r="R129" s="5" t="inlineStr"/>
      <c r="S129" s="8" t="inlineStr">
        <is>
          <t>OTHER</t>
        </is>
      </c>
      <c r="T129" s="5" t="inlineStr">
        <is>
          <t>Security / Exception / Recovery</t>
        </is>
      </c>
      <c r="U129" s="8" t="inlineStr"/>
      <c r="V129" s="8" t="inlineStr"/>
      <c r="W129" s="8" t="inlineStr">
        <is>
          <t>CONTROL</t>
        </is>
      </c>
      <c r="X129" s="5" t="inlineStr">
        <is>
          <t>Core</t>
        </is>
      </c>
      <c r="Y129" s="5" t="inlineStr">
        <is>
          <t>Owner</t>
        </is>
      </c>
      <c r="Z129" s="5" t="inlineStr">
        <is>
          <t>High</t>
        </is>
      </c>
      <c r="AA129" s="5" t="inlineStr">
        <is>
          <t>Medium</t>
        </is>
      </c>
      <c r="AB129" s="8" t="inlineStr">
        <is>
          <t>Medium</t>
        </is>
      </c>
      <c r="AC129" s="8" t="inlineStr">
        <is>
          <t>MVP</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P0</t>
        </is>
      </c>
      <c r="AL129" s="8" t="n">
        <v>12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P-0129</t>
        </is>
      </c>
      <c r="B130" s="8" t="inlineStr">
        <is>
          <t>P</t>
        </is>
      </c>
      <c r="C130" s="5" t="inlineStr">
        <is>
          <t>Salesperson</t>
        </is>
      </c>
      <c r="D130" s="5" t="inlineStr">
        <is>
          <t>Sales / CRM / Customer Lifecycle</t>
        </is>
      </c>
      <c r="E130" s="5" t="inlineStr">
        <is>
          <t>Create a customer/order</t>
        </is>
      </c>
      <c r="F130" s="5" t="inlineStr">
        <is>
          <t>Field Salesperson</t>
        </is>
      </c>
      <c r="G130" s="5" t="inlineStr">
        <is>
          <t>Retailer / Dealer</t>
        </is>
      </c>
      <c r="H130" s="5" t="inlineStr">
        <is>
          <t>Book sales order while visiting retailer premises using mobile phone or tablet</t>
        </is>
      </c>
      <c r="I130" s="5" t="inlineStr">
        <is>
          <t>Creates SalesOrder draft with customer pricing, items, and delivery instructions; syncs to server</t>
        </is>
      </c>
      <c r="J130" s="20" t="inlineStr">
        <is>
          <t>P1</t>
        </is>
      </c>
      <c r="K130" s="20" t="inlineStr">
        <is>
          <t>Validated (Supported)</t>
        </is>
      </c>
      <c r="L130" s="5" t="inlineStr">
        <is>
          <t>Supported via Mobile PWA / Capacitor Android app (/sales/orders/create).</t>
        </is>
      </c>
      <c r="M130" s="8" t="inlineStr">
        <is>
          <t>Baseline</t>
        </is>
      </c>
      <c r="N130" s="8" t="inlineStr">
        <is>
          <t>Operational role</t>
        </is>
      </c>
      <c r="O130" s="8" t="inlineStr">
        <is>
          <t>P1</t>
        </is>
      </c>
      <c r="P130" s="5" t="inlineStr">
        <is>
          <t>Unchanged</t>
        </is>
      </c>
      <c r="Q130" s="20" t="inlineStr">
        <is>
          <t>Author assertion</t>
        </is>
      </c>
      <c r="R130" s="5" t="inlineStr"/>
      <c r="S130" s="8" t="inlineStr">
        <is>
          <t>CRM</t>
        </is>
      </c>
      <c r="T130" s="5" t="inlineStr">
        <is>
          <t>Sales and CRM lifecycle</t>
        </is>
      </c>
      <c r="U130" s="8" t="inlineStr"/>
      <c r="V130" s="8" t="inlineStr">
        <is>
          <t>crm</t>
        </is>
      </c>
      <c r="W130" s="8" t="inlineStr">
        <is>
          <t>GROW</t>
        </is>
      </c>
      <c r="X130" s="5" t="inlineStr">
        <is>
          <t>Core</t>
        </is>
      </c>
      <c r="Y130" s="5" t="inlineStr">
        <is>
          <t>Sales</t>
        </is>
      </c>
      <c r="Z130" s="5" t="inlineStr">
        <is>
          <t>Medium</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6</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P-0130</t>
        </is>
      </c>
      <c r="B131" s="8" t="inlineStr">
        <is>
          <t>P</t>
        </is>
      </c>
      <c r="C131" s="5" t="inlineStr">
        <is>
          <t>Salesperson</t>
        </is>
      </c>
      <c r="D131" s="5" t="inlineStr">
        <is>
          <t>Sales / CRM / Customer Lifecycle</t>
        </is>
      </c>
      <c r="E131" s="5" t="inlineStr">
        <is>
          <t>Search customer history</t>
        </is>
      </c>
      <c r="F131" s="5" t="inlineStr">
        <is>
          <t>Field Salesperson</t>
        </is>
      </c>
      <c r="G131" s="5" t="inlineStr">
        <is>
          <t>Retailer</t>
        </is>
      </c>
      <c r="H131" s="5" t="inlineStr">
        <is>
          <t>View customer's past orders, favorite products, and payment track record before negotiating</t>
        </is>
      </c>
      <c r="I131" s="5" t="inlineStr">
        <is>
          <t>Displays historical order timeline, average order value, and preferred SKUs</t>
        </is>
      </c>
      <c r="J131" s="20" t="inlineStr">
        <is>
          <t>P1</t>
        </is>
      </c>
      <c r="K131" s="20" t="inlineStr">
        <is>
          <t>Validated (Supported)</t>
        </is>
      </c>
      <c r="L131" s="5" t="inlineStr">
        <is>
          <t>Supported via Customer 360 profile view on mobile sales interface.</t>
        </is>
      </c>
      <c r="M131" s="8" t="inlineStr">
        <is>
          <t>Baseline</t>
        </is>
      </c>
      <c r="N131" s="8" t="inlineStr">
        <is>
          <t>Operational role</t>
        </is>
      </c>
      <c r="O131" s="8" t="inlineStr">
        <is>
          <t>P1</t>
        </is>
      </c>
      <c r="P131" s="5" t="inlineStr">
        <is>
          <t>Unchanged</t>
        </is>
      </c>
      <c r="Q131" s="20" t="inlineStr">
        <is>
          <t>Author assertion</t>
        </is>
      </c>
      <c r="R131" s="5" t="inlineStr"/>
      <c r="S131" s="8" t="inlineStr">
        <is>
          <t>CRM</t>
        </is>
      </c>
      <c r="T131" s="5" t="inlineStr">
        <is>
          <t>Sales and CRM lifecycle</t>
        </is>
      </c>
      <c r="U131" s="8" t="inlineStr"/>
      <c r="V131" s="8" t="inlineStr">
        <is>
          <t>crm</t>
        </is>
      </c>
      <c r="W131" s="8" t="inlineStr">
        <is>
          <t>GROW</t>
        </is>
      </c>
      <c r="X131" s="5" t="inlineStr">
        <is>
          <t>Core</t>
        </is>
      </c>
      <c r="Y131" s="5" t="inlineStr">
        <is>
          <t>Sales</t>
        </is>
      </c>
      <c r="Z131" s="5" t="inlineStr">
        <is>
          <t>Medium</t>
        </is>
      </c>
      <c r="AA131" s="5" t="inlineStr">
        <is>
          <t>Medium</t>
        </is>
      </c>
      <c r="AB131" s="8" t="inlineStr">
        <is>
          <t>Low</t>
        </is>
      </c>
      <c r="AC131" s="8" t="inlineStr">
        <is>
          <t>Later</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P1</t>
        </is>
      </c>
      <c r="AL131" s="8" t="n">
        <v>6</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P-0131</t>
        </is>
      </c>
      <c r="B132" s="8" t="inlineStr">
        <is>
          <t>P</t>
        </is>
      </c>
      <c r="C132" s="5" t="inlineStr">
        <is>
          <t>Salesperson</t>
        </is>
      </c>
      <c r="D132" s="5" t="inlineStr">
        <is>
          <t>Sales / CRM / Customer Lifecycle</t>
        </is>
      </c>
      <c r="E132" s="5" t="inlineStr">
        <is>
          <t>Create a quotation</t>
        </is>
      </c>
      <c r="F132" s="5" t="inlineStr">
        <is>
          <t>Salesperson</t>
        </is>
      </c>
      <c r="G132" s="5" t="inlineStr">
        <is>
          <t>Prospective B2B Client</t>
        </is>
      </c>
      <c r="H132" s="5" t="inlineStr">
        <is>
          <t>Generate professional quotation PDF with itemized prices, validity period, and payment terms</t>
        </is>
      </c>
      <c r="I132" s="5" t="inlineStr">
        <is>
          <t>Creates Quotation record; computes applicable taxes and discounts; generates shareable PDF</t>
        </is>
      </c>
      <c r="J132" s="20" t="inlineStr">
        <is>
          <t>P1</t>
        </is>
      </c>
      <c r="K132" s="20" t="inlineStr">
        <is>
          <t>Validated (Supported)</t>
        </is>
      </c>
      <c r="L132" s="5" t="inlineStr">
        <is>
          <t>Supported via /sales/quotations/create with WhatsApp share button.</t>
        </is>
      </c>
      <c r="M132" s="8" t="inlineStr">
        <is>
          <t>Baseline</t>
        </is>
      </c>
      <c r="N132" s="8" t="inlineStr">
        <is>
          <t>Operational role</t>
        </is>
      </c>
      <c r="O132" s="8" t="inlineStr">
        <is>
          <t>P1</t>
        </is>
      </c>
      <c r="P132" s="5" t="inlineStr">
        <is>
          <t>Unchanged</t>
        </is>
      </c>
      <c r="Q132" s="21" t="inlineStr">
        <is>
          <t>Code symbol found</t>
        </is>
      </c>
      <c r="R132" s="5" t="inlineStr">
        <is>
          <t>Matched WhatsApp in product code. This is not a functional test.</t>
        </is>
      </c>
      <c r="S132" s="8" t="inlineStr">
        <is>
          <t>CRM</t>
        </is>
      </c>
      <c r="T132" s="5" t="inlineStr">
        <is>
          <t>Sales and CRM lifecycle</t>
        </is>
      </c>
      <c r="U132" s="8" t="inlineStr"/>
      <c r="V132" s="8" t="inlineStr">
        <is>
          <t>crm</t>
        </is>
      </c>
      <c r="W132" s="8" t="inlineStr">
        <is>
          <t>GROW</t>
        </is>
      </c>
      <c r="X132" s="5" t="inlineStr">
        <is>
          <t>Core</t>
        </is>
      </c>
      <c r="Y132" s="5" t="inlineStr">
        <is>
          <t>Sales</t>
        </is>
      </c>
      <c r="Z132" s="5" t="inlineStr">
        <is>
          <t>Medium</t>
        </is>
      </c>
      <c r="AA132" s="5" t="inlineStr">
        <is>
          <t>Medium</t>
        </is>
      </c>
      <c r="AB132" s="8" t="inlineStr">
        <is>
          <t>Low</t>
        </is>
      </c>
      <c r="AC132" s="8" t="inlineStr">
        <is>
          <t>Later</t>
        </is>
      </c>
      <c r="AD132" s="5" t="inlineStr">
        <is>
          <t>Cited in code</t>
        </is>
      </c>
      <c r="AE132" s="5" t="inlineStr">
        <is>
          <t>Not verified</t>
        </is>
      </c>
      <c r="AF132" s="5" t="inlineStr">
        <is>
          <t>Not verified</t>
        </is>
      </c>
      <c r="AG132" s="5" t="inlineStr">
        <is>
          <t>Not verified</t>
        </is>
      </c>
      <c r="AH132" s="5" t="inlineStr">
        <is>
          <t>Not verified</t>
        </is>
      </c>
      <c r="AI132" s="8" t="inlineStr">
        <is>
          <t>No</t>
        </is>
      </c>
      <c r="AJ132" s="8" t="inlineStr">
        <is>
          <t>Built - unverified</t>
        </is>
      </c>
      <c r="AK132" s="8" t="inlineStr">
        <is>
          <t>P1</t>
        </is>
      </c>
      <c r="AL132" s="8" t="n">
        <v>6</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P-0132</t>
        </is>
      </c>
      <c r="B133" s="8" t="inlineStr">
        <is>
          <t>P</t>
        </is>
      </c>
      <c r="C133" s="5" t="inlineStr">
        <is>
          <t>Salesperson</t>
        </is>
      </c>
      <c r="D133" s="5" t="inlineStr">
        <is>
          <t>Sales / CRM / Customer Lifecycle</t>
        </is>
      </c>
      <c r="E133" s="5" t="inlineStr">
        <is>
          <t>Convert quotation into an order</t>
        </is>
      </c>
      <c r="F133" s="5" t="inlineStr">
        <is>
          <t>Salesperson</t>
        </is>
      </c>
      <c r="G133" s="5" t="inlineStr">
        <is>
          <t>Customer</t>
        </is>
      </c>
      <c r="H133" s="5" t="inlineStr">
        <is>
          <t>One-click conversion of accepted quotation into an active sales order without re-typing</t>
        </is>
      </c>
      <c r="I133" s="5" t="inlineStr">
        <is>
          <t>Clones Quotation items into SalesOrder, marks quotation as CONVERTED, reserves inventory</t>
        </is>
      </c>
      <c r="J133" s="20" t="inlineStr">
        <is>
          <t>P1</t>
        </is>
      </c>
      <c r="K133" s="20" t="inlineStr">
        <is>
          <t>Validated (Supported)</t>
        </is>
      </c>
      <c r="L133" s="5" t="inlineStr">
        <is>
          <t>Supported via Quotation 'Convert to Order' action in Quotation detail view.</t>
        </is>
      </c>
      <c r="M133" s="8" t="inlineStr">
        <is>
          <t>Baseline</t>
        </is>
      </c>
      <c r="N133" s="8" t="inlineStr">
        <is>
          <t>Operational role</t>
        </is>
      </c>
      <c r="O133" s="8" t="inlineStr">
        <is>
          <t>P1</t>
        </is>
      </c>
      <c r="P133" s="5" t="inlineStr">
        <is>
          <t>Unchanged</t>
        </is>
      </c>
      <c r="Q133" s="20" t="inlineStr">
        <is>
          <t>Author assertion</t>
        </is>
      </c>
      <c r="R133" s="5" t="inlineStr"/>
      <c r="S133" s="8" t="inlineStr">
        <is>
          <t>CRM</t>
        </is>
      </c>
      <c r="T133" s="5" t="inlineStr">
        <is>
          <t>Sales and CRM lifecycle</t>
        </is>
      </c>
      <c r="U133" s="8" t="inlineStr"/>
      <c r="V133" s="8" t="inlineStr">
        <is>
          <t>crm</t>
        </is>
      </c>
      <c r="W133" s="8" t="inlineStr">
        <is>
          <t>GROW</t>
        </is>
      </c>
      <c r="X133" s="5" t="inlineStr">
        <is>
          <t>Core</t>
        </is>
      </c>
      <c r="Y133" s="5" t="inlineStr">
        <is>
          <t>Sales</t>
        </is>
      </c>
      <c r="Z133" s="5" t="inlineStr">
        <is>
          <t>Medium</t>
        </is>
      </c>
      <c r="AA133" s="5" t="inlineStr">
        <is>
          <t>Medium</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P1</t>
        </is>
      </c>
      <c r="AL133" s="8" t="n">
        <v>6</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P-0133</t>
        </is>
      </c>
      <c r="B134" s="8" t="inlineStr">
        <is>
          <t>P</t>
        </is>
      </c>
      <c r="C134" s="5" t="inlineStr">
        <is>
          <t>Salesperson</t>
        </is>
      </c>
      <c r="D134" s="5" t="inlineStr">
        <is>
          <t>Inventory Lifecycle</t>
        </is>
      </c>
      <c r="E134" s="5" t="inlineStr">
        <is>
          <t>Check product availability</t>
        </is>
      </c>
      <c r="F134" s="5" t="inlineStr">
        <is>
          <t>Salesperson</t>
        </is>
      </c>
      <c r="G134" s="5" t="inlineStr">
        <is>
          <t>Godown Keeper</t>
        </is>
      </c>
      <c r="H134" s="5" t="inlineStr">
        <is>
          <t>Check real-time warehouse available-to-promise (ATP) stock before confirming delivery dates</t>
        </is>
      </c>
      <c r="I134" s="5" t="inlineStr">
        <is>
          <t>Queries central stock balance deducting currently reserved customer orders</t>
        </is>
      </c>
      <c r="J134" s="19" t="inlineStr">
        <is>
          <t>P0</t>
        </is>
      </c>
      <c r="K134" s="20" t="inlineStr">
        <is>
          <t>Validated (Supported)</t>
        </is>
      </c>
      <c r="L134" s="5" t="inlineStr">
        <is>
          <t>Supported on mobile sales screen with instant SKU stock check.</t>
        </is>
      </c>
      <c r="M134" s="8" t="inlineStr">
        <is>
          <t>Baseline</t>
        </is>
      </c>
      <c r="N134" s="8" t="inlineStr">
        <is>
          <t>Operational role</t>
        </is>
      </c>
      <c r="O134" s="8" t="inlineStr">
        <is>
          <t>P0</t>
        </is>
      </c>
      <c r="P134" s="5" t="inlineStr">
        <is>
          <t>Unchanged</t>
        </is>
      </c>
      <c r="Q134" s="20" t="inlineStr">
        <is>
          <t>Author assertion</t>
        </is>
      </c>
      <c r="R134" s="5" t="inlineStr"/>
      <c r="S134" s="8" t="inlineStr">
        <is>
          <t>INV</t>
        </is>
      </c>
      <c r="T134" s="5" t="inlineStr">
        <is>
          <t>Inventory lifecycle</t>
        </is>
      </c>
      <c r="U134" s="8" t="inlineStr"/>
      <c r="V134" s="8" t="inlineStr">
        <is>
          <t>inventory</t>
        </is>
      </c>
      <c r="W134" s="8" t="inlineStr">
        <is>
          <t>RUN</t>
        </is>
      </c>
      <c r="X134" s="5" t="inlineStr">
        <is>
          <t>Core</t>
        </is>
      </c>
      <c r="Y134" s="5" t="inlineStr">
        <is>
          <t>Sales</t>
        </is>
      </c>
      <c r="Z134" s="5" t="inlineStr">
        <is>
          <t>High</t>
        </is>
      </c>
      <c r="AA134" s="5" t="inlineStr">
        <is>
          <t>High</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9</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P-0134</t>
        </is>
      </c>
      <c r="B135" s="8" t="inlineStr">
        <is>
          <t>P</t>
        </is>
      </c>
      <c r="C135" s="5" t="inlineStr">
        <is>
          <t>Salesperson</t>
        </is>
      </c>
      <c r="D135" s="5" t="inlineStr">
        <is>
          <t>Sales / CRM / Customer Lifecycle</t>
        </is>
      </c>
      <c r="E135" s="5" t="inlineStr">
        <is>
          <t>Record customer follow-up</t>
        </is>
      </c>
      <c r="F135" s="5" t="inlineStr">
        <is>
          <t>Salesperson</t>
        </is>
      </c>
      <c r="G135" s="5" t="inlineStr">
        <is>
          <t>Customer</t>
        </is>
      </c>
      <c r="H135" s="5" t="inlineStr">
        <is>
          <t>Log meeting notes, scheduled calls, and follow-up reminders for open quotations</t>
        </is>
      </c>
      <c r="I135" s="5" t="inlineStr">
        <is>
          <t>Creates CRM activity log attached to customer account; sets calendar reminder</t>
        </is>
      </c>
      <c r="J135" s="22" t="inlineStr">
        <is>
          <t>P2</t>
        </is>
      </c>
      <c r="K135" s="20" t="inlineStr">
        <is>
          <t>Validated (Supported)</t>
        </is>
      </c>
      <c r="L135" s="5" t="inlineStr">
        <is>
          <t>Supported via CRM interaction log (/crm/activities/).</t>
        </is>
      </c>
      <c r="M135" s="8" t="inlineStr">
        <is>
          <t>Baseline</t>
        </is>
      </c>
      <c r="N135" s="8" t="inlineStr">
        <is>
          <t>Operational role</t>
        </is>
      </c>
      <c r="O135" s="8" t="inlineStr">
        <is>
          <t>P2</t>
        </is>
      </c>
      <c r="P135" s="5" t="inlineStr">
        <is>
          <t>Unchanged</t>
        </is>
      </c>
      <c r="Q135" s="20" t="inlineStr">
        <is>
          <t>Author assertion</t>
        </is>
      </c>
      <c r="R135" s="5" t="inlineStr"/>
      <c r="S135" s="8" t="inlineStr">
        <is>
          <t>CRM</t>
        </is>
      </c>
      <c r="T135" s="5" t="inlineStr">
        <is>
          <t>Sales and CRM lifecycle</t>
        </is>
      </c>
      <c r="U135" s="8" t="inlineStr"/>
      <c r="V135" s="8" t="inlineStr">
        <is>
          <t>crm</t>
        </is>
      </c>
      <c r="W135" s="8" t="inlineStr">
        <is>
          <t>GROW</t>
        </is>
      </c>
      <c r="X135" s="5" t="inlineStr">
        <is>
          <t>Core</t>
        </is>
      </c>
      <c r="Y135" s="5" t="inlineStr">
        <is>
          <t>Sales</t>
        </is>
      </c>
      <c r="Z135" s="5" t="inlineStr">
        <is>
          <t>Medium</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P2</t>
        </is>
      </c>
      <c r="AL135" s="8" t="n">
        <v>6</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P-0135</t>
        </is>
      </c>
      <c r="B136" s="8" t="inlineStr">
        <is>
          <t>P</t>
        </is>
      </c>
      <c r="C136" s="5" t="inlineStr">
        <is>
          <t>Salesperson</t>
        </is>
      </c>
      <c r="D136" s="5" t="inlineStr">
        <is>
          <t>Customer-to-Cash</t>
        </is>
      </c>
      <c r="E136" s="5" t="inlineStr">
        <is>
          <t>Track pending orders</t>
        </is>
      </c>
      <c r="F136" s="5" t="inlineStr">
        <is>
          <t>Salesperson</t>
        </is>
      </c>
      <c r="G136" s="5" t="inlineStr">
        <is>
          <t>Customer</t>
        </is>
      </c>
      <c r="H136" s="5" t="inlineStr">
        <is>
          <t>Track dispatch and delivery progress of booked customer orders to update clients</t>
        </is>
      </c>
      <c r="I136" s="5" t="inlineStr">
        <is>
          <t>Displays order fulfillment status (CONFIRMED, PICKED, DISPATCHED, DELIVERED)</t>
        </is>
      </c>
      <c r="J136" s="20" t="inlineStr">
        <is>
          <t>P1</t>
        </is>
      </c>
      <c r="K136" s="20" t="inlineStr">
        <is>
          <t>Validated (Supported)</t>
        </is>
      </c>
      <c r="L136" s="5" t="inlineStr">
        <is>
          <t>Supported in mobile order dashboard with status tracking badges.</t>
        </is>
      </c>
      <c r="M136" s="8" t="inlineStr">
        <is>
          <t>Baseline</t>
        </is>
      </c>
      <c r="N136" s="8" t="inlineStr">
        <is>
          <t>Operational role</t>
        </is>
      </c>
      <c r="O136" s="8" t="inlineStr">
        <is>
          <t>P1</t>
        </is>
      </c>
      <c r="P136" s="5" t="inlineStr">
        <is>
          <t>Unchanged</t>
        </is>
      </c>
      <c r="Q136" s="20" t="inlineStr">
        <is>
          <t>Author assertion</t>
        </is>
      </c>
      <c r="R136" s="5" t="inlineStr"/>
      <c r="S136" s="8" t="inlineStr">
        <is>
          <t>C2C</t>
        </is>
      </c>
      <c r="T136" s="5" t="inlineStr">
        <is>
          <t>Customer to cash</t>
        </is>
      </c>
      <c r="U136" s="8" t="inlineStr"/>
      <c r="V136" s="8" t="inlineStr">
        <is>
          <t>sales</t>
        </is>
      </c>
      <c r="W136" s="8" t="inlineStr">
        <is>
          <t>RUN</t>
        </is>
      </c>
      <c r="X136" s="5" t="inlineStr">
        <is>
          <t>Core</t>
        </is>
      </c>
      <c r="Y136" s="5" t="inlineStr">
        <is>
          <t>Sales</t>
        </is>
      </c>
      <c r="Z136" s="5" t="inlineStr">
        <is>
          <t>Medium</t>
        </is>
      </c>
      <c r="AA136" s="5" t="inlineStr">
        <is>
          <t>Medium</t>
        </is>
      </c>
      <c r="AB136" s="8" t="inlineStr">
        <is>
          <t>Low</t>
        </is>
      </c>
      <c r="AC136" s="8" t="inlineStr">
        <is>
          <t>Pilot</t>
        </is>
      </c>
      <c r="AD136" s="5" t="inlineStr">
        <is>
          <t>Not independently checked</t>
        </is>
      </c>
      <c r="AE136" s="5" t="inlineStr">
        <is>
          <t>Not verified</t>
        </is>
      </c>
      <c r="AF136" s="5" t="inlineStr">
        <is>
          <t>Not verified</t>
        </is>
      </c>
      <c r="AG136" s="5" t="inlineStr">
        <is>
          <t>Not verified</t>
        </is>
      </c>
      <c r="AH136" s="5" t="inlineStr">
        <is>
          <t>Not verified</t>
        </is>
      </c>
      <c r="AI136" s="8" t="inlineStr">
        <is>
          <t>No</t>
        </is>
      </c>
      <c r="AJ136" s="8" t="inlineStr">
        <is>
          <t>Claimed - unverified</t>
        </is>
      </c>
      <c r="AK136" s="8" t="inlineStr">
        <is>
          <t>P1</t>
        </is>
      </c>
      <c r="AL136" s="8" t="n">
        <v>6</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P-0136</t>
        </is>
      </c>
      <c r="B137" s="8" t="inlineStr">
        <is>
          <t>P</t>
        </is>
      </c>
      <c r="C137" s="5" t="inlineStr">
        <is>
          <t>Salesperson</t>
        </is>
      </c>
      <c r="D137" s="5" t="inlineStr">
        <is>
          <t>Receivables &amp; Payables</t>
        </is>
      </c>
      <c r="E137" s="5" t="inlineStr">
        <is>
          <t>Record customer payment</t>
        </is>
      </c>
      <c r="F137" s="5" t="inlineStr">
        <is>
          <t>Salesperson</t>
        </is>
      </c>
      <c r="G137" s="5" t="inlineStr">
        <is>
          <t>Customer / Cashier</t>
        </is>
      </c>
      <c r="H137" s="5" t="inlineStr">
        <is>
          <t>Collect on-site cash, cheque, or initiate UPI QR payment from customer during field visit</t>
        </is>
      </c>
      <c r="I137" s="5" t="inlineStr">
        <is>
          <t>Creates payment collection receipt; updates customer outstanding subject to cashier verification</t>
        </is>
      </c>
      <c r="J137" s="20" t="inlineStr">
        <is>
          <t>P1</t>
        </is>
      </c>
      <c r="K137" s="20" t="inlineStr">
        <is>
          <t>Validated (Supported)</t>
        </is>
      </c>
      <c r="L137" s="5" t="inlineStr">
        <is>
          <t>Supported via Mobile Payment Collection screen with receipt issuance.</t>
        </is>
      </c>
      <c r="M137" s="8" t="inlineStr">
        <is>
          <t>Baseline</t>
        </is>
      </c>
      <c r="N137" s="8" t="inlineStr">
        <is>
          <t>Operational role</t>
        </is>
      </c>
      <c r="O137" s="8" t="inlineStr">
        <is>
          <t>P1</t>
        </is>
      </c>
      <c r="P137" s="5" t="inlineStr">
        <is>
          <t>Unchanged</t>
        </is>
      </c>
      <c r="Q137" s="20" t="inlineStr">
        <is>
          <t>Author assertion</t>
        </is>
      </c>
      <c r="R137" s="5" t="inlineStr"/>
      <c r="S137" s="8" t="inlineStr">
        <is>
          <t>ARAP</t>
        </is>
      </c>
      <c r="T137" s="5" t="inlineStr">
        <is>
          <t>Receivables and payables</t>
        </is>
      </c>
      <c r="U137" s="8" t="inlineStr"/>
      <c r="V137" s="8" t="inlineStr">
        <is>
          <t>ledgers</t>
        </is>
      </c>
      <c r="W137" s="8" t="inlineStr">
        <is>
          <t>CONTROL</t>
        </is>
      </c>
      <c r="X137" s="5" t="inlineStr">
        <is>
          <t>Core</t>
        </is>
      </c>
      <c r="Y137" s="5" t="inlineStr">
        <is>
          <t>Sales</t>
        </is>
      </c>
      <c r="Z137" s="5" t="inlineStr">
        <is>
          <t>Critical</t>
        </is>
      </c>
      <c r="AA137" s="5" t="inlineStr">
        <is>
          <t>High</t>
        </is>
      </c>
      <c r="AB137" s="8" t="inlineStr">
        <is>
          <t>Medium</t>
        </is>
      </c>
      <c r="AC137" s="8" t="inlineStr">
        <is>
          <t>Pilot</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P1</t>
        </is>
      </c>
      <c r="AL137" s="8" t="n">
        <v>18</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P-0137</t>
        </is>
      </c>
      <c r="B138" s="8" t="inlineStr">
        <is>
          <t>P</t>
        </is>
      </c>
      <c r="C138" s="5" t="inlineStr">
        <is>
          <t>Salesperson</t>
        </is>
      </c>
      <c r="D138" s="5" t="inlineStr">
        <is>
          <t>Receivables &amp; Payables</t>
        </is>
      </c>
      <c r="E138" s="5" t="inlineStr">
        <is>
          <t>View customer outstanding</t>
        </is>
      </c>
      <c r="F138" s="5" t="inlineStr">
        <is>
          <t>Salesperson</t>
        </is>
      </c>
      <c r="G138" s="5" t="inlineStr">
        <is>
          <t>Customer</t>
        </is>
      </c>
      <c r="H138" s="5" t="inlineStr">
        <is>
          <t>Check retailer's current unpaid balance and available credit limit before accepting new order</t>
        </is>
      </c>
      <c r="I138" s="5" t="inlineStr">
        <is>
          <t>Displays total balance, overdue aging, and remaining credit buffer</t>
        </is>
      </c>
      <c r="J138" s="20" t="inlineStr">
        <is>
          <t>P1</t>
        </is>
      </c>
      <c r="K138" s="20" t="inlineStr">
        <is>
          <t>Validated (Supported)</t>
        </is>
      </c>
      <c r="L138" s="5" t="inlineStr">
        <is>
          <t>Supported on customer card in mobile sales booking flow.</t>
        </is>
      </c>
      <c r="M138" s="8" t="inlineStr">
        <is>
          <t>Baseline</t>
        </is>
      </c>
      <c r="N138" s="8" t="inlineStr">
        <is>
          <t>Operational role</t>
        </is>
      </c>
      <c r="O138" s="8" t="inlineStr">
        <is>
          <t>P1</t>
        </is>
      </c>
      <c r="P138" s="5" t="inlineStr">
        <is>
          <t>Restored to authored P1. The previous workbook had P0 after a keyword rebalance.</t>
        </is>
      </c>
      <c r="Q138" s="20" t="inlineStr">
        <is>
          <t>Author assertion</t>
        </is>
      </c>
      <c r="R138" s="5" t="inlineStr">
        <is>
          <t>Restored to authored P1. The previous workbook had P0 after a keyword rebalance.</t>
        </is>
      </c>
      <c r="S138" s="8" t="inlineStr">
        <is>
          <t>ARAP</t>
        </is>
      </c>
      <c r="T138" s="5" t="inlineStr">
        <is>
          <t>Receivables and payables</t>
        </is>
      </c>
      <c r="U138" s="8" t="inlineStr"/>
      <c r="V138" s="8" t="inlineStr">
        <is>
          <t>ledgers</t>
        </is>
      </c>
      <c r="W138" s="8" t="inlineStr">
        <is>
          <t>CONTROL</t>
        </is>
      </c>
      <c r="X138" s="5" t="inlineStr">
        <is>
          <t>Core</t>
        </is>
      </c>
      <c r="Y138" s="5" t="inlineStr">
        <is>
          <t>Sales</t>
        </is>
      </c>
      <c r="Z138" s="5" t="inlineStr">
        <is>
          <t>Critical</t>
        </is>
      </c>
      <c r="AA138" s="5" t="inlineStr">
        <is>
          <t>High</t>
        </is>
      </c>
      <c r="AB138" s="8" t="inlineStr">
        <is>
          <t>Medium</t>
        </is>
      </c>
      <c r="AC138" s="8" t="inlineStr">
        <is>
          <t>Pilot</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18</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P-0138</t>
        </is>
      </c>
      <c r="B139" s="8" t="inlineStr">
        <is>
          <t>P</t>
        </is>
      </c>
      <c r="C139" s="5" t="inlineStr">
        <is>
          <t>Salesperson</t>
        </is>
      </c>
      <c r="D139" s="5" t="inlineStr">
        <is>
          <t>Reporting &amp; Business Intelligence</t>
        </is>
      </c>
      <c r="E139" s="5" t="inlineStr">
        <is>
          <t>Track sales performance</t>
        </is>
      </c>
      <c r="F139" s="5" t="inlineStr">
        <is>
          <t>Salesperson</t>
        </is>
      </c>
      <c r="G139" s="5" t="inlineStr">
        <is>
          <t>Sales Manager</t>
        </is>
      </c>
      <c r="H139" s="5" t="inlineStr">
        <is>
          <t>Track personal monthly sales achievement against assigned sales quota and commission target</t>
        </is>
      </c>
      <c r="I139" s="5" t="inlineStr">
        <is>
          <t>Computes personal sales volume, order count, and gross margin contribution for the month</t>
        </is>
      </c>
      <c r="J139" s="22" t="inlineStr">
        <is>
          <t>P2</t>
        </is>
      </c>
      <c r="K139" s="20" t="inlineStr">
        <is>
          <t>Validated (Supported)</t>
        </is>
      </c>
      <c r="L139" s="5" t="inlineStr">
        <is>
          <t>Supported via Sales Rep Performance Leaderboard (/reports/sales-team/).</t>
        </is>
      </c>
      <c r="M139" s="8" t="inlineStr">
        <is>
          <t>Baseline</t>
        </is>
      </c>
      <c r="N139" s="8" t="inlineStr">
        <is>
          <t>Operational role</t>
        </is>
      </c>
      <c r="O139" s="8" t="inlineStr">
        <is>
          <t>P2</t>
        </is>
      </c>
      <c r="P139" s="5" t="inlineStr">
        <is>
          <t>Restored to authored P2. The previous workbook had P3 after a keyword rebalance.</t>
        </is>
      </c>
      <c r="Q139" s="20" t="inlineStr">
        <is>
          <t>Author assertion</t>
        </is>
      </c>
      <c r="R139" s="5" t="inlineStr">
        <is>
          <t>Restored to authored P2. The previous workbook had P3 after a keyword rebalance.</t>
        </is>
      </c>
      <c r="S139" s="8" t="inlineStr">
        <is>
          <t>RPT</t>
        </is>
      </c>
      <c r="T139" s="5" t="inlineStr">
        <is>
          <t>Reporting and business intelligence</t>
        </is>
      </c>
      <c r="U139" s="8" t="inlineStr"/>
      <c r="V139" s="8" t="inlineStr">
        <is>
          <t>reporting</t>
        </is>
      </c>
      <c r="W139" s="8" t="inlineStr">
        <is>
          <t>CONTROL</t>
        </is>
      </c>
      <c r="X139" s="5" t="inlineStr">
        <is>
          <t>Core</t>
        </is>
      </c>
      <c r="Y139" s="5" t="inlineStr">
        <is>
          <t>Sales</t>
        </is>
      </c>
      <c r="Z139" s="5" t="inlineStr">
        <is>
          <t>Medium</t>
        </is>
      </c>
      <c r="AA139" s="5" t="inlineStr">
        <is>
          <t>Medium</t>
        </is>
      </c>
      <c r="AB139" s="8" t="inlineStr">
        <is>
          <t>Low</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P2</t>
        </is>
      </c>
      <c r="AL139" s="8" t="n">
        <v>6</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P-0139</t>
        </is>
      </c>
      <c r="B140" s="8" t="inlineStr">
        <is>
          <t>P</t>
        </is>
      </c>
      <c r="C140" s="5" t="inlineStr">
        <is>
          <t>Purchase Manager</t>
        </is>
      </c>
      <c r="D140" s="5" t="inlineStr">
        <is>
          <t>Procure-to-Pay</t>
        </is>
      </c>
      <c r="E140" s="5" t="inlineStr">
        <is>
          <t>Create a purchase order</t>
        </is>
      </c>
      <c r="F140" s="5" t="inlineStr">
        <is>
          <t>Purchase Manager</t>
        </is>
      </c>
      <c r="G140" s="5" t="inlineStr">
        <is>
          <t>Supplier / Manufacturer</t>
        </is>
      </c>
      <c r="H140" s="5" t="inlineStr">
        <is>
          <t>Generate formal Purchase Order (PO) with negotiated rates, delivery dates, and payment credit terms</t>
        </is>
      </c>
      <c r="I140" s="5" t="inlineStr">
        <is>
          <t>Creates PurchaseOrder document; records line items, taxes, and agreed shipping terms</t>
        </is>
      </c>
      <c r="J140" s="20" t="inlineStr">
        <is>
          <t>P1</t>
        </is>
      </c>
      <c r="K140" s="20" t="inlineStr">
        <is>
          <t>Validated (Supported)</t>
        </is>
      </c>
      <c r="L140" s="5" t="inlineStr">
        <is>
          <t>Supported via /purchases/orders/create with PDF export and vendor email/WhatsApp share.</t>
        </is>
      </c>
      <c r="M140" s="8" t="inlineStr">
        <is>
          <t>Baseline</t>
        </is>
      </c>
      <c r="N140" s="8" t="inlineStr">
        <is>
          <t>Operational role</t>
        </is>
      </c>
      <c r="O140" s="8" t="inlineStr">
        <is>
          <t>P1</t>
        </is>
      </c>
      <c r="P140" s="5" t="inlineStr">
        <is>
          <t>Unchanged</t>
        </is>
      </c>
      <c r="Q140" s="21" t="inlineStr">
        <is>
          <t>Code symbol found</t>
        </is>
      </c>
      <c r="R140" s="5" t="inlineStr">
        <is>
          <t>Matched WhatsApp in product code. This is not a functional test.</t>
        </is>
      </c>
      <c r="S140" s="8" t="inlineStr">
        <is>
          <t>P2P</t>
        </is>
      </c>
      <c r="T140" s="5" t="inlineStr">
        <is>
          <t>Procure to pay</t>
        </is>
      </c>
      <c r="U140" s="8" t="inlineStr"/>
      <c r="V140" s="8" t="inlineStr">
        <is>
          <t>purchases</t>
        </is>
      </c>
      <c r="W140" s="8" t="inlineStr">
        <is>
          <t>RUN</t>
        </is>
      </c>
      <c r="X140" s="5" t="inlineStr">
        <is>
          <t>Core</t>
        </is>
      </c>
      <c r="Y140" s="5" t="inlineStr">
        <is>
          <t>Buyer</t>
        </is>
      </c>
      <c r="Z140" s="5" t="inlineStr">
        <is>
          <t>Medium</t>
        </is>
      </c>
      <c r="AA140" s="5" t="inlineStr">
        <is>
          <t>Medium</t>
        </is>
      </c>
      <c r="AB140" s="8" t="inlineStr">
        <is>
          <t>Low</t>
        </is>
      </c>
      <c r="AC140" s="8" t="inlineStr">
        <is>
          <t>Pilot</t>
        </is>
      </c>
      <c r="AD140" s="5" t="inlineStr">
        <is>
          <t>Cited in code</t>
        </is>
      </c>
      <c r="AE140" s="5" t="inlineStr">
        <is>
          <t>Not verified</t>
        </is>
      </c>
      <c r="AF140" s="5" t="inlineStr">
        <is>
          <t>Not verified</t>
        </is>
      </c>
      <c r="AG140" s="5" t="inlineStr">
        <is>
          <t>Not verified</t>
        </is>
      </c>
      <c r="AH140" s="5" t="inlineStr">
        <is>
          <t>Not verified</t>
        </is>
      </c>
      <c r="AI140" s="8" t="inlineStr">
        <is>
          <t>No</t>
        </is>
      </c>
      <c r="AJ140" s="8" t="inlineStr">
        <is>
          <t>Built - unverified</t>
        </is>
      </c>
      <c r="AK140" s="8" t="inlineStr">
        <is>
          <t>P1</t>
        </is>
      </c>
      <c r="AL140" s="8" t="n">
        <v>6</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P-0140</t>
        </is>
      </c>
      <c r="B141" s="8" t="inlineStr">
        <is>
          <t>P</t>
        </is>
      </c>
      <c r="C141" s="5" t="inlineStr">
        <is>
          <t>Purchase Manager</t>
        </is>
      </c>
      <c r="D141" s="5" t="inlineStr">
        <is>
          <t>Procure-to-Pay</t>
        </is>
      </c>
      <c r="E141" s="5" t="inlineStr">
        <is>
          <t>Send/order products from supplier</t>
        </is>
      </c>
      <c r="F141" s="5" t="inlineStr">
        <is>
          <t>Purchase Manager</t>
        </is>
      </c>
      <c r="G141" s="5" t="inlineStr">
        <is>
          <t>Supplier</t>
        </is>
      </c>
      <c r="H141" s="5" t="inlineStr">
        <is>
          <t>Transmit approved purchase orders to vendors and track order confirmation status</t>
        </is>
      </c>
      <c r="I141" s="5" t="inlineStr">
        <is>
          <t>Updates PO status to SENT; logs delivery commitment date and vendor acknowledgment</t>
        </is>
      </c>
      <c r="J141" s="20" t="inlineStr">
        <is>
          <t>P1</t>
        </is>
      </c>
      <c r="K141" s="20" t="inlineStr">
        <is>
          <t>Validated (Supported)</t>
        </is>
      </c>
      <c r="L141" s="5" t="inlineStr">
        <is>
          <t>Supported via PO status workflow (DRAFT -&gt; APPROVED -&gt; SENT -&gt; CONFIRMED).</t>
        </is>
      </c>
      <c r="M141" s="8" t="inlineStr">
        <is>
          <t>Baseline</t>
        </is>
      </c>
      <c r="N141" s="8" t="inlineStr">
        <is>
          <t>Operational role</t>
        </is>
      </c>
      <c r="O141" s="8" t="inlineStr">
        <is>
          <t>P1</t>
        </is>
      </c>
      <c r="P141" s="5" t="inlineStr">
        <is>
          <t>Unchanged</t>
        </is>
      </c>
      <c r="Q141" s="20" t="inlineStr">
        <is>
          <t>Author assertion</t>
        </is>
      </c>
      <c r="R141" s="5" t="inlineStr"/>
      <c r="S141" s="8" t="inlineStr">
        <is>
          <t>P2P</t>
        </is>
      </c>
      <c r="T141" s="5" t="inlineStr">
        <is>
          <t>Procure to pay</t>
        </is>
      </c>
      <c r="U141" s="8" t="inlineStr"/>
      <c r="V141" s="8" t="inlineStr">
        <is>
          <t>purchases</t>
        </is>
      </c>
      <c r="W141" s="8" t="inlineStr">
        <is>
          <t>RUN</t>
        </is>
      </c>
      <c r="X141" s="5" t="inlineStr">
        <is>
          <t>Core</t>
        </is>
      </c>
      <c r="Y141" s="5" t="inlineStr">
        <is>
          <t>Buyer</t>
        </is>
      </c>
      <c r="Z141" s="5" t="inlineStr">
        <is>
          <t>Medium</t>
        </is>
      </c>
      <c r="AA141" s="5" t="inlineStr">
        <is>
          <t>Medium</t>
        </is>
      </c>
      <c r="AB141" s="8" t="inlineStr">
        <is>
          <t>Low</t>
        </is>
      </c>
      <c r="AC141" s="8" t="inlineStr">
        <is>
          <t>Pilot</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P1</t>
        </is>
      </c>
      <c r="AL141" s="8" t="n">
        <v>6</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P-0141</t>
        </is>
      </c>
      <c r="B142" s="8" t="inlineStr">
        <is>
          <t>P</t>
        </is>
      </c>
      <c r="C142" s="5" t="inlineStr">
        <is>
          <t>Purchase Manager</t>
        </is>
      </c>
      <c r="D142" s="5" t="inlineStr">
        <is>
          <t>Procure-to-Pay</t>
        </is>
      </c>
      <c r="E142" s="5" t="inlineStr">
        <is>
          <t>Receive goods against purchase order</t>
        </is>
      </c>
      <c r="F142" s="5" t="inlineStr">
        <is>
          <t>Purchase Manager</t>
        </is>
      </c>
      <c r="G142" s="5" t="inlineStr">
        <is>
          <t>Supplier / Manufacturer</t>
        </is>
      </c>
      <c r="H142" s="5" t="inlineStr">
        <is>
          <t>Generate formal Purchase Order (PO) with negotiated rates, delivery dates, and payment credit terms</t>
        </is>
      </c>
      <c r="I142" s="5" t="inlineStr">
        <is>
          <t>Creates PurchaseOrder document; records line items, taxes, and agreed shipping terms</t>
        </is>
      </c>
      <c r="J142" s="20" t="inlineStr">
        <is>
          <t>P1</t>
        </is>
      </c>
      <c r="K142" s="20" t="inlineStr">
        <is>
          <t>Validated (Supported)</t>
        </is>
      </c>
      <c r="L142" s="5" t="inlineStr">
        <is>
          <t>Supported via /purchases/orders/create with PDF export and vendor email/WhatsApp share.</t>
        </is>
      </c>
      <c r="M142" s="8" t="inlineStr">
        <is>
          <t>Baseline</t>
        </is>
      </c>
      <c r="N142" s="8" t="inlineStr">
        <is>
          <t>Operational role</t>
        </is>
      </c>
      <c r="O142" s="8" t="inlineStr">
        <is>
          <t>P1</t>
        </is>
      </c>
      <c r="P142" s="5" t="inlineStr">
        <is>
          <t>Unchanged</t>
        </is>
      </c>
      <c r="Q142" s="21" t="inlineStr">
        <is>
          <t>Code symbol found</t>
        </is>
      </c>
      <c r="R142" s="5" t="inlineStr">
        <is>
          <t>Matched WhatsApp in product code. This is not a functional test.</t>
        </is>
      </c>
      <c r="S142" s="8" t="inlineStr">
        <is>
          <t>P2P</t>
        </is>
      </c>
      <c r="T142" s="5" t="inlineStr">
        <is>
          <t>Procure to pay</t>
        </is>
      </c>
      <c r="U142" s="8" t="inlineStr"/>
      <c r="V142" s="8" t="inlineStr">
        <is>
          <t>purchases</t>
        </is>
      </c>
      <c r="W142" s="8" t="inlineStr">
        <is>
          <t>RUN</t>
        </is>
      </c>
      <c r="X142" s="5" t="inlineStr">
        <is>
          <t>Core</t>
        </is>
      </c>
      <c r="Y142" s="5" t="inlineStr">
        <is>
          <t>Buyer</t>
        </is>
      </c>
      <c r="Z142" s="5" t="inlineStr">
        <is>
          <t>Medium</t>
        </is>
      </c>
      <c r="AA142" s="5" t="inlineStr">
        <is>
          <t>Medium</t>
        </is>
      </c>
      <c r="AB142" s="8" t="inlineStr">
        <is>
          <t>Low</t>
        </is>
      </c>
      <c r="AC142" s="8" t="inlineStr">
        <is>
          <t>Pilot</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P1</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P-0142</t>
        </is>
      </c>
      <c r="B143" s="8" t="inlineStr">
        <is>
          <t>P</t>
        </is>
      </c>
      <c r="C143" s="5" t="inlineStr">
        <is>
          <t>Purchase Manager</t>
        </is>
      </c>
      <c r="D143" s="5" t="inlineStr">
        <is>
          <t>Procure-to-Pay</t>
        </is>
      </c>
      <c r="E143" s="5" t="inlineStr">
        <is>
          <t>Record GRN</t>
        </is>
      </c>
      <c r="F143" s="5" t="inlineStr">
        <is>
          <t>Purchase Manager / Godown Custodian</t>
        </is>
      </c>
      <c r="G143" s="5" t="inlineStr">
        <is>
          <t>Supplier</t>
        </is>
      </c>
      <c r="H143" s="5" t="inlineStr">
        <is>
          <t>Formalize physical goods receipt note documenting actual counted quantity, batch, and condition</t>
        </is>
      </c>
      <c r="I143" s="5" t="inlineStr">
        <is>
          <t>Increments warehouse inventory; creates physical receipt record before vendor bill arrives</t>
        </is>
      </c>
      <c r="J143" s="20" t="inlineStr">
        <is>
          <t>P1</t>
        </is>
      </c>
      <c r="K143" s="20" t="inlineStr">
        <is>
          <t>Validated (Supported)</t>
        </is>
      </c>
      <c r="L143" s="5" t="inlineStr">
        <is>
          <t>Supported via Goods Receipt Note (GRN) workflow in purchases app.</t>
        </is>
      </c>
      <c r="M143" s="8" t="inlineStr">
        <is>
          <t>Baseline</t>
        </is>
      </c>
      <c r="N143" s="8" t="inlineStr">
        <is>
          <t>Operational role</t>
        </is>
      </c>
      <c r="O143" s="8" t="inlineStr">
        <is>
          <t>P1</t>
        </is>
      </c>
      <c r="P143" s="5" t="inlineStr">
        <is>
          <t>Unchanged</t>
        </is>
      </c>
      <c r="Q143" s="20" t="inlineStr">
        <is>
          <t>Author assertion</t>
        </is>
      </c>
      <c r="R143" s="5" t="inlineStr"/>
      <c r="S143" s="8" t="inlineStr">
        <is>
          <t>P2P</t>
        </is>
      </c>
      <c r="T143" s="5" t="inlineStr">
        <is>
          <t>Procure to pay</t>
        </is>
      </c>
      <c r="U143" s="8" t="inlineStr"/>
      <c r="V143" s="8" t="inlineStr">
        <is>
          <t>purchases</t>
        </is>
      </c>
      <c r="W143" s="8" t="inlineStr">
        <is>
          <t>RUN</t>
        </is>
      </c>
      <c r="X143" s="5" t="inlineStr">
        <is>
          <t>Core</t>
        </is>
      </c>
      <c r="Y143" s="5" t="inlineStr">
        <is>
          <t>Buyer</t>
        </is>
      </c>
      <c r="Z143" s="5" t="inlineStr">
        <is>
          <t>Medium</t>
        </is>
      </c>
      <c r="AA143" s="5" t="inlineStr">
        <is>
          <t>Medium</t>
        </is>
      </c>
      <c r="AB143" s="8" t="inlineStr">
        <is>
          <t>Low</t>
        </is>
      </c>
      <c r="AC143" s="8" t="inlineStr">
        <is>
          <t>Pilot</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P1</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P-0143</t>
        </is>
      </c>
      <c r="B144" s="8" t="inlineStr">
        <is>
          <t>P</t>
        </is>
      </c>
      <c r="C144" s="5" t="inlineStr">
        <is>
          <t>Purchase Manager</t>
        </is>
      </c>
      <c r="D144" s="5" t="inlineStr">
        <is>
          <t>Procure-to-Pay</t>
        </is>
      </c>
      <c r="E144" s="5" t="inlineStr">
        <is>
          <t>Compare ordered versus received quantities</t>
        </is>
      </c>
      <c r="F144" s="5" t="inlineStr">
        <is>
          <t>Purchase Manager</t>
        </is>
      </c>
      <c r="G144" s="5" t="inlineStr">
        <is>
          <t>Supplier</t>
        </is>
      </c>
      <c r="H144" s="5" t="inlineStr">
        <is>
          <t>Detect short-shipments, excess shipments, or back-orders against original purchase order</t>
        </is>
      </c>
      <c r="I144" s="5" t="inlineStr">
        <is>
          <t>Calculates line-by-line quantity variance; keeps PO partially open if balance remains</t>
        </is>
      </c>
      <c r="J144" s="20" t="inlineStr">
        <is>
          <t>P1</t>
        </is>
      </c>
      <c r="K144" s="20" t="inlineStr">
        <is>
          <t>Validated (Supported)</t>
        </is>
      </c>
      <c r="L144" s="5" t="inlineStr">
        <is>
          <t>Automated 2-way matching in GRN/Purchase intake interface.</t>
        </is>
      </c>
      <c r="M144" s="8" t="inlineStr">
        <is>
          <t>Baseline</t>
        </is>
      </c>
      <c r="N144" s="8" t="inlineStr">
        <is>
          <t>Operational role</t>
        </is>
      </c>
      <c r="O144" s="8" t="inlineStr">
        <is>
          <t>P1</t>
        </is>
      </c>
      <c r="P144" s="5" t="inlineStr">
        <is>
          <t>Unchanged</t>
        </is>
      </c>
      <c r="Q144" s="20" t="inlineStr">
        <is>
          <t>Author assertion</t>
        </is>
      </c>
      <c r="R144" s="5" t="inlineStr"/>
      <c r="S144" s="8" t="inlineStr">
        <is>
          <t>P2P</t>
        </is>
      </c>
      <c r="T144" s="5" t="inlineStr">
        <is>
          <t>Procure to pay</t>
        </is>
      </c>
      <c r="U144" s="8" t="inlineStr"/>
      <c r="V144" s="8" t="inlineStr">
        <is>
          <t>purchases</t>
        </is>
      </c>
      <c r="W144" s="8" t="inlineStr">
        <is>
          <t>RUN</t>
        </is>
      </c>
      <c r="X144" s="5" t="inlineStr">
        <is>
          <t>Core</t>
        </is>
      </c>
      <c r="Y144" s="5" t="inlineStr">
        <is>
          <t>Buyer</t>
        </is>
      </c>
      <c r="Z144" s="5" t="inlineStr">
        <is>
          <t>Medium</t>
        </is>
      </c>
      <c r="AA144" s="5" t="inlineStr">
        <is>
          <t>Medium</t>
        </is>
      </c>
      <c r="AB144" s="8" t="inlineStr">
        <is>
          <t>Low</t>
        </is>
      </c>
      <c r="AC144" s="8" t="inlineStr">
        <is>
          <t>Pilot</t>
        </is>
      </c>
      <c r="AD144" s="5" t="inlineStr">
        <is>
          <t>Not independently checked</t>
        </is>
      </c>
      <c r="AE144" s="5" t="inlineStr">
        <is>
          <t>Not verified</t>
        </is>
      </c>
      <c r="AF144" s="5" t="inlineStr">
        <is>
          <t>Not verified</t>
        </is>
      </c>
      <c r="AG144" s="5" t="inlineStr">
        <is>
          <t>Not verified</t>
        </is>
      </c>
      <c r="AH144" s="5" t="inlineStr">
        <is>
          <t>Not verified</t>
        </is>
      </c>
      <c r="AI144" s="8" t="inlineStr">
        <is>
          <t>No</t>
        </is>
      </c>
      <c r="AJ144" s="8" t="inlineStr">
        <is>
          <t>Claimed - unverified</t>
        </is>
      </c>
      <c r="AK144" s="8" t="inlineStr">
        <is>
          <t>P1</t>
        </is>
      </c>
      <c r="AL144" s="8" t="n">
        <v>6</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P-0144</t>
        </is>
      </c>
      <c r="B145" s="8" t="inlineStr">
        <is>
          <t>P</t>
        </is>
      </c>
      <c r="C145" s="5" t="inlineStr">
        <is>
          <t>Purchase Manager</t>
        </is>
      </c>
      <c r="D145" s="5" t="inlineStr">
        <is>
          <t>Inventory Lifecycle</t>
        </is>
      </c>
      <c r="E145" s="5" t="inlineStr">
        <is>
          <t>Record damaged/short stock</t>
        </is>
      </c>
      <c r="F145" s="5" t="inlineStr">
        <is>
          <t>Purchase Manager / Godown Custodian</t>
        </is>
      </c>
      <c r="G145" s="5" t="inlineStr">
        <is>
          <t>Supplier</t>
        </is>
      </c>
      <c r="H145" s="5" t="inlineStr">
        <is>
          <t>Document transit breakage, shortages, or defective goods for debit note recovery</t>
        </is>
      </c>
      <c r="I145" s="5" t="inlineStr">
        <is>
          <t>Logs damaged quantity on GRN; routes damaged items to quarantine; triggers supplier claim</t>
        </is>
      </c>
      <c r="J145" s="20" t="inlineStr">
        <is>
          <t>P1</t>
        </is>
      </c>
      <c r="K145" s="20" t="inlineStr">
        <is>
          <t>Validated (Supported)</t>
        </is>
      </c>
      <c r="L145" s="5" t="inlineStr">
        <is>
          <t>Supported via GRN rejection / damage line items with photo attachment.</t>
        </is>
      </c>
      <c r="M145" s="8" t="inlineStr">
        <is>
          <t>Baseline</t>
        </is>
      </c>
      <c r="N145" s="8" t="inlineStr">
        <is>
          <t>Operational role</t>
        </is>
      </c>
      <c r="O145" s="8" t="inlineStr">
        <is>
          <t>P1</t>
        </is>
      </c>
      <c r="P145" s="5" t="inlineStr">
        <is>
          <t>Unchanged</t>
        </is>
      </c>
      <c r="Q145" s="20" t="inlineStr">
        <is>
          <t>Author assertion</t>
        </is>
      </c>
      <c r="R145" s="5" t="inlineStr"/>
      <c r="S145" s="8" t="inlineStr">
        <is>
          <t>INV</t>
        </is>
      </c>
      <c r="T145" s="5" t="inlineStr">
        <is>
          <t>Inventory lifecycle</t>
        </is>
      </c>
      <c r="U145" s="8" t="inlineStr"/>
      <c r="V145" s="8" t="inlineStr">
        <is>
          <t>inventory</t>
        </is>
      </c>
      <c r="W145" s="8" t="inlineStr">
        <is>
          <t>RUN</t>
        </is>
      </c>
      <c r="X145" s="5" t="inlineStr">
        <is>
          <t>Core</t>
        </is>
      </c>
      <c r="Y145" s="5" t="inlineStr">
        <is>
          <t>Buyer</t>
        </is>
      </c>
      <c r="Z145" s="5" t="inlineStr">
        <is>
          <t>High</t>
        </is>
      </c>
      <c r="AA145" s="5" t="inlineStr">
        <is>
          <t>High</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9</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P-0145</t>
        </is>
      </c>
      <c r="B146" s="8" t="inlineStr">
        <is>
          <t>P</t>
        </is>
      </c>
      <c r="C146" s="5" t="inlineStr">
        <is>
          <t>Purchase Manager</t>
        </is>
      </c>
      <c r="D146" s="5" t="inlineStr">
        <is>
          <t>Procure-to-Pay</t>
        </is>
      </c>
      <c r="E146" s="5" t="inlineStr">
        <is>
          <t>Update supplier invoice</t>
        </is>
      </c>
      <c r="F146" s="5" t="inlineStr">
        <is>
          <t>Purchase Manager / Accountant</t>
        </is>
      </c>
      <c r="G146" s="5" t="inlineStr">
        <is>
          <t>Supplier</t>
        </is>
      </c>
      <c r="H146" s="5" t="inlineStr">
        <is>
          <t>Enter final vendor tax invoice, matching line rates, GST, and extra freight charges against PO</t>
        </is>
      </c>
      <c r="I146" s="5" t="inlineStr">
        <is>
          <t>Completes PurchaseInvoice; updates Accounts Payable and finalizes inventory valuation</t>
        </is>
      </c>
      <c r="J146" s="20" t="inlineStr">
        <is>
          <t>P1</t>
        </is>
      </c>
      <c r="K146" s="20" t="inlineStr">
        <is>
          <t>Validated (Supported)</t>
        </is>
      </c>
      <c r="L146" s="5" t="inlineStr">
        <is>
          <t>Supported via /purchases/invoices/ with PO matching and 3-way reconciliation.</t>
        </is>
      </c>
      <c r="M146" s="8" t="inlineStr">
        <is>
          <t>Baseline</t>
        </is>
      </c>
      <c r="N146" s="8" t="inlineStr">
        <is>
          <t>Operational role</t>
        </is>
      </c>
      <c r="O146" s="8" t="inlineStr">
        <is>
          <t>P1</t>
        </is>
      </c>
      <c r="P146" s="5" t="inlineStr">
        <is>
          <t>Unchanged</t>
        </is>
      </c>
      <c r="Q146" s="20" t="inlineStr">
        <is>
          <t>Author assertion</t>
        </is>
      </c>
      <c r="R146" s="5" t="inlineStr"/>
      <c r="S146" s="8" t="inlineStr">
        <is>
          <t>P2P</t>
        </is>
      </c>
      <c r="T146" s="5" t="inlineStr">
        <is>
          <t>Procure to pay</t>
        </is>
      </c>
      <c r="U146" s="8" t="inlineStr"/>
      <c r="V146" s="8" t="inlineStr">
        <is>
          <t>purchases</t>
        </is>
      </c>
      <c r="W146" s="8" t="inlineStr">
        <is>
          <t>RUN</t>
        </is>
      </c>
      <c r="X146" s="5" t="inlineStr">
        <is>
          <t>Core</t>
        </is>
      </c>
      <c r="Y146" s="5" t="inlineStr">
        <is>
          <t>Buyer</t>
        </is>
      </c>
      <c r="Z146" s="5" t="inlineStr">
        <is>
          <t>Medium</t>
        </is>
      </c>
      <c r="AA146" s="5" t="inlineStr">
        <is>
          <t>Medium</t>
        </is>
      </c>
      <c r="AB146" s="8" t="inlineStr">
        <is>
          <t>Low</t>
        </is>
      </c>
      <c r="AC146" s="8" t="inlineStr">
        <is>
          <t>Pilot</t>
        </is>
      </c>
      <c r="AD146" s="5" t="inlineStr">
        <is>
          <t>Not independently checked</t>
        </is>
      </c>
      <c r="AE146" s="5" t="inlineStr">
        <is>
          <t>Not verified</t>
        </is>
      </c>
      <c r="AF146" s="5" t="inlineStr">
        <is>
          <t>Not verified</t>
        </is>
      </c>
      <c r="AG146" s="5" t="inlineStr">
        <is>
          <t>Not verified</t>
        </is>
      </c>
      <c r="AH146" s="5" t="inlineStr">
        <is>
          <t>Not verified</t>
        </is>
      </c>
      <c r="AI146" s="8" t="inlineStr">
        <is>
          <t>No</t>
        </is>
      </c>
      <c r="AJ146" s="8" t="inlineStr">
        <is>
          <t>Claimed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P-0146</t>
        </is>
      </c>
      <c r="B147" s="8" t="inlineStr">
        <is>
          <t>P</t>
        </is>
      </c>
      <c r="C147" s="5" t="inlineStr">
        <is>
          <t>Purchase Manager</t>
        </is>
      </c>
      <c r="D147" s="5" t="inlineStr">
        <is>
          <t>Receivables &amp; Payables</t>
        </is>
      </c>
      <c r="E147" s="5" t="inlineStr">
        <is>
          <t>Track supplier outstanding</t>
        </is>
      </c>
      <c r="F147" s="5" t="inlineStr">
        <is>
          <t>Purchase Manager</t>
        </is>
      </c>
      <c r="G147" s="5" t="inlineStr">
        <is>
          <t>Accounts Payable Munshi</t>
        </is>
      </c>
      <c r="H147" s="5" t="inlineStr">
        <is>
          <t>Monitor company liabilities to suppliers to ensure on-time settlement and preserve credit terms</t>
        </is>
      </c>
      <c r="I147" s="5" t="inlineStr">
        <is>
          <t>Displays total payables, due dates, and aging buckets across all active vendors</t>
        </is>
      </c>
      <c r="J147" s="20" t="inlineStr">
        <is>
          <t>P1</t>
        </is>
      </c>
      <c r="K147" s="20" t="inlineStr">
        <is>
          <t>Validated (Supported)</t>
        </is>
      </c>
      <c r="L147" s="5" t="inlineStr">
        <is>
          <t>Supported via Supplier Payables Aging Dashboard (/purchases/suppliers/).</t>
        </is>
      </c>
      <c r="M147" s="8" t="inlineStr">
        <is>
          <t>Baseline</t>
        </is>
      </c>
      <c r="N147" s="8" t="inlineStr">
        <is>
          <t>Operational role</t>
        </is>
      </c>
      <c r="O147" s="8" t="inlineStr">
        <is>
          <t>P1</t>
        </is>
      </c>
      <c r="P147" s="5" t="inlineStr">
        <is>
          <t>Unchanged</t>
        </is>
      </c>
      <c r="Q147" s="20" t="inlineStr">
        <is>
          <t>Author assertion</t>
        </is>
      </c>
      <c r="R147" s="5" t="inlineStr"/>
      <c r="S147" s="8" t="inlineStr">
        <is>
          <t>ARAP</t>
        </is>
      </c>
      <c r="T147" s="5" t="inlineStr">
        <is>
          <t>Receivables and payables</t>
        </is>
      </c>
      <c r="U147" s="8" t="inlineStr"/>
      <c r="V147" s="8" t="inlineStr">
        <is>
          <t>ledgers</t>
        </is>
      </c>
      <c r="W147" s="8" t="inlineStr">
        <is>
          <t>CONTROL</t>
        </is>
      </c>
      <c r="X147" s="5" t="inlineStr">
        <is>
          <t>Core</t>
        </is>
      </c>
      <c r="Y147" s="5" t="inlineStr">
        <is>
          <t>Buyer</t>
        </is>
      </c>
      <c r="Z147" s="5" t="inlineStr">
        <is>
          <t>Critical</t>
        </is>
      </c>
      <c r="AA147" s="5" t="inlineStr">
        <is>
          <t>High</t>
        </is>
      </c>
      <c r="AB147" s="8" t="inlineStr">
        <is>
          <t>Medium</t>
        </is>
      </c>
      <c r="AC147" s="8" t="inlineStr">
        <is>
          <t>Pilot</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P1</t>
        </is>
      </c>
      <c r="AL147" s="8" t="n">
        <v>18</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P-0147</t>
        </is>
      </c>
      <c r="B148" s="8" t="inlineStr">
        <is>
          <t>P</t>
        </is>
      </c>
      <c r="C148" s="5" t="inlineStr">
        <is>
          <t>Purchase Manager</t>
        </is>
      </c>
      <c r="D148" s="5" t="inlineStr">
        <is>
          <t>Procure-to-Pay</t>
        </is>
      </c>
      <c r="E148" s="5" t="inlineStr">
        <is>
          <t>Identify best-priced suppliers</t>
        </is>
      </c>
      <c r="F148" s="5" t="inlineStr">
        <is>
          <t>Purchase Manager</t>
        </is>
      </c>
      <c r="G148" s="5" t="inlineStr">
        <is>
          <t>None</t>
        </is>
      </c>
      <c r="H148" s="5" t="inlineStr">
        <is>
          <t>Compare historical purchase prices across multiple vendors for the same raw material or SKU</t>
        </is>
      </c>
      <c r="I148" s="5" t="inlineStr">
        <is>
          <t>Analyzes historical purchase bills; highlights supplier offering lowest landed cost</t>
        </is>
      </c>
      <c r="J148" s="22" t="inlineStr">
        <is>
          <t>P2</t>
        </is>
      </c>
      <c r="K148" s="20" t="inlineStr">
        <is>
          <t>Validated (Supported)</t>
        </is>
      </c>
      <c r="L148" s="5" t="inlineStr">
        <is>
          <t>Supported via Vendor Price Comparison Matrix report (/reports/vendor-rates/).</t>
        </is>
      </c>
      <c r="M148" s="8" t="inlineStr">
        <is>
          <t>Baseline</t>
        </is>
      </c>
      <c r="N148" s="8" t="inlineStr">
        <is>
          <t>Operational role</t>
        </is>
      </c>
      <c r="O148" s="8" t="inlineStr">
        <is>
          <t>P2</t>
        </is>
      </c>
      <c r="P148" s="5" t="inlineStr">
        <is>
          <t>Restored to authored P2. The previous workbook had P3 after a keyword rebalance.</t>
        </is>
      </c>
      <c r="Q148" s="20" t="inlineStr">
        <is>
          <t>Author assertion</t>
        </is>
      </c>
      <c r="R148" s="5" t="inlineStr">
        <is>
          <t>Restored to authored P2. The previous workbook had P3 after a keyword rebalance.</t>
        </is>
      </c>
      <c r="S148" s="8" t="inlineStr">
        <is>
          <t>P2P</t>
        </is>
      </c>
      <c r="T148" s="5" t="inlineStr">
        <is>
          <t>Procure to pay</t>
        </is>
      </c>
      <c r="U148" s="8" t="inlineStr"/>
      <c r="V148" s="8" t="inlineStr">
        <is>
          <t>purchases</t>
        </is>
      </c>
      <c r="W148" s="8" t="inlineStr">
        <is>
          <t>RUN</t>
        </is>
      </c>
      <c r="X148" s="5" t="inlineStr">
        <is>
          <t>Core</t>
        </is>
      </c>
      <c r="Y148" s="5" t="inlineStr">
        <is>
          <t>Buyer</t>
        </is>
      </c>
      <c r="Z148" s="5" t="inlineStr">
        <is>
          <t>Medium</t>
        </is>
      </c>
      <c r="AA148" s="5" t="inlineStr">
        <is>
          <t>Medium</t>
        </is>
      </c>
      <c r="AB148" s="8" t="inlineStr">
        <is>
          <t>Low</t>
        </is>
      </c>
      <c r="AC148" s="8" t="inlineStr">
        <is>
          <t>Later</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P2</t>
        </is>
      </c>
      <c r="AL148" s="8" t="n">
        <v>6</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P-0148</t>
        </is>
      </c>
      <c r="B149" s="8" t="inlineStr">
        <is>
          <t>P</t>
        </is>
      </c>
      <c r="C149" s="5" t="inlineStr">
        <is>
          <t>Purchase Manager</t>
        </is>
      </c>
      <c r="D149" s="5" t="inlineStr">
        <is>
          <t>Procure-to-Pay</t>
        </is>
      </c>
      <c r="E149" s="5" t="inlineStr">
        <is>
          <t>Review supplier performance</t>
        </is>
      </c>
      <c r="F149" s="5" t="inlineStr">
        <is>
          <t>Purchase Manager</t>
        </is>
      </c>
      <c r="G149" s="5" t="inlineStr">
        <is>
          <t>Business Owner</t>
        </is>
      </c>
      <c r="H149" s="5" t="inlineStr">
        <is>
          <t>Evaluate vendors on delivery punctuality, order fill rate, and quality rejection percentage</t>
        </is>
      </c>
      <c r="I149" s="5" t="inlineStr">
        <is>
          <t>Computes vendor score: on-time delivery %, fill rate %, defect %, and price stability</t>
        </is>
      </c>
      <c r="J149" s="22" t="inlineStr">
        <is>
          <t>P2</t>
        </is>
      </c>
      <c r="K149" s="20" t="inlineStr">
        <is>
          <t>Validated (Supported)</t>
        </is>
      </c>
      <c r="L149" s="5" t="inlineStr">
        <is>
          <t>Supported via Supplier Performance Scorecard (/purchases/vendor-metrics/).</t>
        </is>
      </c>
      <c r="M149" s="8" t="inlineStr">
        <is>
          <t>Baseline</t>
        </is>
      </c>
      <c r="N149" s="8" t="inlineStr">
        <is>
          <t>Operational role</t>
        </is>
      </c>
      <c r="O149" s="8" t="inlineStr">
        <is>
          <t>P2</t>
        </is>
      </c>
      <c r="P149" s="5" t="inlineStr">
        <is>
          <t>Restored to authored P2. The previous workbook had P3 after a keyword rebalance.</t>
        </is>
      </c>
      <c r="Q149" s="20" t="inlineStr">
        <is>
          <t>Author assertion</t>
        </is>
      </c>
      <c r="R149" s="5" t="inlineStr">
        <is>
          <t>Restored to authored P2. The previous workbook had P3 after a keyword rebalance.</t>
        </is>
      </c>
      <c r="S149" s="8" t="inlineStr">
        <is>
          <t>P2P</t>
        </is>
      </c>
      <c r="T149" s="5" t="inlineStr">
        <is>
          <t>Procure to pay</t>
        </is>
      </c>
      <c r="U149" s="8" t="inlineStr"/>
      <c r="V149" s="8" t="inlineStr">
        <is>
          <t>purchases</t>
        </is>
      </c>
      <c r="W149" s="8" t="inlineStr">
        <is>
          <t>RUN</t>
        </is>
      </c>
      <c r="X149" s="5" t="inlineStr">
        <is>
          <t>Core</t>
        </is>
      </c>
      <c r="Y149" s="5" t="inlineStr">
        <is>
          <t>Buyer</t>
        </is>
      </c>
      <c r="Z149" s="5" t="inlineStr">
        <is>
          <t>Medium</t>
        </is>
      </c>
      <c r="AA149" s="5" t="inlineStr">
        <is>
          <t>Medium</t>
        </is>
      </c>
      <c r="AB149" s="8" t="inlineStr">
        <is>
          <t>Low</t>
        </is>
      </c>
      <c r="AC149" s="8" t="inlineStr">
        <is>
          <t>Later</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P2</t>
        </is>
      </c>
      <c r="AL149" s="8" t="n">
        <v>6</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P-0149</t>
        </is>
      </c>
      <c r="B150" s="8" t="inlineStr">
        <is>
          <t>P</t>
        </is>
      </c>
      <c r="C150" s="5" t="inlineStr">
        <is>
          <t>Inventory Manager</t>
        </is>
      </c>
      <c r="D150" s="5" t="inlineStr">
        <is>
          <t>Inventory Lifecycle</t>
        </is>
      </c>
      <c r="E150" s="5" t="inlineStr">
        <is>
          <t>View current inventory</t>
        </is>
      </c>
      <c r="F150" s="5" t="inlineStr">
        <is>
          <t>Inventory Manager</t>
        </is>
      </c>
      <c r="G150" s="5" t="inlineStr">
        <is>
          <t>Godown Staff</t>
        </is>
      </c>
      <c r="H150" s="5" t="inlineStr">
        <is>
          <t>Comprehensive view of current on-hand, committed, and available stock across all product lines</t>
        </is>
      </c>
      <c r="I150" s="5" t="inlineStr">
        <is>
          <t>Displays real-time stock balances, warehouse distribution, reorder levels, and valuation</t>
        </is>
      </c>
      <c r="J150" s="19" t="inlineStr">
        <is>
          <t>P0</t>
        </is>
      </c>
      <c r="K150" s="20" t="inlineStr">
        <is>
          <t>Validated (Supported)</t>
        </is>
      </c>
      <c r="L150" s="5" t="inlineStr">
        <is>
          <t>Supported via /inventory/ with multi-warehouse filters and instant SKU search.</t>
        </is>
      </c>
      <c r="M150" s="8" t="inlineStr">
        <is>
          <t>Baseline</t>
        </is>
      </c>
      <c r="N150" s="8" t="inlineStr">
        <is>
          <t>Operational role</t>
        </is>
      </c>
      <c r="O150" s="8" t="inlineStr">
        <is>
          <t>P0</t>
        </is>
      </c>
      <c r="P150" s="5" t="inlineStr">
        <is>
          <t>Unchanged</t>
        </is>
      </c>
      <c r="Q150" s="20" t="inlineStr">
        <is>
          <t>Author assertion</t>
        </is>
      </c>
      <c r="R150" s="5" t="inlineStr"/>
      <c r="S150" s="8" t="inlineStr">
        <is>
          <t>INV</t>
        </is>
      </c>
      <c r="T150" s="5" t="inlineStr">
        <is>
          <t>Inventory lifecycle</t>
        </is>
      </c>
      <c r="U150" s="8" t="inlineStr"/>
      <c r="V150" s="8" t="inlineStr">
        <is>
          <t>inventory</t>
        </is>
      </c>
      <c r="W150" s="8" t="inlineStr">
        <is>
          <t>RUN</t>
        </is>
      </c>
      <c r="X150" s="5" t="inlineStr">
        <is>
          <t>Core</t>
        </is>
      </c>
      <c r="Y150" s="5" t="inlineStr">
        <is>
          <t>Stock</t>
        </is>
      </c>
      <c r="Z150" s="5" t="inlineStr">
        <is>
          <t>High</t>
        </is>
      </c>
      <c r="AA150" s="5" t="inlineStr">
        <is>
          <t>High</t>
        </is>
      </c>
      <c r="AB150" s="8" t="inlineStr">
        <is>
          <t>Low</t>
        </is>
      </c>
      <c r="AC150" s="8" t="inlineStr">
        <is>
          <t>MVP</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P0</t>
        </is>
      </c>
      <c r="AL150" s="8" t="n">
        <v>9</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P-0150</t>
        </is>
      </c>
      <c r="B151" s="8" t="inlineStr">
        <is>
          <t>P</t>
        </is>
      </c>
      <c r="C151" s="5" t="inlineStr">
        <is>
          <t>Inventory Manager</t>
        </is>
      </c>
      <c r="D151" s="5" t="inlineStr">
        <is>
          <t>Inventory Lifecycle</t>
        </is>
      </c>
      <c r="E151" s="5" t="inlineStr">
        <is>
          <t>Receive stock</t>
        </is>
      </c>
      <c r="F151" s="5" t="inlineStr">
        <is>
          <t>Inventory Manager / Custodian</t>
        </is>
      </c>
      <c r="G151" s="5" t="inlineStr">
        <is>
          <t>Supplier</t>
        </is>
      </c>
      <c r="H151" s="5" t="inlineStr">
        <is>
          <t>Authorize and record physical stock inwarding from supplier deliveries or internal transfers</t>
        </is>
      </c>
      <c r="I151" s="5" t="inlineStr">
        <is>
          <t>Generates StockMovement (INWARD_PURCHASE); updates warehouse inventory ledger</t>
        </is>
      </c>
      <c r="J151" s="20" t="inlineStr">
        <is>
          <t>P1</t>
        </is>
      </c>
      <c r="K151" s="20" t="inlineStr">
        <is>
          <t>Validated (Supported)</t>
        </is>
      </c>
      <c r="L151" s="5" t="inlineStr">
        <is>
          <t>Supported via Goods Receipt and Purchase completion flows.</t>
        </is>
      </c>
      <c r="M151" s="8" t="inlineStr">
        <is>
          <t>Baseline</t>
        </is>
      </c>
      <c r="N151" s="8" t="inlineStr">
        <is>
          <t>Operational role</t>
        </is>
      </c>
      <c r="O151" s="8" t="inlineStr">
        <is>
          <t>P1</t>
        </is>
      </c>
      <c r="P151" s="5" t="inlineStr">
        <is>
          <t>Unchanged</t>
        </is>
      </c>
      <c r="Q151" s="20" t="inlineStr">
        <is>
          <t>Author assertion</t>
        </is>
      </c>
      <c r="R151" s="5" t="inlineStr"/>
      <c r="S151" s="8" t="inlineStr">
        <is>
          <t>INV</t>
        </is>
      </c>
      <c r="T151" s="5" t="inlineStr">
        <is>
          <t>Inventory lifecycle</t>
        </is>
      </c>
      <c r="U151" s="8" t="inlineStr"/>
      <c r="V151" s="8" t="inlineStr">
        <is>
          <t>inventory</t>
        </is>
      </c>
      <c r="W151" s="8" t="inlineStr">
        <is>
          <t>RUN</t>
        </is>
      </c>
      <c r="X151" s="5" t="inlineStr">
        <is>
          <t>Core</t>
        </is>
      </c>
      <c r="Y151" s="5" t="inlineStr">
        <is>
          <t>Stock</t>
        </is>
      </c>
      <c r="Z151" s="5" t="inlineStr">
        <is>
          <t>High</t>
        </is>
      </c>
      <c r="AA151" s="5" t="inlineStr">
        <is>
          <t>High</t>
        </is>
      </c>
      <c r="AB151" s="8" t="inlineStr">
        <is>
          <t>Low</t>
        </is>
      </c>
      <c r="AC151" s="8" t="inlineStr">
        <is>
          <t>Pilot</t>
        </is>
      </c>
      <c r="AD151" s="5" t="inlineStr">
        <is>
          <t>Not independently checked</t>
        </is>
      </c>
      <c r="AE151" s="5" t="inlineStr">
        <is>
          <t>Not verified</t>
        </is>
      </c>
      <c r="AF151" s="5" t="inlineStr">
        <is>
          <t>Not verified</t>
        </is>
      </c>
      <c r="AG151" s="5" t="inlineStr">
        <is>
          <t>Not verified</t>
        </is>
      </c>
      <c r="AH151" s="5" t="inlineStr">
        <is>
          <t>Not verified</t>
        </is>
      </c>
      <c r="AI151" s="8" t="inlineStr">
        <is>
          <t>No</t>
        </is>
      </c>
      <c r="AJ151" s="8" t="inlineStr">
        <is>
          <t>Claimed - unverified</t>
        </is>
      </c>
      <c r="AK151" s="8" t="inlineStr">
        <is>
          <t>P1</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P-0151</t>
        </is>
      </c>
      <c r="B152" s="8" t="inlineStr">
        <is>
          <t>P</t>
        </is>
      </c>
      <c r="C152" s="5" t="inlineStr">
        <is>
          <t>Inventory Manager</t>
        </is>
      </c>
      <c r="D152" s="5" t="inlineStr">
        <is>
          <t>Multi-Godown / Multi-Store</t>
        </is>
      </c>
      <c r="E152" s="5" t="inlineStr">
        <is>
          <t>Transfer stock</t>
        </is>
      </c>
      <c r="F152" s="5" t="inlineStr">
        <is>
          <t>Inventory Manager</t>
        </is>
      </c>
      <c r="G152" s="5" t="inlineStr">
        <is>
          <t>Godown Keepers</t>
        </is>
      </c>
      <c r="H152" s="5" t="inlineStr">
        <is>
          <t>Direct and authorize movement of stock between storage godowns, packing areas, or retail floors</t>
        </is>
      </c>
      <c r="I152" s="5" t="inlineStr">
        <is>
          <t>Creates and dispatches StockTransfer; adjusts source and destination ledger balances</t>
        </is>
      </c>
      <c r="J152" s="20" t="inlineStr">
        <is>
          <t>P1</t>
        </is>
      </c>
      <c r="K152" s="20" t="inlineStr">
        <is>
          <t>Validated (Supported)</t>
        </is>
      </c>
      <c r="L152" s="5" t="inlineStr">
        <is>
          <t>Supported via /inventory/transfers/ with transfer challan generation.</t>
        </is>
      </c>
      <c r="M152" s="8" t="inlineStr">
        <is>
          <t>Baseline</t>
        </is>
      </c>
      <c r="N152" s="8" t="inlineStr">
        <is>
          <t>Operational role</t>
        </is>
      </c>
      <c r="O152" s="8" t="inlineStr">
        <is>
          <t>P1</t>
        </is>
      </c>
      <c r="P152" s="5" t="inlineStr">
        <is>
          <t>Unchanged</t>
        </is>
      </c>
      <c r="Q152" s="20" t="inlineStr">
        <is>
          <t>Author assertion</t>
        </is>
      </c>
      <c r="R152" s="5" t="inlineStr"/>
      <c r="S152" s="8" t="inlineStr">
        <is>
          <t>WH</t>
        </is>
      </c>
      <c r="T152" s="5" t="inlineStr">
        <is>
          <t>Multi-godown and multi-store</t>
        </is>
      </c>
      <c r="U152" s="8" t="inlineStr"/>
      <c r="V152" s="8" t="inlineStr">
        <is>
          <t>inventory</t>
        </is>
      </c>
      <c r="W152" s="8" t="inlineStr">
        <is>
          <t>RUN</t>
        </is>
      </c>
      <c r="X152" s="5" t="inlineStr">
        <is>
          <t>Core</t>
        </is>
      </c>
      <c r="Y152" s="5" t="inlineStr">
        <is>
          <t>Stock</t>
        </is>
      </c>
      <c r="Z152" s="5" t="inlineStr">
        <is>
          <t>Medium</t>
        </is>
      </c>
      <c r="AA152" s="5" t="inlineStr">
        <is>
          <t>Medium</t>
        </is>
      </c>
      <c r="AB152" s="8" t="inlineStr">
        <is>
          <t>Low</t>
        </is>
      </c>
      <c r="AC152" s="8" t="inlineStr">
        <is>
          <t>Pilot</t>
        </is>
      </c>
      <c r="AD152" s="5" t="inlineStr">
        <is>
          <t>Not independently checked</t>
        </is>
      </c>
      <c r="AE152" s="5" t="inlineStr">
        <is>
          <t>Not verified</t>
        </is>
      </c>
      <c r="AF152" s="5" t="inlineStr">
        <is>
          <t>Not verified</t>
        </is>
      </c>
      <c r="AG152" s="5" t="inlineStr">
        <is>
          <t>Not verified</t>
        </is>
      </c>
      <c r="AH152" s="5" t="inlineStr">
        <is>
          <t>Not verified</t>
        </is>
      </c>
      <c r="AI152" s="8" t="inlineStr">
        <is>
          <t>No</t>
        </is>
      </c>
      <c r="AJ152" s="8" t="inlineStr">
        <is>
          <t>Claimed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P-0152</t>
        </is>
      </c>
      <c r="B153" s="8" t="inlineStr">
        <is>
          <t>P</t>
        </is>
      </c>
      <c r="C153" s="5" t="inlineStr">
        <is>
          <t>Inventory Manager</t>
        </is>
      </c>
      <c r="D153" s="5" t="inlineStr">
        <is>
          <t>Inventory Lifecycle</t>
        </is>
      </c>
      <c r="E153" s="5" t="inlineStr">
        <is>
          <t>Adjust stock with authorization</t>
        </is>
      </c>
      <c r="F153" s="5" t="inlineStr">
        <is>
          <t>Inventory Manager</t>
        </is>
      </c>
      <c r="G153" s="5" t="inlineStr">
        <is>
          <t>Business Owner / Auditor</t>
        </is>
      </c>
      <c r="H153" s="5" t="inlineStr">
        <is>
          <t>Make formal manual stock adjustments for shrinkage, breakage, or opening stock corrections</t>
        </is>
      </c>
      <c r="I153" s="5" t="inlineStr">
        <is>
          <t>Requires manager authorization; writes StockMovement (COUNT_ADJUSTMENT) with mandatory reason</t>
        </is>
      </c>
      <c r="J153" s="19" t="inlineStr">
        <is>
          <t>P0</t>
        </is>
      </c>
      <c r="K153" s="20" t="inlineStr">
        <is>
          <t>Validated (Supported)</t>
        </is>
      </c>
      <c r="L153" s="5" t="inlineStr">
        <is>
          <t>Supported via /inventory/adjustments/ with dual-approval requirement.</t>
        </is>
      </c>
      <c r="M153" s="8" t="inlineStr">
        <is>
          <t>Baseline</t>
        </is>
      </c>
      <c r="N153" s="8" t="inlineStr">
        <is>
          <t>Operational role</t>
        </is>
      </c>
      <c r="O153" s="8" t="inlineStr">
        <is>
          <t>P0</t>
        </is>
      </c>
      <c r="P153" s="5" t="inlineStr">
        <is>
          <t>Unchanged</t>
        </is>
      </c>
      <c r="Q153" s="20" t="inlineStr">
        <is>
          <t>Author assertion</t>
        </is>
      </c>
      <c r="R153" s="5" t="inlineStr"/>
      <c r="S153" s="8" t="inlineStr">
        <is>
          <t>INV</t>
        </is>
      </c>
      <c r="T153" s="5" t="inlineStr">
        <is>
          <t>Inventory lifecycle</t>
        </is>
      </c>
      <c r="U153" s="8" t="inlineStr"/>
      <c r="V153" s="8" t="inlineStr">
        <is>
          <t>inventory</t>
        </is>
      </c>
      <c r="W153" s="8" t="inlineStr">
        <is>
          <t>RUN</t>
        </is>
      </c>
      <c r="X153" s="5" t="inlineStr">
        <is>
          <t>Core</t>
        </is>
      </c>
      <c r="Y153" s="5" t="inlineStr">
        <is>
          <t>Stock</t>
        </is>
      </c>
      <c r="Z153" s="5" t="inlineStr">
        <is>
          <t>High</t>
        </is>
      </c>
      <c r="AA153" s="5" t="inlineStr">
        <is>
          <t>High</t>
        </is>
      </c>
      <c r="AB153" s="8" t="inlineStr">
        <is>
          <t>Low</t>
        </is>
      </c>
      <c r="AC153" s="8" t="inlineStr">
        <is>
          <t>MVP</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P0</t>
        </is>
      </c>
      <c r="AL153" s="8" t="n">
        <v>9</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P-0153</t>
        </is>
      </c>
      <c r="B154" s="8" t="inlineStr">
        <is>
          <t>P</t>
        </is>
      </c>
      <c r="C154" s="5" t="inlineStr">
        <is>
          <t>Inventory Manager</t>
        </is>
      </c>
      <c r="D154" s="5" t="inlineStr">
        <is>
          <t>Inventory Lifecycle</t>
        </is>
      </c>
      <c r="E154" s="5" t="inlineStr">
        <is>
          <t>Record damaged stock</t>
        </is>
      </c>
      <c r="F154" s="5" t="inlineStr">
        <is>
          <t>Inventory Manager</t>
        </is>
      </c>
      <c r="G154" s="5" t="inlineStr">
        <is>
          <t>Scrap Dealer / Insurance Adjuster</t>
        </is>
      </c>
      <c r="H154" s="5" t="inlineStr">
        <is>
          <t>Record and isolate damaged or spoiled goods into designated non-saleable bin</t>
        </is>
      </c>
      <c r="I154" s="5" t="inlineStr">
        <is>
          <t>Transfers items out of active saleable stock into damaged holding; logs write-off value</t>
        </is>
      </c>
      <c r="J154" s="20" t="inlineStr">
        <is>
          <t>P1</t>
        </is>
      </c>
      <c r="K154" s="20" t="inlineStr">
        <is>
          <t>Validated (Supported)</t>
        </is>
      </c>
      <c r="L154" s="5" t="inlineStr">
        <is>
          <t>Supported via StockAdjustment with reason code 'DAMAGED_WRITE_OFF'.</t>
        </is>
      </c>
      <c r="M154" s="8" t="inlineStr">
        <is>
          <t>Baseline</t>
        </is>
      </c>
      <c r="N154" s="8" t="inlineStr">
        <is>
          <t>Operational role</t>
        </is>
      </c>
      <c r="O154" s="8" t="inlineStr">
        <is>
          <t>P1</t>
        </is>
      </c>
      <c r="P154" s="5" t="inlineStr">
        <is>
          <t>Unchanged</t>
        </is>
      </c>
      <c r="Q154" s="21" t="inlineStr">
        <is>
          <t>Code symbol found</t>
        </is>
      </c>
      <c r="R154" s="5" t="inlineStr">
        <is>
          <t>Matched StockAdjustment in product code. This is not a functional test.</t>
        </is>
      </c>
      <c r="S154" s="8" t="inlineStr">
        <is>
          <t>INV</t>
        </is>
      </c>
      <c r="T154" s="5" t="inlineStr">
        <is>
          <t>Inventory lifecycle</t>
        </is>
      </c>
      <c r="U154" s="8" t="inlineStr"/>
      <c r="V154" s="8" t="inlineStr">
        <is>
          <t>inventory</t>
        </is>
      </c>
      <c r="W154" s="8" t="inlineStr">
        <is>
          <t>RUN</t>
        </is>
      </c>
      <c r="X154" s="5" t="inlineStr">
        <is>
          <t>Core</t>
        </is>
      </c>
      <c r="Y154" s="5" t="inlineStr">
        <is>
          <t>Stock</t>
        </is>
      </c>
      <c r="Z154" s="5" t="inlineStr">
        <is>
          <t>High</t>
        </is>
      </c>
      <c r="AA154" s="5" t="inlineStr">
        <is>
          <t>High</t>
        </is>
      </c>
      <c r="AB154" s="8" t="inlineStr">
        <is>
          <t>Low</t>
        </is>
      </c>
      <c r="AC154" s="8" t="inlineStr">
        <is>
          <t>Pilot</t>
        </is>
      </c>
      <c r="AD154" s="5" t="inlineStr">
        <is>
          <t>Cited in code</t>
        </is>
      </c>
      <c r="AE154" s="5" t="inlineStr">
        <is>
          <t>Not verified</t>
        </is>
      </c>
      <c r="AF154" s="5" t="inlineStr">
        <is>
          <t>Not verified</t>
        </is>
      </c>
      <c r="AG154" s="5" t="inlineStr">
        <is>
          <t>Not verified</t>
        </is>
      </c>
      <c r="AH154" s="5" t="inlineStr">
        <is>
          <t>Not verified</t>
        </is>
      </c>
      <c r="AI154" s="8" t="inlineStr">
        <is>
          <t>No</t>
        </is>
      </c>
      <c r="AJ154" s="8" t="inlineStr">
        <is>
          <t>Built - unverified</t>
        </is>
      </c>
      <c r="AK154" s="8" t="inlineStr">
        <is>
          <t>P1</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P-0154</t>
        </is>
      </c>
      <c r="B155" s="8" t="inlineStr">
        <is>
          <t>P</t>
        </is>
      </c>
      <c r="C155" s="5" t="inlineStr">
        <is>
          <t>Inventory Manager</t>
        </is>
      </c>
      <c r="D155" s="5" t="inlineStr">
        <is>
          <t>Returns / Complaints / After-Sales</t>
        </is>
      </c>
      <c r="E155" s="5" t="inlineStr">
        <is>
          <t>Record returned stock</t>
        </is>
      </c>
      <c r="F155" s="5" t="inlineStr">
        <is>
          <t>Inventory Manager</t>
        </is>
      </c>
      <c r="G155" s="5" t="inlineStr">
        <is>
          <t>Billing Team</t>
        </is>
      </c>
      <c r="H155" s="5" t="inlineStr">
        <is>
          <t>Process incoming customer returns, inspect package integrity, and return to saleable bins</t>
        </is>
      </c>
      <c r="I155" s="5" t="inlineStr">
        <is>
          <t>Verifies returned goods, updates StockBalance (RETURN_INWARD), tags condition</t>
        </is>
      </c>
      <c r="J155" s="20" t="inlineStr">
        <is>
          <t>P1</t>
        </is>
      </c>
      <c r="K155" s="20" t="inlineStr">
        <is>
          <t>Validated (Supported)</t>
        </is>
      </c>
      <c r="L155" s="5" t="inlineStr">
        <is>
          <t>Supported via SalesReturn inspection step with inventory restoration toggle.</t>
        </is>
      </c>
      <c r="M155" s="8" t="inlineStr">
        <is>
          <t>Baseline</t>
        </is>
      </c>
      <c r="N155" s="8" t="inlineStr">
        <is>
          <t>Operational role</t>
        </is>
      </c>
      <c r="O155" s="8" t="inlineStr">
        <is>
          <t>P1</t>
        </is>
      </c>
      <c r="P155" s="5" t="inlineStr">
        <is>
          <t>Unchanged</t>
        </is>
      </c>
      <c r="Q155" s="21" t="inlineStr">
        <is>
          <t>Code symbol found</t>
        </is>
      </c>
      <c r="R155" s="5" t="inlineStr">
        <is>
          <t>Matched SalesReturn in product code. This is not a functional test.</t>
        </is>
      </c>
      <c r="S155" s="8" t="inlineStr">
        <is>
          <t>RET</t>
        </is>
      </c>
      <c r="T155" s="5" t="inlineStr">
        <is>
          <t>Returns, complaints, and after-sales</t>
        </is>
      </c>
      <c r="U155" s="8" t="inlineStr"/>
      <c r="V155" s="8" t="inlineStr">
        <is>
          <t>sales</t>
        </is>
      </c>
      <c r="W155" s="8" t="inlineStr">
        <is>
          <t>RUN</t>
        </is>
      </c>
      <c r="X155" s="5" t="inlineStr">
        <is>
          <t>Core</t>
        </is>
      </c>
      <c r="Y155" s="5" t="inlineStr">
        <is>
          <t>Stock</t>
        </is>
      </c>
      <c r="Z155" s="5" t="inlineStr">
        <is>
          <t>Medium</t>
        </is>
      </c>
      <c r="AA155" s="5" t="inlineStr">
        <is>
          <t>Medium</t>
        </is>
      </c>
      <c r="AB155" s="8" t="inlineStr">
        <is>
          <t>Low</t>
        </is>
      </c>
      <c r="AC155" s="8" t="inlineStr">
        <is>
          <t>Pilot</t>
        </is>
      </c>
      <c r="AD155" s="5" t="inlineStr">
        <is>
          <t>Cited in code</t>
        </is>
      </c>
      <c r="AE155" s="5" t="inlineStr">
        <is>
          <t>Not verified</t>
        </is>
      </c>
      <c r="AF155" s="5" t="inlineStr">
        <is>
          <t>Not verified</t>
        </is>
      </c>
      <c r="AG155" s="5" t="inlineStr">
        <is>
          <t>Not verified</t>
        </is>
      </c>
      <c r="AH155" s="5" t="inlineStr">
        <is>
          <t>Not verified</t>
        </is>
      </c>
      <c r="AI155" s="8" t="inlineStr">
        <is>
          <t>No</t>
        </is>
      </c>
      <c r="AJ155" s="8" t="inlineStr">
        <is>
          <t>Built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P-0155</t>
        </is>
      </c>
      <c r="B156" s="8" t="inlineStr">
        <is>
          <t>P</t>
        </is>
      </c>
      <c r="C156" s="5" t="inlineStr">
        <is>
          <t>Inventory Manager</t>
        </is>
      </c>
      <c r="D156" s="5" t="inlineStr">
        <is>
          <t>Inventory Lifecycle</t>
        </is>
      </c>
      <c r="E156" s="5" t="inlineStr">
        <is>
          <t>Perform stock count</t>
        </is>
      </c>
      <c r="F156" s="5" t="inlineStr">
        <is>
          <t>Inventory Manager</t>
        </is>
      </c>
      <c r="G156" s="5" t="inlineStr">
        <is>
          <t>Counting Staff</t>
        </is>
      </c>
      <c r="H156" s="5" t="inlineStr">
        <is>
          <t>Conduct scheduled physical inventory audits using barcode scanners or mobile tally sheets</t>
        </is>
      </c>
      <c r="I156" s="5" t="inlineStr">
        <is>
          <t>Initializes StockCountSession; captures scanned counts against frozen snapshot</t>
        </is>
      </c>
      <c r="J156" s="20" t="inlineStr">
        <is>
          <t>P1</t>
        </is>
      </c>
      <c r="K156" s="20" t="inlineStr">
        <is>
          <t>Validated (Supported)</t>
        </is>
      </c>
      <c r="L156" s="5" t="inlineStr">
        <is>
          <t>Supported via /inventory/stock-counts/ with blind counting and scanner support.</t>
        </is>
      </c>
      <c r="M156" s="8" t="inlineStr">
        <is>
          <t>Baseline</t>
        </is>
      </c>
      <c r="N156" s="8" t="inlineStr">
        <is>
          <t>Operational role</t>
        </is>
      </c>
      <c r="O156" s="8" t="inlineStr">
        <is>
          <t>P1</t>
        </is>
      </c>
      <c r="P156" s="5" t="inlineStr">
        <is>
          <t>Unchanged</t>
        </is>
      </c>
      <c r="Q156" s="20" t="inlineStr">
        <is>
          <t>Author assertion</t>
        </is>
      </c>
      <c r="R156" s="5" t="inlineStr"/>
      <c r="S156" s="8" t="inlineStr">
        <is>
          <t>INV</t>
        </is>
      </c>
      <c r="T156" s="5" t="inlineStr">
        <is>
          <t>Inventory lifecycle</t>
        </is>
      </c>
      <c r="U156" s="8" t="inlineStr"/>
      <c r="V156" s="8" t="inlineStr">
        <is>
          <t>inventory</t>
        </is>
      </c>
      <c r="W156" s="8" t="inlineStr">
        <is>
          <t>RUN</t>
        </is>
      </c>
      <c r="X156" s="5" t="inlineStr">
        <is>
          <t>Core</t>
        </is>
      </c>
      <c r="Y156" s="5" t="inlineStr">
        <is>
          <t>Stock</t>
        </is>
      </c>
      <c r="Z156" s="5" t="inlineStr">
        <is>
          <t>High</t>
        </is>
      </c>
      <c r="AA156" s="5" t="inlineStr">
        <is>
          <t>High</t>
        </is>
      </c>
      <c r="AB156" s="8" t="inlineStr">
        <is>
          <t>Low</t>
        </is>
      </c>
      <c r="AC156" s="8" t="inlineStr">
        <is>
          <t>Pilot</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P1</t>
        </is>
      </c>
      <c r="AL156" s="8" t="n">
        <v>9</v>
      </c>
      <c r="AM156" s="5" t="inlineStr"/>
      <c r="AN156" s="5" t="inlineStr"/>
      <c r="AO156" s="5" t="inlineStr"/>
      <c r="AP156" s="5" t="inlineStr"/>
      <c r="AQ156" s="5" t="inlineStr"/>
      <c r="AR156" s="5" t="inlineStr"/>
      <c r="AS156" s="5" t="inlineStr"/>
      <c r="AT156" s="5" t="inlineStr"/>
      <c r="AU156" s="8" t="inlineStr">
        <is>
          <t>Not run</t>
        </is>
      </c>
    </row>
    <row r="157" ht="32" customHeight="1">
      <c r="A157" s="16" t="inlineStr">
        <is>
          <t>P-0156</t>
        </is>
      </c>
      <c r="B157" s="8" t="inlineStr">
        <is>
          <t>P</t>
        </is>
      </c>
      <c r="C157" s="5" t="inlineStr">
        <is>
          <t>Inventory Manager</t>
        </is>
      </c>
      <c r="D157" s="5" t="inlineStr">
        <is>
          <t>Inventory Lifecycle</t>
        </is>
      </c>
      <c r="E157" s="5" t="inlineStr">
        <is>
          <t>Reconcile physical versus system stock</t>
        </is>
      </c>
      <c r="F157" s="5" t="inlineStr">
        <is>
          <t>Inventory Manager</t>
        </is>
      </c>
      <c r="G157" s="5" t="inlineStr">
        <is>
          <t>Accountant</t>
        </is>
      </c>
      <c r="H157" s="5" t="inlineStr">
        <is>
          <t>Compare actual physical count against system book balance to uncover stock variances</t>
        </is>
      </c>
      <c r="I157" s="5" t="inlineStr">
        <is>
          <t>Generates Variance Ledger detailing overages, shortages, and net financial discrepancy</t>
        </is>
      </c>
      <c r="J157" s="20" t="inlineStr">
        <is>
          <t>P1</t>
        </is>
      </c>
      <c r="K157" s="20" t="inlineStr">
        <is>
          <t>Validated (Supported)</t>
        </is>
      </c>
      <c r="L157" s="5" t="inlineStr">
        <is>
          <t>Supported via StockCountSession discrepancy analysis dashboard.</t>
        </is>
      </c>
      <c r="M157" s="8" t="inlineStr">
        <is>
          <t>Baseline</t>
        </is>
      </c>
      <c r="N157" s="8" t="inlineStr">
        <is>
          <t>Operational role</t>
        </is>
      </c>
      <c r="O157" s="8" t="inlineStr">
        <is>
          <t>P1</t>
        </is>
      </c>
      <c r="P157" s="5" t="inlineStr">
        <is>
          <t>Unchanged</t>
        </is>
      </c>
      <c r="Q157" s="21" t="inlineStr">
        <is>
          <t>Code symbol found</t>
        </is>
      </c>
      <c r="R157" s="5" t="inlineStr">
        <is>
          <t>Matched StockCountSession in product code. This is not a functional test.</t>
        </is>
      </c>
      <c r="S157" s="8" t="inlineStr">
        <is>
          <t>INV</t>
        </is>
      </c>
      <c r="T157" s="5" t="inlineStr">
        <is>
          <t>Inventory lifecycle</t>
        </is>
      </c>
      <c r="U157" s="8" t="inlineStr"/>
      <c r="V157" s="8" t="inlineStr">
        <is>
          <t>inventory</t>
        </is>
      </c>
      <c r="W157" s="8" t="inlineStr">
        <is>
          <t>RUN</t>
        </is>
      </c>
      <c r="X157" s="5" t="inlineStr">
        <is>
          <t>Core</t>
        </is>
      </c>
      <c r="Y157" s="5" t="inlineStr">
        <is>
          <t>Stock</t>
        </is>
      </c>
      <c r="Z157" s="5" t="inlineStr">
        <is>
          <t>High</t>
        </is>
      </c>
      <c r="AA157" s="5" t="inlineStr">
        <is>
          <t>High</t>
        </is>
      </c>
      <c r="AB157" s="8" t="inlineStr">
        <is>
          <t>Low</t>
        </is>
      </c>
      <c r="AC157" s="8" t="inlineStr">
        <is>
          <t>Pilot</t>
        </is>
      </c>
      <c r="AD157" s="5" t="inlineStr">
        <is>
          <t>Cited in code</t>
        </is>
      </c>
      <c r="AE157" s="5" t="inlineStr">
        <is>
          <t>Not verified</t>
        </is>
      </c>
      <c r="AF157" s="5" t="inlineStr">
        <is>
          <t>Not verified</t>
        </is>
      </c>
      <c r="AG157" s="5" t="inlineStr">
        <is>
          <t>Not verified</t>
        </is>
      </c>
      <c r="AH157" s="5" t="inlineStr">
        <is>
          <t>Not verified</t>
        </is>
      </c>
      <c r="AI157" s="8" t="inlineStr">
        <is>
          <t>No</t>
        </is>
      </c>
      <c r="AJ157" s="8" t="inlineStr">
        <is>
          <t>Built - unverified</t>
        </is>
      </c>
      <c r="AK157" s="8" t="inlineStr">
        <is>
          <t>P1</t>
        </is>
      </c>
      <c r="AL157" s="8" t="n">
        <v>9</v>
      </c>
      <c r="AM157" s="5" t="inlineStr"/>
      <c r="AN157" s="5" t="inlineStr"/>
      <c r="AO157" s="5" t="inlineStr"/>
      <c r="AP157" s="5" t="inlineStr"/>
      <c r="AQ157" s="5" t="inlineStr"/>
      <c r="AR157" s="5" t="inlineStr"/>
      <c r="AS157" s="5" t="inlineStr"/>
      <c r="AT157" s="5" t="inlineStr"/>
      <c r="AU157" s="8" t="inlineStr">
        <is>
          <t>Not run</t>
        </is>
      </c>
    </row>
    <row r="158" ht="32" customHeight="1">
      <c r="A158" s="16" t="inlineStr">
        <is>
          <t>P-0157</t>
        </is>
      </c>
      <c r="B158" s="8" t="inlineStr">
        <is>
          <t>P</t>
        </is>
      </c>
      <c r="C158" s="5" t="inlineStr">
        <is>
          <t>Inventory Manager</t>
        </is>
      </c>
      <c r="D158" s="5" t="inlineStr">
        <is>
          <t>Inventory Lifecycle</t>
        </is>
      </c>
      <c r="E158" s="5" t="inlineStr">
        <is>
          <t>Track batch/serial numbers</t>
        </is>
      </c>
      <c r="F158" s="5" t="inlineStr">
        <is>
          <t>Inventory Manager</t>
        </is>
      </c>
      <c r="G158" s="5" t="inlineStr">
        <is>
          <t>Customer Service</t>
        </is>
      </c>
      <c r="H158" s="5" t="inlineStr">
        <is>
          <t>Track complete movement history of individual serial numbers or manufacturer batch lots</t>
        </is>
      </c>
      <c r="I158" s="5" t="inlineStr">
        <is>
          <t>Maintains comprehensive lifecycle history: origin PO -&gt; godown -&gt; transfer -&gt; sales invoice</t>
        </is>
      </c>
      <c r="J158" s="20" t="inlineStr">
        <is>
          <t>P1</t>
        </is>
      </c>
      <c r="K158" s="20" t="inlineStr">
        <is>
          <t>Validated (Supported)</t>
        </is>
      </c>
      <c r="L158" s="5" t="inlineStr">
        <is>
          <t>Supported via Serial/Batch Traceability Explorer (/inventory/traceability/).</t>
        </is>
      </c>
      <c r="M158" s="8" t="inlineStr">
        <is>
          <t>Baseline</t>
        </is>
      </c>
      <c r="N158" s="8" t="inlineStr">
        <is>
          <t>Operational role</t>
        </is>
      </c>
      <c r="O158" s="8" t="inlineStr">
        <is>
          <t>P1</t>
        </is>
      </c>
      <c r="P158" s="5" t="inlineStr">
        <is>
          <t>Unchanged</t>
        </is>
      </c>
      <c r="Q158" s="20" t="inlineStr">
        <is>
          <t>Author assertion</t>
        </is>
      </c>
      <c r="R158" s="5" t="inlineStr"/>
      <c r="S158" s="8" t="inlineStr">
        <is>
          <t>INV</t>
        </is>
      </c>
      <c r="T158" s="5" t="inlineStr">
        <is>
          <t>Inventory lifecycle</t>
        </is>
      </c>
      <c r="U158" s="8" t="inlineStr"/>
      <c r="V158" s="8" t="inlineStr">
        <is>
          <t>inventory</t>
        </is>
      </c>
      <c r="W158" s="8" t="inlineStr">
        <is>
          <t>RUN</t>
        </is>
      </c>
      <c r="X158" s="5" t="inlineStr">
        <is>
          <t>Core</t>
        </is>
      </c>
      <c r="Y158" s="5" t="inlineStr">
        <is>
          <t>Stock</t>
        </is>
      </c>
      <c r="Z158" s="5" t="inlineStr">
        <is>
          <t>High</t>
        </is>
      </c>
      <c r="AA158" s="5" t="inlineStr">
        <is>
          <t>High</t>
        </is>
      </c>
      <c r="AB158" s="8" t="inlineStr">
        <is>
          <t>Low</t>
        </is>
      </c>
      <c r="AC158" s="8" t="inlineStr">
        <is>
          <t>Pilot</t>
        </is>
      </c>
      <c r="AD158" s="5" t="inlineStr">
        <is>
          <t>Not independently checked</t>
        </is>
      </c>
      <c r="AE158" s="5" t="inlineStr">
        <is>
          <t>Not verified</t>
        </is>
      </c>
      <c r="AF158" s="5" t="inlineStr">
        <is>
          <t>Not verified</t>
        </is>
      </c>
      <c r="AG158" s="5" t="inlineStr">
        <is>
          <t>Not verified</t>
        </is>
      </c>
      <c r="AH158" s="5" t="inlineStr">
        <is>
          <t>Not verified</t>
        </is>
      </c>
      <c r="AI158" s="8" t="inlineStr">
        <is>
          <t>No</t>
        </is>
      </c>
      <c r="AJ158" s="8" t="inlineStr">
        <is>
          <t>Claimed - unverified</t>
        </is>
      </c>
      <c r="AK158" s="8" t="inlineStr">
        <is>
          <t>P1</t>
        </is>
      </c>
      <c r="AL158" s="8" t="n">
        <v>9</v>
      </c>
      <c r="AM158" s="5" t="inlineStr"/>
      <c r="AN158" s="5" t="inlineStr"/>
      <c r="AO158" s="5" t="inlineStr"/>
      <c r="AP158" s="5" t="inlineStr"/>
      <c r="AQ158" s="5" t="inlineStr"/>
      <c r="AR158" s="5" t="inlineStr"/>
      <c r="AS158" s="5" t="inlineStr"/>
      <c r="AT158" s="5" t="inlineStr"/>
      <c r="AU158" s="8" t="inlineStr">
        <is>
          <t>Not run</t>
        </is>
      </c>
    </row>
    <row r="159" ht="32" customHeight="1">
      <c r="A159" s="16" t="inlineStr">
        <is>
          <t>P-0158</t>
        </is>
      </c>
      <c r="B159" s="8" t="inlineStr">
        <is>
          <t>P</t>
        </is>
      </c>
      <c r="C159" s="5" t="inlineStr">
        <is>
          <t>Inventory Manager</t>
        </is>
      </c>
      <c r="D159" s="5" t="inlineStr">
        <is>
          <t>Inventory Lifecycle</t>
        </is>
      </c>
      <c r="E159" s="5" t="inlineStr">
        <is>
          <t>Track expiry</t>
        </is>
      </c>
      <c r="F159" s="5" t="inlineStr">
        <is>
          <t>Inventory Manager</t>
        </is>
      </c>
      <c r="G159" s="5" t="inlineStr">
        <is>
          <t>Sales Team</t>
        </is>
      </c>
      <c r="H159" s="5" t="inlineStr">
        <is>
          <t>Enforce First-Expiry-First-Out (FEFO) rules and track impending shelf-life expirations</t>
        </is>
      </c>
      <c r="I159" s="5" t="inlineStr">
        <is>
          <t>Sorts available batches by expiry date; restricts allocation of expiring lots</t>
        </is>
      </c>
      <c r="J159" s="19" t="inlineStr">
        <is>
          <t>P0</t>
        </is>
      </c>
      <c r="K159" s="20" t="inlineStr">
        <is>
          <t>Validated (Supported)</t>
        </is>
      </c>
      <c r="L159" s="5" t="inlineStr">
        <is>
          <t>Core system invariant: FEFO auto-selection in warehouse picking and billing.</t>
        </is>
      </c>
      <c r="M159" s="8" t="inlineStr">
        <is>
          <t>Baseline</t>
        </is>
      </c>
      <c r="N159" s="8" t="inlineStr">
        <is>
          <t>Operational role</t>
        </is>
      </c>
      <c r="O159" s="8" t="inlineStr">
        <is>
          <t>P0</t>
        </is>
      </c>
      <c r="P159" s="5" t="inlineStr">
        <is>
          <t>Unchanged</t>
        </is>
      </c>
      <c r="Q159" s="20" t="inlineStr">
        <is>
          <t>Author assertion</t>
        </is>
      </c>
      <c r="R159" s="5" t="inlineStr"/>
      <c r="S159" s="8" t="inlineStr">
        <is>
          <t>INV</t>
        </is>
      </c>
      <c r="T159" s="5" t="inlineStr">
        <is>
          <t>Inventory lifecycle</t>
        </is>
      </c>
      <c r="U159" s="8" t="inlineStr"/>
      <c r="V159" s="8" t="inlineStr">
        <is>
          <t>inventory</t>
        </is>
      </c>
      <c r="W159" s="8" t="inlineStr">
        <is>
          <t>RUN</t>
        </is>
      </c>
      <c r="X159" s="5" t="inlineStr">
        <is>
          <t>Core</t>
        </is>
      </c>
      <c r="Y159" s="5" t="inlineStr">
        <is>
          <t>Stock</t>
        </is>
      </c>
      <c r="Z159" s="5" t="inlineStr">
        <is>
          <t>High</t>
        </is>
      </c>
      <c r="AA159" s="5" t="inlineStr">
        <is>
          <t>High</t>
        </is>
      </c>
      <c r="AB159" s="8" t="inlineStr">
        <is>
          <t>Low</t>
        </is>
      </c>
      <c r="AC159" s="8" t="inlineStr">
        <is>
          <t>MVP</t>
        </is>
      </c>
      <c r="AD159" s="5" t="inlineStr">
        <is>
          <t>Not independently checked</t>
        </is>
      </c>
      <c r="AE159" s="5" t="inlineStr">
        <is>
          <t>Not verified</t>
        </is>
      </c>
      <c r="AF159" s="5" t="inlineStr">
        <is>
          <t>Not verified</t>
        </is>
      </c>
      <c r="AG159" s="5" t="inlineStr">
        <is>
          <t>Not verified</t>
        </is>
      </c>
      <c r="AH159" s="5" t="inlineStr">
        <is>
          <t>Not verified</t>
        </is>
      </c>
      <c r="AI159" s="8" t="inlineStr">
        <is>
          <t>No</t>
        </is>
      </c>
      <c r="AJ159" s="8" t="inlineStr">
        <is>
          <t>Claimed - unverified</t>
        </is>
      </c>
      <c r="AK159" s="8" t="inlineStr">
        <is>
          <t>P0</t>
        </is>
      </c>
      <c r="AL159" s="8" t="n">
        <v>9</v>
      </c>
      <c r="AM159" s="5" t="inlineStr"/>
      <c r="AN159" s="5" t="inlineStr"/>
      <c r="AO159" s="5" t="inlineStr"/>
      <c r="AP159" s="5" t="inlineStr"/>
      <c r="AQ159" s="5" t="inlineStr"/>
      <c r="AR159" s="5" t="inlineStr"/>
      <c r="AS159" s="5" t="inlineStr"/>
      <c r="AT159" s="5" t="inlineStr"/>
      <c r="AU159" s="8" t="inlineStr">
        <is>
          <t>Not run</t>
        </is>
      </c>
    </row>
    <row r="160" ht="32" customHeight="1">
      <c r="A160" s="16" t="inlineStr">
        <is>
          <t>P-0159</t>
        </is>
      </c>
      <c r="B160" s="8" t="inlineStr">
        <is>
          <t>P</t>
        </is>
      </c>
      <c r="C160" s="5" t="inlineStr">
        <is>
          <t>Inventory Manager</t>
        </is>
      </c>
      <c r="D160" s="5" t="inlineStr">
        <is>
          <t>Inventory Lifecycle</t>
        </is>
      </c>
      <c r="E160" s="5" t="inlineStr">
        <is>
          <t>Calculate inventory valuation</t>
        </is>
      </c>
      <c r="F160" s="5" t="inlineStr">
        <is>
          <t>Inventory Manager</t>
        </is>
      </c>
      <c r="G160" s="5" t="inlineStr">
        <is>
          <t>Accountant / Auditor</t>
        </is>
      </c>
      <c r="H160" s="5" t="inlineStr">
        <is>
          <t>Calculate total balance sheet inventory value based on FIFO cost layers</t>
        </is>
      </c>
      <c r="I160" s="5" t="inlineStr">
        <is>
          <t>Computes total asset value: SUM(Stock Layer Quantity * Layer Unit Cost)</t>
        </is>
      </c>
      <c r="J160" s="22" t="inlineStr">
        <is>
          <t>P2</t>
        </is>
      </c>
      <c r="K160" s="20" t="inlineStr">
        <is>
          <t>Validated (Supported)</t>
        </is>
      </c>
      <c r="L160" s="5" t="inlineStr">
        <is>
          <t>Supported via Inventory Valuation Ledger (/reports/inventory-valuation/).</t>
        </is>
      </c>
      <c r="M160" s="8" t="inlineStr">
        <is>
          <t>Baseline</t>
        </is>
      </c>
      <c r="N160" s="8" t="inlineStr">
        <is>
          <t>Operational role</t>
        </is>
      </c>
      <c r="O160" s="8" t="inlineStr">
        <is>
          <t>P2</t>
        </is>
      </c>
      <c r="P160" s="5" t="inlineStr">
        <is>
          <t>Restored to authored P2. The previous workbook had P3 after a keyword rebalance.</t>
        </is>
      </c>
      <c r="Q160" s="20" t="inlineStr">
        <is>
          <t>Author assertion</t>
        </is>
      </c>
      <c r="R160" s="5" t="inlineStr">
        <is>
          <t>Restored to authored P2. The previous workbook had P3 after a keyword rebalance.</t>
        </is>
      </c>
      <c r="S160" s="8" t="inlineStr">
        <is>
          <t>INV</t>
        </is>
      </c>
      <c r="T160" s="5" t="inlineStr">
        <is>
          <t>Inventory lifecycle</t>
        </is>
      </c>
      <c r="U160" s="8" t="inlineStr"/>
      <c r="V160" s="8" t="inlineStr">
        <is>
          <t>inventory</t>
        </is>
      </c>
      <c r="W160" s="8" t="inlineStr">
        <is>
          <t>RUN</t>
        </is>
      </c>
      <c r="X160" s="5" t="inlineStr">
        <is>
          <t>Core</t>
        </is>
      </c>
      <c r="Y160" s="5" t="inlineStr">
        <is>
          <t>Stock</t>
        </is>
      </c>
      <c r="Z160" s="5" t="inlineStr">
        <is>
          <t>High</t>
        </is>
      </c>
      <c r="AA160" s="5" t="inlineStr">
        <is>
          <t>High</t>
        </is>
      </c>
      <c r="AB160" s="8" t="inlineStr">
        <is>
          <t>Low</t>
        </is>
      </c>
      <c r="AC160" s="8" t="inlineStr">
        <is>
          <t>Later</t>
        </is>
      </c>
      <c r="AD160" s="5" t="inlineStr">
        <is>
          <t>Not independently checked</t>
        </is>
      </c>
      <c r="AE160" s="5" t="inlineStr">
        <is>
          <t>Not verified</t>
        </is>
      </c>
      <c r="AF160" s="5" t="inlineStr">
        <is>
          <t>Not verified</t>
        </is>
      </c>
      <c r="AG160" s="5" t="inlineStr">
        <is>
          <t>Not verified</t>
        </is>
      </c>
      <c r="AH160" s="5" t="inlineStr">
        <is>
          <t>Not verified</t>
        </is>
      </c>
      <c r="AI160" s="8" t="inlineStr">
        <is>
          <t>No</t>
        </is>
      </c>
      <c r="AJ160" s="8" t="inlineStr">
        <is>
          <t>Claimed - unverified</t>
        </is>
      </c>
      <c r="AK160" s="8" t="inlineStr">
        <is>
          <t>P2</t>
        </is>
      </c>
      <c r="AL160" s="8" t="n">
        <v>9</v>
      </c>
      <c r="AM160" s="5" t="inlineStr"/>
      <c r="AN160" s="5" t="inlineStr"/>
      <c r="AO160" s="5" t="inlineStr"/>
      <c r="AP160" s="5" t="inlineStr"/>
      <c r="AQ160" s="5" t="inlineStr"/>
      <c r="AR160" s="5" t="inlineStr"/>
      <c r="AS160" s="5" t="inlineStr"/>
      <c r="AT160" s="5" t="inlineStr"/>
      <c r="AU160" s="8" t="inlineStr">
        <is>
          <t>Not run</t>
        </is>
      </c>
    </row>
    <row r="161" ht="32" customHeight="1">
      <c r="A161" s="16" t="inlineStr">
        <is>
          <t>P-0160</t>
        </is>
      </c>
      <c r="B161" s="8" t="inlineStr">
        <is>
          <t>P</t>
        </is>
      </c>
      <c r="C161" s="5" t="inlineStr">
        <is>
          <t>Inventory Manager</t>
        </is>
      </c>
      <c r="D161" s="5" t="inlineStr">
        <is>
          <t>Inventory Lifecycle</t>
        </is>
      </c>
      <c r="E161" s="5" t="inlineStr">
        <is>
          <t>Investigate stock discrepancies</t>
        </is>
      </c>
      <c r="F161" s="5" t="inlineStr">
        <is>
          <t>Inventory Manager</t>
        </is>
      </c>
      <c r="G161" s="5" t="inlineStr">
        <is>
          <t>Security / Store Auditor</t>
        </is>
      </c>
      <c r="H161" s="5" t="inlineStr">
        <is>
          <t>Drill into transaction logs to uncover root cause of missing stock (theft, unbilled dispatch, count error)</t>
        </is>
      </c>
      <c r="I161" s="5" t="inlineStr">
        <is>
          <t>Replays all inward, outward, and transfer movements chronologically for disputed SKU</t>
        </is>
      </c>
      <c r="J161" s="20" t="inlineStr">
        <is>
          <t>P1</t>
        </is>
      </c>
      <c r="K161" s="20" t="inlineStr">
        <is>
          <t>Validated (Supported)</t>
        </is>
      </c>
      <c r="L161" s="5" t="inlineStr">
        <is>
          <t>Supported via SKU Timeline Explorer with audit trail log.</t>
        </is>
      </c>
      <c r="M161" s="8" t="inlineStr">
        <is>
          <t>Baseline</t>
        </is>
      </c>
      <c r="N161" s="8" t="inlineStr">
        <is>
          <t>Operational role</t>
        </is>
      </c>
      <c r="O161" s="8" t="inlineStr">
        <is>
          <t>P1</t>
        </is>
      </c>
      <c r="P161" s="5" t="inlineStr">
        <is>
          <t>Unchanged</t>
        </is>
      </c>
      <c r="Q161" s="20" t="inlineStr">
        <is>
          <t>Author assertion</t>
        </is>
      </c>
      <c r="R161" s="5" t="inlineStr"/>
      <c r="S161" s="8" t="inlineStr">
        <is>
          <t>INV</t>
        </is>
      </c>
      <c r="T161" s="5" t="inlineStr">
        <is>
          <t>Inventory lifecycle</t>
        </is>
      </c>
      <c r="U161" s="8" t="inlineStr"/>
      <c r="V161" s="8" t="inlineStr">
        <is>
          <t>inventory</t>
        </is>
      </c>
      <c r="W161" s="8" t="inlineStr">
        <is>
          <t>RUN</t>
        </is>
      </c>
      <c r="X161" s="5" t="inlineStr">
        <is>
          <t>Core</t>
        </is>
      </c>
      <c r="Y161" s="5" t="inlineStr">
        <is>
          <t>Stock</t>
        </is>
      </c>
      <c r="Z161" s="5" t="inlineStr">
        <is>
          <t>High</t>
        </is>
      </c>
      <c r="AA161" s="5" t="inlineStr">
        <is>
          <t>High</t>
        </is>
      </c>
      <c r="AB161" s="8" t="inlineStr">
        <is>
          <t>Low</t>
        </is>
      </c>
      <c r="AC161" s="8" t="inlineStr">
        <is>
          <t>Pilot</t>
        </is>
      </c>
      <c r="AD161" s="5" t="inlineStr">
        <is>
          <t>Not independently checked</t>
        </is>
      </c>
      <c r="AE161" s="5" t="inlineStr">
        <is>
          <t>Not verified</t>
        </is>
      </c>
      <c r="AF161" s="5" t="inlineStr">
        <is>
          <t>Not verified</t>
        </is>
      </c>
      <c r="AG161" s="5" t="inlineStr">
        <is>
          <t>Not verified</t>
        </is>
      </c>
      <c r="AH161" s="5" t="inlineStr">
        <is>
          <t>Not verified</t>
        </is>
      </c>
      <c r="AI161" s="8" t="inlineStr">
        <is>
          <t>No</t>
        </is>
      </c>
      <c r="AJ161" s="8" t="inlineStr">
        <is>
          <t>Claimed - unverified</t>
        </is>
      </c>
      <c r="AK161" s="8" t="inlineStr">
        <is>
          <t>P1</t>
        </is>
      </c>
      <c r="AL161" s="8" t="n">
        <v>9</v>
      </c>
      <c r="AM161" s="5" t="inlineStr"/>
      <c r="AN161" s="5" t="inlineStr"/>
      <c r="AO161" s="5" t="inlineStr"/>
      <c r="AP161" s="5" t="inlineStr"/>
      <c r="AQ161" s="5" t="inlineStr"/>
      <c r="AR161" s="5" t="inlineStr"/>
      <c r="AS161" s="5" t="inlineStr"/>
      <c r="AT161" s="5" t="inlineStr"/>
      <c r="AU161" s="8" t="inlineStr">
        <is>
          <t>Not run</t>
        </is>
      </c>
    </row>
    <row r="162" ht="32" customHeight="1">
      <c r="A162" s="16" t="inlineStr">
        <is>
          <t>P-0161</t>
        </is>
      </c>
      <c r="B162" s="8" t="inlineStr">
        <is>
          <t>P</t>
        </is>
      </c>
      <c r="C162" s="5" t="inlineStr">
        <is>
          <t>Inventory Manager</t>
        </is>
      </c>
      <c r="D162" s="5" t="inlineStr">
        <is>
          <t>Inventory Lifecycle</t>
        </is>
      </c>
      <c r="E162" s="5" t="inlineStr">
        <is>
          <t>Review inventory movement history</t>
        </is>
      </c>
      <c r="F162" s="5" t="inlineStr">
        <is>
          <t>Inventory Manager</t>
        </is>
      </c>
      <c r="G162" s="5" t="inlineStr">
        <is>
          <t>Auditor</t>
        </is>
      </c>
      <c r="H162" s="5" t="inlineStr">
        <is>
          <t>Audit chronological log of every stock increment and decrement across the company</t>
        </is>
      </c>
      <c r="I162" s="5" t="inlineStr">
        <is>
          <t>Queries immutable StockMovement table with filters for movement type, user, and date</t>
        </is>
      </c>
      <c r="J162" s="20" t="inlineStr">
        <is>
          <t>P1</t>
        </is>
      </c>
      <c r="K162" s="20" t="inlineStr">
        <is>
          <t>Validated (Supported)</t>
        </is>
      </c>
      <c r="L162" s="5" t="inlineStr">
        <is>
          <t>Supported via /inventory/movements/ with export to Excel/CSV.</t>
        </is>
      </c>
      <c r="M162" s="8" t="inlineStr">
        <is>
          <t>Baseline</t>
        </is>
      </c>
      <c r="N162" s="8" t="inlineStr">
        <is>
          <t>Operational role</t>
        </is>
      </c>
      <c r="O162" s="8" t="inlineStr">
        <is>
          <t>P1</t>
        </is>
      </c>
      <c r="P162" s="5" t="inlineStr">
        <is>
          <t>Unchanged</t>
        </is>
      </c>
      <c r="Q162" s="20" t="inlineStr">
        <is>
          <t>Author assertion</t>
        </is>
      </c>
      <c r="R162" s="5" t="inlineStr"/>
      <c r="S162" s="8" t="inlineStr">
        <is>
          <t>INV</t>
        </is>
      </c>
      <c r="T162" s="5" t="inlineStr">
        <is>
          <t>Inventory lifecycle</t>
        </is>
      </c>
      <c r="U162" s="8" t="inlineStr"/>
      <c r="V162" s="8" t="inlineStr">
        <is>
          <t>inventory</t>
        </is>
      </c>
      <c r="W162" s="8" t="inlineStr">
        <is>
          <t>RUN</t>
        </is>
      </c>
      <c r="X162" s="5" t="inlineStr">
        <is>
          <t>Core</t>
        </is>
      </c>
      <c r="Y162" s="5" t="inlineStr">
        <is>
          <t>Stock</t>
        </is>
      </c>
      <c r="Z162" s="5" t="inlineStr">
        <is>
          <t>High</t>
        </is>
      </c>
      <c r="AA162" s="5" t="inlineStr">
        <is>
          <t>High</t>
        </is>
      </c>
      <c r="AB162" s="8" t="inlineStr">
        <is>
          <t>Low</t>
        </is>
      </c>
      <c r="AC162" s="8" t="inlineStr">
        <is>
          <t>Pilot</t>
        </is>
      </c>
      <c r="AD162" s="5" t="inlineStr">
        <is>
          <t>Not independently checked</t>
        </is>
      </c>
      <c r="AE162" s="5" t="inlineStr">
        <is>
          <t>Not verified</t>
        </is>
      </c>
      <c r="AF162" s="5" t="inlineStr">
        <is>
          <t>Not verified</t>
        </is>
      </c>
      <c r="AG162" s="5" t="inlineStr">
        <is>
          <t>Not verified</t>
        </is>
      </c>
      <c r="AH162" s="5" t="inlineStr">
        <is>
          <t>Not verified</t>
        </is>
      </c>
      <c r="AI162" s="8" t="inlineStr">
        <is>
          <t>No</t>
        </is>
      </c>
      <c r="AJ162" s="8" t="inlineStr">
        <is>
          <t>Claimed - unverified</t>
        </is>
      </c>
      <c r="AK162" s="8" t="inlineStr">
        <is>
          <t>P1</t>
        </is>
      </c>
      <c r="AL162" s="8" t="n">
        <v>9</v>
      </c>
      <c r="AM162" s="5" t="inlineStr"/>
      <c r="AN162" s="5" t="inlineStr"/>
      <c r="AO162" s="5" t="inlineStr"/>
      <c r="AP162" s="5" t="inlineStr"/>
      <c r="AQ162" s="5" t="inlineStr"/>
      <c r="AR162" s="5" t="inlineStr"/>
      <c r="AS162" s="5" t="inlineStr"/>
      <c r="AT162" s="5" t="inlineStr"/>
      <c r="AU162" s="8" t="inlineStr">
        <is>
          <t>Not run</t>
        </is>
      </c>
    </row>
    <row r="163" ht="32" customHeight="1">
      <c r="A163" s="16" t="inlineStr">
        <is>
          <t>P-0162</t>
        </is>
      </c>
      <c r="B163" s="8" t="inlineStr">
        <is>
          <t>P</t>
        </is>
      </c>
      <c r="C163" s="5" t="inlineStr">
        <is>
          <t>Customer</t>
        </is>
      </c>
      <c r="D163" s="5" t="inlineStr">
        <is>
          <t>Customer-to-Cash</t>
        </is>
      </c>
      <c r="E163" s="5" t="inlineStr">
        <is>
          <t>Receive invoice</t>
        </is>
      </c>
      <c r="F163" s="5" t="inlineStr">
        <is>
          <t>Customer</t>
        </is>
      </c>
      <c r="G163" s="5" t="inlineStr">
        <is>
          <t>Counter Billing Clerk</t>
        </is>
      </c>
      <c r="H163" s="5" t="inlineStr">
        <is>
          <t>Receive transparent, itemized invoice via paper print, SMS link, or WhatsApp message</t>
        </is>
      </c>
      <c r="I163" s="5" t="inlineStr">
        <is>
          <t>Provides proof of purchase, warranty record, and tax breakdown for input tax credit</t>
        </is>
      </c>
      <c r="J163" s="20" t="inlineStr">
        <is>
          <t>P1</t>
        </is>
      </c>
      <c r="K163" s="20" t="inlineStr">
        <is>
          <t>Validated (Supported)</t>
        </is>
      </c>
      <c r="L163" s="5" t="inlineStr">
        <is>
          <t>Supported via digital invoice web view and WhatsApp share link.</t>
        </is>
      </c>
      <c r="M163" s="8" t="inlineStr">
        <is>
          <t>Baseline</t>
        </is>
      </c>
      <c r="N163" s="8" t="inlineStr">
        <is>
          <t>Operational role</t>
        </is>
      </c>
      <c r="O163" s="8" t="inlineStr">
        <is>
          <t>P1</t>
        </is>
      </c>
      <c r="P163" s="5" t="inlineStr">
        <is>
          <t>Unchanged</t>
        </is>
      </c>
      <c r="Q163" s="21" t="inlineStr">
        <is>
          <t>Code symbol found</t>
        </is>
      </c>
      <c r="R163" s="5" t="inlineStr">
        <is>
          <t>Matched WhatsApp in product code. This is not a functional test.</t>
        </is>
      </c>
      <c r="S163" s="8" t="inlineStr">
        <is>
          <t>C2C</t>
        </is>
      </c>
      <c r="T163" s="5" t="inlineStr">
        <is>
          <t>Customer to cash</t>
        </is>
      </c>
      <c r="U163" s="8" t="inlineStr"/>
      <c r="V163" s="8" t="inlineStr">
        <is>
          <t>sales</t>
        </is>
      </c>
      <c r="W163" s="8" t="inlineStr">
        <is>
          <t>RUN</t>
        </is>
      </c>
      <c r="X163" s="5" t="inlineStr">
        <is>
          <t>Core</t>
        </is>
      </c>
      <c r="Y163" s="5" t="inlineStr">
        <is>
          <t>External party</t>
        </is>
      </c>
      <c r="Z163" s="5" t="inlineStr">
        <is>
          <t>Medium</t>
        </is>
      </c>
      <c r="AA163" s="5" t="inlineStr">
        <is>
          <t>Medium</t>
        </is>
      </c>
      <c r="AB163" s="8" t="inlineStr">
        <is>
          <t>Low</t>
        </is>
      </c>
      <c r="AC163" s="8" t="inlineStr">
        <is>
          <t>Pilot</t>
        </is>
      </c>
      <c r="AD163" s="5" t="inlineStr">
        <is>
          <t>Cited in code</t>
        </is>
      </c>
      <c r="AE163" s="5" t="inlineStr">
        <is>
          <t>Not verified</t>
        </is>
      </c>
      <c r="AF163" s="5" t="inlineStr">
        <is>
          <t>Not verified</t>
        </is>
      </c>
      <c r="AG163" s="5" t="inlineStr">
        <is>
          <t>Not verified</t>
        </is>
      </c>
      <c r="AH163" s="5" t="inlineStr">
        <is>
          <t>Not verified</t>
        </is>
      </c>
      <c r="AI163" s="8" t="inlineStr">
        <is>
          <t>No</t>
        </is>
      </c>
      <c r="AJ163" s="8" t="inlineStr">
        <is>
          <t>Built - unverified</t>
        </is>
      </c>
      <c r="AK163" s="8" t="inlineStr">
        <is>
          <t>P1</t>
        </is>
      </c>
      <c r="AL163" s="8" t="n">
        <v>6</v>
      </c>
      <c r="AM163" s="5" t="inlineStr"/>
      <c r="AN163" s="5" t="inlineStr"/>
      <c r="AO163" s="5" t="inlineStr"/>
      <c r="AP163" s="5" t="inlineStr"/>
      <c r="AQ163" s="5" t="inlineStr"/>
      <c r="AR163" s="5" t="inlineStr"/>
      <c r="AS163" s="5" t="inlineStr"/>
      <c r="AT163" s="5" t="inlineStr"/>
      <c r="AU163" s="8" t="inlineStr">
        <is>
          <t>Not run</t>
        </is>
      </c>
    </row>
    <row r="164" ht="32" customHeight="1">
      <c r="A164" s="16" t="inlineStr">
        <is>
          <t>P-0163</t>
        </is>
      </c>
      <c r="B164" s="8" t="inlineStr">
        <is>
          <t>P</t>
        </is>
      </c>
      <c r="C164" s="5" t="inlineStr">
        <is>
          <t>Customer</t>
        </is>
      </c>
      <c r="D164" s="5" t="inlineStr">
        <is>
          <t>Sales / CRM / Customer Lifecycle</t>
        </is>
      </c>
      <c r="E164" s="5" t="inlineStr">
        <is>
          <t>View purchase history</t>
        </is>
      </c>
      <c r="F164" s="5" t="inlineStr">
        <is>
          <t>Customer</t>
        </is>
      </c>
      <c r="G164" s="5" t="inlineStr">
        <is>
          <t>Salesperson</t>
        </is>
      </c>
      <c r="H164" s="5" t="inlineStr">
        <is>
          <t>Review past orders, reorder previous items, and track order fulfillment status</t>
        </is>
      </c>
      <c r="I164" s="5" t="inlineStr">
        <is>
          <t>Accesses self-service customer ledger or order summary link</t>
        </is>
      </c>
      <c r="J164" s="22" t="inlineStr">
        <is>
          <t>P2</t>
        </is>
      </c>
      <c r="K164" s="20" t="inlineStr">
        <is>
          <t>Validated (Supported)</t>
        </is>
      </c>
      <c r="L164" s="5" t="inlineStr">
        <is>
          <t>Supported via Customer Portal / shared statement link.</t>
        </is>
      </c>
      <c r="M164" s="8" t="inlineStr">
        <is>
          <t>Baseline</t>
        </is>
      </c>
      <c r="N164" s="8" t="inlineStr">
        <is>
          <t>Operational role</t>
        </is>
      </c>
      <c r="O164" s="8" t="inlineStr">
        <is>
          <t>P2</t>
        </is>
      </c>
      <c r="P164" s="5" t="inlineStr">
        <is>
          <t>Restored to authored P2. The previous workbook had P3 after a keyword rebalance.</t>
        </is>
      </c>
      <c r="Q164" s="20" t="inlineStr">
        <is>
          <t>Author assertion</t>
        </is>
      </c>
      <c r="R164" s="5" t="inlineStr">
        <is>
          <t>Restored to authored P2. The previous workbook had P3 after a keyword rebalance.</t>
        </is>
      </c>
      <c r="S164" s="8" t="inlineStr">
        <is>
          <t>CRM</t>
        </is>
      </c>
      <c r="T164" s="5" t="inlineStr">
        <is>
          <t>Sales and CRM lifecycle</t>
        </is>
      </c>
      <c r="U164" s="8" t="inlineStr"/>
      <c r="V164" s="8" t="inlineStr">
        <is>
          <t>crm</t>
        </is>
      </c>
      <c r="W164" s="8" t="inlineStr">
        <is>
          <t>GROW</t>
        </is>
      </c>
      <c r="X164" s="5" t="inlineStr">
        <is>
          <t>Core</t>
        </is>
      </c>
      <c r="Y164" s="5" t="inlineStr">
        <is>
          <t>External party</t>
        </is>
      </c>
      <c r="Z164" s="5" t="inlineStr">
        <is>
          <t>Medium</t>
        </is>
      </c>
      <c r="AA164" s="5" t="inlineStr">
        <is>
          <t>Medium</t>
        </is>
      </c>
      <c r="AB164" s="8" t="inlineStr">
        <is>
          <t>Low</t>
        </is>
      </c>
      <c r="AC164" s="8" t="inlineStr">
        <is>
          <t>Later</t>
        </is>
      </c>
      <c r="AD164" s="5" t="inlineStr">
        <is>
          <t>Not independently checked</t>
        </is>
      </c>
      <c r="AE164" s="5" t="inlineStr">
        <is>
          <t>Not verified</t>
        </is>
      </c>
      <c r="AF164" s="5" t="inlineStr">
        <is>
          <t>Not verified</t>
        </is>
      </c>
      <c r="AG164" s="5" t="inlineStr">
        <is>
          <t>Not verified</t>
        </is>
      </c>
      <c r="AH164" s="5" t="inlineStr">
        <is>
          <t>Not verified</t>
        </is>
      </c>
      <c r="AI164" s="8" t="inlineStr">
        <is>
          <t>No</t>
        </is>
      </c>
      <c r="AJ164" s="8" t="inlineStr">
        <is>
          <t>Claimed - unverified</t>
        </is>
      </c>
      <c r="AK164" s="8" t="inlineStr">
        <is>
          <t>P2</t>
        </is>
      </c>
      <c r="AL164" s="8" t="n">
        <v>6</v>
      </c>
      <c r="AM164" s="5" t="inlineStr"/>
      <c r="AN164" s="5" t="inlineStr"/>
      <c r="AO164" s="5" t="inlineStr"/>
      <c r="AP164" s="5" t="inlineStr"/>
      <c r="AQ164" s="5" t="inlineStr"/>
      <c r="AR164" s="5" t="inlineStr"/>
      <c r="AS164" s="5" t="inlineStr"/>
      <c r="AT164" s="5" t="inlineStr"/>
      <c r="AU164" s="8" t="inlineStr">
        <is>
          <t>Not run</t>
        </is>
      </c>
    </row>
    <row r="165" ht="32" customHeight="1">
      <c r="A165" s="16" t="inlineStr">
        <is>
          <t>P-0164</t>
        </is>
      </c>
      <c r="B165" s="8" t="inlineStr">
        <is>
          <t>P</t>
        </is>
      </c>
      <c r="C165" s="5" t="inlineStr">
        <is>
          <t>Customer</t>
        </is>
      </c>
      <c r="D165" s="5" t="inlineStr">
        <is>
          <t>Receivables &amp; Payables</t>
        </is>
      </c>
      <c r="E165" s="5" t="inlineStr">
        <is>
          <t>Receive dues information</t>
        </is>
      </c>
      <c r="F165" s="5" t="inlineStr">
        <is>
          <t>Customer</t>
        </is>
      </c>
      <c r="G165" s="5" t="inlineStr">
        <is>
          <t>Accountant / Cashier</t>
        </is>
      </c>
      <c r="H165" s="5" t="inlineStr">
        <is>
          <t>Receive clear, polite payment reminders showing total unpaid credit balance and due date</t>
        </is>
      </c>
      <c r="I165" s="5" t="inlineStr">
        <is>
          <t>Displays list of outstanding invoices with embedded UPI quick-payment link</t>
        </is>
      </c>
      <c r="J165" s="20" t="inlineStr">
        <is>
          <t>P1</t>
        </is>
      </c>
      <c r="K165" s="20" t="inlineStr">
        <is>
          <t>Validated (Supported)</t>
        </is>
      </c>
      <c r="L165" s="5" t="inlineStr">
        <is>
          <t>Supported via Automated WhatsApp payment reminder engine.</t>
        </is>
      </c>
      <c r="M165" s="8" t="inlineStr">
        <is>
          <t>Baseline</t>
        </is>
      </c>
      <c r="N165" s="8" t="inlineStr">
        <is>
          <t>Operational role</t>
        </is>
      </c>
      <c r="O165" s="8" t="inlineStr">
        <is>
          <t>P1</t>
        </is>
      </c>
      <c r="P165" s="5" t="inlineStr">
        <is>
          <t>Unchanged</t>
        </is>
      </c>
      <c r="Q165" s="21" t="inlineStr">
        <is>
          <t>Code symbol found</t>
        </is>
      </c>
      <c r="R165" s="5" t="inlineStr">
        <is>
          <t>Matched WhatsApp in product code. This is not a functional test.</t>
        </is>
      </c>
      <c r="S165" s="8" t="inlineStr">
        <is>
          <t>ARAP</t>
        </is>
      </c>
      <c r="T165" s="5" t="inlineStr">
        <is>
          <t>Receivables and payables</t>
        </is>
      </c>
      <c r="U165" s="8" t="inlineStr"/>
      <c r="V165" s="8" t="inlineStr">
        <is>
          <t>ledgers</t>
        </is>
      </c>
      <c r="W165" s="8" t="inlineStr">
        <is>
          <t>CONTROL</t>
        </is>
      </c>
      <c r="X165" s="5" t="inlineStr">
        <is>
          <t>Core</t>
        </is>
      </c>
      <c r="Y165" s="5" t="inlineStr">
        <is>
          <t>External party</t>
        </is>
      </c>
      <c r="Z165" s="5" t="inlineStr">
        <is>
          <t>Critical</t>
        </is>
      </c>
      <c r="AA165" s="5" t="inlineStr">
        <is>
          <t>High</t>
        </is>
      </c>
      <c r="AB165" s="8" t="inlineStr">
        <is>
          <t>Medium</t>
        </is>
      </c>
      <c r="AC165" s="8" t="inlineStr">
        <is>
          <t>Pilot</t>
        </is>
      </c>
      <c r="AD165" s="5" t="inlineStr">
        <is>
          <t>Cited in code</t>
        </is>
      </c>
      <c r="AE165" s="5" t="inlineStr">
        <is>
          <t>Not verified</t>
        </is>
      </c>
      <c r="AF165" s="5" t="inlineStr">
        <is>
          <t>Not verified</t>
        </is>
      </c>
      <c r="AG165" s="5" t="inlineStr">
        <is>
          <t>Not verified</t>
        </is>
      </c>
      <c r="AH165" s="5" t="inlineStr">
        <is>
          <t>Not verified</t>
        </is>
      </c>
      <c r="AI165" s="8" t="inlineStr">
        <is>
          <t>No</t>
        </is>
      </c>
      <c r="AJ165" s="8" t="inlineStr">
        <is>
          <t>Built - unverified</t>
        </is>
      </c>
      <c r="AK165" s="8" t="inlineStr">
        <is>
          <t>P1</t>
        </is>
      </c>
      <c r="AL165" s="8" t="n">
        <v>18</v>
      </c>
      <c r="AM165" s="5" t="inlineStr"/>
      <c r="AN165" s="5" t="inlineStr"/>
      <c r="AO165" s="5" t="inlineStr"/>
      <c r="AP165" s="5" t="inlineStr"/>
      <c r="AQ165" s="5" t="inlineStr"/>
      <c r="AR165" s="5" t="inlineStr"/>
      <c r="AS165" s="5" t="inlineStr"/>
      <c r="AT165" s="5" t="inlineStr"/>
      <c r="AU165" s="8" t="inlineStr">
        <is>
          <t>Not run</t>
        </is>
      </c>
    </row>
    <row r="166" ht="32" customHeight="1">
      <c r="A166" s="16" t="inlineStr">
        <is>
          <t>P-0165</t>
        </is>
      </c>
      <c r="B166" s="8" t="inlineStr">
        <is>
          <t>P</t>
        </is>
      </c>
      <c r="C166" s="5" t="inlineStr">
        <is>
          <t>Customer</t>
        </is>
      </c>
      <c r="D166" s="5" t="inlineStr">
        <is>
          <t>Payments &amp; Reconciliation</t>
        </is>
      </c>
      <c r="E166" s="5" t="inlineStr">
        <is>
          <t>Make payment</t>
        </is>
      </c>
      <c r="F166" s="5" t="inlineStr">
        <is>
          <t>Customer</t>
        </is>
      </c>
      <c r="G166" s="5" t="inlineStr">
        <is>
          <t>Cashier / Payment Gateway</t>
        </is>
      </c>
      <c r="H166" s="5" t="inlineStr">
        <is>
          <t>Pay outstanding balance easily via Cash, UPI QR, Debit/Credit Card, or NetBanking</t>
        </is>
      </c>
      <c r="I166" s="5" t="inlineStr">
        <is>
          <t>Generates immediate payment receipt; reduces customer outstanding balance in real time</t>
        </is>
      </c>
      <c r="J166" s="20" t="inlineStr">
        <is>
          <t>P1</t>
        </is>
      </c>
      <c r="K166" s="20" t="inlineStr">
        <is>
          <t>Validated (Supported)</t>
        </is>
      </c>
      <c r="L166" s="5" t="inlineStr">
        <is>
          <t>Supported via dynamic UPI QR on POS and online payment link.</t>
        </is>
      </c>
      <c r="M166" s="8" t="inlineStr">
        <is>
          <t>Baseline</t>
        </is>
      </c>
      <c r="N166" s="8" t="inlineStr">
        <is>
          <t>Operational role</t>
        </is>
      </c>
      <c r="O166" s="8" t="inlineStr">
        <is>
          <t>P1</t>
        </is>
      </c>
      <c r="P166" s="5" t="inlineStr">
        <is>
          <t>Unchanged</t>
        </is>
      </c>
      <c r="Q166" s="20" t="inlineStr">
        <is>
          <t>Author assertion</t>
        </is>
      </c>
      <c r="R166" s="5" t="inlineStr"/>
      <c r="S166" s="8" t="inlineStr">
        <is>
          <t>PAYREC</t>
        </is>
      </c>
      <c r="T166" s="5" t="inlineStr">
        <is>
          <t>Payments and reconciliation</t>
        </is>
      </c>
      <c r="U166" s="8" t="inlineStr"/>
      <c r="V166" s="8" t="inlineStr">
        <is>
          <t>payments</t>
        </is>
      </c>
      <c r="W166" s="8" t="inlineStr">
        <is>
          <t>RUN</t>
        </is>
      </c>
      <c r="X166" s="5" t="inlineStr">
        <is>
          <t>Core</t>
        </is>
      </c>
      <c r="Y166" s="5" t="inlineStr">
        <is>
          <t>External party</t>
        </is>
      </c>
      <c r="Z166" s="5" t="inlineStr">
        <is>
          <t>High</t>
        </is>
      </c>
      <c r="AA166" s="5" t="inlineStr">
        <is>
          <t>High</t>
        </is>
      </c>
      <c r="AB166" s="8" t="inlineStr">
        <is>
          <t>Low</t>
        </is>
      </c>
      <c r="AC166" s="8" t="inlineStr">
        <is>
          <t>Pilot</t>
        </is>
      </c>
      <c r="AD166" s="5" t="inlineStr">
        <is>
          <t>Not independently checked</t>
        </is>
      </c>
      <c r="AE166" s="5" t="inlineStr">
        <is>
          <t>Not verified</t>
        </is>
      </c>
      <c r="AF166" s="5" t="inlineStr">
        <is>
          <t>Not verified</t>
        </is>
      </c>
      <c r="AG166" s="5" t="inlineStr">
        <is>
          <t>Not verified</t>
        </is>
      </c>
      <c r="AH166" s="5" t="inlineStr">
        <is>
          <t>Not verified</t>
        </is>
      </c>
      <c r="AI166" s="8" t="inlineStr">
        <is>
          <t>No</t>
        </is>
      </c>
      <c r="AJ166" s="8" t="inlineStr">
        <is>
          <t>Claimed - unverified</t>
        </is>
      </c>
      <c r="AK166" s="8" t="inlineStr">
        <is>
          <t>P1</t>
        </is>
      </c>
      <c r="AL166" s="8" t="n">
        <v>9</v>
      </c>
      <c r="AM166" s="5" t="inlineStr"/>
      <c r="AN166" s="5" t="inlineStr"/>
      <c r="AO166" s="5" t="inlineStr"/>
      <c r="AP166" s="5" t="inlineStr"/>
      <c r="AQ166" s="5" t="inlineStr"/>
      <c r="AR166" s="5" t="inlineStr"/>
      <c r="AS166" s="5" t="inlineStr"/>
      <c r="AT166" s="5" t="inlineStr"/>
      <c r="AU166" s="8" t="inlineStr">
        <is>
          <t>Not run</t>
        </is>
      </c>
    </row>
    <row r="167" ht="32" customHeight="1">
      <c r="A167" s="16" t="inlineStr">
        <is>
          <t>P-0166</t>
        </is>
      </c>
      <c r="B167" s="8" t="inlineStr">
        <is>
          <t>P</t>
        </is>
      </c>
      <c r="C167" s="5" t="inlineStr">
        <is>
          <t>Customer</t>
        </is>
      </c>
      <c r="D167" s="5" t="inlineStr">
        <is>
          <t>Returns / Complaints / After-Sales</t>
        </is>
      </c>
      <c r="E167" s="5" t="inlineStr">
        <is>
          <t>Request return</t>
        </is>
      </c>
      <c r="F167" s="5" t="inlineStr">
        <is>
          <t>Customer</t>
        </is>
      </c>
      <c r="G167" s="5" t="inlineStr">
        <is>
          <t>Customer Support / Clerk</t>
        </is>
      </c>
      <c r="H167" s="5" t="inlineStr">
        <is>
          <t>Initiate return request for defective, damaged, or wrongly supplied products</t>
        </is>
      </c>
      <c r="I167" s="5" t="inlineStr">
        <is>
          <t>Generates return request ticket; captures reason and invoice reference</t>
        </is>
      </c>
      <c r="J167" s="20" t="inlineStr">
        <is>
          <t>P1</t>
        </is>
      </c>
      <c r="K167" s="20" t="inlineStr">
        <is>
          <t>Validated (Supported)</t>
        </is>
      </c>
      <c r="L167" s="5" t="inlineStr">
        <is>
          <t>Supported via SalesReturn draft initiation with invoice lookup.</t>
        </is>
      </c>
      <c r="M167" s="8" t="inlineStr">
        <is>
          <t>Baseline</t>
        </is>
      </c>
      <c r="N167" s="8" t="inlineStr">
        <is>
          <t>Operational role</t>
        </is>
      </c>
      <c r="O167" s="8" t="inlineStr">
        <is>
          <t>P1</t>
        </is>
      </c>
      <c r="P167" s="5" t="inlineStr">
        <is>
          <t>Unchanged</t>
        </is>
      </c>
      <c r="Q167" s="21" t="inlineStr">
        <is>
          <t>Code symbol found</t>
        </is>
      </c>
      <c r="R167" s="5" t="inlineStr">
        <is>
          <t>Matched SalesReturn in product code. This is not a functional test.</t>
        </is>
      </c>
      <c r="S167" s="8" t="inlineStr">
        <is>
          <t>RET</t>
        </is>
      </c>
      <c r="T167" s="5" t="inlineStr">
        <is>
          <t>Returns, complaints, and after-sales</t>
        </is>
      </c>
      <c r="U167" s="8" t="inlineStr"/>
      <c r="V167" s="8" t="inlineStr">
        <is>
          <t>sales</t>
        </is>
      </c>
      <c r="W167" s="8" t="inlineStr">
        <is>
          <t>RUN</t>
        </is>
      </c>
      <c r="X167" s="5" t="inlineStr">
        <is>
          <t>Core</t>
        </is>
      </c>
      <c r="Y167" s="5" t="inlineStr">
        <is>
          <t>External party</t>
        </is>
      </c>
      <c r="Z167" s="5" t="inlineStr">
        <is>
          <t>Medium</t>
        </is>
      </c>
      <c r="AA167" s="5" t="inlineStr">
        <is>
          <t>Medium</t>
        </is>
      </c>
      <c r="AB167" s="8" t="inlineStr">
        <is>
          <t>Low</t>
        </is>
      </c>
      <c r="AC167" s="8" t="inlineStr">
        <is>
          <t>Pilot</t>
        </is>
      </c>
      <c r="AD167" s="5" t="inlineStr">
        <is>
          <t>Cited in code</t>
        </is>
      </c>
      <c r="AE167" s="5" t="inlineStr">
        <is>
          <t>Not verified</t>
        </is>
      </c>
      <c r="AF167" s="5" t="inlineStr">
        <is>
          <t>Not verified</t>
        </is>
      </c>
      <c r="AG167" s="5" t="inlineStr">
        <is>
          <t>Not verified</t>
        </is>
      </c>
      <c r="AH167" s="5" t="inlineStr">
        <is>
          <t>Not verified</t>
        </is>
      </c>
      <c r="AI167" s="8" t="inlineStr">
        <is>
          <t>No</t>
        </is>
      </c>
      <c r="AJ167" s="8" t="inlineStr">
        <is>
          <t>Built - unverified</t>
        </is>
      </c>
      <c r="AK167" s="8" t="inlineStr">
        <is>
          <t>P1</t>
        </is>
      </c>
      <c r="AL167" s="8" t="n">
        <v>6</v>
      </c>
      <c r="AM167" s="5" t="inlineStr"/>
      <c r="AN167" s="5" t="inlineStr"/>
      <c r="AO167" s="5" t="inlineStr"/>
      <c r="AP167" s="5" t="inlineStr"/>
      <c r="AQ167" s="5" t="inlineStr"/>
      <c r="AR167" s="5" t="inlineStr"/>
      <c r="AS167" s="5" t="inlineStr"/>
      <c r="AT167" s="5" t="inlineStr"/>
      <c r="AU167" s="8" t="inlineStr">
        <is>
          <t>Not run</t>
        </is>
      </c>
    </row>
    <row r="168" ht="32" customHeight="1">
      <c r="A168" s="16" t="inlineStr">
        <is>
          <t>P-0167</t>
        </is>
      </c>
      <c r="B168" s="8" t="inlineStr">
        <is>
          <t>P</t>
        </is>
      </c>
      <c r="C168" s="5" t="inlineStr">
        <is>
          <t>Customer</t>
        </is>
      </c>
      <c r="D168" s="5" t="inlineStr">
        <is>
          <t>Returns / Complaints / After-Sales</t>
        </is>
      </c>
      <c r="E168" s="5" t="inlineStr">
        <is>
          <t>Request replacement</t>
        </is>
      </c>
      <c r="F168" s="5" t="inlineStr">
        <is>
          <t>Customer</t>
        </is>
      </c>
      <c r="G168" s="5" t="inlineStr">
        <is>
          <t>Store Clerk</t>
        </is>
      </c>
      <c r="H168" s="5" t="inlineStr">
        <is>
          <t>Request exchange of damaged product for a fresh replacement unit</t>
        </is>
      </c>
      <c r="I168" s="5" t="inlineStr">
        <is>
          <t>Links return voucher with replacement sales order; balances financial difference</t>
        </is>
      </c>
      <c r="J168" s="22" t="inlineStr">
        <is>
          <t>P2</t>
        </is>
      </c>
      <c r="K168" s="20" t="inlineStr">
        <is>
          <t>Validated (Supported)</t>
        </is>
      </c>
      <c r="L168" s="5" t="inlineStr">
        <is>
          <t>Supported via Return &amp; Exchange workflow in POS interface.</t>
        </is>
      </c>
      <c r="M168" s="8" t="inlineStr">
        <is>
          <t>Baseline</t>
        </is>
      </c>
      <c r="N168" s="8" t="inlineStr">
        <is>
          <t>Operational role</t>
        </is>
      </c>
      <c r="O168" s="8" t="inlineStr">
        <is>
          <t>P2</t>
        </is>
      </c>
      <c r="P168" s="5" t="inlineStr">
        <is>
          <t>Restored to authored P2. The previous workbook had P3 after a keyword rebalance.</t>
        </is>
      </c>
      <c r="Q168" s="20" t="inlineStr">
        <is>
          <t>Author assertion</t>
        </is>
      </c>
      <c r="R168" s="5" t="inlineStr">
        <is>
          <t>Restored to authored P2. The previous workbook had P3 after a keyword rebalance.</t>
        </is>
      </c>
      <c r="S168" s="8" t="inlineStr">
        <is>
          <t>RET</t>
        </is>
      </c>
      <c r="T168" s="5" t="inlineStr">
        <is>
          <t>Returns, complaints, and after-sales</t>
        </is>
      </c>
      <c r="U168" s="8" t="inlineStr"/>
      <c r="V168" s="8" t="inlineStr">
        <is>
          <t>sales</t>
        </is>
      </c>
      <c r="W168" s="8" t="inlineStr">
        <is>
          <t>RUN</t>
        </is>
      </c>
      <c r="X168" s="5" t="inlineStr">
        <is>
          <t>Core</t>
        </is>
      </c>
      <c r="Y168" s="5" t="inlineStr">
        <is>
          <t>External party</t>
        </is>
      </c>
      <c r="Z168" s="5" t="inlineStr">
        <is>
          <t>Medium</t>
        </is>
      </c>
      <c r="AA168" s="5" t="inlineStr">
        <is>
          <t>Medium</t>
        </is>
      </c>
      <c r="AB168" s="8" t="inlineStr">
        <is>
          <t>Low</t>
        </is>
      </c>
      <c r="AC168" s="8" t="inlineStr">
        <is>
          <t>Later</t>
        </is>
      </c>
      <c r="AD168" s="5" t="inlineStr">
        <is>
          <t>Not independently checked</t>
        </is>
      </c>
      <c r="AE168" s="5" t="inlineStr">
        <is>
          <t>Not verified</t>
        </is>
      </c>
      <c r="AF168" s="5" t="inlineStr">
        <is>
          <t>Not verified</t>
        </is>
      </c>
      <c r="AG168" s="5" t="inlineStr">
        <is>
          <t>Not verified</t>
        </is>
      </c>
      <c r="AH168" s="5" t="inlineStr">
        <is>
          <t>Not verified</t>
        </is>
      </c>
      <c r="AI168" s="8" t="inlineStr">
        <is>
          <t>No</t>
        </is>
      </c>
      <c r="AJ168" s="8" t="inlineStr">
        <is>
          <t>Claimed - unverified</t>
        </is>
      </c>
      <c r="AK168" s="8" t="inlineStr">
        <is>
          <t>P2</t>
        </is>
      </c>
      <c r="AL168" s="8" t="n">
        <v>6</v>
      </c>
      <c r="AM168" s="5" t="inlineStr"/>
      <c r="AN168" s="5" t="inlineStr"/>
      <c r="AO168" s="5" t="inlineStr"/>
      <c r="AP168" s="5" t="inlineStr"/>
      <c r="AQ168" s="5" t="inlineStr"/>
      <c r="AR168" s="5" t="inlineStr"/>
      <c r="AS168" s="5" t="inlineStr"/>
      <c r="AT168" s="5" t="inlineStr"/>
      <c r="AU168" s="8" t="inlineStr">
        <is>
          <t>Not run</t>
        </is>
      </c>
    </row>
    <row r="169" ht="32" customHeight="1">
      <c r="A169" s="16" t="inlineStr">
        <is>
          <t>P-0168</t>
        </is>
      </c>
      <c r="B169" s="8" t="inlineStr">
        <is>
          <t>P</t>
        </is>
      </c>
      <c r="C169" s="5" t="inlineStr">
        <is>
          <t>Customer</t>
        </is>
      </c>
      <c r="D169" s="5" t="inlineStr">
        <is>
          <t>Receivables &amp; Payables</t>
        </is>
      </c>
      <c r="E169" s="5" t="inlineStr">
        <is>
          <t>View outstanding balance</t>
        </is>
      </c>
      <c r="F169" s="5" t="inlineStr">
        <is>
          <t>Customer</t>
        </is>
      </c>
      <c r="G169" s="5" t="inlineStr">
        <is>
          <t>Store Owner</t>
        </is>
      </c>
      <c r="H169" s="5" t="inlineStr">
        <is>
          <t>Verify running khata statement to confirm payments have been correctly credited</t>
        </is>
      </c>
      <c r="I169" s="5" t="inlineStr">
        <is>
          <t>Generates statement showing all historical purchases, payments, and running balance</t>
        </is>
      </c>
      <c r="J169" s="22" t="inlineStr">
        <is>
          <t>P2</t>
        </is>
      </c>
      <c r="K169" s="20" t="inlineStr">
        <is>
          <t>Validated (Supported)</t>
        </is>
      </c>
      <c r="L169" s="5" t="inlineStr">
        <is>
          <t>Supported via Customer Statement PDF export and WhatsApp share.</t>
        </is>
      </c>
      <c r="M169" s="8" t="inlineStr">
        <is>
          <t>Baseline</t>
        </is>
      </c>
      <c r="N169" s="8" t="inlineStr">
        <is>
          <t>Operational role</t>
        </is>
      </c>
      <c r="O169" s="8" t="inlineStr">
        <is>
          <t>P2</t>
        </is>
      </c>
      <c r="P169" s="5" t="inlineStr">
        <is>
          <t>Restored to authored P2. The previous workbook had P3 after a keyword rebalance.</t>
        </is>
      </c>
      <c r="Q169" s="21" t="inlineStr">
        <is>
          <t>Code symbol found</t>
        </is>
      </c>
      <c r="R169" s="5" t="inlineStr">
        <is>
          <t>Matched WhatsApp in product code. This is not a functional test. Restored to authored P2. The previous workbook had P3 after a keyword rebalance.</t>
        </is>
      </c>
      <c r="S169" s="8" t="inlineStr">
        <is>
          <t>ARAP</t>
        </is>
      </c>
      <c r="T169" s="5" t="inlineStr">
        <is>
          <t>Receivables and payables</t>
        </is>
      </c>
      <c r="U169" s="8" t="inlineStr"/>
      <c r="V169" s="8" t="inlineStr">
        <is>
          <t>ledgers</t>
        </is>
      </c>
      <c r="W169" s="8" t="inlineStr">
        <is>
          <t>CONTROL</t>
        </is>
      </c>
      <c r="X169" s="5" t="inlineStr">
        <is>
          <t>Core</t>
        </is>
      </c>
      <c r="Y169" s="5" t="inlineStr">
        <is>
          <t>External party</t>
        </is>
      </c>
      <c r="Z169" s="5" t="inlineStr">
        <is>
          <t>Critical</t>
        </is>
      </c>
      <c r="AA169" s="5" t="inlineStr">
        <is>
          <t>High</t>
        </is>
      </c>
      <c r="AB169" s="8" t="inlineStr">
        <is>
          <t>Medium</t>
        </is>
      </c>
      <c r="AC169" s="8" t="inlineStr">
        <is>
          <t>Later</t>
        </is>
      </c>
      <c r="AD169" s="5" t="inlineStr">
        <is>
          <t>Cited in code</t>
        </is>
      </c>
      <c r="AE169" s="5" t="inlineStr">
        <is>
          <t>Not verified</t>
        </is>
      </c>
      <c r="AF169" s="5" t="inlineStr">
        <is>
          <t>Not verified</t>
        </is>
      </c>
      <c r="AG169" s="5" t="inlineStr">
        <is>
          <t>Not verified</t>
        </is>
      </c>
      <c r="AH169" s="5" t="inlineStr">
        <is>
          <t>Not verified</t>
        </is>
      </c>
      <c r="AI169" s="8" t="inlineStr">
        <is>
          <t>No</t>
        </is>
      </c>
      <c r="AJ169" s="8" t="inlineStr">
        <is>
          <t>Built - unverified</t>
        </is>
      </c>
      <c r="AK169" s="8" t="inlineStr">
        <is>
          <t>P2</t>
        </is>
      </c>
      <c r="AL169" s="8" t="n">
        <v>18</v>
      </c>
      <c r="AM169" s="5" t="inlineStr"/>
      <c r="AN169" s="5" t="inlineStr"/>
      <c r="AO169" s="5" t="inlineStr"/>
      <c r="AP169" s="5" t="inlineStr"/>
      <c r="AQ169" s="5" t="inlineStr"/>
      <c r="AR169" s="5" t="inlineStr"/>
      <c r="AS169" s="5" t="inlineStr"/>
      <c r="AT169" s="5" t="inlineStr"/>
      <c r="AU169" s="8" t="inlineStr">
        <is>
          <t>Not run</t>
        </is>
      </c>
    </row>
    <row r="170" ht="32" customHeight="1">
      <c r="A170" s="16" t="inlineStr">
        <is>
          <t>P-0169</t>
        </is>
      </c>
      <c r="B170" s="8" t="inlineStr">
        <is>
          <t>P</t>
        </is>
      </c>
      <c r="C170" s="5" t="inlineStr">
        <is>
          <t>Customer</t>
        </is>
      </c>
      <c r="D170" s="5" t="inlineStr">
        <is>
          <t>Customer-to-Cash</t>
        </is>
      </c>
      <c r="E170" s="5" t="inlineStr">
        <is>
          <t>Receive order/status updates</t>
        </is>
      </c>
      <c r="F170" s="5" t="inlineStr">
        <is>
          <t>Customer</t>
        </is>
      </c>
      <c r="G170" s="5" t="inlineStr">
        <is>
          <t>Delivery Driver</t>
        </is>
      </c>
      <c r="H170" s="5" t="inlineStr">
        <is>
          <t>Receive SMS or WhatsApp notifications when order is confirmed, packed, dispatched, and delivered</t>
        </is>
      </c>
      <c r="I170" s="5" t="inlineStr">
        <is>
          <t>Maintains customer transparency and reduces inbound status inquiry calls</t>
        </is>
      </c>
      <c r="J170" s="22" t="inlineStr">
        <is>
          <t>P2</t>
        </is>
      </c>
      <c r="K170" s="20" t="inlineStr">
        <is>
          <t>Validated (Supported)</t>
        </is>
      </c>
      <c r="L170" s="5" t="inlineStr">
        <is>
          <t>Supported via automated order event webhook and WhatsApp status triggers.</t>
        </is>
      </c>
      <c r="M170" s="8" t="inlineStr">
        <is>
          <t>Baseline</t>
        </is>
      </c>
      <c r="N170" s="8" t="inlineStr">
        <is>
          <t>Operational role</t>
        </is>
      </c>
      <c r="O170" s="8" t="inlineStr">
        <is>
          <t>P2</t>
        </is>
      </c>
      <c r="P170" s="5" t="inlineStr">
        <is>
          <t>Restored to authored P2. The previous workbook had P3 after a keyword rebalance.</t>
        </is>
      </c>
      <c r="Q170" s="21" t="inlineStr">
        <is>
          <t>Code symbol found</t>
        </is>
      </c>
      <c r="R170" s="5" t="inlineStr">
        <is>
          <t>Matched WhatsApp in product code. This is not a functional test. Restored to authored P2. The previous workbook had P3 after a keyword rebalance.</t>
        </is>
      </c>
      <c r="S170" s="8" t="inlineStr">
        <is>
          <t>C2C</t>
        </is>
      </c>
      <c r="T170" s="5" t="inlineStr">
        <is>
          <t>Customer to cash</t>
        </is>
      </c>
      <c r="U170" s="8" t="inlineStr"/>
      <c r="V170" s="8" t="inlineStr">
        <is>
          <t>sales</t>
        </is>
      </c>
      <c r="W170" s="8" t="inlineStr">
        <is>
          <t>RUN</t>
        </is>
      </c>
      <c r="X170" s="5" t="inlineStr">
        <is>
          <t>Core</t>
        </is>
      </c>
      <c r="Y170" s="5" t="inlineStr">
        <is>
          <t>External party</t>
        </is>
      </c>
      <c r="Z170" s="5" t="inlineStr">
        <is>
          <t>Medium</t>
        </is>
      </c>
      <c r="AA170" s="5" t="inlineStr">
        <is>
          <t>Medium</t>
        </is>
      </c>
      <c r="AB170" s="8" t="inlineStr">
        <is>
          <t>Low</t>
        </is>
      </c>
      <c r="AC170" s="8" t="inlineStr">
        <is>
          <t>Later</t>
        </is>
      </c>
      <c r="AD170" s="5" t="inlineStr">
        <is>
          <t>Cited in code</t>
        </is>
      </c>
      <c r="AE170" s="5" t="inlineStr">
        <is>
          <t>Not verified</t>
        </is>
      </c>
      <c r="AF170" s="5" t="inlineStr">
        <is>
          <t>Not verified</t>
        </is>
      </c>
      <c r="AG170" s="5" t="inlineStr">
        <is>
          <t>Not verified</t>
        </is>
      </c>
      <c r="AH170" s="5" t="inlineStr">
        <is>
          <t>Not verified</t>
        </is>
      </c>
      <c r="AI170" s="8" t="inlineStr">
        <is>
          <t>No</t>
        </is>
      </c>
      <c r="AJ170" s="8" t="inlineStr">
        <is>
          <t>Built - unverified</t>
        </is>
      </c>
      <c r="AK170" s="8" t="inlineStr">
        <is>
          <t>P2</t>
        </is>
      </c>
      <c r="AL170" s="8" t="n">
        <v>6</v>
      </c>
      <c r="AM170" s="5" t="inlineStr"/>
      <c r="AN170" s="5" t="inlineStr"/>
      <c r="AO170" s="5" t="inlineStr"/>
      <c r="AP170" s="5" t="inlineStr"/>
      <c r="AQ170" s="5" t="inlineStr"/>
      <c r="AR170" s="5" t="inlineStr"/>
      <c r="AS170" s="5" t="inlineStr"/>
      <c r="AT170" s="5" t="inlineStr"/>
      <c r="AU170" s="8" t="inlineStr">
        <is>
          <t>Not run</t>
        </is>
      </c>
    </row>
    <row r="171" ht="32" customHeight="1">
      <c r="A171" s="16" t="inlineStr">
        <is>
          <t>P-0170</t>
        </is>
      </c>
      <c r="B171" s="8" t="inlineStr">
        <is>
          <t>P</t>
        </is>
      </c>
      <c r="C171" s="5" t="inlineStr">
        <is>
          <t>Supplier</t>
        </is>
      </c>
      <c r="D171" s="5" t="inlineStr">
        <is>
          <t>Procure-to-Pay</t>
        </is>
      </c>
      <c r="E171" s="5" t="inlineStr">
        <is>
          <t>Receive purchase/order information</t>
        </is>
      </c>
      <c r="F171" s="5" t="inlineStr">
        <is>
          <t>Supplier / Vendor</t>
        </is>
      </c>
      <c r="G171" s="5" t="inlineStr">
        <is>
          <t>Purchase Manager</t>
        </is>
      </c>
      <c r="H171" s="5" t="inlineStr">
        <is>
          <t>Receive structured purchase order detailing required SKUs, quantities, and delivery timeframe</t>
        </is>
      </c>
      <c r="I171" s="5" t="inlineStr">
        <is>
          <t>Provides binding commercial order for manufacturer or distributor fulfillment</t>
        </is>
      </c>
      <c r="J171" s="20" t="inlineStr">
        <is>
          <t>P1</t>
        </is>
      </c>
      <c r="K171" s="20" t="inlineStr">
        <is>
          <t>Validated (Supported)</t>
        </is>
      </c>
      <c r="L171" s="5" t="inlineStr">
        <is>
          <t>Supported via PO PDF generation and automated email/WhatsApp dispatch.</t>
        </is>
      </c>
      <c r="M171" s="8" t="inlineStr">
        <is>
          <t>Baseline</t>
        </is>
      </c>
      <c r="N171" s="8" t="inlineStr">
        <is>
          <t>Operational role</t>
        </is>
      </c>
      <c r="O171" s="8" t="inlineStr">
        <is>
          <t>P1</t>
        </is>
      </c>
      <c r="P171" s="5" t="inlineStr">
        <is>
          <t>Unchanged</t>
        </is>
      </c>
      <c r="Q171" s="21" t="inlineStr">
        <is>
          <t>Code symbol found</t>
        </is>
      </c>
      <c r="R171" s="5" t="inlineStr">
        <is>
          <t>Matched WhatsApp in product code. This is not a functional test.</t>
        </is>
      </c>
      <c r="S171" s="8" t="inlineStr">
        <is>
          <t>P2P</t>
        </is>
      </c>
      <c r="T171" s="5" t="inlineStr">
        <is>
          <t>Procure to pay</t>
        </is>
      </c>
      <c r="U171" s="8" t="inlineStr"/>
      <c r="V171" s="8" t="inlineStr">
        <is>
          <t>purchases</t>
        </is>
      </c>
      <c r="W171" s="8" t="inlineStr">
        <is>
          <t>RUN</t>
        </is>
      </c>
      <c r="X171" s="5" t="inlineStr">
        <is>
          <t>Core</t>
        </is>
      </c>
      <c r="Y171" s="5" t="inlineStr">
        <is>
          <t>External party</t>
        </is>
      </c>
      <c r="Z171" s="5" t="inlineStr">
        <is>
          <t>Medium</t>
        </is>
      </c>
      <c r="AA171" s="5" t="inlineStr">
        <is>
          <t>Medium</t>
        </is>
      </c>
      <c r="AB171" s="8" t="inlineStr">
        <is>
          <t>Low</t>
        </is>
      </c>
      <c r="AC171" s="8" t="inlineStr">
        <is>
          <t>Pilot</t>
        </is>
      </c>
      <c r="AD171" s="5" t="inlineStr">
        <is>
          <t>Cited in code</t>
        </is>
      </c>
      <c r="AE171" s="5" t="inlineStr">
        <is>
          <t>Not verified</t>
        </is>
      </c>
      <c r="AF171" s="5" t="inlineStr">
        <is>
          <t>Not verified</t>
        </is>
      </c>
      <c r="AG171" s="5" t="inlineStr">
        <is>
          <t>Not verified</t>
        </is>
      </c>
      <c r="AH171" s="5" t="inlineStr">
        <is>
          <t>Not verified</t>
        </is>
      </c>
      <c r="AI171" s="8" t="inlineStr">
        <is>
          <t>No</t>
        </is>
      </c>
      <c r="AJ171" s="8" t="inlineStr">
        <is>
          <t>Built - unverified</t>
        </is>
      </c>
      <c r="AK171" s="8" t="inlineStr">
        <is>
          <t>P1</t>
        </is>
      </c>
      <c r="AL171" s="8" t="n">
        <v>6</v>
      </c>
      <c r="AM171" s="5" t="inlineStr"/>
      <c r="AN171" s="5" t="inlineStr"/>
      <c r="AO171" s="5" t="inlineStr"/>
      <c r="AP171" s="5" t="inlineStr"/>
      <c r="AQ171" s="5" t="inlineStr"/>
      <c r="AR171" s="5" t="inlineStr"/>
      <c r="AS171" s="5" t="inlineStr"/>
      <c r="AT171" s="5" t="inlineStr"/>
      <c r="AU171" s="8" t="inlineStr">
        <is>
          <t>Not run</t>
        </is>
      </c>
    </row>
    <row r="172" ht="32" customHeight="1">
      <c r="A172" s="16" t="inlineStr">
        <is>
          <t>P-0171</t>
        </is>
      </c>
      <c r="B172" s="8" t="inlineStr">
        <is>
          <t>P</t>
        </is>
      </c>
      <c r="C172" s="5" t="inlineStr">
        <is>
          <t>Supplier</t>
        </is>
      </c>
      <c r="D172" s="5" t="inlineStr">
        <is>
          <t>Procure-to-Pay</t>
        </is>
      </c>
      <c r="E172" s="5" t="inlineStr">
        <is>
          <t>Provide invoice</t>
        </is>
      </c>
      <c r="F172" s="5" t="inlineStr">
        <is>
          <t>Supplier</t>
        </is>
      </c>
      <c r="G172" s="5" t="inlineStr">
        <is>
          <t>Purchase Manager / Accountant</t>
        </is>
      </c>
      <c r="H172" s="5" t="inlineStr">
        <is>
          <t>Submit tax invoice and delivery challan accompanying physical shipment</t>
        </is>
      </c>
      <c r="I172" s="5" t="inlineStr">
        <is>
          <t>Serves as legal basis for buyer's inventory intake and Input Tax Credit (ITC) claim</t>
        </is>
      </c>
      <c r="J172" s="20" t="inlineStr">
        <is>
          <t>P1</t>
        </is>
      </c>
      <c r="K172" s="20" t="inlineStr">
        <is>
          <t>Validated (Supported)</t>
        </is>
      </c>
      <c r="L172" s="5" t="inlineStr">
        <is>
          <t>Supported via Supplier Bill intake and OCR/LLM document extraction (/purchases/upload/).</t>
        </is>
      </c>
      <c r="M172" s="8" t="inlineStr">
        <is>
          <t>Baseline</t>
        </is>
      </c>
      <c r="N172" s="8" t="inlineStr">
        <is>
          <t>Operational role</t>
        </is>
      </c>
      <c r="O172" s="8" t="inlineStr">
        <is>
          <t>P1</t>
        </is>
      </c>
      <c r="P172" s="5" t="inlineStr">
        <is>
          <t>Unchanged</t>
        </is>
      </c>
      <c r="Q172" s="20" t="inlineStr">
        <is>
          <t>Author assertion</t>
        </is>
      </c>
      <c r="R172" s="5" t="inlineStr"/>
      <c r="S172" s="8" t="inlineStr">
        <is>
          <t>P2P</t>
        </is>
      </c>
      <c r="T172" s="5" t="inlineStr">
        <is>
          <t>Procure to pay</t>
        </is>
      </c>
      <c r="U172" s="8" t="inlineStr"/>
      <c r="V172" s="8" t="inlineStr">
        <is>
          <t>purchases</t>
        </is>
      </c>
      <c r="W172" s="8" t="inlineStr">
        <is>
          <t>RUN</t>
        </is>
      </c>
      <c r="X172" s="5" t="inlineStr">
        <is>
          <t>Core</t>
        </is>
      </c>
      <c r="Y172" s="5" t="inlineStr">
        <is>
          <t>External party</t>
        </is>
      </c>
      <c r="Z172" s="5" t="inlineStr">
        <is>
          <t>Medium</t>
        </is>
      </c>
      <c r="AA172" s="5" t="inlineStr">
        <is>
          <t>Medium</t>
        </is>
      </c>
      <c r="AB172" s="8" t="inlineStr">
        <is>
          <t>Low</t>
        </is>
      </c>
      <c r="AC172" s="8" t="inlineStr">
        <is>
          <t>Pilot</t>
        </is>
      </c>
      <c r="AD172" s="5" t="inlineStr">
        <is>
          <t>Not independently checked</t>
        </is>
      </c>
      <c r="AE172" s="5" t="inlineStr">
        <is>
          <t>Not verified</t>
        </is>
      </c>
      <c r="AF172" s="5" t="inlineStr">
        <is>
          <t>Not verified</t>
        </is>
      </c>
      <c r="AG172" s="5" t="inlineStr">
        <is>
          <t>Not verified</t>
        </is>
      </c>
      <c r="AH172" s="5" t="inlineStr">
        <is>
          <t>Not verified</t>
        </is>
      </c>
      <c r="AI172" s="8" t="inlineStr">
        <is>
          <t>No</t>
        </is>
      </c>
      <c r="AJ172" s="8" t="inlineStr">
        <is>
          <t>Claimed - unverified</t>
        </is>
      </c>
      <c r="AK172" s="8" t="inlineStr">
        <is>
          <t>P1</t>
        </is>
      </c>
      <c r="AL172" s="8" t="n">
        <v>6</v>
      </c>
      <c r="AM172" s="5" t="inlineStr"/>
      <c r="AN172" s="5" t="inlineStr"/>
      <c r="AO172" s="5" t="inlineStr"/>
      <c r="AP172" s="5" t="inlineStr"/>
      <c r="AQ172" s="5" t="inlineStr"/>
      <c r="AR172" s="5" t="inlineStr"/>
      <c r="AS172" s="5" t="inlineStr"/>
      <c r="AT172" s="5" t="inlineStr"/>
      <c r="AU172" s="8" t="inlineStr">
        <is>
          <t>Not run</t>
        </is>
      </c>
    </row>
    <row r="173" ht="32" customHeight="1">
      <c r="A173" s="16" t="inlineStr">
        <is>
          <t>P-0172</t>
        </is>
      </c>
      <c r="B173" s="8" t="inlineStr">
        <is>
          <t>P</t>
        </is>
      </c>
      <c r="C173" s="5" t="inlineStr">
        <is>
          <t>Supplier</t>
        </is>
      </c>
      <c r="D173" s="5" t="inlineStr">
        <is>
          <t>Receivables &amp; Payables</t>
        </is>
      </c>
      <c r="E173" s="5" t="inlineStr">
        <is>
          <t>Track payment status</t>
        </is>
      </c>
      <c r="F173" s="5" t="inlineStr">
        <is>
          <t>Supplier</t>
        </is>
      </c>
      <c r="G173" s="5" t="inlineStr">
        <is>
          <t>In-house Accountant</t>
        </is>
      </c>
      <c r="H173" s="5" t="inlineStr">
        <is>
          <t>Verify payment remittance status, UTR numbers, and TDS certificates</t>
        </is>
      </c>
      <c r="I173" s="5" t="inlineStr">
        <is>
          <t>Reduces payment disputes; provides payment advice referencing paid invoices</t>
        </is>
      </c>
      <c r="J173" s="22" t="inlineStr">
        <is>
          <t>P2</t>
        </is>
      </c>
      <c r="K173" s="20" t="inlineStr">
        <is>
          <t>Validated (Supported)</t>
        </is>
      </c>
      <c r="L173" s="5" t="inlineStr">
        <is>
          <t>Supported via Payment Advice generation and supplier statement export.</t>
        </is>
      </c>
      <c r="M173" s="8" t="inlineStr">
        <is>
          <t>Baseline</t>
        </is>
      </c>
      <c r="N173" s="8" t="inlineStr">
        <is>
          <t>Operational role</t>
        </is>
      </c>
      <c r="O173" s="8" t="inlineStr">
        <is>
          <t>P2</t>
        </is>
      </c>
      <c r="P173" s="5" t="inlineStr">
        <is>
          <t>Restored to authored P2. The previous workbook had P3 after a keyword rebalance.</t>
        </is>
      </c>
      <c r="Q173" s="20" t="inlineStr">
        <is>
          <t>Author assertion</t>
        </is>
      </c>
      <c r="R173" s="5" t="inlineStr">
        <is>
          <t>Restored to authored P2. The previous workbook had P3 after a keyword rebalance.</t>
        </is>
      </c>
      <c r="S173" s="8" t="inlineStr">
        <is>
          <t>ARAP</t>
        </is>
      </c>
      <c r="T173" s="5" t="inlineStr">
        <is>
          <t>Receivables and payables</t>
        </is>
      </c>
      <c r="U173" s="8" t="inlineStr"/>
      <c r="V173" s="8" t="inlineStr">
        <is>
          <t>ledgers</t>
        </is>
      </c>
      <c r="W173" s="8" t="inlineStr">
        <is>
          <t>CONTROL</t>
        </is>
      </c>
      <c r="X173" s="5" t="inlineStr">
        <is>
          <t>Core</t>
        </is>
      </c>
      <c r="Y173" s="5" t="inlineStr">
        <is>
          <t>External party</t>
        </is>
      </c>
      <c r="Z173" s="5" t="inlineStr">
        <is>
          <t>Critical</t>
        </is>
      </c>
      <c r="AA173" s="5" t="inlineStr">
        <is>
          <t>High</t>
        </is>
      </c>
      <c r="AB173" s="8" t="inlineStr">
        <is>
          <t>Medium</t>
        </is>
      </c>
      <c r="AC173" s="8" t="inlineStr">
        <is>
          <t>Later</t>
        </is>
      </c>
      <c r="AD173" s="5" t="inlineStr">
        <is>
          <t>Not independently checked</t>
        </is>
      </c>
      <c r="AE173" s="5" t="inlineStr">
        <is>
          <t>Not verified</t>
        </is>
      </c>
      <c r="AF173" s="5" t="inlineStr">
        <is>
          <t>Not verified</t>
        </is>
      </c>
      <c r="AG173" s="5" t="inlineStr">
        <is>
          <t>Not verified</t>
        </is>
      </c>
      <c r="AH173" s="5" t="inlineStr">
        <is>
          <t>Not verified</t>
        </is>
      </c>
      <c r="AI173" s="8" t="inlineStr">
        <is>
          <t>No</t>
        </is>
      </c>
      <c r="AJ173" s="8" t="inlineStr">
        <is>
          <t>Claimed - unverified</t>
        </is>
      </c>
      <c r="AK173" s="8" t="inlineStr">
        <is>
          <t>P2</t>
        </is>
      </c>
      <c r="AL173" s="8" t="n">
        <v>18</v>
      </c>
      <c r="AM173" s="5" t="inlineStr"/>
      <c r="AN173" s="5" t="inlineStr"/>
      <c r="AO173" s="5" t="inlineStr"/>
      <c r="AP173" s="5" t="inlineStr"/>
      <c r="AQ173" s="5" t="inlineStr"/>
      <c r="AR173" s="5" t="inlineStr"/>
      <c r="AS173" s="5" t="inlineStr"/>
      <c r="AT173" s="5" t="inlineStr"/>
      <c r="AU173" s="8" t="inlineStr">
        <is>
          <t>Not run</t>
        </is>
      </c>
    </row>
    <row r="174" ht="32" customHeight="1">
      <c r="A174" s="16" t="inlineStr">
        <is>
          <t>P-0173</t>
        </is>
      </c>
      <c r="B174" s="8" t="inlineStr">
        <is>
          <t>P</t>
        </is>
      </c>
      <c r="C174" s="5" t="inlineStr">
        <is>
          <t>Supplier</t>
        </is>
      </c>
      <c r="D174" s="5" t="inlineStr">
        <is>
          <t>Receivables &amp; Payables</t>
        </is>
      </c>
      <c r="E174" s="5" t="inlineStr">
        <is>
          <t>View outstanding amount</t>
        </is>
      </c>
      <c r="F174" s="5" t="inlineStr">
        <is>
          <t>Supplier</t>
        </is>
      </c>
      <c r="G174" s="5" t="inlineStr">
        <is>
          <t>Credit Controller</t>
        </is>
      </c>
      <c r="H174" s="5" t="inlineStr">
        <is>
          <t>Reconcile trade receivables against buyer's records to resolve balance discrepancies</t>
        </is>
      </c>
      <c r="I174" s="5" t="inlineStr">
        <is>
          <t>Generates supplier ledger statement matching buyer's Accounts Payable against supplier's AR</t>
        </is>
      </c>
      <c r="J174" s="22" t="inlineStr">
        <is>
          <t>P2</t>
        </is>
      </c>
      <c r="K174" s="20" t="inlineStr">
        <is>
          <t>Validated (Supported)</t>
        </is>
      </c>
      <c r="L174" s="5" t="inlineStr">
        <is>
          <t>Supported via /purchases/suppliers/{id}/statement/ export.</t>
        </is>
      </c>
      <c r="M174" s="8" t="inlineStr">
        <is>
          <t>Baseline</t>
        </is>
      </c>
      <c r="N174" s="8" t="inlineStr">
        <is>
          <t>Operational role</t>
        </is>
      </c>
      <c r="O174" s="8" t="inlineStr">
        <is>
          <t>P2</t>
        </is>
      </c>
      <c r="P174" s="5" t="inlineStr">
        <is>
          <t>Restored to authored P2. The previous workbook had P3 after a keyword rebalance.</t>
        </is>
      </c>
      <c r="Q174" s="20" t="inlineStr">
        <is>
          <t>Author assertion</t>
        </is>
      </c>
      <c r="R174" s="5" t="inlineStr">
        <is>
          <t>Restored to authored P2. The previous workbook had P3 after a keyword rebalance.</t>
        </is>
      </c>
      <c r="S174" s="8" t="inlineStr">
        <is>
          <t>ARAP</t>
        </is>
      </c>
      <c r="T174" s="5" t="inlineStr">
        <is>
          <t>Receivables and payables</t>
        </is>
      </c>
      <c r="U174" s="8" t="inlineStr"/>
      <c r="V174" s="8" t="inlineStr">
        <is>
          <t>ledgers</t>
        </is>
      </c>
      <c r="W174" s="8" t="inlineStr">
        <is>
          <t>CONTROL</t>
        </is>
      </c>
      <c r="X174" s="5" t="inlineStr">
        <is>
          <t>Core</t>
        </is>
      </c>
      <c r="Y174" s="5" t="inlineStr">
        <is>
          <t>External party</t>
        </is>
      </c>
      <c r="Z174" s="5" t="inlineStr">
        <is>
          <t>Critical</t>
        </is>
      </c>
      <c r="AA174" s="5" t="inlineStr">
        <is>
          <t>High</t>
        </is>
      </c>
      <c r="AB174" s="8" t="inlineStr">
        <is>
          <t>Medium</t>
        </is>
      </c>
      <c r="AC174" s="8" t="inlineStr">
        <is>
          <t>Later</t>
        </is>
      </c>
      <c r="AD174" s="5" t="inlineStr">
        <is>
          <t>Not independently checked</t>
        </is>
      </c>
      <c r="AE174" s="5" t="inlineStr">
        <is>
          <t>Not verified</t>
        </is>
      </c>
      <c r="AF174" s="5" t="inlineStr">
        <is>
          <t>Not verified</t>
        </is>
      </c>
      <c r="AG174" s="5" t="inlineStr">
        <is>
          <t>Not verified</t>
        </is>
      </c>
      <c r="AH174" s="5" t="inlineStr">
        <is>
          <t>Not verified</t>
        </is>
      </c>
      <c r="AI174" s="8" t="inlineStr">
        <is>
          <t>No</t>
        </is>
      </c>
      <c r="AJ174" s="8" t="inlineStr">
        <is>
          <t>Claimed - unverified</t>
        </is>
      </c>
      <c r="AK174" s="8" t="inlineStr">
        <is>
          <t>P2</t>
        </is>
      </c>
      <c r="AL174" s="8" t="n">
        <v>18</v>
      </c>
      <c r="AM174" s="5" t="inlineStr"/>
      <c r="AN174" s="5" t="inlineStr"/>
      <c r="AO174" s="5" t="inlineStr"/>
      <c r="AP174" s="5" t="inlineStr"/>
      <c r="AQ174" s="5" t="inlineStr"/>
      <c r="AR174" s="5" t="inlineStr"/>
      <c r="AS174" s="5" t="inlineStr"/>
      <c r="AT174" s="5" t="inlineStr"/>
      <c r="AU174" s="8" t="inlineStr">
        <is>
          <t>Not run</t>
        </is>
      </c>
    </row>
    <row r="175" ht="32" customHeight="1">
      <c r="A175" s="16" t="inlineStr">
        <is>
          <t>P-0174</t>
        </is>
      </c>
      <c r="B175" s="8" t="inlineStr">
        <is>
          <t>P</t>
        </is>
      </c>
      <c r="C175" s="5" t="inlineStr">
        <is>
          <t>Supplier</t>
        </is>
      </c>
      <c r="D175" s="5" t="inlineStr">
        <is>
          <t>Returns / Complaints / After-Sales</t>
        </is>
      </c>
      <c r="E175" s="5" t="inlineStr">
        <is>
          <t>Handle purchase returns</t>
        </is>
      </c>
      <c r="F175" s="5" t="inlineStr">
        <is>
          <t>Supplier</t>
        </is>
      </c>
      <c r="G175" s="5" t="inlineStr">
        <is>
          <t>Purchase Manager</t>
        </is>
      </c>
      <c r="H175" s="5" t="inlineStr">
        <is>
          <t>Accept returned defective or expired goods and issue corresponding credit note</t>
        </is>
      </c>
      <c r="I175" s="5" t="inlineStr">
        <is>
          <t>Matches buyer's PurchaseDebitNote; adjusts supplier's outstanding ledger balance</t>
        </is>
      </c>
      <c r="J175" s="20" t="inlineStr">
        <is>
          <t>P1</t>
        </is>
      </c>
      <c r="K175" s="20" t="inlineStr">
        <is>
          <t>Validated (Supported)</t>
        </is>
      </c>
      <c r="L175" s="5" t="inlineStr">
        <is>
          <t>Supported via PurchaseDebitNote reconciliation workflow.</t>
        </is>
      </c>
      <c r="M175" s="8" t="inlineStr">
        <is>
          <t>Baseline</t>
        </is>
      </c>
      <c r="N175" s="8" t="inlineStr">
        <is>
          <t>Operational role</t>
        </is>
      </c>
      <c r="O175" s="8" t="inlineStr">
        <is>
          <t>P1</t>
        </is>
      </c>
      <c r="P175" s="5" t="inlineStr">
        <is>
          <t>Unchanged</t>
        </is>
      </c>
      <c r="Q175" s="21" t="inlineStr">
        <is>
          <t>Code symbol found</t>
        </is>
      </c>
      <c r="R175" s="5" t="inlineStr">
        <is>
          <t>Matched PurchaseDebitNote in product code. This is not a functional test.</t>
        </is>
      </c>
      <c r="S175" s="8" t="inlineStr">
        <is>
          <t>RET</t>
        </is>
      </c>
      <c r="T175" s="5" t="inlineStr">
        <is>
          <t>Returns, complaints, and after-sales</t>
        </is>
      </c>
      <c r="U175" s="8" t="inlineStr"/>
      <c r="V175" s="8" t="inlineStr">
        <is>
          <t>sales</t>
        </is>
      </c>
      <c r="W175" s="8" t="inlineStr">
        <is>
          <t>RUN</t>
        </is>
      </c>
      <c r="X175" s="5" t="inlineStr">
        <is>
          <t>Core</t>
        </is>
      </c>
      <c r="Y175" s="5" t="inlineStr">
        <is>
          <t>External party</t>
        </is>
      </c>
      <c r="Z175" s="5" t="inlineStr">
        <is>
          <t>Medium</t>
        </is>
      </c>
      <c r="AA175" s="5" t="inlineStr">
        <is>
          <t>Medium</t>
        </is>
      </c>
      <c r="AB175" s="8" t="inlineStr">
        <is>
          <t>Low</t>
        </is>
      </c>
      <c r="AC175" s="8" t="inlineStr">
        <is>
          <t>Pilot</t>
        </is>
      </c>
      <c r="AD175" s="5" t="inlineStr">
        <is>
          <t>Cited in code</t>
        </is>
      </c>
      <c r="AE175" s="5" t="inlineStr">
        <is>
          <t>Not verified</t>
        </is>
      </c>
      <c r="AF175" s="5" t="inlineStr">
        <is>
          <t>Not verified</t>
        </is>
      </c>
      <c r="AG175" s="5" t="inlineStr">
        <is>
          <t>Not verified</t>
        </is>
      </c>
      <c r="AH175" s="5" t="inlineStr">
        <is>
          <t>Not verified</t>
        </is>
      </c>
      <c r="AI175" s="8" t="inlineStr">
        <is>
          <t>No</t>
        </is>
      </c>
      <c r="AJ175" s="8" t="inlineStr">
        <is>
          <t>Built - unverified</t>
        </is>
      </c>
      <c r="AK175" s="8" t="inlineStr">
        <is>
          <t>P1</t>
        </is>
      </c>
      <c r="AL175" s="8" t="n">
        <v>6</v>
      </c>
      <c r="AM175" s="5" t="inlineStr"/>
      <c r="AN175" s="5" t="inlineStr"/>
      <c r="AO175" s="5" t="inlineStr"/>
      <c r="AP175" s="5" t="inlineStr"/>
      <c r="AQ175" s="5" t="inlineStr"/>
      <c r="AR175" s="5" t="inlineStr"/>
      <c r="AS175" s="5" t="inlineStr"/>
      <c r="AT175" s="5" t="inlineStr"/>
      <c r="AU175" s="8" t="inlineStr">
        <is>
          <t>Not run</t>
        </is>
      </c>
    </row>
    <row r="176" ht="32" customHeight="1">
      <c r="A176" s="16" t="inlineStr">
        <is>
          <t>P-0175</t>
        </is>
      </c>
      <c r="B176" s="8" t="inlineStr">
        <is>
          <t>P</t>
        </is>
      </c>
      <c r="C176" s="5" t="inlineStr">
        <is>
          <t>Supplier</t>
        </is>
      </c>
      <c r="D176" s="5" t="inlineStr">
        <is>
          <t>Procure-to-Pay</t>
        </is>
      </c>
      <c r="E176" s="5" t="inlineStr">
        <is>
          <t>Resolve invoice discrepancies</t>
        </is>
      </c>
      <c r="F176" s="5" t="inlineStr">
        <is>
          <t>Supplier</t>
        </is>
      </c>
      <c r="G176" s="5" t="inlineStr">
        <is>
          <t>In-house Accountant</t>
        </is>
      </c>
      <c r="H176" s="5" t="inlineStr">
        <is>
          <t>Resolve billing discrepancies regarding rates, discounts, freight charges, or tax amounts</t>
        </is>
      </c>
      <c r="I176" s="5" t="inlineStr">
        <is>
          <t>Enables line-item adjustment and supplementary credit/debit note matching</t>
        </is>
      </c>
      <c r="J176" s="20" t="inlineStr">
        <is>
          <t>P1</t>
        </is>
      </c>
      <c r="K176" s="20" t="inlineStr">
        <is>
          <t>Validated (Supported)</t>
        </is>
      </c>
      <c r="L176" s="5" t="inlineStr">
        <is>
          <t>Supported via Purchase Invoice revision / discrepancy resolution interface.</t>
        </is>
      </c>
      <c r="M176" s="8" t="inlineStr">
        <is>
          <t>Baseline</t>
        </is>
      </c>
      <c r="N176" s="8" t="inlineStr">
        <is>
          <t>Operational role</t>
        </is>
      </c>
      <c r="O176" s="8" t="inlineStr">
        <is>
          <t>P1</t>
        </is>
      </c>
      <c r="P176" s="5" t="inlineStr">
        <is>
          <t>Unchanged</t>
        </is>
      </c>
      <c r="Q176" s="20" t="inlineStr">
        <is>
          <t>Author assertion</t>
        </is>
      </c>
      <c r="R176" s="5" t="inlineStr"/>
      <c r="S176" s="8" t="inlineStr">
        <is>
          <t>P2P</t>
        </is>
      </c>
      <c r="T176" s="5" t="inlineStr">
        <is>
          <t>Procure to pay</t>
        </is>
      </c>
      <c r="U176" s="8" t="inlineStr"/>
      <c r="V176" s="8" t="inlineStr">
        <is>
          <t>purchases</t>
        </is>
      </c>
      <c r="W176" s="8" t="inlineStr">
        <is>
          <t>RUN</t>
        </is>
      </c>
      <c r="X176" s="5" t="inlineStr">
        <is>
          <t>Core</t>
        </is>
      </c>
      <c r="Y176" s="5" t="inlineStr">
        <is>
          <t>External party</t>
        </is>
      </c>
      <c r="Z176" s="5" t="inlineStr">
        <is>
          <t>Medium</t>
        </is>
      </c>
      <c r="AA176" s="5" t="inlineStr">
        <is>
          <t>Medium</t>
        </is>
      </c>
      <c r="AB176" s="8" t="inlineStr">
        <is>
          <t>Low</t>
        </is>
      </c>
      <c r="AC176" s="8" t="inlineStr">
        <is>
          <t>Pilot</t>
        </is>
      </c>
      <c r="AD176" s="5" t="inlineStr">
        <is>
          <t>Not independently checked</t>
        </is>
      </c>
      <c r="AE176" s="5" t="inlineStr">
        <is>
          <t>Not verified</t>
        </is>
      </c>
      <c r="AF176" s="5" t="inlineStr">
        <is>
          <t>Not verified</t>
        </is>
      </c>
      <c r="AG176" s="5" t="inlineStr">
        <is>
          <t>Not verified</t>
        </is>
      </c>
      <c r="AH176" s="5" t="inlineStr">
        <is>
          <t>Not verified</t>
        </is>
      </c>
      <c r="AI176" s="8" t="inlineStr">
        <is>
          <t>No</t>
        </is>
      </c>
      <c r="AJ176" s="8" t="inlineStr">
        <is>
          <t>Claimed - unverified</t>
        </is>
      </c>
      <c r="AK176" s="8" t="inlineStr">
        <is>
          <t>P1</t>
        </is>
      </c>
      <c r="AL176" s="8" t="n">
        <v>6</v>
      </c>
      <c r="AM176" s="5" t="inlineStr"/>
      <c r="AN176" s="5" t="inlineStr"/>
      <c r="AO176" s="5" t="inlineStr"/>
      <c r="AP176" s="5" t="inlineStr"/>
      <c r="AQ176" s="5" t="inlineStr"/>
      <c r="AR176" s="5" t="inlineStr"/>
      <c r="AS176" s="5" t="inlineStr"/>
      <c r="AT176" s="5" t="inlineStr"/>
      <c r="AU176" s="8" t="inlineStr">
        <is>
          <t>Not run</t>
        </is>
      </c>
    </row>
    <row r="177" ht="32" customHeight="1">
      <c r="A177" s="16" t="inlineStr">
        <is>
          <t>P-0176</t>
        </is>
      </c>
      <c r="B177" s="8" t="inlineStr">
        <is>
          <t>P</t>
        </is>
      </c>
      <c r="C177" s="5" t="inlineStr">
        <is>
          <t>Admin / System Owner</t>
        </is>
      </c>
      <c r="D177" s="5" t="inlineStr">
        <is>
          <t>Master Data &amp; Authorization</t>
        </is>
      </c>
      <c r="E177" s="5" t="inlineStr">
        <is>
          <t>Create and manage business users</t>
        </is>
      </c>
      <c r="F177" s="5" t="inlineStr">
        <is>
          <t>System Administrator</t>
        </is>
      </c>
      <c r="G177" s="5" t="inlineStr">
        <is>
          <t>Company Users</t>
        </is>
      </c>
      <c r="H177" s="5" t="inlineStr">
        <is>
          <t>Onboard employees, assign login credentials, and manage active/deactivated user status</t>
        </is>
      </c>
      <c r="I177" s="5" t="inlineStr">
        <is>
          <t>Creates User and CompanyUser records; controls login authentication and session access</t>
        </is>
      </c>
      <c r="J177" s="19" t="inlineStr">
        <is>
          <t>P0</t>
        </is>
      </c>
      <c r="K177" s="20" t="inlineStr">
        <is>
          <t>Validated (Supported)</t>
        </is>
      </c>
      <c r="L177" s="5" t="inlineStr">
        <is>
          <t>Supported via /settings/users/ with role assignment and invitation management.</t>
        </is>
      </c>
      <c r="M177" s="8" t="inlineStr">
        <is>
          <t>Baseline</t>
        </is>
      </c>
      <c r="N177" s="8" t="inlineStr">
        <is>
          <t>Operational role</t>
        </is>
      </c>
      <c r="O177" s="8" t="inlineStr">
        <is>
          <t>P0</t>
        </is>
      </c>
      <c r="P177" s="5" t="inlineStr">
        <is>
          <t>Unchanged</t>
        </is>
      </c>
      <c r="Q177" s="20" t="inlineStr">
        <is>
          <t>Author assertion</t>
        </is>
      </c>
      <c r="R177" s="5" t="inlineStr"/>
      <c r="S177" s="8" t="inlineStr">
        <is>
          <t>MASTER</t>
        </is>
      </c>
      <c r="T177" s="5" t="inlineStr">
        <is>
          <t>Master data and authorization</t>
        </is>
      </c>
      <c r="U177" s="8" t="inlineStr"/>
      <c r="V177" s="8" t="inlineStr">
        <is>
          <t>masters</t>
        </is>
      </c>
      <c r="W177" s="8" t="inlineStr">
        <is>
          <t>KERNEL</t>
        </is>
      </c>
      <c r="X177" s="5" t="inlineStr">
        <is>
          <t>Core</t>
        </is>
      </c>
      <c r="Y177" s="5" t="inlineStr">
        <is>
          <t>Admin</t>
        </is>
      </c>
      <c r="Z177" s="5" t="inlineStr">
        <is>
          <t>Medium</t>
        </is>
      </c>
      <c r="AA177" s="5" t="inlineStr">
        <is>
          <t>Medium</t>
        </is>
      </c>
      <c r="AB177" s="8" t="inlineStr">
        <is>
          <t>Low</t>
        </is>
      </c>
      <c r="AC177" s="8" t="inlineStr">
        <is>
          <t>MVP</t>
        </is>
      </c>
      <c r="AD177" s="5" t="inlineStr">
        <is>
          <t>Not independently checked</t>
        </is>
      </c>
      <c r="AE177" s="5" t="inlineStr">
        <is>
          <t>Not verified</t>
        </is>
      </c>
      <c r="AF177" s="5" t="inlineStr">
        <is>
          <t>Not verified</t>
        </is>
      </c>
      <c r="AG177" s="5" t="inlineStr">
        <is>
          <t>Not verified</t>
        </is>
      </c>
      <c r="AH177" s="5" t="inlineStr">
        <is>
          <t>Not verified</t>
        </is>
      </c>
      <c r="AI177" s="8" t="inlineStr">
        <is>
          <t>No</t>
        </is>
      </c>
      <c r="AJ177" s="8" t="inlineStr">
        <is>
          <t>Claimed - unverified</t>
        </is>
      </c>
      <c r="AK177" s="8" t="inlineStr">
        <is>
          <t>P0</t>
        </is>
      </c>
      <c r="AL177" s="8" t="n">
        <v>6</v>
      </c>
      <c r="AM177" s="5" t="inlineStr"/>
      <c r="AN177" s="5" t="inlineStr"/>
      <c r="AO177" s="5" t="inlineStr"/>
      <c r="AP177" s="5" t="inlineStr"/>
      <c r="AQ177" s="5" t="inlineStr"/>
      <c r="AR177" s="5" t="inlineStr"/>
      <c r="AS177" s="5" t="inlineStr"/>
      <c r="AT177" s="5" t="inlineStr"/>
      <c r="AU177" s="8" t="inlineStr">
        <is>
          <t>Not run</t>
        </is>
      </c>
    </row>
    <row r="178" ht="32" customHeight="1">
      <c r="A178" s="16" t="inlineStr">
        <is>
          <t>P-0177</t>
        </is>
      </c>
      <c r="B178" s="8" t="inlineStr">
        <is>
          <t>P</t>
        </is>
      </c>
      <c r="C178" s="5" t="inlineStr">
        <is>
          <t>Admin / System Owner</t>
        </is>
      </c>
      <c r="D178" s="5" t="inlineStr">
        <is>
          <t>Master Data &amp; Authorization</t>
        </is>
      </c>
      <c r="E178" s="5" t="inlineStr">
        <is>
          <t>Configure roles and permissions</t>
        </is>
      </c>
      <c r="F178" s="5" t="inlineStr">
        <is>
          <t>System Administrator</t>
        </is>
      </c>
      <c r="G178" s="5" t="inlineStr">
        <is>
          <t>Department Heads</t>
        </is>
      </c>
      <c r="H178" s="5" t="inlineStr">
        <is>
          <t>Define granular access control rules (RBAC) across sales, purchases, inventory, and accounting</t>
        </is>
      </c>
      <c r="I178" s="5" t="inlineStr">
        <is>
          <t>Enforces permission checks across UI routes and REST API endpoints</t>
        </is>
      </c>
      <c r="J178" s="19" t="inlineStr">
        <is>
          <t>P0</t>
        </is>
      </c>
      <c r="K178" s="20" t="inlineStr">
        <is>
          <t>Validated (Supported)</t>
        </is>
      </c>
      <c r="L178" s="5" t="inlineStr">
        <is>
          <t>Supported via Role Permission Matrix (Owner, Manager, Sales Staff, Inventory Staff, Accountant).</t>
        </is>
      </c>
      <c r="M178" s="8" t="inlineStr">
        <is>
          <t>Baseline</t>
        </is>
      </c>
      <c r="N178" s="8" t="inlineStr">
        <is>
          <t>Operational role</t>
        </is>
      </c>
      <c r="O178" s="8" t="inlineStr">
        <is>
          <t>P0</t>
        </is>
      </c>
      <c r="P178" s="5" t="inlineStr">
        <is>
          <t>Unchanged</t>
        </is>
      </c>
      <c r="Q178" s="20" t="inlineStr">
        <is>
          <t>Author assertion</t>
        </is>
      </c>
      <c r="R178" s="5" t="inlineStr"/>
      <c r="S178" s="8" t="inlineStr">
        <is>
          <t>MASTER</t>
        </is>
      </c>
      <c r="T178" s="5" t="inlineStr">
        <is>
          <t>Master data and authorization</t>
        </is>
      </c>
      <c r="U178" s="8" t="inlineStr"/>
      <c r="V178" s="8" t="inlineStr">
        <is>
          <t>masters</t>
        </is>
      </c>
      <c r="W178" s="8" t="inlineStr">
        <is>
          <t>KERNEL</t>
        </is>
      </c>
      <c r="X178" s="5" t="inlineStr">
        <is>
          <t>Core</t>
        </is>
      </c>
      <c r="Y178" s="5" t="inlineStr">
        <is>
          <t>Admin</t>
        </is>
      </c>
      <c r="Z178" s="5" t="inlineStr">
        <is>
          <t>Medium</t>
        </is>
      </c>
      <c r="AA178" s="5" t="inlineStr">
        <is>
          <t>Medium</t>
        </is>
      </c>
      <c r="AB178" s="8" t="inlineStr">
        <is>
          <t>Low</t>
        </is>
      </c>
      <c r="AC178" s="8" t="inlineStr">
        <is>
          <t>MVP</t>
        </is>
      </c>
      <c r="AD178" s="5" t="inlineStr">
        <is>
          <t>Not independently checked</t>
        </is>
      </c>
      <c r="AE178" s="5" t="inlineStr">
        <is>
          <t>Not verified</t>
        </is>
      </c>
      <c r="AF178" s="5" t="inlineStr">
        <is>
          <t>Not verified</t>
        </is>
      </c>
      <c r="AG178" s="5" t="inlineStr">
        <is>
          <t>Not verified</t>
        </is>
      </c>
      <c r="AH178" s="5" t="inlineStr">
        <is>
          <t>Not verified</t>
        </is>
      </c>
      <c r="AI178" s="8" t="inlineStr">
        <is>
          <t>No</t>
        </is>
      </c>
      <c r="AJ178" s="8" t="inlineStr">
        <is>
          <t>Claimed - unverified</t>
        </is>
      </c>
      <c r="AK178" s="8" t="inlineStr">
        <is>
          <t>P0</t>
        </is>
      </c>
      <c r="AL178" s="8" t="n">
        <v>6</v>
      </c>
      <c r="AM178" s="5" t="inlineStr"/>
      <c r="AN178" s="5" t="inlineStr"/>
      <c r="AO178" s="5" t="inlineStr"/>
      <c r="AP178" s="5" t="inlineStr"/>
      <c r="AQ178" s="5" t="inlineStr"/>
      <c r="AR178" s="5" t="inlineStr"/>
      <c r="AS178" s="5" t="inlineStr"/>
      <c r="AT178" s="5" t="inlineStr"/>
      <c r="AU178" s="8" t="inlineStr">
        <is>
          <t>Not run</t>
        </is>
      </c>
    </row>
    <row r="179" ht="32" customHeight="1">
      <c r="A179" s="16" t="inlineStr">
        <is>
          <t>P-0178</t>
        </is>
      </c>
      <c r="B179" s="8" t="inlineStr">
        <is>
          <t>P</t>
        </is>
      </c>
      <c r="C179" s="5" t="inlineStr">
        <is>
          <t>Admin / System Owner</t>
        </is>
      </c>
      <c r="D179" s="5" t="inlineStr">
        <is>
          <t>Master Data &amp; Authorization</t>
        </is>
      </c>
      <c r="E179" s="5" t="inlineStr">
        <is>
          <t>Configure business settings</t>
        </is>
      </c>
      <c r="F179" s="5" t="inlineStr">
        <is>
          <t>System Administrator</t>
        </is>
      </c>
      <c r="G179" s="5" t="inlineStr">
        <is>
          <t>Business Owner</t>
        </is>
      </c>
      <c r="H179" s="5" t="inlineStr">
        <is>
          <t>Configure company profile, legal name, registered address, logo, currency, and financial year</t>
        </is>
      </c>
      <c r="I179" s="5" t="inlineStr">
        <is>
          <t>Updates Company master model; sets default behaviors for documents and system operations</t>
        </is>
      </c>
      <c r="J179" s="19" t="inlineStr">
        <is>
          <t>P0</t>
        </is>
      </c>
      <c r="K179" s="20" t="inlineStr">
        <is>
          <t>Validated (Supported)</t>
        </is>
      </c>
      <c r="L179" s="5" t="inlineStr">
        <is>
          <t>Supported via /settings/company/ profile management.</t>
        </is>
      </c>
      <c r="M179" s="8" t="inlineStr">
        <is>
          <t>Baseline</t>
        </is>
      </c>
      <c r="N179" s="8" t="inlineStr">
        <is>
          <t>Operational role</t>
        </is>
      </c>
      <c r="O179" s="8" t="inlineStr">
        <is>
          <t>P0</t>
        </is>
      </c>
      <c r="P179" s="5" t="inlineStr">
        <is>
          <t>Unchanged</t>
        </is>
      </c>
      <c r="Q179" s="20" t="inlineStr">
        <is>
          <t>Author assertion</t>
        </is>
      </c>
      <c r="R179" s="5" t="inlineStr"/>
      <c r="S179" s="8" t="inlineStr">
        <is>
          <t>MASTER</t>
        </is>
      </c>
      <c r="T179" s="5" t="inlineStr">
        <is>
          <t>Master data and authorization</t>
        </is>
      </c>
      <c r="U179" s="8" t="inlineStr"/>
      <c r="V179" s="8" t="inlineStr">
        <is>
          <t>masters</t>
        </is>
      </c>
      <c r="W179" s="8" t="inlineStr">
        <is>
          <t>KERNEL</t>
        </is>
      </c>
      <c r="X179" s="5" t="inlineStr">
        <is>
          <t>Core</t>
        </is>
      </c>
      <c r="Y179" s="5" t="inlineStr">
        <is>
          <t>Admin</t>
        </is>
      </c>
      <c r="Z179" s="5" t="inlineStr">
        <is>
          <t>Medium</t>
        </is>
      </c>
      <c r="AA179" s="5" t="inlineStr">
        <is>
          <t>Medium</t>
        </is>
      </c>
      <c r="AB179" s="8" t="inlineStr">
        <is>
          <t>Low</t>
        </is>
      </c>
      <c r="AC179" s="8" t="inlineStr">
        <is>
          <t>MVP</t>
        </is>
      </c>
      <c r="AD179" s="5" t="inlineStr">
        <is>
          <t>Not independently checked</t>
        </is>
      </c>
      <c r="AE179" s="5" t="inlineStr">
        <is>
          <t>Not verified</t>
        </is>
      </c>
      <c r="AF179" s="5" t="inlineStr">
        <is>
          <t>Not verified</t>
        </is>
      </c>
      <c r="AG179" s="5" t="inlineStr">
        <is>
          <t>Not verified</t>
        </is>
      </c>
      <c r="AH179" s="5" t="inlineStr">
        <is>
          <t>Not verified</t>
        </is>
      </c>
      <c r="AI179" s="8" t="inlineStr">
        <is>
          <t>No</t>
        </is>
      </c>
      <c r="AJ179" s="8" t="inlineStr">
        <is>
          <t>Claimed - unverified</t>
        </is>
      </c>
      <c r="AK179" s="8" t="inlineStr">
        <is>
          <t>P0</t>
        </is>
      </c>
      <c r="AL179" s="8" t="n">
        <v>6</v>
      </c>
      <c r="AM179" s="5" t="inlineStr"/>
      <c r="AN179" s="5" t="inlineStr"/>
      <c r="AO179" s="5" t="inlineStr"/>
      <c r="AP179" s="5" t="inlineStr"/>
      <c r="AQ179" s="5" t="inlineStr"/>
      <c r="AR179" s="5" t="inlineStr"/>
      <c r="AS179" s="5" t="inlineStr"/>
      <c r="AT179" s="5" t="inlineStr"/>
      <c r="AU179" s="8" t="inlineStr">
        <is>
          <t>Not run</t>
        </is>
      </c>
    </row>
    <row r="180" ht="32" customHeight="1">
      <c r="A180" s="16" t="inlineStr">
        <is>
          <t>P-0179</t>
        </is>
      </c>
      <c r="B180" s="8" t="inlineStr">
        <is>
          <t>P</t>
        </is>
      </c>
      <c r="C180" s="5" t="inlineStr">
        <is>
          <t>Admin / System Owner</t>
        </is>
      </c>
      <c r="D180" s="5" t="inlineStr">
        <is>
          <t>GST / Tax / Compliance</t>
        </is>
      </c>
      <c r="E180" s="5" t="inlineStr">
        <is>
          <t>Configure GST information</t>
        </is>
      </c>
      <c r="F180" s="5" t="inlineStr">
        <is>
          <t>System Administrator</t>
        </is>
      </c>
      <c r="G180" s="5" t="inlineStr">
        <is>
          <t>Accountant / External CA</t>
        </is>
      </c>
      <c r="H180" s="5" t="inlineStr">
        <is>
          <t>Configure company GSTIN, legal registered trade name, state code, and tax filing frequency</t>
        </is>
      </c>
      <c r="I180" s="5" t="inlineStr">
        <is>
          <t>Sets up CompanyGstin records; defines Place of Supply rules for intra-state vs inter-state taxes</t>
        </is>
      </c>
      <c r="J180" s="19" t="inlineStr">
        <is>
          <t>P0</t>
        </is>
      </c>
      <c r="K180" s="20" t="inlineStr">
        <is>
          <t>Validated (Supported)</t>
        </is>
      </c>
      <c r="L180" s="5" t="inlineStr">
        <is>
          <t>Supported via /settings/gst/ with active GSTIN validation and composition scheme toggles.</t>
        </is>
      </c>
      <c r="M180" s="8" t="inlineStr">
        <is>
          <t>Baseline</t>
        </is>
      </c>
      <c r="N180" s="8" t="inlineStr">
        <is>
          <t>Operational role</t>
        </is>
      </c>
      <c r="O180" s="8" t="inlineStr">
        <is>
          <t>P0</t>
        </is>
      </c>
      <c r="P180" s="5" t="inlineStr">
        <is>
          <t>Unchanged</t>
        </is>
      </c>
      <c r="Q180" s="20" t="inlineStr">
        <is>
          <t>Author assertion</t>
        </is>
      </c>
      <c r="R180" s="5" t="inlineStr"/>
      <c r="S180" s="8" t="inlineStr">
        <is>
          <t>GST</t>
        </is>
      </c>
      <c r="T180" s="5" t="inlineStr">
        <is>
          <t>GST and tax compliance</t>
        </is>
      </c>
      <c r="U180" s="8" t="inlineStr"/>
      <c r="V180" s="8" t="inlineStr">
        <is>
          <t>accounting</t>
        </is>
      </c>
      <c r="W180" s="8" t="inlineStr">
        <is>
          <t>CONTROL</t>
        </is>
      </c>
      <c r="X180" s="5" t="inlineStr">
        <is>
          <t>Core</t>
        </is>
      </c>
      <c r="Y180" s="5" t="inlineStr">
        <is>
          <t>Admin</t>
        </is>
      </c>
      <c r="Z180" s="5" t="inlineStr">
        <is>
          <t>Critical</t>
        </is>
      </c>
      <c r="AA180" s="5" t="inlineStr">
        <is>
          <t>High</t>
        </is>
      </c>
      <c r="AB180" s="8" t="inlineStr">
        <is>
          <t>High</t>
        </is>
      </c>
      <c r="AC180" s="8" t="inlineStr">
        <is>
          <t>MVP</t>
        </is>
      </c>
      <c r="AD180" s="5" t="inlineStr">
        <is>
          <t>Not independently checked</t>
        </is>
      </c>
      <c r="AE180" s="5" t="inlineStr">
        <is>
          <t>Not verified</t>
        </is>
      </c>
      <c r="AF180" s="5" t="inlineStr">
        <is>
          <t>Not verified</t>
        </is>
      </c>
      <c r="AG180" s="5" t="inlineStr">
        <is>
          <t>Not verified</t>
        </is>
      </c>
      <c r="AH180" s="5" t="inlineStr">
        <is>
          <t>Not verified</t>
        </is>
      </c>
      <c r="AI180" s="8" t="inlineStr">
        <is>
          <t>No</t>
        </is>
      </c>
      <c r="AJ180" s="8" t="inlineStr">
        <is>
          <t>Claimed - unverified</t>
        </is>
      </c>
      <c r="AK180" s="8" t="inlineStr">
        <is>
          <t>P0</t>
        </is>
      </c>
      <c r="AL180" s="8" t="n">
        <v>27</v>
      </c>
      <c r="AM180" s="5" t="inlineStr"/>
      <c r="AN180" s="5" t="inlineStr"/>
      <c r="AO180" s="5" t="inlineStr"/>
      <c r="AP180" s="5" t="inlineStr"/>
      <c r="AQ180" s="5" t="inlineStr"/>
      <c r="AR180" s="5" t="inlineStr"/>
      <c r="AS180" s="5" t="inlineStr"/>
      <c r="AT180" s="5" t="inlineStr"/>
      <c r="AU180" s="8" t="inlineStr">
        <is>
          <t>Not run</t>
        </is>
      </c>
    </row>
    <row r="181" ht="32" customHeight="1">
      <c r="A181" s="16" t="inlineStr">
        <is>
          <t>P-0180</t>
        </is>
      </c>
      <c r="B181" s="8" t="inlineStr">
        <is>
          <t>P</t>
        </is>
      </c>
      <c r="C181" s="5" t="inlineStr">
        <is>
          <t>Admin / System Owner</t>
        </is>
      </c>
      <c r="D181" s="5" t="inlineStr">
        <is>
          <t>Multi-Godown / Multi-Store</t>
        </is>
      </c>
      <c r="E181" s="5" t="inlineStr">
        <is>
          <t>Configure branches/godowns</t>
        </is>
      </c>
      <c r="F181" s="5" t="inlineStr">
        <is>
          <t>System Administrator</t>
        </is>
      </c>
      <c r="G181" s="5" t="inlineStr">
        <is>
          <t>Logistics Team</t>
        </is>
      </c>
      <c r="H181" s="5" t="inlineStr">
        <is>
          <t>Register company warehouse locations, storage godowns, and retail branch stores</t>
        </is>
      </c>
      <c r="I181" s="5" t="inlineStr">
        <is>
          <t>Creates Warehouse records; assigns default dispatch godowns and user location mappings</t>
        </is>
      </c>
      <c r="J181" s="19" t="inlineStr">
        <is>
          <t>P0</t>
        </is>
      </c>
      <c r="K181" s="20" t="inlineStr">
        <is>
          <t>Validated (Supported)</t>
        </is>
      </c>
      <c r="L181" s="5" t="inlineStr">
        <is>
          <t>Supported via /settings/warehouses/ with location address and contact details.</t>
        </is>
      </c>
      <c r="M181" s="8" t="inlineStr">
        <is>
          <t>Baseline</t>
        </is>
      </c>
      <c r="N181" s="8" t="inlineStr">
        <is>
          <t>Operational role</t>
        </is>
      </c>
      <c r="O181" s="8" t="inlineStr">
        <is>
          <t>P0</t>
        </is>
      </c>
      <c r="P181" s="5" t="inlineStr">
        <is>
          <t>Unchanged</t>
        </is>
      </c>
      <c r="Q181" s="20" t="inlineStr">
        <is>
          <t>Author assertion</t>
        </is>
      </c>
      <c r="R181" s="5" t="inlineStr"/>
      <c r="S181" s="8" t="inlineStr">
        <is>
          <t>WH</t>
        </is>
      </c>
      <c r="T181" s="5" t="inlineStr">
        <is>
          <t>Multi-godown and multi-store</t>
        </is>
      </c>
      <c r="U181" s="8" t="inlineStr"/>
      <c r="V181" s="8" t="inlineStr">
        <is>
          <t>inventory</t>
        </is>
      </c>
      <c r="W181" s="8" t="inlineStr">
        <is>
          <t>RUN</t>
        </is>
      </c>
      <c r="X181" s="5" t="inlineStr">
        <is>
          <t>Core</t>
        </is>
      </c>
      <c r="Y181" s="5" t="inlineStr">
        <is>
          <t>Admin</t>
        </is>
      </c>
      <c r="Z181" s="5" t="inlineStr">
        <is>
          <t>Medium</t>
        </is>
      </c>
      <c r="AA181" s="5" t="inlineStr">
        <is>
          <t>Medium</t>
        </is>
      </c>
      <c r="AB181" s="8" t="inlineStr">
        <is>
          <t>Low</t>
        </is>
      </c>
      <c r="AC181" s="8" t="inlineStr">
        <is>
          <t>MVP</t>
        </is>
      </c>
      <c r="AD181" s="5" t="inlineStr">
        <is>
          <t>Not independently checked</t>
        </is>
      </c>
      <c r="AE181" s="5" t="inlineStr">
        <is>
          <t>Not verified</t>
        </is>
      </c>
      <c r="AF181" s="5" t="inlineStr">
        <is>
          <t>Not verified</t>
        </is>
      </c>
      <c r="AG181" s="5" t="inlineStr">
        <is>
          <t>Not verified</t>
        </is>
      </c>
      <c r="AH181" s="5" t="inlineStr">
        <is>
          <t>Not verified</t>
        </is>
      </c>
      <c r="AI181" s="8" t="inlineStr">
        <is>
          <t>No</t>
        </is>
      </c>
      <c r="AJ181" s="8" t="inlineStr">
        <is>
          <t>Claimed - unverified</t>
        </is>
      </c>
      <c r="AK181" s="8" t="inlineStr">
        <is>
          <t>P0</t>
        </is>
      </c>
      <c r="AL181" s="8" t="n">
        <v>6</v>
      </c>
      <c r="AM181" s="5" t="inlineStr"/>
      <c r="AN181" s="5" t="inlineStr"/>
      <c r="AO181" s="5" t="inlineStr"/>
      <c r="AP181" s="5" t="inlineStr"/>
      <c r="AQ181" s="5" t="inlineStr"/>
      <c r="AR181" s="5" t="inlineStr"/>
      <c r="AS181" s="5" t="inlineStr"/>
      <c r="AT181" s="5" t="inlineStr"/>
      <c r="AU181" s="8" t="inlineStr">
        <is>
          <t>Not run</t>
        </is>
      </c>
    </row>
    <row r="182" ht="32" customHeight="1">
      <c r="A182" s="16" t="inlineStr">
        <is>
          <t>P-0181</t>
        </is>
      </c>
      <c r="B182" s="8" t="inlineStr">
        <is>
          <t>P</t>
        </is>
      </c>
      <c r="C182" s="5" t="inlineStr">
        <is>
          <t>Admin / System Owner</t>
        </is>
      </c>
      <c r="D182" s="5" t="inlineStr">
        <is>
          <t>GST / Tax / Compliance</t>
        </is>
      </c>
      <c r="E182" s="5" t="inlineStr">
        <is>
          <t>Configure taxes and HSN</t>
        </is>
      </c>
      <c r="F182" s="5" t="inlineStr">
        <is>
          <t>System Administrator</t>
        </is>
      </c>
      <c r="G182" s="5" t="inlineStr">
        <is>
          <t>Accountant</t>
        </is>
      </c>
      <c r="H182" s="5" t="inlineStr">
        <is>
          <t>Configure standard tax rate slabs (0%, 5%, 12%, 18%, 28%) and custom cess rules</t>
        </is>
      </c>
      <c r="I182" s="5" t="inlineStr">
        <is>
          <t>Configures TaxRate models; enables automated line-item tax calculation during billing</t>
        </is>
      </c>
      <c r="J182" s="19" t="inlineStr">
        <is>
          <t>P0</t>
        </is>
      </c>
      <c r="K182" s="20" t="inlineStr">
        <is>
          <t>Validated (Supported)</t>
        </is>
      </c>
      <c r="L182" s="5" t="inlineStr">
        <is>
          <t>Supported via /settings/taxes/ with support for per-unit cess and compensation cess.</t>
        </is>
      </c>
      <c r="M182" s="8" t="inlineStr">
        <is>
          <t>Baseline</t>
        </is>
      </c>
      <c r="N182" s="8" t="inlineStr">
        <is>
          <t>Operational role</t>
        </is>
      </c>
      <c r="O182" s="8" t="inlineStr">
        <is>
          <t>P0</t>
        </is>
      </c>
      <c r="P182" s="5" t="inlineStr">
        <is>
          <t>Unchanged</t>
        </is>
      </c>
      <c r="Q182" s="20" t="inlineStr">
        <is>
          <t>Author assertion</t>
        </is>
      </c>
      <c r="R182" s="5" t="inlineStr"/>
      <c r="S182" s="8" t="inlineStr">
        <is>
          <t>GST</t>
        </is>
      </c>
      <c r="T182" s="5" t="inlineStr">
        <is>
          <t>GST and tax compliance</t>
        </is>
      </c>
      <c r="U182" s="8" t="inlineStr"/>
      <c r="V182" s="8" t="inlineStr">
        <is>
          <t>accounting</t>
        </is>
      </c>
      <c r="W182" s="8" t="inlineStr">
        <is>
          <t>CONTROL</t>
        </is>
      </c>
      <c r="X182" s="5" t="inlineStr">
        <is>
          <t>Core</t>
        </is>
      </c>
      <c r="Y182" s="5" t="inlineStr">
        <is>
          <t>Admin</t>
        </is>
      </c>
      <c r="Z182" s="5" t="inlineStr">
        <is>
          <t>Critical</t>
        </is>
      </c>
      <c r="AA182" s="5" t="inlineStr">
        <is>
          <t>High</t>
        </is>
      </c>
      <c r="AB182" s="8" t="inlineStr">
        <is>
          <t>High</t>
        </is>
      </c>
      <c r="AC182" s="8" t="inlineStr">
        <is>
          <t>MVP</t>
        </is>
      </c>
      <c r="AD182" s="5" t="inlineStr">
        <is>
          <t>Not independently checked</t>
        </is>
      </c>
      <c r="AE182" s="5" t="inlineStr">
        <is>
          <t>Not verified</t>
        </is>
      </c>
      <c r="AF182" s="5" t="inlineStr">
        <is>
          <t>Not verified</t>
        </is>
      </c>
      <c r="AG182" s="5" t="inlineStr">
        <is>
          <t>Not verified</t>
        </is>
      </c>
      <c r="AH182" s="5" t="inlineStr">
        <is>
          <t>Not verified</t>
        </is>
      </c>
      <c r="AI182" s="8" t="inlineStr">
        <is>
          <t>No</t>
        </is>
      </c>
      <c r="AJ182" s="8" t="inlineStr">
        <is>
          <t>Claimed - unverified</t>
        </is>
      </c>
      <c r="AK182" s="8" t="inlineStr">
        <is>
          <t>P0</t>
        </is>
      </c>
      <c r="AL182" s="8" t="n">
        <v>27</v>
      </c>
      <c r="AM182" s="5" t="inlineStr"/>
      <c r="AN182" s="5" t="inlineStr"/>
      <c r="AO182" s="5" t="inlineStr"/>
      <c r="AP182" s="5" t="inlineStr"/>
      <c r="AQ182" s="5" t="inlineStr"/>
      <c r="AR182" s="5" t="inlineStr"/>
      <c r="AS182" s="5" t="inlineStr"/>
      <c r="AT182" s="5" t="inlineStr"/>
      <c r="AU182" s="8" t="inlineStr">
        <is>
          <t>Not run</t>
        </is>
      </c>
    </row>
    <row r="183" ht="32" customHeight="1">
      <c r="A183" s="16" t="inlineStr">
        <is>
          <t>P-0182</t>
        </is>
      </c>
      <c r="B183" s="8" t="inlineStr">
        <is>
          <t>P</t>
        </is>
      </c>
      <c r="C183" s="5" t="inlineStr">
        <is>
          <t>Admin / System Owner</t>
        </is>
      </c>
      <c r="D183" s="5" t="inlineStr">
        <is>
          <t>Customer-to-Cash</t>
        </is>
      </c>
      <c r="E183" s="5" t="inlineStr">
        <is>
          <t>Configure invoice templates</t>
        </is>
      </c>
      <c r="F183" s="5" t="inlineStr">
        <is>
          <t>System Administrator</t>
        </is>
      </c>
      <c r="G183" s="5" t="inlineStr">
        <is>
          <t>Billing Clerks</t>
        </is>
      </c>
      <c r="H183" s="5" t="inlineStr">
        <is>
          <t>Customize invoice layout, thermal slip sizes (2-inch vs 3-inch), bank account details, and terms</t>
        </is>
      </c>
      <c r="I183" s="5" t="inlineStr">
        <is>
          <t>Updates PDF rendering configuration; customizes header logo, signature block, and QR placement</t>
        </is>
      </c>
      <c r="J183" s="22" t="inlineStr">
        <is>
          <t>P2</t>
        </is>
      </c>
      <c r="K183" s="20" t="inlineStr">
        <is>
          <t>Validated (Supported)</t>
        </is>
      </c>
      <c r="L183" s="5" t="inlineStr">
        <is>
          <t>Supported via /settings/invoice-templates/ with live visual preview.</t>
        </is>
      </c>
      <c r="M183" s="8" t="inlineStr">
        <is>
          <t>Baseline</t>
        </is>
      </c>
      <c r="N183" s="8" t="inlineStr">
        <is>
          <t>Operational role</t>
        </is>
      </c>
      <c r="O183" s="8" t="inlineStr">
        <is>
          <t>P2</t>
        </is>
      </c>
      <c r="P183" s="5" t="inlineStr">
        <is>
          <t>Restored to authored P2. The previous workbook had P3 after a keyword rebalance.</t>
        </is>
      </c>
      <c r="Q183" s="20" t="inlineStr">
        <is>
          <t>Author assertion</t>
        </is>
      </c>
      <c r="R183" s="5" t="inlineStr">
        <is>
          <t>Restored to authored P2. The previous workbook had P3 after a keyword rebalance.</t>
        </is>
      </c>
      <c r="S183" s="8" t="inlineStr">
        <is>
          <t>C2C</t>
        </is>
      </c>
      <c r="T183" s="5" t="inlineStr">
        <is>
          <t>Customer to cash</t>
        </is>
      </c>
      <c r="U183" s="8" t="inlineStr"/>
      <c r="V183" s="8" t="inlineStr">
        <is>
          <t>sales</t>
        </is>
      </c>
      <c r="W183" s="8" t="inlineStr">
        <is>
          <t>RUN</t>
        </is>
      </c>
      <c r="X183" s="5" t="inlineStr">
        <is>
          <t>Core</t>
        </is>
      </c>
      <c r="Y183" s="5" t="inlineStr">
        <is>
          <t>Admin</t>
        </is>
      </c>
      <c r="Z183" s="5" t="inlineStr">
        <is>
          <t>Medium</t>
        </is>
      </c>
      <c r="AA183" s="5" t="inlineStr">
        <is>
          <t>Medium</t>
        </is>
      </c>
      <c r="AB183" s="8" t="inlineStr">
        <is>
          <t>Low</t>
        </is>
      </c>
      <c r="AC183" s="8" t="inlineStr">
        <is>
          <t>Later</t>
        </is>
      </c>
      <c r="AD183" s="5" t="inlineStr">
        <is>
          <t>Not independently checked</t>
        </is>
      </c>
      <c r="AE183" s="5" t="inlineStr">
        <is>
          <t>Not verified</t>
        </is>
      </c>
      <c r="AF183" s="5" t="inlineStr">
        <is>
          <t>Not verified</t>
        </is>
      </c>
      <c r="AG183" s="5" t="inlineStr">
        <is>
          <t>Not verified</t>
        </is>
      </c>
      <c r="AH183" s="5" t="inlineStr">
        <is>
          <t>Not verified</t>
        </is>
      </c>
      <c r="AI183" s="8" t="inlineStr">
        <is>
          <t>No</t>
        </is>
      </c>
      <c r="AJ183" s="8" t="inlineStr">
        <is>
          <t>Claimed - unverified</t>
        </is>
      </c>
      <c r="AK183" s="8" t="inlineStr">
        <is>
          <t>P2</t>
        </is>
      </c>
      <c r="AL183" s="8" t="n">
        <v>6</v>
      </c>
      <c r="AM183" s="5" t="inlineStr"/>
      <c r="AN183" s="5" t="inlineStr"/>
      <c r="AO183" s="5" t="inlineStr"/>
      <c r="AP183" s="5" t="inlineStr"/>
      <c r="AQ183" s="5" t="inlineStr"/>
      <c r="AR183" s="5" t="inlineStr"/>
      <c r="AS183" s="5" t="inlineStr"/>
      <c r="AT183" s="5" t="inlineStr"/>
      <c r="AU183" s="8" t="inlineStr">
        <is>
          <t>Not run</t>
        </is>
      </c>
    </row>
    <row r="184" ht="32" customHeight="1">
      <c r="A184" s="16" t="inlineStr">
        <is>
          <t>P-0183</t>
        </is>
      </c>
      <c r="B184" s="8" t="inlineStr">
        <is>
          <t>P</t>
        </is>
      </c>
      <c r="C184" s="5" t="inlineStr">
        <is>
          <t>Admin / System Owner</t>
        </is>
      </c>
      <c r="D184" s="5" t="inlineStr">
        <is>
          <t>Communication &amp; Integrations</t>
        </is>
      </c>
      <c r="E184" s="5" t="inlineStr">
        <is>
          <t>Configure integrations</t>
        </is>
      </c>
      <c r="F184" s="5" t="inlineStr">
        <is>
          <t>System Administrator</t>
        </is>
      </c>
      <c r="G184" s="5" t="inlineStr">
        <is>
          <t>None</t>
        </is>
      </c>
      <c r="H184" s="5" t="inlineStr">
        <is>
          <t>Set up external messaging (WhatsApp Web, SMS gateway), payment gateways, and printer settings</t>
        </is>
      </c>
      <c r="I184" s="5" t="inlineStr">
        <is>
          <t>Stores integration credentials safely; configures webhook endpoints and API keys</t>
        </is>
      </c>
      <c r="J184" s="20" t="inlineStr">
        <is>
          <t>P1</t>
        </is>
      </c>
      <c r="K184" s="20" t="inlineStr">
        <is>
          <t>Validated (Supported)</t>
        </is>
      </c>
      <c r="L184" s="5" t="inlineStr">
        <is>
          <t>Supported via /settings/integrations/ (WhatsApp Web, UPI QR, Thermal Printers).</t>
        </is>
      </c>
      <c r="M184" s="8" t="inlineStr">
        <is>
          <t>Baseline</t>
        </is>
      </c>
      <c r="N184" s="8" t="inlineStr">
        <is>
          <t>Operational role</t>
        </is>
      </c>
      <c r="O184" s="8" t="inlineStr">
        <is>
          <t>P1</t>
        </is>
      </c>
      <c r="P184" s="5" t="inlineStr">
        <is>
          <t>Unchanged</t>
        </is>
      </c>
      <c r="Q184" s="21" t="inlineStr">
        <is>
          <t>Code symbol found</t>
        </is>
      </c>
      <c r="R184" s="5" t="inlineStr">
        <is>
          <t>Matched WhatsApp in product code. This is not a functional test.</t>
        </is>
      </c>
      <c r="S184" s="8" t="inlineStr">
        <is>
          <t>INT</t>
        </is>
      </c>
      <c r="T184" s="5" t="inlineStr">
        <is>
          <t>Communication and integrations</t>
        </is>
      </c>
      <c r="U184" s="8" t="inlineStr"/>
      <c r="V184" s="8" t="inlineStr">
        <is>
          <t>integrations</t>
        </is>
      </c>
      <c r="W184" s="8" t="inlineStr">
        <is>
          <t>KERNEL</t>
        </is>
      </c>
      <c r="X184" s="5" t="inlineStr">
        <is>
          <t>Core</t>
        </is>
      </c>
      <c r="Y184" s="5" t="inlineStr">
        <is>
          <t>Admin</t>
        </is>
      </c>
      <c r="Z184" s="5" t="inlineStr">
        <is>
          <t>Medium</t>
        </is>
      </c>
      <c r="AA184" s="5" t="inlineStr">
        <is>
          <t>Medium</t>
        </is>
      </c>
      <c r="AB184" s="8" t="inlineStr">
        <is>
          <t>Low</t>
        </is>
      </c>
      <c r="AC184" s="8" t="inlineStr">
        <is>
          <t>Later</t>
        </is>
      </c>
      <c r="AD184" s="5" t="inlineStr">
        <is>
          <t>Cited in code</t>
        </is>
      </c>
      <c r="AE184" s="5" t="inlineStr">
        <is>
          <t>Not verified</t>
        </is>
      </c>
      <c r="AF184" s="5" t="inlineStr">
        <is>
          <t>Not verified</t>
        </is>
      </c>
      <c r="AG184" s="5" t="inlineStr">
        <is>
          <t>Not verified</t>
        </is>
      </c>
      <c r="AH184" s="5" t="inlineStr">
        <is>
          <t>Not verified</t>
        </is>
      </c>
      <c r="AI184" s="8" t="inlineStr">
        <is>
          <t>No</t>
        </is>
      </c>
      <c r="AJ184" s="8" t="inlineStr">
        <is>
          <t>Built - unverified</t>
        </is>
      </c>
      <c r="AK184" s="8" t="inlineStr">
        <is>
          <t>P1</t>
        </is>
      </c>
      <c r="AL184" s="8" t="n">
        <v>6</v>
      </c>
      <c r="AM184" s="5" t="inlineStr"/>
      <c r="AN184" s="5" t="inlineStr"/>
      <c r="AO184" s="5" t="inlineStr"/>
      <c r="AP184" s="5" t="inlineStr"/>
      <c r="AQ184" s="5" t="inlineStr"/>
      <c r="AR184" s="5" t="inlineStr"/>
      <c r="AS184" s="5" t="inlineStr"/>
      <c r="AT184" s="5" t="inlineStr"/>
      <c r="AU184" s="8" t="inlineStr">
        <is>
          <t>Not run</t>
        </is>
      </c>
    </row>
    <row r="185" ht="32" customHeight="1">
      <c r="A185" s="16" t="inlineStr">
        <is>
          <t>P-0184</t>
        </is>
      </c>
      <c r="B185" s="8" t="inlineStr">
        <is>
          <t>P</t>
        </is>
      </c>
      <c r="C185" s="5" t="inlineStr">
        <is>
          <t>Admin / System Owner</t>
        </is>
      </c>
      <c r="D185" s="5" t="inlineStr">
        <is>
          <t>Security / Exception / Recovery</t>
        </is>
      </c>
      <c r="E185" s="5" t="inlineStr">
        <is>
          <t>Review system activity</t>
        </is>
      </c>
      <c r="F185" s="5" t="inlineStr">
        <is>
          <t>System Administrator</t>
        </is>
      </c>
      <c r="G185" s="5" t="inlineStr">
        <is>
          <t>Security Auditor</t>
        </is>
      </c>
      <c r="H185" s="5" t="inlineStr">
        <is>
          <t>Monitor real-time user logins, transaction throughput, and active user sessions</t>
        </is>
      </c>
      <c r="I185" s="5" t="inlineStr">
        <is>
          <t>Surfaces operational event telemetry; highlights anomalous login attempts or high failure rates</t>
        </is>
      </c>
      <c r="J185" s="20" t="inlineStr">
        <is>
          <t>P1</t>
        </is>
      </c>
      <c r="K185" s="20" t="inlineStr">
        <is>
          <t>Validated (Supported)</t>
        </is>
      </c>
      <c r="L185" s="5" t="inlineStr">
        <is>
          <t>Supported via System Activity Dashboard and Django session monitoring.</t>
        </is>
      </c>
      <c r="M185" s="8" t="inlineStr">
        <is>
          <t>Baseline</t>
        </is>
      </c>
      <c r="N185" s="8" t="inlineStr">
        <is>
          <t>Operational role</t>
        </is>
      </c>
      <c r="O185" s="8" t="inlineStr">
        <is>
          <t>P1</t>
        </is>
      </c>
      <c r="P185" s="5" t="inlineStr">
        <is>
          <t>Unchanged</t>
        </is>
      </c>
      <c r="Q185" s="20" t="inlineStr">
        <is>
          <t>Author assertion</t>
        </is>
      </c>
      <c r="R185" s="5" t="inlineStr"/>
      <c r="S185" s="8" t="inlineStr">
        <is>
          <t>OTHER</t>
        </is>
      </c>
      <c r="T185" s="5" t="inlineStr">
        <is>
          <t>Security / Exception / Recovery</t>
        </is>
      </c>
      <c r="U185" s="8" t="inlineStr"/>
      <c r="V185" s="8" t="inlineStr"/>
      <c r="W185" s="8" t="inlineStr">
        <is>
          <t>CONTROL</t>
        </is>
      </c>
      <c r="X185" s="5" t="inlineStr">
        <is>
          <t>Core</t>
        </is>
      </c>
      <c r="Y185" s="5" t="inlineStr">
        <is>
          <t>Admin</t>
        </is>
      </c>
      <c r="Z185" s="5" t="inlineStr">
        <is>
          <t>High</t>
        </is>
      </c>
      <c r="AA185" s="5" t="inlineStr">
        <is>
          <t>Medium</t>
        </is>
      </c>
      <c r="AB185" s="8" t="inlineStr">
        <is>
          <t>Medium</t>
        </is>
      </c>
      <c r="AC185" s="8" t="inlineStr">
        <is>
          <t>Pilot</t>
        </is>
      </c>
      <c r="AD185" s="5" t="inlineStr">
        <is>
          <t>Not independently checked</t>
        </is>
      </c>
      <c r="AE185" s="5" t="inlineStr">
        <is>
          <t>Not verified</t>
        </is>
      </c>
      <c r="AF185" s="5" t="inlineStr">
        <is>
          <t>Not verified</t>
        </is>
      </c>
      <c r="AG185" s="5" t="inlineStr">
        <is>
          <t>Not verified</t>
        </is>
      </c>
      <c r="AH185" s="5" t="inlineStr">
        <is>
          <t>Not verified</t>
        </is>
      </c>
      <c r="AI185" s="8" t="inlineStr">
        <is>
          <t>No</t>
        </is>
      </c>
      <c r="AJ185" s="8" t="inlineStr">
        <is>
          <t>Claimed - unverified</t>
        </is>
      </c>
      <c r="AK185" s="8" t="inlineStr">
        <is>
          <t>P1</t>
        </is>
      </c>
      <c r="AL185" s="8" t="n">
        <v>12</v>
      </c>
      <c r="AM185" s="5" t="inlineStr"/>
      <c r="AN185" s="5" t="inlineStr"/>
      <c r="AO185" s="5" t="inlineStr"/>
      <c r="AP185" s="5" t="inlineStr"/>
      <c r="AQ185" s="5" t="inlineStr"/>
      <c r="AR185" s="5" t="inlineStr"/>
      <c r="AS185" s="5" t="inlineStr"/>
      <c r="AT185" s="5" t="inlineStr"/>
      <c r="AU185" s="8" t="inlineStr">
        <is>
          <t>Not run</t>
        </is>
      </c>
    </row>
    <row r="186" ht="32" customHeight="1">
      <c r="A186" s="16" t="inlineStr">
        <is>
          <t>P-0185</t>
        </is>
      </c>
      <c r="B186" s="8" t="inlineStr">
        <is>
          <t>P</t>
        </is>
      </c>
      <c r="C186" s="5" t="inlineStr">
        <is>
          <t>Admin / System Owner</t>
        </is>
      </c>
      <c r="D186" s="5" t="inlineStr">
        <is>
          <t>Security / Exception / Recovery</t>
        </is>
      </c>
      <c r="E186" s="5" t="inlineStr">
        <is>
          <t>Review audit logs</t>
        </is>
      </c>
      <c r="F186" s="5" t="inlineStr">
        <is>
          <t>System Administrator</t>
        </is>
      </c>
      <c r="G186" s="5" t="inlineStr">
        <is>
          <t>Statutory Auditor</t>
        </is>
      </c>
      <c r="H186" s="5" t="inlineStr">
        <is>
          <t>Inspect comprehensive immutable audit trail of all record creates, updates, and deletions</t>
        </is>
      </c>
      <c r="I186" s="5" t="inlineStr">
        <is>
          <t>Queries ActivityLog and simple_history tables; provides legal compliance evidence</t>
        </is>
      </c>
      <c r="J186" s="19" t="inlineStr">
        <is>
          <t>P0</t>
        </is>
      </c>
      <c r="K186" s="20" t="inlineStr">
        <is>
          <t>Validated (Supported)</t>
        </is>
      </c>
      <c r="L186" s="5" t="inlineStr">
        <is>
          <t>Supported via /settings/audit-logs/ with user, entity, and date filtering.</t>
        </is>
      </c>
      <c r="M186" s="8" t="inlineStr">
        <is>
          <t>Baseline</t>
        </is>
      </c>
      <c r="N186" s="8" t="inlineStr">
        <is>
          <t>Operational role</t>
        </is>
      </c>
      <c r="O186" s="8" t="inlineStr">
        <is>
          <t>P0</t>
        </is>
      </c>
      <c r="P186" s="5" t="inlineStr">
        <is>
          <t>Unchanged</t>
        </is>
      </c>
      <c r="Q186" s="20" t="inlineStr">
        <is>
          <t>Author assertion</t>
        </is>
      </c>
      <c r="R186" s="5" t="inlineStr"/>
      <c r="S186" s="8" t="inlineStr">
        <is>
          <t>OTHER</t>
        </is>
      </c>
      <c r="T186" s="5" t="inlineStr">
        <is>
          <t>Security / Exception / Recovery</t>
        </is>
      </c>
      <c r="U186" s="8" t="inlineStr"/>
      <c r="V186" s="8" t="inlineStr"/>
      <c r="W186" s="8" t="inlineStr">
        <is>
          <t>CONTROL</t>
        </is>
      </c>
      <c r="X186" s="5" t="inlineStr">
        <is>
          <t>Core</t>
        </is>
      </c>
      <c r="Y186" s="5" t="inlineStr">
        <is>
          <t>Admin</t>
        </is>
      </c>
      <c r="Z186" s="5" t="inlineStr">
        <is>
          <t>High</t>
        </is>
      </c>
      <c r="AA186" s="5" t="inlineStr">
        <is>
          <t>Medium</t>
        </is>
      </c>
      <c r="AB186" s="8" t="inlineStr">
        <is>
          <t>Medium</t>
        </is>
      </c>
      <c r="AC186" s="8" t="inlineStr">
        <is>
          <t>MVP</t>
        </is>
      </c>
      <c r="AD186" s="5" t="inlineStr">
        <is>
          <t>Not independently checked</t>
        </is>
      </c>
      <c r="AE186" s="5" t="inlineStr">
        <is>
          <t>Not verified</t>
        </is>
      </c>
      <c r="AF186" s="5" t="inlineStr">
        <is>
          <t>Not verified</t>
        </is>
      </c>
      <c r="AG186" s="5" t="inlineStr">
        <is>
          <t>Not verified</t>
        </is>
      </c>
      <c r="AH186" s="5" t="inlineStr">
        <is>
          <t>Not verified</t>
        </is>
      </c>
      <c r="AI186" s="8" t="inlineStr">
        <is>
          <t>No</t>
        </is>
      </c>
      <c r="AJ186" s="8" t="inlineStr">
        <is>
          <t>Claimed - unverified</t>
        </is>
      </c>
      <c r="AK186" s="8" t="inlineStr">
        <is>
          <t>P0</t>
        </is>
      </c>
      <c r="AL186" s="8" t="n">
        <v>12</v>
      </c>
      <c r="AM186" s="5" t="inlineStr"/>
      <c r="AN186" s="5" t="inlineStr"/>
      <c r="AO186" s="5" t="inlineStr"/>
      <c r="AP186" s="5" t="inlineStr"/>
      <c r="AQ186" s="5" t="inlineStr"/>
      <c r="AR186" s="5" t="inlineStr"/>
      <c r="AS186" s="5" t="inlineStr"/>
      <c r="AT186" s="5" t="inlineStr"/>
      <c r="AU186" s="8" t="inlineStr">
        <is>
          <t>Not run</t>
        </is>
      </c>
    </row>
    <row r="187" ht="32" customHeight="1">
      <c r="A187" s="16" t="inlineStr">
        <is>
          <t>P-0186</t>
        </is>
      </c>
      <c r="B187" s="8" t="inlineStr">
        <is>
          <t>P</t>
        </is>
      </c>
      <c r="C187" s="5" t="inlineStr">
        <is>
          <t>Admin / System Owner</t>
        </is>
      </c>
      <c r="D187" s="5" t="inlineStr">
        <is>
          <t>Import / Export / Period Close</t>
        </is>
      </c>
      <c r="E187" s="5" t="inlineStr">
        <is>
          <t>Manage data imports/exports</t>
        </is>
      </c>
      <c r="F187" s="5" t="inlineStr">
        <is>
          <t>System Administrator</t>
        </is>
      </c>
      <c r="G187" s="5" t="inlineStr">
        <is>
          <t>Accountant</t>
        </is>
      </c>
      <c r="H187" s="5" t="inlineStr">
        <is>
          <t>Manage bulk CSV/Excel data imports (Products, Customers, Stock) and full database backups</t>
        </is>
      </c>
      <c r="I187" s="5" t="inlineStr">
        <is>
          <t>Processes bulk asynchronous import jobs with error report generation; exports full datasets</t>
        </is>
      </c>
      <c r="J187" s="20" t="inlineStr">
        <is>
          <t>P1</t>
        </is>
      </c>
      <c r="K187" s="20" t="inlineStr">
        <is>
          <t>Validated (Supported)</t>
        </is>
      </c>
      <c r="L187" s="5" t="inlineStr">
        <is>
          <t>Supported via /settings/data-management/ with schema validation and dry-run previews.</t>
        </is>
      </c>
      <c r="M187" s="8" t="inlineStr">
        <is>
          <t>Baseline</t>
        </is>
      </c>
      <c r="N187" s="8" t="inlineStr">
        <is>
          <t>Operational role</t>
        </is>
      </c>
      <c r="O187" s="8" t="inlineStr">
        <is>
          <t>P1</t>
        </is>
      </c>
      <c r="P187" s="5" t="inlineStr">
        <is>
          <t>Unchanged</t>
        </is>
      </c>
      <c r="Q187" s="20" t="inlineStr">
        <is>
          <t>Author assertion</t>
        </is>
      </c>
      <c r="R187" s="5" t="inlineStr"/>
      <c r="S187" s="8" t="inlineStr">
        <is>
          <t>CLOSE</t>
        </is>
      </c>
      <c r="T187" s="5" t="inlineStr">
        <is>
          <t>Import, export, and period close</t>
        </is>
      </c>
      <c r="U187" s="8" t="inlineStr"/>
      <c r="V187" s="8" t="inlineStr">
        <is>
          <t>accounting</t>
        </is>
      </c>
      <c r="W187" s="8" t="inlineStr">
        <is>
          <t>CONTROL</t>
        </is>
      </c>
      <c r="X187" s="5" t="inlineStr">
        <is>
          <t>Core</t>
        </is>
      </c>
      <c r="Y187" s="5" t="inlineStr">
        <is>
          <t>Admin</t>
        </is>
      </c>
      <c r="Z187" s="5" t="inlineStr">
        <is>
          <t>Medium</t>
        </is>
      </c>
      <c r="AA187" s="5" t="inlineStr">
        <is>
          <t>Medium</t>
        </is>
      </c>
      <c r="AB187" s="8" t="inlineStr">
        <is>
          <t>Low</t>
        </is>
      </c>
      <c r="AC187" s="8" t="inlineStr">
        <is>
          <t>Pilot</t>
        </is>
      </c>
      <c r="AD187" s="5" t="inlineStr">
        <is>
          <t>Not independently checked</t>
        </is>
      </c>
      <c r="AE187" s="5" t="inlineStr">
        <is>
          <t>Not verified</t>
        </is>
      </c>
      <c r="AF187" s="5" t="inlineStr">
        <is>
          <t>Not verified</t>
        </is>
      </c>
      <c r="AG187" s="5" t="inlineStr">
        <is>
          <t>Not verified</t>
        </is>
      </c>
      <c r="AH187" s="5" t="inlineStr">
        <is>
          <t>Not verified</t>
        </is>
      </c>
      <c r="AI187" s="8" t="inlineStr">
        <is>
          <t>No</t>
        </is>
      </c>
      <c r="AJ187" s="8" t="inlineStr">
        <is>
          <t>Claimed - unverified</t>
        </is>
      </c>
      <c r="AK187" s="8" t="inlineStr">
        <is>
          <t>P1</t>
        </is>
      </c>
      <c r="AL187" s="8" t="n">
        <v>6</v>
      </c>
      <c r="AM187" s="5" t="inlineStr"/>
      <c r="AN187" s="5" t="inlineStr"/>
      <c r="AO187" s="5" t="inlineStr"/>
      <c r="AP187" s="5" t="inlineStr"/>
      <c r="AQ187" s="5" t="inlineStr"/>
      <c r="AR187" s="5" t="inlineStr"/>
      <c r="AS187" s="5" t="inlineStr"/>
      <c r="AT187" s="5" t="inlineStr"/>
      <c r="AU187" s="8" t="inlineStr">
        <is>
          <t>Not run</t>
        </is>
      </c>
    </row>
    <row r="188" ht="32" customHeight="1">
      <c r="A188" s="16" t="inlineStr">
        <is>
          <t>P-0187</t>
        </is>
      </c>
      <c r="B188" s="8" t="inlineStr">
        <is>
          <t>P</t>
        </is>
      </c>
      <c r="C188" s="5" t="inlineStr">
        <is>
          <t>Admin / System Owner</t>
        </is>
      </c>
      <c r="D188" s="5" t="inlineStr">
        <is>
          <t>Security / Exception / Recovery</t>
        </is>
      </c>
      <c r="E188" s="5" t="inlineStr">
        <is>
          <t>Manage backups/recovery</t>
        </is>
      </c>
      <c r="F188" s="5" t="inlineStr">
        <is>
          <t>System Administrator</t>
        </is>
      </c>
      <c r="G188" s="5" t="inlineStr">
        <is>
          <t>Business Owner</t>
        </is>
      </c>
      <c r="H188" s="5" t="inlineStr">
        <is>
          <t>Ensure automated daily database backups and test disaster recovery procedures</t>
        </is>
      </c>
      <c r="I188" s="5" t="inlineStr">
        <is>
          <t>Executes encrypted PostgreSQL pg_dump; archives to isolated secondary storage</t>
        </is>
      </c>
      <c r="J188" s="19" t="inlineStr">
        <is>
          <t>P0</t>
        </is>
      </c>
      <c r="K188" s="20" t="inlineStr">
        <is>
          <t>Validated (Supported)</t>
        </is>
      </c>
      <c r="L188" s="5" t="inlineStr">
        <is>
          <t>Supported via automated daily cron / scripts/backup.sh with point-in-time recovery capability.</t>
        </is>
      </c>
      <c r="M188" s="8" t="inlineStr">
        <is>
          <t>Baseline</t>
        </is>
      </c>
      <c r="N188" s="8" t="inlineStr">
        <is>
          <t>Operational role</t>
        </is>
      </c>
      <c r="O188" s="8" t="inlineStr">
        <is>
          <t>P0</t>
        </is>
      </c>
      <c r="P188" s="5" t="inlineStr">
        <is>
          <t>Unchanged</t>
        </is>
      </c>
      <c r="Q188" s="20" t="inlineStr">
        <is>
          <t>Author assertion</t>
        </is>
      </c>
      <c r="R188" s="5" t="inlineStr"/>
      <c r="S188" s="8" t="inlineStr">
        <is>
          <t>OTHER</t>
        </is>
      </c>
      <c r="T188" s="5" t="inlineStr">
        <is>
          <t>Security / Exception / Recovery</t>
        </is>
      </c>
      <c r="U188" s="8" t="inlineStr"/>
      <c r="V188" s="8" t="inlineStr"/>
      <c r="W188" s="8" t="inlineStr">
        <is>
          <t>CONTROL</t>
        </is>
      </c>
      <c r="X188" s="5" t="inlineStr">
        <is>
          <t>Core</t>
        </is>
      </c>
      <c r="Y188" s="5" t="inlineStr">
        <is>
          <t>Admin</t>
        </is>
      </c>
      <c r="Z188" s="5" t="inlineStr">
        <is>
          <t>High</t>
        </is>
      </c>
      <c r="AA188" s="5" t="inlineStr">
        <is>
          <t>Medium</t>
        </is>
      </c>
      <c r="AB188" s="8" t="inlineStr">
        <is>
          <t>Medium</t>
        </is>
      </c>
      <c r="AC188" s="8" t="inlineStr">
        <is>
          <t>MVP</t>
        </is>
      </c>
      <c r="AD188" s="5" t="inlineStr">
        <is>
          <t>Not independently checked</t>
        </is>
      </c>
      <c r="AE188" s="5" t="inlineStr">
        <is>
          <t>Not verified</t>
        </is>
      </c>
      <c r="AF188" s="5" t="inlineStr">
        <is>
          <t>Not verified</t>
        </is>
      </c>
      <c r="AG188" s="5" t="inlineStr">
        <is>
          <t>Not verified</t>
        </is>
      </c>
      <c r="AH188" s="5" t="inlineStr">
        <is>
          <t>Not verified</t>
        </is>
      </c>
      <c r="AI188" s="8" t="inlineStr">
        <is>
          <t>No</t>
        </is>
      </c>
      <c r="AJ188" s="8" t="inlineStr">
        <is>
          <t>Claimed - unverified</t>
        </is>
      </c>
      <c r="AK188" s="8" t="inlineStr">
        <is>
          <t>P0</t>
        </is>
      </c>
      <c r="AL188" s="8" t="n">
        <v>12</v>
      </c>
      <c r="AM188" s="5" t="inlineStr"/>
      <c r="AN188" s="5" t="inlineStr"/>
      <c r="AO188" s="5" t="inlineStr"/>
      <c r="AP188" s="5" t="inlineStr"/>
      <c r="AQ188" s="5" t="inlineStr"/>
      <c r="AR188" s="5" t="inlineStr"/>
      <c r="AS188" s="5" t="inlineStr"/>
      <c r="AT188" s="5" t="inlineStr"/>
      <c r="AU188" s="8" t="inlineStr">
        <is>
          <t>Not run</t>
        </is>
      </c>
    </row>
    <row r="189" ht="32" customHeight="1">
      <c r="A189" s="16" t="inlineStr">
        <is>
          <t>P-0188</t>
        </is>
      </c>
      <c r="B189" s="8" t="inlineStr">
        <is>
          <t>P</t>
        </is>
      </c>
      <c r="C189" s="5" t="inlineStr">
        <is>
          <t>Admin / System Owner</t>
        </is>
      </c>
      <c r="D189" s="5" t="inlineStr">
        <is>
          <t>Security / Exception / Recovery</t>
        </is>
      </c>
      <c r="E189" s="5" t="inlineStr">
        <is>
          <t>Monitor system health</t>
        </is>
      </c>
      <c r="F189" s="5" t="inlineStr">
        <is>
          <t>System Administrator</t>
        </is>
      </c>
      <c r="G189" s="5" t="inlineStr">
        <is>
          <t>None</t>
        </is>
      </c>
      <c r="H189" s="5" t="inlineStr">
        <is>
          <t>Monitor database connection pool, API latency, worker queue status, and disk storage usage</t>
        </is>
      </c>
      <c r="I189" s="5" t="inlineStr">
        <is>
          <t>Surfaces /health/ check endpoint metrics; alerts on memory exhaustion or queue lag</t>
        </is>
      </c>
      <c r="J189" s="20" t="inlineStr">
        <is>
          <t>P1</t>
        </is>
      </c>
      <c r="K189" s="20" t="inlineStr">
        <is>
          <t>Validated (Supported)</t>
        </is>
      </c>
      <c r="L189" s="5" t="inlineStr">
        <is>
          <t>Supported via /health/ endpoint and Prometheus/Grafana health probes.</t>
        </is>
      </c>
      <c r="M189" s="8" t="inlineStr">
        <is>
          <t>Baseline</t>
        </is>
      </c>
      <c r="N189" s="8" t="inlineStr">
        <is>
          <t>Operational role</t>
        </is>
      </c>
      <c r="O189" s="8" t="inlineStr">
        <is>
          <t>P1</t>
        </is>
      </c>
      <c r="P189" s="5" t="inlineStr">
        <is>
          <t>Unchanged</t>
        </is>
      </c>
      <c r="Q189" s="20" t="inlineStr">
        <is>
          <t>Author assertion</t>
        </is>
      </c>
      <c r="R189" s="5" t="inlineStr"/>
      <c r="S189" s="8" t="inlineStr">
        <is>
          <t>OTHER</t>
        </is>
      </c>
      <c r="T189" s="5" t="inlineStr">
        <is>
          <t>Security / Exception / Recovery</t>
        </is>
      </c>
      <c r="U189" s="8" t="inlineStr"/>
      <c r="V189" s="8" t="inlineStr"/>
      <c r="W189" s="8" t="inlineStr">
        <is>
          <t>CONTROL</t>
        </is>
      </c>
      <c r="X189" s="5" t="inlineStr">
        <is>
          <t>Core</t>
        </is>
      </c>
      <c r="Y189" s="5" t="inlineStr">
        <is>
          <t>Admin</t>
        </is>
      </c>
      <c r="Z189" s="5" t="inlineStr">
        <is>
          <t>High</t>
        </is>
      </c>
      <c r="AA189" s="5" t="inlineStr">
        <is>
          <t>Medium</t>
        </is>
      </c>
      <c r="AB189" s="8" t="inlineStr">
        <is>
          <t>Medium</t>
        </is>
      </c>
      <c r="AC189" s="8" t="inlineStr">
        <is>
          <t>Pilot</t>
        </is>
      </c>
      <c r="AD189" s="5" t="inlineStr">
        <is>
          <t>Not independently checked</t>
        </is>
      </c>
      <c r="AE189" s="5" t="inlineStr">
        <is>
          <t>Not verified</t>
        </is>
      </c>
      <c r="AF189" s="5" t="inlineStr">
        <is>
          <t>Not verified</t>
        </is>
      </c>
      <c r="AG189" s="5" t="inlineStr">
        <is>
          <t>Not verified</t>
        </is>
      </c>
      <c r="AH189" s="5" t="inlineStr">
        <is>
          <t>Not verified</t>
        </is>
      </c>
      <c r="AI189" s="8" t="inlineStr">
        <is>
          <t>No</t>
        </is>
      </c>
      <c r="AJ189" s="8" t="inlineStr">
        <is>
          <t>Claimed - unverified</t>
        </is>
      </c>
      <c r="AK189" s="8" t="inlineStr">
        <is>
          <t>P1</t>
        </is>
      </c>
      <c r="AL189" s="8" t="n">
        <v>12</v>
      </c>
      <c r="AM189" s="5" t="inlineStr"/>
      <c r="AN189" s="5" t="inlineStr"/>
      <c r="AO189" s="5" t="inlineStr"/>
      <c r="AP189" s="5" t="inlineStr"/>
      <c r="AQ189" s="5" t="inlineStr"/>
      <c r="AR189" s="5" t="inlineStr"/>
      <c r="AS189" s="5" t="inlineStr"/>
      <c r="AT189" s="5" t="inlineStr"/>
      <c r="AU189" s="8" t="inlineStr">
        <is>
          <t>Not run</t>
        </is>
      </c>
    </row>
    <row r="190" ht="32" customHeight="1">
      <c r="A190" s="16" t="inlineStr">
        <is>
          <t>X-0189</t>
        </is>
      </c>
      <c r="B190" s="8" t="inlineStr">
        <is>
          <t>X</t>
        </is>
      </c>
      <c r="C190" s="5" t="inlineStr">
        <is>
          <t>Multiple / Cross-persona</t>
        </is>
      </c>
      <c r="D190" s="5" t="inlineStr">
        <is>
          <t>Customer-to-Cash</t>
        </is>
      </c>
      <c r="E190" s="5" t="inlineStr">
        <is>
          <t>Customer order → salesperson records order → inventory availability is checked</t>
        </is>
      </c>
      <c r="F190" s="5" t="inlineStr">
        <is>
          <t>Field Salesperson</t>
        </is>
      </c>
      <c r="G190" s="5" t="inlineStr">
        <is>
          <t>Retailer / Godown Keeper</t>
        </is>
      </c>
      <c r="H190" s="5" t="inlineStr">
        <is>
          <t>Salesperson books customer order with real-time stock verification</t>
        </is>
      </c>
      <c r="I190" s="5" t="inlineStr">
        <is>
          <t>Creates SalesOrder in DRAFT status; checks available-to-promise (ATP) stock in real time</t>
        </is>
      </c>
      <c r="J190" s="20" t="inlineStr">
        <is>
          <t>P1</t>
        </is>
      </c>
      <c r="K190" s="20" t="inlineStr">
        <is>
          <t>Validated (Supported)</t>
        </is>
      </c>
      <c r="L190" s="5" t="inlineStr">
        <is>
          <t>Supported via /sales/orders/create with real-time inventory ATP verification.</t>
        </is>
      </c>
      <c r="M190" s="8" t="inlineStr">
        <is>
          <t>Baseline</t>
        </is>
      </c>
      <c r="N190" s="8" t="inlineStr">
        <is>
          <t>Cross-persona</t>
        </is>
      </c>
      <c r="O190" s="8" t="inlineStr">
        <is>
          <t>P1</t>
        </is>
      </c>
      <c r="P190" s="5" t="inlineStr">
        <is>
          <t>Unchanged</t>
        </is>
      </c>
      <c r="Q190" s="20" t="inlineStr">
        <is>
          <t>Author assertion</t>
        </is>
      </c>
      <c r="R190" s="5" t="inlineStr"/>
      <c r="S190" s="8" t="inlineStr">
        <is>
          <t>C2C</t>
        </is>
      </c>
      <c r="T190" s="5" t="inlineStr">
        <is>
          <t>Customer to cash</t>
        </is>
      </c>
      <c r="U190" s="8" t="inlineStr"/>
      <c r="V190" s="8" t="inlineStr">
        <is>
          <t>sales</t>
        </is>
      </c>
      <c r="W190" s="8" t="inlineStr">
        <is>
          <t>RUN</t>
        </is>
      </c>
      <c r="X190" s="5" t="inlineStr">
        <is>
          <t>Core</t>
        </is>
      </c>
      <c r="Y190" s="5" t="inlineStr">
        <is>
          <t>Cross-persona</t>
        </is>
      </c>
      <c r="Z190" s="5" t="inlineStr">
        <is>
          <t>Medium</t>
        </is>
      </c>
      <c r="AA190" s="5" t="inlineStr">
        <is>
          <t>Medium</t>
        </is>
      </c>
      <c r="AB190" s="8" t="inlineStr">
        <is>
          <t>Low</t>
        </is>
      </c>
      <c r="AC190" s="8" t="inlineStr">
        <is>
          <t>Pilot</t>
        </is>
      </c>
      <c r="AD190" s="5" t="inlineStr">
        <is>
          <t>Not independently checked</t>
        </is>
      </c>
      <c r="AE190" s="5" t="inlineStr">
        <is>
          <t>Not verified</t>
        </is>
      </c>
      <c r="AF190" s="5" t="inlineStr">
        <is>
          <t>Not verified</t>
        </is>
      </c>
      <c r="AG190" s="5" t="inlineStr">
        <is>
          <t>Not verified</t>
        </is>
      </c>
      <c r="AH190" s="5" t="inlineStr">
        <is>
          <t>Not verified</t>
        </is>
      </c>
      <c r="AI190" s="8" t="inlineStr">
        <is>
          <t>No</t>
        </is>
      </c>
      <c r="AJ190" s="8" t="inlineStr">
        <is>
          <t>Claimed - unverified</t>
        </is>
      </c>
      <c r="AK190" s="8" t="inlineStr">
        <is>
          <t>P1</t>
        </is>
      </c>
      <c r="AL190" s="8" t="n">
        <v>6</v>
      </c>
      <c r="AM190" s="5" t="inlineStr"/>
      <c r="AN190" s="5" t="inlineStr"/>
      <c r="AO190" s="5" t="inlineStr"/>
      <c r="AP190" s="5" t="inlineStr"/>
      <c r="AQ190" s="5" t="inlineStr"/>
      <c r="AR190" s="5" t="inlineStr"/>
      <c r="AS190" s="5" t="inlineStr"/>
      <c r="AT190" s="5" t="inlineStr"/>
      <c r="AU190" s="8" t="inlineStr">
        <is>
          <t>Not run</t>
        </is>
      </c>
    </row>
    <row r="191" ht="32" customHeight="1">
      <c r="A191" s="16" t="inlineStr">
        <is>
          <t>X-0190</t>
        </is>
      </c>
      <c r="B191" s="8" t="inlineStr">
        <is>
          <t>X</t>
        </is>
      </c>
      <c r="C191" s="5" t="inlineStr">
        <is>
          <t>Multiple / Cross-persona</t>
        </is>
      </c>
      <c r="D191" s="5" t="inlineStr">
        <is>
          <t>Customer-to-Cash</t>
        </is>
      </c>
      <c r="E191" s="5" t="inlineStr">
        <is>
          <t>Customer accepts quotation → quotation converts to sales order</t>
        </is>
      </c>
      <c r="F191" s="5" t="inlineStr">
        <is>
          <t>Salesperson</t>
        </is>
      </c>
      <c r="G191" s="5" t="inlineStr">
        <is>
          <t>Customer</t>
        </is>
      </c>
      <c r="H191" s="5" t="inlineStr">
        <is>
          <t>Approved quotation seamlessly converted to binding sales order without re-entry</t>
        </is>
      </c>
      <c r="I191" s="5" t="inlineStr">
        <is>
          <t>Marks Quotation as ACCEPTED; generates linked SalesOrder copying all line rates and terms</t>
        </is>
      </c>
      <c r="J191" s="20" t="inlineStr">
        <is>
          <t>P1</t>
        </is>
      </c>
      <c r="K191" s="20" t="inlineStr">
        <is>
          <t>Validated (Supported)</t>
        </is>
      </c>
      <c r="L191" s="5" t="inlineStr">
        <is>
          <t>Supported via Quotation 'Convert to Order' action in Quotation detail view.</t>
        </is>
      </c>
      <c r="M191" s="8" t="inlineStr">
        <is>
          <t>Baseline</t>
        </is>
      </c>
      <c r="N191" s="8" t="inlineStr">
        <is>
          <t>Cross-persona</t>
        </is>
      </c>
      <c r="O191" s="8" t="inlineStr">
        <is>
          <t>P1</t>
        </is>
      </c>
      <c r="P191" s="5" t="inlineStr">
        <is>
          <t>Unchanged</t>
        </is>
      </c>
      <c r="Q191" s="20" t="inlineStr">
        <is>
          <t>Author assertion</t>
        </is>
      </c>
      <c r="R191" s="5" t="inlineStr"/>
      <c r="S191" s="8" t="inlineStr">
        <is>
          <t>C2C</t>
        </is>
      </c>
      <c r="T191" s="5" t="inlineStr">
        <is>
          <t>Customer to cash</t>
        </is>
      </c>
      <c r="U191" s="8" t="inlineStr"/>
      <c r="V191" s="8" t="inlineStr">
        <is>
          <t>sales</t>
        </is>
      </c>
      <c r="W191" s="8" t="inlineStr">
        <is>
          <t>RUN</t>
        </is>
      </c>
      <c r="X191" s="5" t="inlineStr">
        <is>
          <t>Core</t>
        </is>
      </c>
      <c r="Y191" s="5" t="inlineStr">
        <is>
          <t>Cross-persona</t>
        </is>
      </c>
      <c r="Z191" s="5" t="inlineStr">
        <is>
          <t>Medium</t>
        </is>
      </c>
      <c r="AA191" s="5" t="inlineStr">
        <is>
          <t>Medium</t>
        </is>
      </c>
      <c r="AB191" s="8" t="inlineStr">
        <is>
          <t>Low</t>
        </is>
      </c>
      <c r="AC191" s="8" t="inlineStr">
        <is>
          <t>Pilot</t>
        </is>
      </c>
      <c r="AD191" s="5" t="inlineStr">
        <is>
          <t>Not independently checked</t>
        </is>
      </c>
      <c r="AE191" s="5" t="inlineStr">
        <is>
          <t>Not verified</t>
        </is>
      </c>
      <c r="AF191" s="5" t="inlineStr">
        <is>
          <t>Not verified</t>
        </is>
      </c>
      <c r="AG191" s="5" t="inlineStr">
        <is>
          <t>Not verified</t>
        </is>
      </c>
      <c r="AH191" s="5" t="inlineStr">
        <is>
          <t>Not verified</t>
        </is>
      </c>
      <c r="AI191" s="8" t="inlineStr">
        <is>
          <t>No</t>
        </is>
      </c>
      <c r="AJ191" s="8" t="inlineStr">
        <is>
          <t>Claimed - unverified</t>
        </is>
      </c>
      <c r="AK191" s="8" t="inlineStr">
        <is>
          <t>P1</t>
        </is>
      </c>
      <c r="AL191" s="8" t="n">
        <v>6</v>
      </c>
      <c r="AM191" s="5" t="inlineStr"/>
      <c r="AN191" s="5" t="inlineStr"/>
      <c r="AO191" s="5" t="inlineStr"/>
      <c r="AP191" s="5" t="inlineStr"/>
      <c r="AQ191" s="5" t="inlineStr"/>
      <c r="AR191" s="5" t="inlineStr"/>
      <c r="AS191" s="5" t="inlineStr"/>
      <c r="AT191" s="5" t="inlineStr"/>
      <c r="AU191" s="8" t="inlineStr">
        <is>
          <t>Not run</t>
        </is>
      </c>
    </row>
    <row r="192" ht="32" customHeight="1">
      <c r="A192" s="16" t="inlineStr">
        <is>
          <t>X-0191</t>
        </is>
      </c>
      <c r="B192" s="8" t="inlineStr">
        <is>
          <t>X</t>
        </is>
      </c>
      <c r="C192" s="5" t="inlineStr">
        <is>
          <t>Multiple / Cross-persona</t>
        </is>
      </c>
      <c r="D192" s="5" t="inlineStr">
        <is>
          <t>Customer-to-Cash</t>
        </is>
      </c>
      <c r="E192" s="5" t="inlineStr">
        <is>
          <t>Sales order → inventory is reserved → available stock is updated</t>
        </is>
      </c>
      <c r="F192" s="5" t="inlineStr">
        <is>
          <t>Commercial Sales Desk</t>
        </is>
      </c>
      <c r="G192" s="5" t="inlineStr">
        <is>
          <t>Warehouse Staff</t>
        </is>
      </c>
      <c r="H192" s="5" t="inlineStr">
        <is>
          <t>Inventory committed to confirmed order, preventing double-selling</t>
        </is>
      </c>
      <c r="I192" s="5" t="inlineStr">
        <is>
          <t>Increments reserved_stock and decrements available_stock on StockBalance model</t>
        </is>
      </c>
      <c r="J192" s="20" t="inlineStr">
        <is>
          <t>P1</t>
        </is>
      </c>
      <c r="K192" s="20" t="inlineStr">
        <is>
          <t>Validated (Supported)</t>
        </is>
      </c>
      <c r="L192" s="5" t="inlineStr">
        <is>
          <t>Core system invariant: order confirmation reserves stock atomically.</t>
        </is>
      </c>
      <c r="M192" s="8" t="inlineStr">
        <is>
          <t>Baseline</t>
        </is>
      </c>
      <c r="N192" s="8" t="inlineStr">
        <is>
          <t>Cross-persona</t>
        </is>
      </c>
      <c r="O192" s="8" t="inlineStr">
        <is>
          <t>P1</t>
        </is>
      </c>
      <c r="P192" s="5" t="inlineStr">
        <is>
          <t>Restored to authored P1. The previous workbook had P0 after a keyword rebalance.</t>
        </is>
      </c>
      <c r="Q192" s="20" t="inlineStr">
        <is>
          <t>Author assertion</t>
        </is>
      </c>
      <c r="R192" s="5" t="inlineStr">
        <is>
          <t>Restored to authored P1. The previous workbook had P0 after a keyword rebalance.</t>
        </is>
      </c>
      <c r="S192" s="8" t="inlineStr">
        <is>
          <t>C2C</t>
        </is>
      </c>
      <c r="T192" s="5" t="inlineStr">
        <is>
          <t>Customer to cash</t>
        </is>
      </c>
      <c r="U192" s="8" t="inlineStr"/>
      <c r="V192" s="8" t="inlineStr">
        <is>
          <t>sales</t>
        </is>
      </c>
      <c r="W192" s="8" t="inlineStr">
        <is>
          <t>RUN</t>
        </is>
      </c>
      <c r="X192" s="5" t="inlineStr">
        <is>
          <t>Core</t>
        </is>
      </c>
      <c r="Y192" s="5" t="inlineStr">
        <is>
          <t>Cross-persona</t>
        </is>
      </c>
      <c r="Z192" s="5" t="inlineStr">
        <is>
          <t>Medium</t>
        </is>
      </c>
      <c r="AA192" s="5" t="inlineStr">
        <is>
          <t>Medium</t>
        </is>
      </c>
      <c r="AB192" s="8" t="inlineStr">
        <is>
          <t>Low</t>
        </is>
      </c>
      <c r="AC192" s="8" t="inlineStr">
        <is>
          <t>Pilot</t>
        </is>
      </c>
      <c r="AD192" s="5" t="inlineStr">
        <is>
          <t>Not independently checked</t>
        </is>
      </c>
      <c r="AE192" s="5" t="inlineStr">
        <is>
          <t>Not verified</t>
        </is>
      </c>
      <c r="AF192" s="5" t="inlineStr">
        <is>
          <t>Not verified</t>
        </is>
      </c>
      <c r="AG192" s="5" t="inlineStr">
        <is>
          <t>Not verified</t>
        </is>
      </c>
      <c r="AH192" s="5" t="inlineStr">
        <is>
          <t>Not verified</t>
        </is>
      </c>
      <c r="AI192" s="8" t="inlineStr">
        <is>
          <t>No</t>
        </is>
      </c>
      <c r="AJ192" s="8" t="inlineStr">
        <is>
          <t>Claimed - unverified</t>
        </is>
      </c>
      <c r="AK192" s="8" t="inlineStr">
        <is>
          <t>P1</t>
        </is>
      </c>
      <c r="AL192" s="8" t="n">
        <v>6</v>
      </c>
      <c r="AM192" s="5" t="inlineStr"/>
      <c r="AN192" s="5" t="inlineStr"/>
      <c r="AO192" s="5" t="inlineStr"/>
      <c r="AP192" s="5" t="inlineStr"/>
      <c r="AQ192" s="5" t="inlineStr"/>
      <c r="AR192" s="5" t="inlineStr"/>
      <c r="AS192" s="5" t="inlineStr"/>
      <c r="AT192" s="5" t="inlineStr"/>
      <c r="AU192" s="8" t="inlineStr">
        <is>
          <t>Not run</t>
        </is>
      </c>
    </row>
    <row r="193" ht="32" customHeight="1">
      <c r="A193" s="16" t="inlineStr">
        <is>
          <t>X-0192</t>
        </is>
      </c>
      <c r="B193" s="8" t="inlineStr">
        <is>
          <t>X</t>
        </is>
      </c>
      <c r="C193" s="5" t="inlineStr">
        <is>
          <t>Multiple / Cross-persona</t>
        </is>
      </c>
      <c r="D193" s="5" t="inlineStr">
        <is>
          <t>Customer-to-Cash</t>
        </is>
      </c>
      <c r="E193" s="5" t="inlineStr">
        <is>
          <t>Sales order → warehouse receives picking request</t>
        </is>
      </c>
      <c r="F193" s="5" t="inlineStr">
        <is>
          <t>Sales Coordinator</t>
        </is>
      </c>
      <c r="G193" s="5" t="inlineStr">
        <is>
          <t>Godown Custodian</t>
        </is>
      </c>
      <c r="H193" s="5" t="inlineStr">
        <is>
          <t>Warehouse notified of confirmed order ready for picking and packing</t>
        </is>
      </c>
      <c r="I193" s="5" t="inlineStr">
        <is>
          <t>Generates warehouse PickList document grouped by godown rack and bin location</t>
        </is>
      </c>
      <c r="J193" s="20" t="inlineStr">
        <is>
          <t>P1</t>
        </is>
      </c>
      <c r="K193" s="20" t="inlineStr">
        <is>
          <t>Validated (Supported)</t>
        </is>
      </c>
      <c r="L193" s="5" t="inlineStr">
        <is>
          <t>Supported via PickList generator in Warehouse module.</t>
        </is>
      </c>
      <c r="M193" s="8" t="inlineStr">
        <is>
          <t>Baseline</t>
        </is>
      </c>
      <c r="N193" s="8" t="inlineStr">
        <is>
          <t>Cross-persona</t>
        </is>
      </c>
      <c r="O193" s="8" t="inlineStr">
        <is>
          <t>P1</t>
        </is>
      </c>
      <c r="P193" s="5" t="inlineStr">
        <is>
          <t>Unchanged</t>
        </is>
      </c>
      <c r="Q193" s="20" t="inlineStr">
        <is>
          <t>Author assertion</t>
        </is>
      </c>
      <c r="R193" s="5" t="inlineStr"/>
      <c r="S193" s="8" t="inlineStr">
        <is>
          <t>C2C</t>
        </is>
      </c>
      <c r="T193" s="5" t="inlineStr">
        <is>
          <t>Customer to cash</t>
        </is>
      </c>
      <c r="U193" s="8" t="inlineStr"/>
      <c r="V193" s="8" t="inlineStr">
        <is>
          <t>sales</t>
        </is>
      </c>
      <c r="W193" s="8" t="inlineStr">
        <is>
          <t>RUN</t>
        </is>
      </c>
      <c r="X193" s="5" t="inlineStr">
        <is>
          <t>Core</t>
        </is>
      </c>
      <c r="Y193" s="5" t="inlineStr">
        <is>
          <t>Cross-persona</t>
        </is>
      </c>
      <c r="Z193" s="5" t="inlineStr">
        <is>
          <t>Medium</t>
        </is>
      </c>
      <c r="AA193" s="5" t="inlineStr">
        <is>
          <t>Medium</t>
        </is>
      </c>
      <c r="AB193" s="8" t="inlineStr">
        <is>
          <t>Low</t>
        </is>
      </c>
      <c r="AC193" s="8" t="inlineStr">
        <is>
          <t>Pilot</t>
        </is>
      </c>
      <c r="AD193" s="5" t="inlineStr">
        <is>
          <t>Not independently checked</t>
        </is>
      </c>
      <c r="AE193" s="5" t="inlineStr">
        <is>
          <t>Not verified</t>
        </is>
      </c>
      <c r="AF193" s="5" t="inlineStr">
        <is>
          <t>Not verified</t>
        </is>
      </c>
      <c r="AG193" s="5" t="inlineStr">
        <is>
          <t>Not verified</t>
        </is>
      </c>
      <c r="AH193" s="5" t="inlineStr">
        <is>
          <t>Not verified</t>
        </is>
      </c>
      <c r="AI193" s="8" t="inlineStr">
        <is>
          <t>No</t>
        </is>
      </c>
      <c r="AJ193" s="8" t="inlineStr">
        <is>
          <t>Claimed - unverified</t>
        </is>
      </c>
      <c r="AK193" s="8" t="inlineStr">
        <is>
          <t>P1</t>
        </is>
      </c>
      <c r="AL193" s="8" t="n">
        <v>6</v>
      </c>
      <c r="AM193" s="5" t="inlineStr"/>
      <c r="AN193" s="5" t="inlineStr"/>
      <c r="AO193" s="5" t="inlineStr"/>
      <c r="AP193" s="5" t="inlineStr"/>
      <c r="AQ193" s="5" t="inlineStr"/>
      <c r="AR193" s="5" t="inlineStr"/>
      <c r="AS193" s="5" t="inlineStr"/>
      <c r="AT193" s="5" t="inlineStr"/>
      <c r="AU193" s="8" t="inlineStr">
        <is>
          <t>Not run</t>
        </is>
      </c>
    </row>
    <row r="194" ht="32" customHeight="1">
      <c r="A194" s="16" t="inlineStr">
        <is>
          <t>X-0193</t>
        </is>
      </c>
      <c r="B194" s="8" t="inlineStr">
        <is>
          <t>X</t>
        </is>
      </c>
      <c r="C194" s="5" t="inlineStr">
        <is>
          <t>Multiple / Cross-persona</t>
        </is>
      </c>
      <c r="D194" s="5" t="inlineStr">
        <is>
          <t>Customer-to-Cash</t>
        </is>
      </c>
      <c r="E194" s="5" t="inlineStr">
        <is>
          <t>Warehouse picks stock → order becomes ready for dispatch</t>
        </is>
      </c>
      <c r="F194" s="5" t="inlineStr">
        <is>
          <t>Godown Custodian</t>
        </is>
      </c>
      <c r="G194" s="5" t="inlineStr">
        <is>
          <t>Logistics Coordinator</t>
        </is>
      </c>
      <c r="H194" s="5" t="inlineStr">
        <is>
          <t>Physical items retrieved from shelves, verified, and staged in dispatch bay</t>
        </is>
      </c>
      <c r="I194" s="5" t="inlineStr">
        <is>
          <t>Updates SalesOrder fulfillment status to READY_FOR_DISPATCH; locks picked batch numbers</t>
        </is>
      </c>
      <c r="J194" s="20" t="inlineStr">
        <is>
          <t>P1</t>
        </is>
      </c>
      <c r="K194" s="20" t="inlineStr">
        <is>
          <t>Validated (Supported)</t>
        </is>
      </c>
      <c r="L194" s="5" t="inlineStr">
        <is>
          <t>Supported via PickList fulfillment confirmation screen.</t>
        </is>
      </c>
      <c r="M194" s="8" t="inlineStr">
        <is>
          <t>Baseline</t>
        </is>
      </c>
      <c r="N194" s="8" t="inlineStr">
        <is>
          <t>Cross-persona</t>
        </is>
      </c>
      <c r="O194" s="8" t="inlineStr">
        <is>
          <t>P1</t>
        </is>
      </c>
      <c r="P194" s="5" t="inlineStr">
        <is>
          <t>Unchanged</t>
        </is>
      </c>
      <c r="Q194" s="20" t="inlineStr">
        <is>
          <t>Author assertion</t>
        </is>
      </c>
      <c r="R194" s="5" t="inlineStr"/>
      <c r="S194" s="8" t="inlineStr">
        <is>
          <t>C2C</t>
        </is>
      </c>
      <c r="T194" s="5" t="inlineStr">
        <is>
          <t>Customer to cash</t>
        </is>
      </c>
      <c r="U194" s="8" t="inlineStr"/>
      <c r="V194" s="8" t="inlineStr">
        <is>
          <t>sales</t>
        </is>
      </c>
      <c r="W194" s="8" t="inlineStr">
        <is>
          <t>RUN</t>
        </is>
      </c>
      <c r="X194" s="5" t="inlineStr">
        <is>
          <t>Core</t>
        </is>
      </c>
      <c r="Y194" s="5" t="inlineStr">
        <is>
          <t>Cross-persona</t>
        </is>
      </c>
      <c r="Z194" s="5" t="inlineStr">
        <is>
          <t>Medium</t>
        </is>
      </c>
      <c r="AA194" s="5" t="inlineStr">
        <is>
          <t>Medium</t>
        </is>
      </c>
      <c r="AB194" s="8" t="inlineStr">
        <is>
          <t>Low</t>
        </is>
      </c>
      <c r="AC194" s="8" t="inlineStr">
        <is>
          <t>Pilot</t>
        </is>
      </c>
      <c r="AD194" s="5" t="inlineStr">
        <is>
          <t>Not independently checked</t>
        </is>
      </c>
      <c r="AE194" s="5" t="inlineStr">
        <is>
          <t>Not verified</t>
        </is>
      </c>
      <c r="AF194" s="5" t="inlineStr">
        <is>
          <t>Not verified</t>
        </is>
      </c>
      <c r="AG194" s="5" t="inlineStr">
        <is>
          <t>Not verified</t>
        </is>
      </c>
      <c r="AH194" s="5" t="inlineStr">
        <is>
          <t>Not verified</t>
        </is>
      </c>
      <c r="AI194" s="8" t="inlineStr">
        <is>
          <t>No</t>
        </is>
      </c>
      <c r="AJ194" s="8" t="inlineStr">
        <is>
          <t>Claimed - unverified</t>
        </is>
      </c>
      <c r="AK194" s="8" t="inlineStr">
        <is>
          <t>P1</t>
        </is>
      </c>
      <c r="AL194" s="8" t="n">
        <v>6</v>
      </c>
      <c r="AM194" s="5" t="inlineStr"/>
      <c r="AN194" s="5" t="inlineStr"/>
      <c r="AO194" s="5" t="inlineStr"/>
      <c r="AP194" s="5" t="inlineStr"/>
      <c r="AQ194" s="5" t="inlineStr"/>
      <c r="AR194" s="5" t="inlineStr"/>
      <c r="AS194" s="5" t="inlineStr"/>
      <c r="AT194" s="5" t="inlineStr"/>
      <c r="AU194" s="8" t="inlineStr">
        <is>
          <t>Not run</t>
        </is>
      </c>
    </row>
    <row r="195" ht="32" customHeight="1">
      <c r="A195" s="16" t="inlineStr">
        <is>
          <t>X-0194</t>
        </is>
      </c>
      <c r="B195" s="8" t="inlineStr">
        <is>
          <t>X</t>
        </is>
      </c>
      <c r="C195" s="5" t="inlineStr">
        <is>
          <t>Multiple / Cross-persona</t>
        </is>
      </c>
      <c r="D195" s="5" t="inlineStr">
        <is>
          <t>Customer-to-Cash</t>
        </is>
      </c>
      <c r="E195" s="5" t="inlineStr">
        <is>
          <t>Order dispatched → delivery status is recorded</t>
        </is>
      </c>
      <c r="F195" s="5" t="inlineStr">
        <is>
          <t>Logistics Dispatcher</t>
        </is>
      </c>
      <c r="G195" s="5" t="inlineStr">
        <is>
          <t>Delivery Driver / Transport Vendor</t>
        </is>
      </c>
      <c r="H195" s="5" t="inlineStr">
        <is>
          <t>Goods leave warehouse premises with formal delivery documentation</t>
        </is>
      </c>
      <c r="I195" s="5" t="inlineStr">
        <is>
          <t>Creates DeliveryChallan; logs vehicle number, driver contact, and dispatch timestamp</t>
        </is>
      </c>
      <c r="J195" s="20" t="inlineStr">
        <is>
          <t>P1</t>
        </is>
      </c>
      <c r="K195" s="20" t="inlineStr">
        <is>
          <t>Validated (Supported)</t>
        </is>
      </c>
      <c r="L195" s="5" t="inlineStr">
        <is>
          <t>Supported via /sales/delivery-challans/ with vehicle and driver logging.</t>
        </is>
      </c>
      <c r="M195" s="8" t="inlineStr">
        <is>
          <t>Baseline</t>
        </is>
      </c>
      <c r="N195" s="8" t="inlineStr">
        <is>
          <t>Cross-persona</t>
        </is>
      </c>
      <c r="O195" s="8" t="inlineStr">
        <is>
          <t>P1</t>
        </is>
      </c>
      <c r="P195" s="5" t="inlineStr">
        <is>
          <t>Unchanged</t>
        </is>
      </c>
      <c r="Q195" s="20" t="inlineStr">
        <is>
          <t>Author assertion</t>
        </is>
      </c>
      <c r="R195" s="5" t="inlineStr"/>
      <c r="S195" s="8" t="inlineStr">
        <is>
          <t>C2C</t>
        </is>
      </c>
      <c r="T195" s="5" t="inlineStr">
        <is>
          <t>Customer to cash</t>
        </is>
      </c>
      <c r="U195" s="8" t="inlineStr"/>
      <c r="V195" s="8" t="inlineStr">
        <is>
          <t>sales</t>
        </is>
      </c>
      <c r="W195" s="8" t="inlineStr">
        <is>
          <t>RUN</t>
        </is>
      </c>
      <c r="X195" s="5" t="inlineStr">
        <is>
          <t>Core</t>
        </is>
      </c>
      <c r="Y195" s="5" t="inlineStr">
        <is>
          <t>Cross-persona</t>
        </is>
      </c>
      <c r="Z195" s="5" t="inlineStr">
        <is>
          <t>Medium</t>
        </is>
      </c>
      <c r="AA195" s="5" t="inlineStr">
        <is>
          <t>Medium</t>
        </is>
      </c>
      <c r="AB195" s="8" t="inlineStr">
        <is>
          <t>Low</t>
        </is>
      </c>
      <c r="AC195" s="8" t="inlineStr">
        <is>
          <t>Pilot</t>
        </is>
      </c>
      <c r="AD195" s="5" t="inlineStr">
        <is>
          <t>Not independently checked</t>
        </is>
      </c>
      <c r="AE195" s="5" t="inlineStr">
        <is>
          <t>Not verified</t>
        </is>
      </c>
      <c r="AF195" s="5" t="inlineStr">
        <is>
          <t>Not verified</t>
        </is>
      </c>
      <c r="AG195" s="5" t="inlineStr">
        <is>
          <t>Not verified</t>
        </is>
      </c>
      <c r="AH195" s="5" t="inlineStr">
        <is>
          <t>Not verified</t>
        </is>
      </c>
      <c r="AI195" s="8" t="inlineStr">
        <is>
          <t>No</t>
        </is>
      </c>
      <c r="AJ195" s="8" t="inlineStr">
        <is>
          <t>Claimed - unverified</t>
        </is>
      </c>
      <c r="AK195" s="8" t="inlineStr">
        <is>
          <t>P1</t>
        </is>
      </c>
      <c r="AL195" s="8" t="n">
        <v>6</v>
      </c>
      <c r="AM195" s="5" t="inlineStr"/>
      <c r="AN195" s="5" t="inlineStr"/>
      <c r="AO195" s="5" t="inlineStr"/>
      <c r="AP195" s="5" t="inlineStr"/>
      <c r="AQ195" s="5" t="inlineStr"/>
      <c r="AR195" s="5" t="inlineStr"/>
      <c r="AS195" s="5" t="inlineStr"/>
      <c r="AT195" s="5" t="inlineStr"/>
      <c r="AU195" s="8" t="inlineStr">
        <is>
          <t>Not run</t>
        </is>
      </c>
    </row>
    <row r="196" ht="32" customHeight="1">
      <c r="A196" s="16" t="inlineStr">
        <is>
          <t>X-0195</t>
        </is>
      </c>
      <c r="B196" s="8" t="inlineStr">
        <is>
          <t>X</t>
        </is>
      </c>
      <c r="C196" s="5" t="inlineStr">
        <is>
          <t>Multiple / Cross-persona</t>
        </is>
      </c>
      <c r="D196" s="5" t="inlineStr">
        <is>
          <t>Customer-to-Cash</t>
        </is>
      </c>
      <c r="E196" s="5" t="inlineStr">
        <is>
          <t>Delivery completed → invoice is generated</t>
        </is>
      </c>
      <c r="F196" s="5" t="inlineStr">
        <is>
          <t>Billing Clerk</t>
        </is>
      </c>
      <c r="G196" s="5" t="inlineStr">
        <is>
          <t>Customer</t>
        </is>
      </c>
      <c r="H196" s="5" t="inlineStr">
        <is>
          <t>Customer receives delivery and final legal tax invoice is issued</t>
        </is>
      </c>
      <c r="I196" s="5" t="inlineStr">
        <is>
          <t>Generates completed SalesInvoice; triggers accounting and statutory tax postings</t>
        </is>
      </c>
      <c r="J196" s="20" t="inlineStr">
        <is>
          <t>P1</t>
        </is>
      </c>
      <c r="K196" s="20" t="inlineStr">
        <is>
          <t>Validated (Supported)</t>
        </is>
      </c>
      <c r="L196" s="5" t="inlineStr">
        <is>
          <t>Supported via Challan-to-Invoice conversion workflow.</t>
        </is>
      </c>
      <c r="M196" s="8" t="inlineStr">
        <is>
          <t>Baseline</t>
        </is>
      </c>
      <c r="N196" s="8" t="inlineStr">
        <is>
          <t>Cross-persona</t>
        </is>
      </c>
      <c r="O196" s="8" t="inlineStr">
        <is>
          <t>P1</t>
        </is>
      </c>
      <c r="P196" s="5" t="inlineStr">
        <is>
          <t>Unchanged</t>
        </is>
      </c>
      <c r="Q196" s="20" t="inlineStr">
        <is>
          <t>Author assertion</t>
        </is>
      </c>
      <c r="R196" s="5" t="inlineStr"/>
      <c r="S196" s="8" t="inlineStr">
        <is>
          <t>C2C</t>
        </is>
      </c>
      <c r="T196" s="5" t="inlineStr">
        <is>
          <t>Customer to cash</t>
        </is>
      </c>
      <c r="U196" s="8" t="inlineStr"/>
      <c r="V196" s="8" t="inlineStr">
        <is>
          <t>sales</t>
        </is>
      </c>
      <c r="W196" s="8" t="inlineStr">
        <is>
          <t>RUN</t>
        </is>
      </c>
      <c r="X196" s="5" t="inlineStr">
        <is>
          <t>Core</t>
        </is>
      </c>
      <c r="Y196" s="5" t="inlineStr">
        <is>
          <t>Cross-persona</t>
        </is>
      </c>
      <c r="Z196" s="5" t="inlineStr">
        <is>
          <t>Medium</t>
        </is>
      </c>
      <c r="AA196" s="5" t="inlineStr">
        <is>
          <t>Medium</t>
        </is>
      </c>
      <c r="AB196" s="8" t="inlineStr">
        <is>
          <t>Low</t>
        </is>
      </c>
      <c r="AC196" s="8" t="inlineStr">
        <is>
          <t>Pilot</t>
        </is>
      </c>
      <c r="AD196" s="5" t="inlineStr">
        <is>
          <t>Not independently checked</t>
        </is>
      </c>
      <c r="AE196" s="5" t="inlineStr">
        <is>
          <t>Not verified</t>
        </is>
      </c>
      <c r="AF196" s="5" t="inlineStr">
        <is>
          <t>Not verified</t>
        </is>
      </c>
      <c r="AG196" s="5" t="inlineStr">
        <is>
          <t>Not verified</t>
        </is>
      </c>
      <c r="AH196" s="5" t="inlineStr">
        <is>
          <t>Not verified</t>
        </is>
      </c>
      <c r="AI196" s="8" t="inlineStr">
        <is>
          <t>No</t>
        </is>
      </c>
      <c r="AJ196" s="8" t="inlineStr">
        <is>
          <t>Claimed - unverified</t>
        </is>
      </c>
      <c r="AK196" s="8" t="inlineStr">
        <is>
          <t>P1</t>
        </is>
      </c>
      <c r="AL196" s="8" t="n">
        <v>6</v>
      </c>
      <c r="AM196" s="5" t="inlineStr"/>
      <c r="AN196" s="5" t="inlineStr"/>
      <c r="AO196" s="5" t="inlineStr"/>
      <c r="AP196" s="5" t="inlineStr"/>
      <c r="AQ196" s="5" t="inlineStr"/>
      <c r="AR196" s="5" t="inlineStr"/>
      <c r="AS196" s="5" t="inlineStr"/>
      <c r="AT196" s="5" t="inlineStr"/>
      <c r="AU196" s="8" t="inlineStr">
        <is>
          <t>Not run</t>
        </is>
      </c>
    </row>
    <row r="197" ht="32" customHeight="1">
      <c r="A197" s="16" t="inlineStr">
        <is>
          <t>X-0196</t>
        </is>
      </c>
      <c r="B197" s="8" t="inlineStr">
        <is>
          <t>X</t>
        </is>
      </c>
      <c r="C197" s="5" t="inlineStr">
        <is>
          <t>Multiple / Cross-persona</t>
        </is>
      </c>
      <c r="D197" s="5" t="inlineStr">
        <is>
          <t>Customer-to-Cash</t>
        </is>
      </c>
      <c r="E197" s="5" t="inlineStr">
        <is>
          <t>Invoice generated → inventory is reduced</t>
        </is>
      </c>
      <c r="F197" s="5" t="inlineStr">
        <is>
          <t>System / Billing Engine</t>
        </is>
      </c>
      <c r="G197" s="5" t="inlineStr">
        <is>
          <t>Godown Custodian</t>
        </is>
      </c>
      <c r="H197" s="5" t="inlineStr">
        <is>
          <t>Inventory on-hand balance decremented permanently upon invoice completion</t>
        </is>
      </c>
      <c r="I197" s="5" t="inlineStr">
        <is>
          <t>Creates append-only StockMovement record with movement_type='OUTWARD_SALE'</t>
        </is>
      </c>
      <c r="J197" s="20" t="inlineStr">
        <is>
          <t>P1</t>
        </is>
      </c>
      <c r="K197" s="20" t="inlineStr">
        <is>
          <t>Validated (Supported)</t>
        </is>
      </c>
      <c r="L197" s="5" t="inlineStr">
        <is>
          <t>Core system invariant: completing sales invoice permanently decrements warehouse inventory.</t>
        </is>
      </c>
      <c r="M197" s="8" t="inlineStr">
        <is>
          <t>Baseline</t>
        </is>
      </c>
      <c r="N197" s="8" t="inlineStr">
        <is>
          <t>Cross-persona</t>
        </is>
      </c>
      <c r="O197" s="8" t="inlineStr">
        <is>
          <t>P1</t>
        </is>
      </c>
      <c r="P197" s="5" t="inlineStr">
        <is>
          <t>Unchanged</t>
        </is>
      </c>
      <c r="Q197" s="20" t="inlineStr">
        <is>
          <t>Author assertion</t>
        </is>
      </c>
      <c r="R197" s="5" t="inlineStr"/>
      <c r="S197" s="8" t="inlineStr">
        <is>
          <t>C2C</t>
        </is>
      </c>
      <c r="T197" s="5" t="inlineStr">
        <is>
          <t>Customer to cash</t>
        </is>
      </c>
      <c r="U197" s="8" t="inlineStr"/>
      <c r="V197" s="8" t="inlineStr">
        <is>
          <t>sales</t>
        </is>
      </c>
      <c r="W197" s="8" t="inlineStr">
        <is>
          <t>RUN</t>
        </is>
      </c>
      <c r="X197" s="5" t="inlineStr">
        <is>
          <t>Core</t>
        </is>
      </c>
      <c r="Y197" s="5" t="inlineStr">
        <is>
          <t>Cross-persona</t>
        </is>
      </c>
      <c r="Z197" s="5" t="inlineStr">
        <is>
          <t>Medium</t>
        </is>
      </c>
      <c r="AA197" s="5" t="inlineStr">
        <is>
          <t>Medium</t>
        </is>
      </c>
      <c r="AB197" s="8" t="inlineStr">
        <is>
          <t>Low</t>
        </is>
      </c>
      <c r="AC197" s="8" t="inlineStr">
        <is>
          <t>Pilot</t>
        </is>
      </c>
      <c r="AD197" s="5" t="inlineStr">
        <is>
          <t>Not independently checked</t>
        </is>
      </c>
      <c r="AE197" s="5" t="inlineStr">
        <is>
          <t>Not verified</t>
        </is>
      </c>
      <c r="AF197" s="5" t="inlineStr">
        <is>
          <t>Not verified</t>
        </is>
      </c>
      <c r="AG197" s="5" t="inlineStr">
        <is>
          <t>Not verified</t>
        </is>
      </c>
      <c r="AH197" s="5" t="inlineStr">
        <is>
          <t>Not verified</t>
        </is>
      </c>
      <c r="AI197" s="8" t="inlineStr">
        <is>
          <t>No</t>
        </is>
      </c>
      <c r="AJ197" s="8" t="inlineStr">
        <is>
          <t>Claimed - unverified</t>
        </is>
      </c>
      <c r="AK197" s="8" t="inlineStr">
        <is>
          <t>P1</t>
        </is>
      </c>
      <c r="AL197" s="8" t="n">
        <v>6</v>
      </c>
      <c r="AM197" s="5" t="inlineStr"/>
      <c r="AN197" s="5" t="inlineStr"/>
      <c r="AO197" s="5" t="inlineStr"/>
      <c r="AP197" s="5" t="inlineStr"/>
      <c r="AQ197" s="5" t="inlineStr"/>
      <c r="AR197" s="5" t="inlineStr"/>
      <c r="AS197" s="5" t="inlineStr"/>
      <c r="AT197" s="5" t="inlineStr"/>
      <c r="AU197" s="8" t="inlineStr">
        <is>
          <t>Not run</t>
        </is>
      </c>
    </row>
    <row r="198" ht="32" customHeight="1">
      <c r="A198" s="16" t="inlineStr">
        <is>
          <t>X-0197</t>
        </is>
      </c>
      <c r="B198" s="8" t="inlineStr">
        <is>
          <t>X</t>
        </is>
      </c>
      <c r="C198" s="5" t="inlineStr">
        <is>
          <t>Multiple / Cross-persona</t>
        </is>
      </c>
      <c r="D198" s="5" t="inlineStr">
        <is>
          <t>Customer-to-Cash</t>
        </is>
      </c>
      <c r="E198" s="5" t="inlineStr">
        <is>
          <t>Invoice generated → customer receivable is created</t>
        </is>
      </c>
      <c r="F198" s="5" t="inlineStr">
        <is>
          <t>System / Ledger Engine</t>
        </is>
      </c>
      <c r="G198" s="5" t="inlineStr">
        <is>
          <t>In-house Accountant</t>
        </is>
      </c>
      <c r="H198" s="5" t="inlineStr">
        <is>
          <t>Trade receivable created in customer ledger for credit tracking</t>
        </is>
      </c>
      <c r="I198" s="5" t="inlineStr">
        <is>
          <t>Debits Customer Accounts Receivable ledger account; credits Sales Revenue account in GL</t>
        </is>
      </c>
      <c r="J198" s="20" t="inlineStr">
        <is>
          <t>P1</t>
        </is>
      </c>
      <c r="K198" s="20" t="inlineStr">
        <is>
          <t>Validated (Supported)</t>
        </is>
      </c>
      <c r="L198" s="5" t="inlineStr">
        <is>
          <t>Core system invariant: SalesService.complete atomically posts double-entry GL voucher.</t>
        </is>
      </c>
      <c r="M198" s="8" t="inlineStr">
        <is>
          <t>Baseline</t>
        </is>
      </c>
      <c r="N198" s="8" t="inlineStr">
        <is>
          <t>Cross-persona</t>
        </is>
      </c>
      <c r="O198" s="8" t="inlineStr">
        <is>
          <t>P1</t>
        </is>
      </c>
      <c r="P198" s="5" t="inlineStr">
        <is>
          <t>Restored to authored P1. The previous workbook had P0 after a keyword rebalance.</t>
        </is>
      </c>
      <c r="Q198" s="21" t="inlineStr">
        <is>
          <t>Code symbol found</t>
        </is>
      </c>
      <c r="R198" s="5" t="inlineStr">
        <is>
          <t>Matched SalesService in product code. This is not a functional test. Restored to authored P1. The previous workbook had P0 after a keyword rebalance.</t>
        </is>
      </c>
      <c r="S198" s="8" t="inlineStr">
        <is>
          <t>C2C</t>
        </is>
      </c>
      <c r="T198" s="5" t="inlineStr">
        <is>
          <t>Customer to cash</t>
        </is>
      </c>
      <c r="U198" s="8" t="inlineStr"/>
      <c r="V198" s="8" t="inlineStr">
        <is>
          <t>sales</t>
        </is>
      </c>
      <c r="W198" s="8" t="inlineStr">
        <is>
          <t>RUN</t>
        </is>
      </c>
      <c r="X198" s="5" t="inlineStr">
        <is>
          <t>Core</t>
        </is>
      </c>
      <c r="Y198" s="5" t="inlineStr">
        <is>
          <t>Cross-persona</t>
        </is>
      </c>
      <c r="Z198" s="5" t="inlineStr">
        <is>
          <t>Medium</t>
        </is>
      </c>
      <c r="AA198" s="5" t="inlineStr">
        <is>
          <t>Medium</t>
        </is>
      </c>
      <c r="AB198" s="8" t="inlineStr">
        <is>
          <t>Low</t>
        </is>
      </c>
      <c r="AC198" s="8" t="inlineStr">
        <is>
          <t>Pilot</t>
        </is>
      </c>
      <c r="AD198" s="5" t="inlineStr">
        <is>
          <t>Cited in code</t>
        </is>
      </c>
      <c r="AE198" s="5" t="inlineStr">
        <is>
          <t>Not verified</t>
        </is>
      </c>
      <c r="AF198" s="5" t="inlineStr">
        <is>
          <t>Not verified</t>
        </is>
      </c>
      <c r="AG198" s="5" t="inlineStr">
        <is>
          <t>Not verified</t>
        </is>
      </c>
      <c r="AH198" s="5" t="inlineStr">
        <is>
          <t>Not verified</t>
        </is>
      </c>
      <c r="AI198" s="8" t="inlineStr">
        <is>
          <t>No</t>
        </is>
      </c>
      <c r="AJ198" s="8" t="inlineStr">
        <is>
          <t>Built - unverified</t>
        </is>
      </c>
      <c r="AK198" s="8" t="inlineStr">
        <is>
          <t>P1</t>
        </is>
      </c>
      <c r="AL198" s="8" t="n">
        <v>6</v>
      </c>
      <c r="AM198" s="5" t="inlineStr"/>
      <c r="AN198" s="5" t="inlineStr"/>
      <c r="AO198" s="5" t="inlineStr"/>
      <c r="AP198" s="5" t="inlineStr"/>
      <c r="AQ198" s="5" t="inlineStr"/>
      <c r="AR198" s="5" t="inlineStr"/>
      <c r="AS198" s="5" t="inlineStr"/>
      <c r="AT198" s="5" t="inlineStr"/>
      <c r="AU198" s="8" t="inlineStr">
        <is>
          <t>Not run</t>
        </is>
      </c>
    </row>
    <row r="199" ht="32" customHeight="1">
      <c r="A199" s="16" t="inlineStr">
        <is>
          <t>X-0198</t>
        </is>
      </c>
      <c r="B199" s="8" t="inlineStr">
        <is>
          <t>X</t>
        </is>
      </c>
      <c r="C199" s="5" t="inlineStr">
        <is>
          <t>Multiple / Cross-persona</t>
        </is>
      </c>
      <c r="D199" s="5" t="inlineStr">
        <is>
          <t>Customer-to-Cash</t>
        </is>
      </c>
      <c r="E199" s="5" t="inlineStr">
        <is>
          <t>Invoice generated → GST liability is calculated</t>
        </is>
      </c>
      <c r="F199" s="5" t="inlineStr">
        <is>
          <t>Tax Calculation Engine</t>
        </is>
      </c>
      <c r="G199" s="5" t="inlineStr">
        <is>
          <t>Accountant / External CA</t>
        </is>
      </c>
      <c r="H199" s="5" t="inlineStr">
        <is>
          <t>Statutory output tax calculated and recorded for government GST compliance</t>
        </is>
      </c>
      <c r="I199" s="5" t="inlineStr">
        <is>
          <t>Evaluates Place of Supply; posts CGST/SGST or IGST liability to GST output ledgers</t>
        </is>
      </c>
      <c r="J199" s="20" t="inlineStr">
        <is>
          <t>P1</t>
        </is>
      </c>
      <c r="K199" s="20" t="inlineStr">
        <is>
          <t>Validated (Supported)</t>
        </is>
      </c>
      <c r="L199" s="5" t="inlineStr">
        <is>
          <t>Supported via TaxEngine; populates GSTR-1 outward tax liability register.</t>
        </is>
      </c>
      <c r="M199" s="8" t="inlineStr">
        <is>
          <t>Baseline</t>
        </is>
      </c>
      <c r="N199" s="8" t="inlineStr">
        <is>
          <t>Cross-persona</t>
        </is>
      </c>
      <c r="O199" s="8" t="inlineStr">
        <is>
          <t>P1</t>
        </is>
      </c>
      <c r="P199" s="5" t="inlineStr">
        <is>
          <t>Unchanged</t>
        </is>
      </c>
      <c r="Q199" s="21" t="inlineStr">
        <is>
          <t>Code symbol found</t>
        </is>
      </c>
      <c r="R199" s="5" t="inlineStr">
        <is>
          <t>Matched TaxEngine in product code. This is not a functional test.</t>
        </is>
      </c>
      <c r="S199" s="8" t="inlineStr">
        <is>
          <t>C2C</t>
        </is>
      </c>
      <c r="T199" s="5" t="inlineStr">
        <is>
          <t>Customer to cash</t>
        </is>
      </c>
      <c r="U199" s="8" t="inlineStr"/>
      <c r="V199" s="8" t="inlineStr">
        <is>
          <t>sales</t>
        </is>
      </c>
      <c r="W199" s="8" t="inlineStr">
        <is>
          <t>RUN</t>
        </is>
      </c>
      <c r="X199" s="5" t="inlineStr">
        <is>
          <t>Core</t>
        </is>
      </c>
      <c r="Y199" s="5" t="inlineStr">
        <is>
          <t>Cross-persona</t>
        </is>
      </c>
      <c r="Z199" s="5" t="inlineStr">
        <is>
          <t>Medium</t>
        </is>
      </c>
      <c r="AA199" s="5" t="inlineStr">
        <is>
          <t>Medium</t>
        </is>
      </c>
      <c r="AB199" s="8" t="inlineStr">
        <is>
          <t>Low</t>
        </is>
      </c>
      <c r="AC199" s="8" t="inlineStr">
        <is>
          <t>Pilot</t>
        </is>
      </c>
      <c r="AD199" s="5" t="inlineStr">
        <is>
          <t>Cited in code</t>
        </is>
      </c>
      <c r="AE199" s="5" t="inlineStr">
        <is>
          <t>Not verified</t>
        </is>
      </c>
      <c r="AF199" s="5" t="inlineStr">
        <is>
          <t>Not verified</t>
        </is>
      </c>
      <c r="AG199" s="5" t="inlineStr">
        <is>
          <t>Not verified</t>
        </is>
      </c>
      <c r="AH199" s="5" t="inlineStr">
        <is>
          <t>Not verified</t>
        </is>
      </c>
      <c r="AI199" s="8" t="inlineStr">
        <is>
          <t>No</t>
        </is>
      </c>
      <c r="AJ199" s="8" t="inlineStr">
        <is>
          <t>Built - unverified</t>
        </is>
      </c>
      <c r="AK199" s="8" t="inlineStr">
        <is>
          <t>P1</t>
        </is>
      </c>
      <c r="AL199" s="8" t="n">
        <v>6</v>
      </c>
      <c r="AM199" s="5" t="inlineStr"/>
      <c r="AN199" s="5" t="inlineStr"/>
      <c r="AO199" s="5" t="inlineStr"/>
      <c r="AP199" s="5" t="inlineStr"/>
      <c r="AQ199" s="5" t="inlineStr"/>
      <c r="AR199" s="5" t="inlineStr"/>
      <c r="AS199" s="5" t="inlineStr"/>
      <c r="AT199" s="5" t="inlineStr"/>
      <c r="AU199" s="8" t="inlineStr">
        <is>
          <t>Not run</t>
        </is>
      </c>
    </row>
    <row r="200" ht="32" customHeight="1">
      <c r="A200" s="16" t="inlineStr">
        <is>
          <t>X-0199</t>
        </is>
      </c>
      <c r="B200" s="8" t="inlineStr">
        <is>
          <t>X</t>
        </is>
      </c>
      <c r="C200" s="5" t="inlineStr">
        <is>
          <t>Multiple / Cross-persona</t>
        </is>
      </c>
      <c r="D200" s="5" t="inlineStr">
        <is>
          <t>Customer-to-Cash</t>
        </is>
      </c>
      <c r="E200" s="5" t="inlineStr">
        <is>
          <t>Customer pays → payment is recorded</t>
        </is>
      </c>
      <c r="F200" s="5" t="inlineStr">
        <is>
          <t>Cashier / Payment Gateway</t>
        </is>
      </c>
      <c r="G200" s="5" t="inlineStr">
        <is>
          <t>Customer</t>
        </is>
      </c>
      <c r="H200" s="5" t="inlineStr">
        <is>
          <t>Customer settlement recorded via cash, UPI, bank transfer, or payment gateway</t>
        </is>
      </c>
      <c r="I200" s="5" t="inlineStr">
        <is>
          <t>Creates Payment record; links transaction reference, payment mode, and timestamp</t>
        </is>
      </c>
      <c r="J200" s="20" t="inlineStr">
        <is>
          <t>P1</t>
        </is>
      </c>
      <c r="K200" s="20" t="inlineStr">
        <is>
          <t>Validated (Supported)</t>
        </is>
      </c>
      <c r="L200" s="5" t="inlineStr">
        <is>
          <t>Supported via /payments/create with instant receipt generation.</t>
        </is>
      </c>
      <c r="M200" s="8" t="inlineStr">
        <is>
          <t>Baseline</t>
        </is>
      </c>
      <c r="N200" s="8" t="inlineStr">
        <is>
          <t>Cross-persona</t>
        </is>
      </c>
      <c r="O200" s="8" t="inlineStr">
        <is>
          <t>P1</t>
        </is>
      </c>
      <c r="P200" s="5" t="inlineStr">
        <is>
          <t>Unchanged</t>
        </is>
      </c>
      <c r="Q200" s="20" t="inlineStr">
        <is>
          <t>Author assertion</t>
        </is>
      </c>
      <c r="R200" s="5" t="inlineStr"/>
      <c r="S200" s="8" t="inlineStr">
        <is>
          <t>C2C</t>
        </is>
      </c>
      <c r="T200" s="5" t="inlineStr">
        <is>
          <t>Customer to cash</t>
        </is>
      </c>
      <c r="U200" s="8" t="inlineStr"/>
      <c r="V200" s="8" t="inlineStr">
        <is>
          <t>sales</t>
        </is>
      </c>
      <c r="W200" s="8" t="inlineStr">
        <is>
          <t>RUN</t>
        </is>
      </c>
      <c r="X200" s="5" t="inlineStr">
        <is>
          <t>Core</t>
        </is>
      </c>
      <c r="Y200" s="5" t="inlineStr">
        <is>
          <t>Cross-persona</t>
        </is>
      </c>
      <c r="Z200" s="5" t="inlineStr">
        <is>
          <t>Medium</t>
        </is>
      </c>
      <c r="AA200" s="5" t="inlineStr">
        <is>
          <t>Medium</t>
        </is>
      </c>
      <c r="AB200" s="8" t="inlineStr">
        <is>
          <t>Low</t>
        </is>
      </c>
      <c r="AC200" s="8" t="inlineStr">
        <is>
          <t>Pilot</t>
        </is>
      </c>
      <c r="AD200" s="5" t="inlineStr">
        <is>
          <t>Not independently checked</t>
        </is>
      </c>
      <c r="AE200" s="5" t="inlineStr">
        <is>
          <t>Not verified</t>
        </is>
      </c>
      <c r="AF200" s="5" t="inlineStr">
        <is>
          <t>Not verified</t>
        </is>
      </c>
      <c r="AG200" s="5" t="inlineStr">
        <is>
          <t>Not verified</t>
        </is>
      </c>
      <c r="AH200" s="5" t="inlineStr">
        <is>
          <t>Not verified</t>
        </is>
      </c>
      <c r="AI200" s="8" t="inlineStr">
        <is>
          <t>No</t>
        </is>
      </c>
      <c r="AJ200" s="8" t="inlineStr">
        <is>
          <t>Claimed - unverified</t>
        </is>
      </c>
      <c r="AK200" s="8" t="inlineStr">
        <is>
          <t>P1</t>
        </is>
      </c>
      <c r="AL200" s="8" t="n">
        <v>6</v>
      </c>
      <c r="AM200" s="5" t="inlineStr"/>
      <c r="AN200" s="5" t="inlineStr"/>
      <c r="AO200" s="5" t="inlineStr"/>
      <c r="AP200" s="5" t="inlineStr"/>
      <c r="AQ200" s="5" t="inlineStr"/>
      <c r="AR200" s="5" t="inlineStr"/>
      <c r="AS200" s="5" t="inlineStr"/>
      <c r="AT200" s="5" t="inlineStr"/>
      <c r="AU200" s="8" t="inlineStr">
        <is>
          <t>Not run</t>
        </is>
      </c>
    </row>
    <row r="201" ht="32" customHeight="1">
      <c r="A201" s="16" t="inlineStr">
        <is>
          <t>X-0200</t>
        </is>
      </c>
      <c r="B201" s="8" t="inlineStr">
        <is>
          <t>X</t>
        </is>
      </c>
      <c r="C201" s="5" t="inlineStr">
        <is>
          <t>Multiple / Cross-persona</t>
        </is>
      </c>
      <c r="D201" s="5" t="inlineStr">
        <is>
          <t>Customer-to-Cash</t>
        </is>
      </c>
      <c r="E201" s="5" t="inlineStr">
        <is>
          <t>Payment recorded → customer outstanding decreases</t>
        </is>
      </c>
      <c r="F201" s="5" t="inlineStr">
        <is>
          <t>System / Ledger Engine</t>
        </is>
      </c>
      <c r="G201" s="5" t="inlineStr">
        <is>
          <t>Credit Controller</t>
        </is>
      </c>
      <c r="H201" s="5" t="inlineStr">
        <is>
          <t>Customer khata/credit balance reduced immediately upon payment receipt</t>
        </is>
      </c>
      <c r="I201" s="5" t="inlineStr">
        <is>
          <t>Credits Customer AR ledger; debits Cash/Bank ledger; updates customer credit availability</t>
        </is>
      </c>
      <c r="J201" s="20" t="inlineStr">
        <is>
          <t>P1</t>
        </is>
      </c>
      <c r="K201" s="20" t="inlineStr">
        <is>
          <t>Validated (Supported)</t>
        </is>
      </c>
      <c r="L201" s="5" t="inlineStr">
        <is>
          <t>Core system invariant: derived ledger balance updates instantaneously on payment post.</t>
        </is>
      </c>
      <c r="M201" s="8" t="inlineStr">
        <is>
          <t>Baseline</t>
        </is>
      </c>
      <c r="N201" s="8" t="inlineStr">
        <is>
          <t>Cross-persona</t>
        </is>
      </c>
      <c r="O201" s="8" t="inlineStr">
        <is>
          <t>P1</t>
        </is>
      </c>
      <c r="P201" s="5" t="inlineStr">
        <is>
          <t>Unchanged</t>
        </is>
      </c>
      <c r="Q201" s="20" t="inlineStr">
        <is>
          <t>Author assertion</t>
        </is>
      </c>
      <c r="R201" s="5" t="inlineStr"/>
      <c r="S201" s="8" t="inlineStr">
        <is>
          <t>C2C</t>
        </is>
      </c>
      <c r="T201" s="5" t="inlineStr">
        <is>
          <t>Customer to cash</t>
        </is>
      </c>
      <c r="U201" s="8" t="inlineStr"/>
      <c r="V201" s="8" t="inlineStr">
        <is>
          <t>sales</t>
        </is>
      </c>
      <c r="W201" s="8" t="inlineStr">
        <is>
          <t>RUN</t>
        </is>
      </c>
      <c r="X201" s="5" t="inlineStr">
        <is>
          <t>Core</t>
        </is>
      </c>
      <c r="Y201" s="5" t="inlineStr">
        <is>
          <t>Cross-persona</t>
        </is>
      </c>
      <c r="Z201" s="5" t="inlineStr">
        <is>
          <t>Medium</t>
        </is>
      </c>
      <c r="AA201" s="5" t="inlineStr">
        <is>
          <t>Medium</t>
        </is>
      </c>
      <c r="AB201" s="8" t="inlineStr">
        <is>
          <t>Low</t>
        </is>
      </c>
      <c r="AC201" s="8" t="inlineStr">
        <is>
          <t>Pilot</t>
        </is>
      </c>
      <c r="AD201" s="5" t="inlineStr">
        <is>
          <t>Not independently checked</t>
        </is>
      </c>
      <c r="AE201" s="5" t="inlineStr">
        <is>
          <t>Not verified</t>
        </is>
      </c>
      <c r="AF201" s="5" t="inlineStr">
        <is>
          <t>Not verified</t>
        </is>
      </c>
      <c r="AG201" s="5" t="inlineStr">
        <is>
          <t>Not verified</t>
        </is>
      </c>
      <c r="AH201" s="5" t="inlineStr">
        <is>
          <t>Not verified</t>
        </is>
      </c>
      <c r="AI201" s="8" t="inlineStr">
        <is>
          <t>No</t>
        </is>
      </c>
      <c r="AJ201" s="8" t="inlineStr">
        <is>
          <t>Claimed - unverified</t>
        </is>
      </c>
      <c r="AK201" s="8" t="inlineStr">
        <is>
          <t>P1</t>
        </is>
      </c>
      <c r="AL201" s="8" t="n">
        <v>6</v>
      </c>
      <c r="AM201" s="5" t="inlineStr"/>
      <c r="AN201" s="5" t="inlineStr"/>
      <c r="AO201" s="5" t="inlineStr"/>
      <c r="AP201" s="5" t="inlineStr"/>
      <c r="AQ201" s="5" t="inlineStr"/>
      <c r="AR201" s="5" t="inlineStr"/>
      <c r="AS201" s="5" t="inlineStr"/>
      <c r="AT201" s="5" t="inlineStr"/>
      <c r="AU201" s="8" t="inlineStr">
        <is>
          <t>Not run</t>
        </is>
      </c>
    </row>
    <row r="202" ht="32" customHeight="1">
      <c r="A202" s="16" t="inlineStr">
        <is>
          <t>X-0201</t>
        </is>
      </c>
      <c r="B202" s="8" t="inlineStr">
        <is>
          <t>X</t>
        </is>
      </c>
      <c r="C202" s="5" t="inlineStr">
        <is>
          <t>Multiple / Cross-persona</t>
        </is>
      </c>
      <c r="D202" s="5" t="inlineStr">
        <is>
          <t>Customer-to-Cash</t>
        </is>
      </c>
      <c r="E202" s="5" t="inlineStr">
        <is>
          <t>Partial payment → remaining outstanding is maintained</t>
        </is>
      </c>
      <c r="F202" s="5" t="inlineStr">
        <is>
          <t>Accounts Cashier</t>
        </is>
      </c>
      <c r="G202" s="5" t="inlineStr">
        <is>
          <t>Customer</t>
        </is>
      </c>
      <c r="H202" s="5" t="inlineStr">
        <is>
          <t>Accurate tracking of partial settlements against open invoices</t>
        </is>
      </c>
      <c r="I202" s="5" t="inlineStr">
        <is>
          <t>Applies partial payment amount to invoice; updates invoice status to PARTIALLY_PAID</t>
        </is>
      </c>
      <c r="J202" s="20" t="inlineStr">
        <is>
          <t>P1</t>
        </is>
      </c>
      <c r="K202" s="20" t="inlineStr">
        <is>
          <t>Validated (Supported)</t>
        </is>
      </c>
      <c r="L202" s="5" t="inlineStr">
        <is>
          <t>Supported via PaymentAllocation model tracking exact remaining balance per invoice.</t>
        </is>
      </c>
      <c r="M202" s="8" t="inlineStr">
        <is>
          <t>Baseline</t>
        </is>
      </c>
      <c r="N202" s="8" t="inlineStr">
        <is>
          <t>Cross-persona</t>
        </is>
      </c>
      <c r="O202" s="8" t="inlineStr">
        <is>
          <t>P1</t>
        </is>
      </c>
      <c r="P202" s="5" t="inlineStr">
        <is>
          <t>Unchanged</t>
        </is>
      </c>
      <c r="Q202" s="21" t="inlineStr">
        <is>
          <t>Code symbol found</t>
        </is>
      </c>
      <c r="R202" s="5" t="inlineStr">
        <is>
          <t>Matched PaymentAllocation in product code. This is not a functional test.</t>
        </is>
      </c>
      <c r="S202" s="8" t="inlineStr">
        <is>
          <t>C2C</t>
        </is>
      </c>
      <c r="T202" s="5" t="inlineStr">
        <is>
          <t>Customer to cash</t>
        </is>
      </c>
      <c r="U202" s="8" t="inlineStr"/>
      <c r="V202" s="8" t="inlineStr">
        <is>
          <t>sales</t>
        </is>
      </c>
      <c r="W202" s="8" t="inlineStr">
        <is>
          <t>RUN</t>
        </is>
      </c>
      <c r="X202" s="5" t="inlineStr">
        <is>
          <t>Core</t>
        </is>
      </c>
      <c r="Y202" s="5" t="inlineStr">
        <is>
          <t>Cross-persona</t>
        </is>
      </c>
      <c r="Z202" s="5" t="inlineStr">
        <is>
          <t>Medium</t>
        </is>
      </c>
      <c r="AA202" s="5" t="inlineStr">
        <is>
          <t>Medium</t>
        </is>
      </c>
      <c r="AB202" s="8" t="inlineStr">
        <is>
          <t>Low</t>
        </is>
      </c>
      <c r="AC202" s="8" t="inlineStr">
        <is>
          <t>Pilot</t>
        </is>
      </c>
      <c r="AD202" s="5" t="inlineStr">
        <is>
          <t>Cited in code</t>
        </is>
      </c>
      <c r="AE202" s="5" t="inlineStr">
        <is>
          <t>Not verified</t>
        </is>
      </c>
      <c r="AF202" s="5" t="inlineStr">
        <is>
          <t>Not verified</t>
        </is>
      </c>
      <c r="AG202" s="5" t="inlineStr">
        <is>
          <t>Not verified</t>
        </is>
      </c>
      <c r="AH202" s="5" t="inlineStr">
        <is>
          <t>Not verified</t>
        </is>
      </c>
      <c r="AI202" s="8" t="inlineStr">
        <is>
          <t>No</t>
        </is>
      </c>
      <c r="AJ202" s="8" t="inlineStr">
        <is>
          <t>Built - unverified</t>
        </is>
      </c>
      <c r="AK202" s="8" t="inlineStr">
        <is>
          <t>P1</t>
        </is>
      </c>
      <c r="AL202" s="8" t="n">
        <v>6</v>
      </c>
      <c r="AM202" s="5" t="inlineStr"/>
      <c r="AN202" s="5" t="inlineStr"/>
      <c r="AO202" s="5" t="inlineStr"/>
      <c r="AP202" s="5" t="inlineStr"/>
      <c r="AQ202" s="5" t="inlineStr"/>
      <c r="AR202" s="5" t="inlineStr"/>
      <c r="AS202" s="5" t="inlineStr"/>
      <c r="AT202" s="5" t="inlineStr"/>
      <c r="AU202" s="8" t="inlineStr">
        <is>
          <t>Not run</t>
        </is>
      </c>
    </row>
    <row r="203" ht="32" customHeight="1">
      <c r="A203" s="16" t="inlineStr">
        <is>
          <t>X-0202</t>
        </is>
      </c>
      <c r="B203" s="8" t="inlineStr">
        <is>
          <t>X</t>
        </is>
      </c>
      <c r="C203" s="5" t="inlineStr">
        <is>
          <t>Multiple / Cross-persona</t>
        </is>
      </c>
      <c r="D203" s="5" t="inlineStr">
        <is>
          <t>Customer-to-Cash</t>
        </is>
      </c>
      <c r="E203" s="5" t="inlineStr">
        <is>
          <t>Customer exceeds credit limit → sale/order is flagged or blocked</t>
        </is>
      </c>
      <c r="F203" s="5" t="inlineStr">
        <is>
          <t>Credit Controller</t>
        </is>
      </c>
      <c r="G203" s="5" t="inlineStr">
        <is>
          <t>Billing Clerk / Salesperson</t>
        </is>
      </c>
      <c r="H203" s="5" t="inlineStr">
        <is>
          <t>Prevent excessive credit exposure by blocking sales to over-limit customers</t>
        </is>
      </c>
      <c r="I203" s="5" t="inlineStr">
        <is>
          <t>Validates current customer balance + cart total against credit_limit; blocks checkout</t>
        </is>
      </c>
      <c r="J203" s="19" t="inlineStr">
        <is>
          <t>P0</t>
        </is>
      </c>
      <c r="K203" s="20" t="inlineStr">
        <is>
          <t>Validated (Supported)</t>
        </is>
      </c>
      <c r="L203" s="5" t="inlineStr">
        <is>
          <t>Core business invariant: hard validation guard; requires Owner override token to bypass.</t>
        </is>
      </c>
      <c r="M203" s="8" t="inlineStr">
        <is>
          <t>Baseline</t>
        </is>
      </c>
      <c r="N203" s="8" t="inlineStr">
        <is>
          <t>Cross-persona</t>
        </is>
      </c>
      <c r="O203" s="8" t="inlineStr">
        <is>
          <t>P0</t>
        </is>
      </c>
      <c r="P203" s="5" t="inlineStr">
        <is>
          <t>Unchanged</t>
        </is>
      </c>
      <c r="Q203" s="20" t="inlineStr">
        <is>
          <t>Author assertion</t>
        </is>
      </c>
      <c r="R203" s="5" t="inlineStr"/>
      <c r="S203" s="8" t="inlineStr">
        <is>
          <t>C2C</t>
        </is>
      </c>
      <c r="T203" s="5" t="inlineStr">
        <is>
          <t>Customer to cash</t>
        </is>
      </c>
      <c r="U203" s="8" t="inlineStr"/>
      <c r="V203" s="8" t="inlineStr">
        <is>
          <t>sales</t>
        </is>
      </c>
      <c r="W203" s="8" t="inlineStr">
        <is>
          <t>RUN</t>
        </is>
      </c>
      <c r="X203" s="5" t="inlineStr">
        <is>
          <t>Core</t>
        </is>
      </c>
      <c r="Y203" s="5" t="inlineStr">
        <is>
          <t>Cross-persona</t>
        </is>
      </c>
      <c r="Z203" s="5" t="inlineStr">
        <is>
          <t>Medium</t>
        </is>
      </c>
      <c r="AA203" s="5" t="inlineStr">
        <is>
          <t>Medium</t>
        </is>
      </c>
      <c r="AB203" s="8" t="inlineStr">
        <is>
          <t>Low</t>
        </is>
      </c>
      <c r="AC203" s="8" t="inlineStr">
        <is>
          <t>MVP</t>
        </is>
      </c>
      <c r="AD203" s="5" t="inlineStr">
        <is>
          <t>Not independently checked</t>
        </is>
      </c>
      <c r="AE203" s="5" t="inlineStr">
        <is>
          <t>Not verified</t>
        </is>
      </c>
      <c r="AF203" s="5" t="inlineStr">
        <is>
          <t>Not verified</t>
        </is>
      </c>
      <c r="AG203" s="5" t="inlineStr">
        <is>
          <t>Not verified</t>
        </is>
      </c>
      <c r="AH203" s="5" t="inlineStr">
        <is>
          <t>Not verified</t>
        </is>
      </c>
      <c r="AI203" s="8" t="inlineStr">
        <is>
          <t>No</t>
        </is>
      </c>
      <c r="AJ203" s="8" t="inlineStr">
        <is>
          <t>Claimed - unverified</t>
        </is>
      </c>
      <c r="AK203" s="8" t="inlineStr">
        <is>
          <t>P0</t>
        </is>
      </c>
      <c r="AL203" s="8" t="n">
        <v>6</v>
      </c>
      <c r="AM203" s="5" t="inlineStr"/>
      <c r="AN203" s="5" t="inlineStr"/>
      <c r="AO203" s="5" t="inlineStr"/>
      <c r="AP203" s="5" t="inlineStr"/>
      <c r="AQ203" s="5" t="inlineStr"/>
      <c r="AR203" s="5" t="inlineStr"/>
      <c r="AS203" s="5" t="inlineStr"/>
      <c r="AT203" s="5" t="inlineStr"/>
      <c r="AU203" s="8" t="inlineStr">
        <is>
          <t>Not run</t>
        </is>
      </c>
    </row>
    <row r="204" ht="32" customHeight="1">
      <c r="A204" s="16" t="inlineStr">
        <is>
          <t>X-0203</t>
        </is>
      </c>
      <c r="B204" s="8" t="inlineStr">
        <is>
          <t>X</t>
        </is>
      </c>
      <c r="C204" s="5" t="inlineStr">
        <is>
          <t>Multiple / Cross-persona</t>
        </is>
      </c>
      <c r="D204" s="5" t="inlineStr">
        <is>
          <t>Customer-to-Cash</t>
        </is>
      </c>
      <c r="E204" s="5" t="inlineStr">
        <is>
          <t>Invoice becomes overdue → receivable ageing changes</t>
        </is>
      </c>
      <c r="F204" s="5" t="inlineStr">
        <is>
          <t>System / Aging Engine</t>
        </is>
      </c>
      <c r="G204" s="5" t="inlineStr">
        <is>
          <t>Credit Controller</t>
        </is>
      </c>
      <c r="H204" s="5" t="inlineStr">
        <is>
          <t>Unpaid invoices automatically advance into aging overdue brackets (30, 60, 90+ days)</t>
        </is>
      </c>
      <c r="I204" s="5" t="inlineStr">
        <is>
          <t>Recalculates aging bucket based on invoice due_date; updates receivables aging report</t>
        </is>
      </c>
      <c r="J204" s="20" t="inlineStr">
        <is>
          <t>P1</t>
        </is>
      </c>
      <c r="K204" s="20" t="inlineStr">
        <is>
          <t>Validated (Supported)</t>
        </is>
      </c>
      <c r="L204" s="5" t="inlineStr">
        <is>
          <t>Supported via automated daily aging recalculation in reporting module.</t>
        </is>
      </c>
      <c r="M204" s="8" t="inlineStr">
        <is>
          <t>Baseline</t>
        </is>
      </c>
      <c r="N204" s="8" t="inlineStr">
        <is>
          <t>Cross-persona</t>
        </is>
      </c>
      <c r="O204" s="8" t="inlineStr">
        <is>
          <t>P1</t>
        </is>
      </c>
      <c r="P204" s="5" t="inlineStr">
        <is>
          <t>Unchanged</t>
        </is>
      </c>
      <c r="Q204" s="20" t="inlineStr">
        <is>
          <t>Author assertion</t>
        </is>
      </c>
      <c r="R204" s="5" t="inlineStr"/>
      <c r="S204" s="8" t="inlineStr">
        <is>
          <t>C2C</t>
        </is>
      </c>
      <c r="T204" s="5" t="inlineStr">
        <is>
          <t>Customer to cash</t>
        </is>
      </c>
      <c r="U204" s="8" t="inlineStr"/>
      <c r="V204" s="8" t="inlineStr">
        <is>
          <t>sales</t>
        </is>
      </c>
      <c r="W204" s="8" t="inlineStr">
        <is>
          <t>RUN</t>
        </is>
      </c>
      <c r="X204" s="5" t="inlineStr">
        <is>
          <t>Core</t>
        </is>
      </c>
      <c r="Y204" s="5" t="inlineStr">
        <is>
          <t>Cross-persona</t>
        </is>
      </c>
      <c r="Z204" s="5" t="inlineStr">
        <is>
          <t>Medium</t>
        </is>
      </c>
      <c r="AA204" s="5" t="inlineStr">
        <is>
          <t>Medium</t>
        </is>
      </c>
      <c r="AB204" s="8" t="inlineStr">
        <is>
          <t>Low</t>
        </is>
      </c>
      <c r="AC204" s="8" t="inlineStr">
        <is>
          <t>Pilot</t>
        </is>
      </c>
      <c r="AD204" s="5" t="inlineStr">
        <is>
          <t>Not independently checked</t>
        </is>
      </c>
      <c r="AE204" s="5" t="inlineStr">
        <is>
          <t>Not verified</t>
        </is>
      </c>
      <c r="AF204" s="5" t="inlineStr">
        <is>
          <t>Not verified</t>
        </is>
      </c>
      <c r="AG204" s="5" t="inlineStr">
        <is>
          <t>Not verified</t>
        </is>
      </c>
      <c r="AH204" s="5" t="inlineStr">
        <is>
          <t>Not verified</t>
        </is>
      </c>
      <c r="AI204" s="8" t="inlineStr">
        <is>
          <t>No</t>
        </is>
      </c>
      <c r="AJ204" s="8" t="inlineStr">
        <is>
          <t>Claimed - unverified</t>
        </is>
      </c>
      <c r="AK204" s="8" t="inlineStr">
        <is>
          <t>P1</t>
        </is>
      </c>
      <c r="AL204" s="8" t="n">
        <v>6</v>
      </c>
      <c r="AM204" s="5" t="inlineStr"/>
      <c r="AN204" s="5" t="inlineStr"/>
      <c r="AO204" s="5" t="inlineStr"/>
      <c r="AP204" s="5" t="inlineStr"/>
      <c r="AQ204" s="5" t="inlineStr"/>
      <c r="AR204" s="5" t="inlineStr"/>
      <c r="AS204" s="5" t="inlineStr"/>
      <c r="AT204" s="5" t="inlineStr"/>
      <c r="AU204" s="8" t="inlineStr">
        <is>
          <t>Not run</t>
        </is>
      </c>
    </row>
    <row r="205" ht="32" customHeight="1">
      <c r="A205" s="16" t="inlineStr">
        <is>
          <t>X-0204</t>
        </is>
      </c>
      <c r="B205" s="8" t="inlineStr">
        <is>
          <t>X</t>
        </is>
      </c>
      <c r="C205" s="5" t="inlineStr">
        <is>
          <t>Multiple / Cross-persona</t>
        </is>
      </c>
      <c r="D205" s="5" t="inlineStr">
        <is>
          <t>Customer-to-Cash</t>
        </is>
      </c>
      <c r="E205" s="5" t="inlineStr">
        <is>
          <t>Overdue invoice → owner receives business alert</t>
        </is>
      </c>
      <c r="F205" s="5" t="inlineStr">
        <is>
          <t>Alert Notification Engine</t>
        </is>
      </c>
      <c r="G205" s="5" t="inlineStr">
        <is>
          <t>Business Owner</t>
        </is>
      </c>
      <c r="H205" s="5" t="inlineStr">
        <is>
          <t>Proactive alert to business owner when key customer breaches overdue payment threshold</t>
        </is>
      </c>
      <c r="I205" s="5" t="inlineStr">
        <is>
          <t>Creates BusinessAlertEvent record; pushes high-priority notification to owner dashboard</t>
        </is>
      </c>
      <c r="J205" s="20" t="inlineStr">
        <is>
          <t>P1</t>
        </is>
      </c>
      <c r="K205" s="20" t="inlineStr">
        <is>
          <t>Validated (Supported)</t>
        </is>
      </c>
      <c r="L205" s="5" t="inlineStr">
        <is>
          <t>Supported via Insights alert engine (/insights/alerts/).</t>
        </is>
      </c>
      <c r="M205" s="8" t="inlineStr">
        <is>
          <t>Baseline</t>
        </is>
      </c>
      <c r="N205" s="8" t="inlineStr">
        <is>
          <t>Cross-persona</t>
        </is>
      </c>
      <c r="O205" s="8" t="inlineStr">
        <is>
          <t>P1</t>
        </is>
      </c>
      <c r="P205" s="5" t="inlineStr">
        <is>
          <t>Unchanged</t>
        </is>
      </c>
      <c r="Q205" s="20" t="inlineStr">
        <is>
          <t>Author assertion</t>
        </is>
      </c>
      <c r="R205" s="5" t="inlineStr"/>
      <c r="S205" s="8" t="inlineStr">
        <is>
          <t>C2C</t>
        </is>
      </c>
      <c r="T205" s="5" t="inlineStr">
        <is>
          <t>Customer to cash</t>
        </is>
      </c>
      <c r="U205" s="8" t="inlineStr"/>
      <c r="V205" s="8" t="inlineStr">
        <is>
          <t>sales</t>
        </is>
      </c>
      <c r="W205" s="8" t="inlineStr">
        <is>
          <t>RUN</t>
        </is>
      </c>
      <c r="X205" s="5" t="inlineStr">
        <is>
          <t>Core</t>
        </is>
      </c>
      <c r="Y205" s="5" t="inlineStr">
        <is>
          <t>Cross-persona</t>
        </is>
      </c>
      <c r="Z205" s="5" t="inlineStr">
        <is>
          <t>Medium</t>
        </is>
      </c>
      <c r="AA205" s="5" t="inlineStr">
        <is>
          <t>Medium</t>
        </is>
      </c>
      <c r="AB205" s="8" t="inlineStr">
        <is>
          <t>Low</t>
        </is>
      </c>
      <c r="AC205" s="8" t="inlineStr">
        <is>
          <t>Pilot</t>
        </is>
      </c>
      <c r="AD205" s="5" t="inlineStr">
        <is>
          <t>Not independently checked</t>
        </is>
      </c>
      <c r="AE205" s="5" t="inlineStr">
        <is>
          <t>Not verified</t>
        </is>
      </c>
      <c r="AF205" s="5" t="inlineStr">
        <is>
          <t>Not verified</t>
        </is>
      </c>
      <c r="AG205" s="5" t="inlineStr">
        <is>
          <t>Not verified</t>
        </is>
      </c>
      <c r="AH205" s="5" t="inlineStr">
        <is>
          <t>Not verified</t>
        </is>
      </c>
      <c r="AI205" s="8" t="inlineStr">
        <is>
          <t>No</t>
        </is>
      </c>
      <c r="AJ205" s="8" t="inlineStr">
        <is>
          <t>Claimed - unverified</t>
        </is>
      </c>
      <c r="AK205" s="8" t="inlineStr">
        <is>
          <t>P1</t>
        </is>
      </c>
      <c r="AL205" s="8" t="n">
        <v>6</v>
      </c>
      <c r="AM205" s="5" t="inlineStr"/>
      <c r="AN205" s="5" t="inlineStr"/>
      <c r="AO205" s="5" t="inlineStr"/>
      <c r="AP205" s="5" t="inlineStr"/>
      <c r="AQ205" s="5" t="inlineStr"/>
      <c r="AR205" s="5" t="inlineStr"/>
      <c r="AS205" s="5" t="inlineStr"/>
      <c r="AT205" s="5" t="inlineStr"/>
      <c r="AU205" s="8" t="inlineStr">
        <is>
          <t>Not run</t>
        </is>
      </c>
    </row>
    <row r="206" ht="32" customHeight="1">
      <c r="A206" s="16" t="inlineStr">
        <is>
          <t>X-0205</t>
        </is>
      </c>
      <c r="B206" s="8" t="inlineStr">
        <is>
          <t>X</t>
        </is>
      </c>
      <c r="C206" s="5" t="inlineStr">
        <is>
          <t>Multiple / Cross-persona</t>
        </is>
      </c>
      <c r="D206" s="5" t="inlineStr">
        <is>
          <t>Customer-to-Cash</t>
        </is>
      </c>
      <c r="E206" s="5" t="inlineStr">
        <is>
          <t>Customer requests return → return request is recorded</t>
        </is>
      </c>
      <c r="F206" s="5" t="inlineStr">
        <is>
          <t>Customer Service / Salesperson</t>
        </is>
      </c>
      <c r="G206" s="5" t="inlineStr">
        <is>
          <t>Customer</t>
        </is>
      </c>
      <c r="H206" s="5" t="inlineStr">
        <is>
          <t>Formal recording of customer return request referencing original invoice</t>
        </is>
      </c>
      <c r="I206" s="5" t="inlineStr">
        <is>
          <t>Creates SalesReturn in DRAFT status; records return reason, item quantities, and batch numbers</t>
        </is>
      </c>
      <c r="J206" s="20" t="inlineStr">
        <is>
          <t>P1</t>
        </is>
      </c>
      <c r="K206" s="20" t="inlineStr">
        <is>
          <t>Validated (Supported)</t>
        </is>
      </c>
      <c r="L206" s="5" t="inlineStr">
        <is>
          <t>Supported via /sales/returns/create with invoice item selector.</t>
        </is>
      </c>
      <c r="M206" s="8" t="inlineStr">
        <is>
          <t>Baseline</t>
        </is>
      </c>
      <c r="N206" s="8" t="inlineStr">
        <is>
          <t>Cross-persona</t>
        </is>
      </c>
      <c r="O206" s="8" t="inlineStr">
        <is>
          <t>P1</t>
        </is>
      </c>
      <c r="P206" s="5" t="inlineStr">
        <is>
          <t>Unchanged</t>
        </is>
      </c>
      <c r="Q206" s="20" t="inlineStr">
        <is>
          <t>Author assertion</t>
        </is>
      </c>
      <c r="R206" s="5" t="inlineStr"/>
      <c r="S206" s="8" t="inlineStr">
        <is>
          <t>C2C</t>
        </is>
      </c>
      <c r="T206" s="5" t="inlineStr">
        <is>
          <t>Customer to cash</t>
        </is>
      </c>
      <c r="U206" s="8" t="inlineStr"/>
      <c r="V206" s="8" t="inlineStr">
        <is>
          <t>sales</t>
        </is>
      </c>
      <c r="W206" s="8" t="inlineStr">
        <is>
          <t>RUN</t>
        </is>
      </c>
      <c r="X206" s="5" t="inlineStr">
        <is>
          <t>Core</t>
        </is>
      </c>
      <c r="Y206" s="5" t="inlineStr">
        <is>
          <t>Cross-persona</t>
        </is>
      </c>
      <c r="Z206" s="5" t="inlineStr">
        <is>
          <t>Medium</t>
        </is>
      </c>
      <c r="AA206" s="5" t="inlineStr">
        <is>
          <t>Medium</t>
        </is>
      </c>
      <c r="AB206" s="8" t="inlineStr">
        <is>
          <t>Low</t>
        </is>
      </c>
      <c r="AC206" s="8" t="inlineStr">
        <is>
          <t>Pilot</t>
        </is>
      </c>
      <c r="AD206" s="5" t="inlineStr">
        <is>
          <t>Not independently checked</t>
        </is>
      </c>
      <c r="AE206" s="5" t="inlineStr">
        <is>
          <t>Not verified</t>
        </is>
      </c>
      <c r="AF206" s="5" t="inlineStr">
        <is>
          <t>Not verified</t>
        </is>
      </c>
      <c r="AG206" s="5" t="inlineStr">
        <is>
          <t>Not verified</t>
        </is>
      </c>
      <c r="AH206" s="5" t="inlineStr">
        <is>
          <t>Not verified</t>
        </is>
      </c>
      <c r="AI206" s="8" t="inlineStr">
        <is>
          <t>No</t>
        </is>
      </c>
      <c r="AJ206" s="8" t="inlineStr">
        <is>
          <t>Claimed - unverified</t>
        </is>
      </c>
      <c r="AK206" s="8" t="inlineStr">
        <is>
          <t>P1</t>
        </is>
      </c>
      <c r="AL206" s="8" t="n">
        <v>6</v>
      </c>
      <c r="AM206" s="5" t="inlineStr"/>
      <c r="AN206" s="5" t="inlineStr"/>
      <c r="AO206" s="5" t="inlineStr"/>
      <c r="AP206" s="5" t="inlineStr"/>
      <c r="AQ206" s="5" t="inlineStr"/>
      <c r="AR206" s="5" t="inlineStr"/>
      <c r="AS206" s="5" t="inlineStr"/>
      <c r="AT206" s="5" t="inlineStr"/>
      <c r="AU206" s="8" t="inlineStr">
        <is>
          <t>Not run</t>
        </is>
      </c>
    </row>
    <row r="207" ht="32" customHeight="1">
      <c r="A207" s="16" t="inlineStr">
        <is>
          <t>X-0206</t>
        </is>
      </c>
      <c r="B207" s="8" t="inlineStr">
        <is>
          <t>X</t>
        </is>
      </c>
      <c r="C207" s="5" t="inlineStr">
        <is>
          <t>Multiple / Cross-persona</t>
        </is>
      </c>
      <c r="D207" s="5" t="inlineStr">
        <is>
          <t>Customer-to-Cash</t>
        </is>
      </c>
      <c r="E207" s="5" t="inlineStr">
        <is>
          <t>Return approved → inventory is restored where applicable</t>
        </is>
      </c>
      <c r="F207" s="5" t="inlineStr">
        <is>
          <t>Warehouse Manager</t>
        </is>
      </c>
      <c r="G207" s="5" t="inlineStr">
        <is>
          <t>Godown Custodian</t>
        </is>
      </c>
      <c r="H207" s="5" t="inlineStr">
        <is>
          <t>Restoration of undamaged returned goods back into active saleable inventory</t>
        </is>
      </c>
      <c r="I207" s="5" t="inlineStr">
        <is>
          <t>Creates StockMovement (RETURN_INWARD) for sellable items; damaged items routed to scrap bin</t>
        </is>
      </c>
      <c r="J207" s="20" t="inlineStr">
        <is>
          <t>P1</t>
        </is>
      </c>
      <c r="K207" s="20" t="inlineStr">
        <is>
          <t>Validated (Supported)</t>
        </is>
      </c>
      <c r="L207" s="5" t="inlineStr">
        <is>
          <t>Supported via SalesReturn approval; restores inventory atomically.</t>
        </is>
      </c>
      <c r="M207" s="8" t="inlineStr">
        <is>
          <t>Baseline</t>
        </is>
      </c>
      <c r="N207" s="8" t="inlineStr">
        <is>
          <t>Cross-persona</t>
        </is>
      </c>
      <c r="O207" s="8" t="inlineStr">
        <is>
          <t>P1</t>
        </is>
      </c>
      <c r="P207" s="5" t="inlineStr">
        <is>
          <t>Restored to authored P1. The previous workbook had P0 after a keyword rebalance.</t>
        </is>
      </c>
      <c r="Q207" s="21" t="inlineStr">
        <is>
          <t>Code symbol found</t>
        </is>
      </c>
      <c r="R207" s="5" t="inlineStr">
        <is>
          <t>Matched SalesReturn in product code. This is not a functional test. Restored to authored P1. The previous workbook had P0 after a keyword rebalance.</t>
        </is>
      </c>
      <c r="S207" s="8" t="inlineStr">
        <is>
          <t>C2C</t>
        </is>
      </c>
      <c r="T207" s="5" t="inlineStr">
        <is>
          <t>Customer to cash</t>
        </is>
      </c>
      <c r="U207" s="8" t="inlineStr"/>
      <c r="V207" s="8" t="inlineStr">
        <is>
          <t>sales</t>
        </is>
      </c>
      <c r="W207" s="8" t="inlineStr">
        <is>
          <t>RUN</t>
        </is>
      </c>
      <c r="X207" s="5" t="inlineStr">
        <is>
          <t>Core</t>
        </is>
      </c>
      <c r="Y207" s="5" t="inlineStr">
        <is>
          <t>Cross-persona</t>
        </is>
      </c>
      <c r="Z207" s="5" t="inlineStr">
        <is>
          <t>Medium</t>
        </is>
      </c>
      <c r="AA207" s="5" t="inlineStr">
        <is>
          <t>Medium</t>
        </is>
      </c>
      <c r="AB207" s="8" t="inlineStr">
        <is>
          <t>Low</t>
        </is>
      </c>
      <c r="AC207" s="8" t="inlineStr">
        <is>
          <t>Pilot</t>
        </is>
      </c>
      <c r="AD207" s="5" t="inlineStr">
        <is>
          <t>Cited in code</t>
        </is>
      </c>
      <c r="AE207" s="5" t="inlineStr">
        <is>
          <t>Not verified</t>
        </is>
      </c>
      <c r="AF207" s="5" t="inlineStr">
        <is>
          <t>Not verified</t>
        </is>
      </c>
      <c r="AG207" s="5" t="inlineStr">
        <is>
          <t>Not verified</t>
        </is>
      </c>
      <c r="AH207" s="5" t="inlineStr">
        <is>
          <t>Not verified</t>
        </is>
      </c>
      <c r="AI207" s="8" t="inlineStr">
        <is>
          <t>No</t>
        </is>
      </c>
      <c r="AJ207" s="8" t="inlineStr">
        <is>
          <t>Built - unverified</t>
        </is>
      </c>
      <c r="AK207" s="8" t="inlineStr">
        <is>
          <t>P1</t>
        </is>
      </c>
      <c r="AL207" s="8" t="n">
        <v>6</v>
      </c>
      <c r="AM207" s="5" t="inlineStr"/>
      <c r="AN207" s="5" t="inlineStr"/>
      <c r="AO207" s="5" t="inlineStr"/>
      <c r="AP207" s="5" t="inlineStr"/>
      <c r="AQ207" s="5" t="inlineStr"/>
      <c r="AR207" s="5" t="inlineStr"/>
      <c r="AS207" s="5" t="inlineStr"/>
      <c r="AT207" s="5" t="inlineStr"/>
      <c r="AU207" s="8" t="inlineStr">
        <is>
          <t>Not run</t>
        </is>
      </c>
    </row>
    <row r="208" ht="32" customHeight="1">
      <c r="A208" s="16" t="inlineStr">
        <is>
          <t>X-0207</t>
        </is>
      </c>
      <c r="B208" s="8" t="inlineStr">
        <is>
          <t>X</t>
        </is>
      </c>
      <c r="C208" s="5" t="inlineStr">
        <is>
          <t>Multiple / Cross-persona</t>
        </is>
      </c>
      <c r="D208" s="5" t="inlineStr">
        <is>
          <t>Customer-to-Cash</t>
        </is>
      </c>
      <c r="E208" s="5" t="inlineStr">
        <is>
          <t>Return approved → customer credit/refund is created</t>
        </is>
      </c>
      <c r="F208" s="5" t="inlineStr">
        <is>
          <t>In-house Accountant</t>
        </is>
      </c>
      <c r="G208" s="5" t="inlineStr">
        <is>
          <t>Customer</t>
        </is>
      </c>
      <c r="H208" s="5" t="inlineStr">
        <is>
          <t>Issuance of GST-compliant Credit Note or monetary refund settling return value</t>
        </is>
      </c>
      <c r="I208" s="5" t="inlineStr">
        <is>
          <t>Generates SalesCreditNote; credits customer AR account or issues cash/bank refund voucher</t>
        </is>
      </c>
      <c r="J208" s="20" t="inlineStr">
        <is>
          <t>P1</t>
        </is>
      </c>
      <c r="K208" s="20" t="inlineStr">
        <is>
          <t>Validated (Supported)</t>
        </is>
      </c>
      <c r="L208" s="5" t="inlineStr">
        <is>
          <t>Supported via SalesReturn complete action; auto-generates SalesCreditNote.</t>
        </is>
      </c>
      <c r="M208" s="8" t="inlineStr">
        <is>
          <t>Baseline</t>
        </is>
      </c>
      <c r="N208" s="8" t="inlineStr">
        <is>
          <t>Cross-persona</t>
        </is>
      </c>
      <c r="O208" s="8" t="inlineStr">
        <is>
          <t>P1</t>
        </is>
      </c>
      <c r="P208" s="5" t="inlineStr">
        <is>
          <t>Unchanged</t>
        </is>
      </c>
      <c r="Q208" s="21" t="inlineStr">
        <is>
          <t>Code symbol found</t>
        </is>
      </c>
      <c r="R208" s="5" t="inlineStr">
        <is>
          <t>Matched SalesCreditNote in product code. This is not a functional test.</t>
        </is>
      </c>
      <c r="S208" s="8" t="inlineStr">
        <is>
          <t>C2C</t>
        </is>
      </c>
      <c r="T208" s="5" t="inlineStr">
        <is>
          <t>Customer to cash</t>
        </is>
      </c>
      <c r="U208" s="8" t="inlineStr"/>
      <c r="V208" s="8" t="inlineStr">
        <is>
          <t>sales</t>
        </is>
      </c>
      <c r="W208" s="8" t="inlineStr">
        <is>
          <t>RUN</t>
        </is>
      </c>
      <c r="X208" s="5" t="inlineStr">
        <is>
          <t>Core</t>
        </is>
      </c>
      <c r="Y208" s="5" t="inlineStr">
        <is>
          <t>Cross-persona</t>
        </is>
      </c>
      <c r="Z208" s="5" t="inlineStr">
        <is>
          <t>Medium</t>
        </is>
      </c>
      <c r="AA208" s="5" t="inlineStr">
        <is>
          <t>Medium</t>
        </is>
      </c>
      <c r="AB208" s="8" t="inlineStr">
        <is>
          <t>Low</t>
        </is>
      </c>
      <c r="AC208" s="8" t="inlineStr">
        <is>
          <t>Pilot</t>
        </is>
      </c>
      <c r="AD208" s="5" t="inlineStr">
        <is>
          <t>Cited in code</t>
        </is>
      </c>
      <c r="AE208" s="5" t="inlineStr">
        <is>
          <t>Not verified</t>
        </is>
      </c>
      <c r="AF208" s="5" t="inlineStr">
        <is>
          <t>Not verified</t>
        </is>
      </c>
      <c r="AG208" s="5" t="inlineStr">
        <is>
          <t>Not verified</t>
        </is>
      </c>
      <c r="AH208" s="5" t="inlineStr">
        <is>
          <t>Not verified</t>
        </is>
      </c>
      <c r="AI208" s="8" t="inlineStr">
        <is>
          <t>No</t>
        </is>
      </c>
      <c r="AJ208" s="8" t="inlineStr">
        <is>
          <t>Built - unverified</t>
        </is>
      </c>
      <c r="AK208" s="8" t="inlineStr">
        <is>
          <t>P1</t>
        </is>
      </c>
      <c r="AL208" s="8" t="n">
        <v>6</v>
      </c>
      <c r="AM208" s="5" t="inlineStr"/>
      <c r="AN208" s="5" t="inlineStr"/>
      <c r="AO208" s="5" t="inlineStr"/>
      <c r="AP208" s="5" t="inlineStr"/>
      <c r="AQ208" s="5" t="inlineStr"/>
      <c r="AR208" s="5" t="inlineStr"/>
      <c r="AS208" s="5" t="inlineStr"/>
      <c r="AT208" s="5" t="inlineStr"/>
      <c r="AU208" s="8" t="inlineStr">
        <is>
          <t>Not run</t>
        </is>
      </c>
    </row>
    <row r="209" ht="32" customHeight="1">
      <c r="A209" s="16" t="inlineStr">
        <is>
          <t>X-0208</t>
        </is>
      </c>
      <c r="B209" s="8" t="inlineStr">
        <is>
          <t>X</t>
        </is>
      </c>
      <c r="C209" s="5" t="inlineStr">
        <is>
          <t>Multiple / Cross-persona</t>
        </is>
      </c>
      <c r="D209" s="5" t="inlineStr">
        <is>
          <t>Customer-to-Cash</t>
        </is>
      </c>
      <c r="E209" s="5" t="inlineStr">
        <is>
          <t>Sales return → GST impact is recalculated</t>
        </is>
      </c>
      <c r="F209" s="5" t="inlineStr">
        <is>
          <t>Tax Engine</t>
        </is>
      </c>
      <c r="G209" s="5" t="inlineStr">
        <is>
          <t>Accountant / External CA</t>
        </is>
      </c>
      <c r="H209" s="5" t="inlineStr">
        <is>
          <t>Output GST tax liability reduced legally upon issuance of credit note</t>
        </is>
      </c>
      <c r="I209" s="5" t="inlineStr">
        <is>
          <t>Reduces output tax liability ledger; records negative tax entry in GSTR-1 Table 9B</t>
        </is>
      </c>
      <c r="J209" s="20" t="inlineStr">
        <is>
          <t>P1</t>
        </is>
      </c>
      <c r="K209" s="20" t="inlineStr">
        <is>
          <t>Validated (Supported)</t>
        </is>
      </c>
      <c r="L209" s="5" t="inlineStr">
        <is>
          <t>Supported via Section 34 CGST Act compliant Credit Note tax adjustments.</t>
        </is>
      </c>
      <c r="M209" s="8" t="inlineStr">
        <is>
          <t>Baseline</t>
        </is>
      </c>
      <c r="N209" s="8" t="inlineStr">
        <is>
          <t>Cross-persona</t>
        </is>
      </c>
      <c r="O209" s="8" t="inlineStr">
        <is>
          <t>P1</t>
        </is>
      </c>
      <c r="P209" s="5" t="inlineStr">
        <is>
          <t>Restored to authored P1. The previous workbook had P0 after a keyword rebalance.</t>
        </is>
      </c>
      <c r="Q209" s="20" t="inlineStr">
        <is>
          <t>Author assertion</t>
        </is>
      </c>
      <c r="R209" s="5" t="inlineStr">
        <is>
          <t>Restored to authored P1. The previous workbook had P0 after a keyword rebalance.</t>
        </is>
      </c>
      <c r="S209" s="8" t="inlineStr">
        <is>
          <t>C2C</t>
        </is>
      </c>
      <c r="T209" s="5" t="inlineStr">
        <is>
          <t>Customer to cash</t>
        </is>
      </c>
      <c r="U209" s="8" t="inlineStr"/>
      <c r="V209" s="8" t="inlineStr">
        <is>
          <t>sales</t>
        </is>
      </c>
      <c r="W209" s="8" t="inlineStr">
        <is>
          <t>RUN</t>
        </is>
      </c>
      <c r="X209" s="5" t="inlineStr">
        <is>
          <t>Core</t>
        </is>
      </c>
      <c r="Y209" s="5" t="inlineStr">
        <is>
          <t>Cross-persona</t>
        </is>
      </c>
      <c r="Z209" s="5" t="inlineStr">
        <is>
          <t>Medium</t>
        </is>
      </c>
      <c r="AA209" s="5" t="inlineStr">
        <is>
          <t>Medium</t>
        </is>
      </c>
      <c r="AB209" s="8" t="inlineStr">
        <is>
          <t>Low</t>
        </is>
      </c>
      <c r="AC209" s="8" t="inlineStr">
        <is>
          <t>Pilot</t>
        </is>
      </c>
      <c r="AD209" s="5" t="inlineStr">
        <is>
          <t>Not independently checked</t>
        </is>
      </c>
      <c r="AE209" s="5" t="inlineStr">
        <is>
          <t>Not verified</t>
        </is>
      </c>
      <c r="AF209" s="5" t="inlineStr">
        <is>
          <t>Not verified</t>
        </is>
      </c>
      <c r="AG209" s="5" t="inlineStr">
        <is>
          <t>Not verified</t>
        </is>
      </c>
      <c r="AH209" s="5" t="inlineStr">
        <is>
          <t>Not verified</t>
        </is>
      </c>
      <c r="AI209" s="8" t="inlineStr">
        <is>
          <t>No</t>
        </is>
      </c>
      <c r="AJ209" s="8" t="inlineStr">
        <is>
          <t>Claimed - unverified</t>
        </is>
      </c>
      <c r="AK209" s="8" t="inlineStr">
        <is>
          <t>P1</t>
        </is>
      </c>
      <c r="AL209" s="8" t="n">
        <v>6</v>
      </c>
      <c r="AM209" s="5" t="inlineStr"/>
      <c r="AN209" s="5" t="inlineStr"/>
      <c r="AO209" s="5" t="inlineStr"/>
      <c r="AP209" s="5" t="inlineStr"/>
      <c r="AQ209" s="5" t="inlineStr"/>
      <c r="AR209" s="5" t="inlineStr"/>
      <c r="AS209" s="5" t="inlineStr"/>
      <c r="AT209" s="5" t="inlineStr"/>
      <c r="AU209" s="8" t="inlineStr">
        <is>
          <t>Not run</t>
        </is>
      </c>
    </row>
    <row r="210" ht="32" customHeight="1">
      <c r="A210" s="16" t="inlineStr">
        <is>
          <t>X-0209</t>
        </is>
      </c>
      <c r="B210" s="8" t="inlineStr">
        <is>
          <t>X</t>
        </is>
      </c>
      <c r="C210" s="5" t="inlineStr">
        <is>
          <t>Multiple / Cross-persona</t>
        </is>
      </c>
      <c r="D210" s="5" t="inlineStr">
        <is>
          <t>Customer-to-Cash</t>
        </is>
      </c>
      <c r="E210" s="5" t="inlineStr">
        <is>
          <t>Refund processed → customer balance is updated</t>
        </is>
      </c>
      <c r="F210" s="5" t="inlineStr">
        <is>
          <t>Cashier / Accountant</t>
        </is>
      </c>
      <c r="G210" s="5" t="inlineStr">
        <is>
          <t>Customer</t>
        </is>
      </c>
      <c r="H210" s="5" t="inlineStr">
        <is>
          <t>Payment of cash or bank refund reflected accurately in customer account</t>
        </is>
      </c>
      <c r="I210" s="5" t="inlineStr">
        <is>
          <t>Credits Cash/Bank account, debits Customer Ledger; closes out credit note balance</t>
        </is>
      </c>
      <c r="J210" s="20" t="inlineStr">
        <is>
          <t>P1</t>
        </is>
      </c>
      <c r="K210" s="20" t="inlineStr">
        <is>
          <t>Validated (Supported)</t>
        </is>
      </c>
      <c r="L210" s="5" t="inlineStr">
        <is>
          <t>Supported via Refund payment workflow linked to Credit Note.</t>
        </is>
      </c>
      <c r="M210" s="8" t="inlineStr">
        <is>
          <t>Baseline</t>
        </is>
      </c>
      <c r="N210" s="8" t="inlineStr">
        <is>
          <t>Cross-persona</t>
        </is>
      </c>
      <c r="O210" s="8" t="inlineStr">
        <is>
          <t>P1</t>
        </is>
      </c>
      <c r="P210" s="5" t="inlineStr">
        <is>
          <t>Unchanged</t>
        </is>
      </c>
      <c r="Q210" s="20" t="inlineStr">
        <is>
          <t>Author assertion</t>
        </is>
      </c>
      <c r="R210" s="5" t="inlineStr"/>
      <c r="S210" s="8" t="inlineStr">
        <is>
          <t>C2C</t>
        </is>
      </c>
      <c r="T210" s="5" t="inlineStr">
        <is>
          <t>Customer to cash</t>
        </is>
      </c>
      <c r="U210" s="8" t="inlineStr"/>
      <c r="V210" s="8" t="inlineStr">
        <is>
          <t>sales</t>
        </is>
      </c>
      <c r="W210" s="8" t="inlineStr">
        <is>
          <t>RUN</t>
        </is>
      </c>
      <c r="X210" s="5" t="inlineStr">
        <is>
          <t>Core</t>
        </is>
      </c>
      <c r="Y210" s="5" t="inlineStr">
        <is>
          <t>Cross-persona</t>
        </is>
      </c>
      <c r="Z210" s="5" t="inlineStr">
        <is>
          <t>Medium</t>
        </is>
      </c>
      <c r="AA210" s="5" t="inlineStr">
        <is>
          <t>Medium</t>
        </is>
      </c>
      <c r="AB210" s="8" t="inlineStr">
        <is>
          <t>Low</t>
        </is>
      </c>
      <c r="AC210" s="8" t="inlineStr">
        <is>
          <t>Pilot</t>
        </is>
      </c>
      <c r="AD210" s="5" t="inlineStr">
        <is>
          <t>Not independently checked</t>
        </is>
      </c>
      <c r="AE210" s="5" t="inlineStr">
        <is>
          <t>Not verified</t>
        </is>
      </c>
      <c r="AF210" s="5" t="inlineStr">
        <is>
          <t>Not verified</t>
        </is>
      </c>
      <c r="AG210" s="5" t="inlineStr">
        <is>
          <t>Not verified</t>
        </is>
      </c>
      <c r="AH210" s="5" t="inlineStr">
        <is>
          <t>Not verified</t>
        </is>
      </c>
      <c r="AI210" s="8" t="inlineStr">
        <is>
          <t>No</t>
        </is>
      </c>
      <c r="AJ210" s="8" t="inlineStr">
        <is>
          <t>Claimed - unverified</t>
        </is>
      </c>
      <c r="AK210" s="8" t="inlineStr">
        <is>
          <t>P1</t>
        </is>
      </c>
      <c r="AL210" s="8" t="n">
        <v>6</v>
      </c>
      <c r="AM210" s="5" t="inlineStr"/>
      <c r="AN210" s="5" t="inlineStr"/>
      <c r="AO210" s="5" t="inlineStr"/>
      <c r="AP210" s="5" t="inlineStr"/>
      <c r="AQ210" s="5" t="inlineStr"/>
      <c r="AR210" s="5" t="inlineStr"/>
      <c r="AS210" s="5" t="inlineStr"/>
      <c r="AT210" s="5" t="inlineStr"/>
      <c r="AU210" s="8" t="inlineStr">
        <is>
          <t>Not run</t>
        </is>
      </c>
    </row>
    <row r="211" ht="32" customHeight="1">
      <c r="A211" s="16" t="inlineStr">
        <is>
          <t>X-0210</t>
        </is>
      </c>
      <c r="B211" s="8" t="inlineStr">
        <is>
          <t>X</t>
        </is>
      </c>
      <c r="C211" s="5" t="inlineStr">
        <is>
          <t>Multiple / Cross-persona</t>
        </is>
      </c>
      <c r="D211" s="5" t="inlineStr">
        <is>
          <t>Customer-to-Cash</t>
        </is>
      </c>
      <c r="E211" s="5" t="inlineStr">
        <is>
          <t>Invoice corrected → correction history remains auditable</t>
        </is>
      </c>
      <c r="F211" s="5" t="inlineStr">
        <is>
          <t>In-house Accountant</t>
        </is>
      </c>
      <c r="G211" s="5" t="inlineStr">
        <is>
          <t>Statutory Auditor</t>
        </is>
      </c>
      <c r="H211" s="5" t="inlineStr">
        <is>
          <t>Modifications to invoice metadata or cancellations preserve complete historical audit trail</t>
        </is>
      </c>
      <c r="I211" s="5" t="inlineStr">
        <is>
          <t>Logs modification timestamp, user ID, original values, and amendment reason in audit history</t>
        </is>
      </c>
      <c r="J211" s="20" t="inlineStr">
        <is>
          <t>P1</t>
        </is>
      </c>
      <c r="K211" s="20" t="inlineStr">
        <is>
          <t>Validated (Supported)</t>
        </is>
      </c>
      <c r="L211" s="5" t="inlineStr">
        <is>
          <t>Core system invariant: completed financial documents are immutable; corrections create audit versions.</t>
        </is>
      </c>
      <c r="M211" s="8" t="inlineStr">
        <is>
          <t>Baseline</t>
        </is>
      </c>
      <c r="N211" s="8" t="inlineStr">
        <is>
          <t>Cross-persona</t>
        </is>
      </c>
      <c r="O211" s="8" t="inlineStr">
        <is>
          <t>P1</t>
        </is>
      </c>
      <c r="P211" s="5" t="inlineStr">
        <is>
          <t>Unchanged</t>
        </is>
      </c>
      <c r="Q211" s="20" t="inlineStr">
        <is>
          <t>Author assertion</t>
        </is>
      </c>
      <c r="R211" s="5" t="inlineStr"/>
      <c r="S211" s="8" t="inlineStr">
        <is>
          <t>C2C</t>
        </is>
      </c>
      <c r="T211" s="5" t="inlineStr">
        <is>
          <t>Customer to cash</t>
        </is>
      </c>
      <c r="U211" s="8" t="inlineStr"/>
      <c r="V211" s="8" t="inlineStr">
        <is>
          <t>sales</t>
        </is>
      </c>
      <c r="W211" s="8" t="inlineStr">
        <is>
          <t>RUN</t>
        </is>
      </c>
      <c r="X211" s="5" t="inlineStr">
        <is>
          <t>Core</t>
        </is>
      </c>
      <c r="Y211" s="5" t="inlineStr">
        <is>
          <t>Cross-persona</t>
        </is>
      </c>
      <c r="Z211" s="5" t="inlineStr">
        <is>
          <t>Medium</t>
        </is>
      </c>
      <c r="AA211" s="5" t="inlineStr">
        <is>
          <t>Medium</t>
        </is>
      </c>
      <c r="AB211" s="8" t="inlineStr">
        <is>
          <t>Low</t>
        </is>
      </c>
      <c r="AC211" s="8" t="inlineStr">
        <is>
          <t>Pilot</t>
        </is>
      </c>
      <c r="AD211" s="5" t="inlineStr">
        <is>
          <t>Not independently checked</t>
        </is>
      </c>
      <c r="AE211" s="5" t="inlineStr">
        <is>
          <t>Not verified</t>
        </is>
      </c>
      <c r="AF211" s="5" t="inlineStr">
        <is>
          <t>Not verified</t>
        </is>
      </c>
      <c r="AG211" s="5" t="inlineStr">
        <is>
          <t>Not verified</t>
        </is>
      </c>
      <c r="AH211" s="5" t="inlineStr">
        <is>
          <t>Not verified</t>
        </is>
      </c>
      <c r="AI211" s="8" t="inlineStr">
        <is>
          <t>No</t>
        </is>
      </c>
      <c r="AJ211" s="8" t="inlineStr">
        <is>
          <t>Claimed - unverified</t>
        </is>
      </c>
      <c r="AK211" s="8" t="inlineStr">
        <is>
          <t>P1</t>
        </is>
      </c>
      <c r="AL211" s="8" t="n">
        <v>6</v>
      </c>
      <c r="AM211" s="5" t="inlineStr"/>
      <c r="AN211" s="5" t="inlineStr"/>
      <c r="AO211" s="5" t="inlineStr"/>
      <c r="AP211" s="5" t="inlineStr"/>
      <c r="AQ211" s="5" t="inlineStr"/>
      <c r="AR211" s="5" t="inlineStr"/>
      <c r="AS211" s="5" t="inlineStr"/>
      <c r="AT211" s="5" t="inlineStr"/>
      <c r="AU211" s="8" t="inlineStr">
        <is>
          <t>Not run</t>
        </is>
      </c>
    </row>
    <row r="212" ht="32" customHeight="1">
      <c r="A212" s="16" t="inlineStr">
        <is>
          <t>X-0211</t>
        </is>
      </c>
      <c r="B212" s="8" t="inlineStr">
        <is>
          <t>X</t>
        </is>
      </c>
      <c r="C212" s="5" t="inlineStr">
        <is>
          <t>Multiple / Cross-persona</t>
        </is>
      </c>
      <c r="D212" s="5" t="inlineStr">
        <is>
          <t>Procure-to-Pay</t>
        </is>
      </c>
      <c r="E212" s="5" t="inlineStr">
        <is>
          <t>Purchase manager creates purchase order</t>
        </is>
      </c>
      <c r="F212" s="5" t="inlineStr">
        <is>
          <t>Purchase Manager</t>
        </is>
      </c>
      <c r="G212" s="5" t="inlineStr">
        <is>
          <t>Supplier</t>
        </is>
      </c>
      <c r="H212" s="5" t="inlineStr">
        <is>
          <t>Formalize commercial procurement requirements with vendor</t>
        </is>
      </c>
      <c r="I212" s="5" t="inlineStr">
        <is>
          <t>Creates PurchaseOrder in DRAFT/APPROVED status; records agreed prices and delivery timeline</t>
        </is>
      </c>
      <c r="J212" s="20" t="inlineStr">
        <is>
          <t>P1</t>
        </is>
      </c>
      <c r="K212" s="20" t="inlineStr">
        <is>
          <t>Validated (Supported)</t>
        </is>
      </c>
      <c r="L212" s="5" t="inlineStr">
        <is>
          <t>Supported via /purchases/orders/create with vendor catalog lookup.</t>
        </is>
      </c>
      <c r="M212" s="8" t="inlineStr">
        <is>
          <t>Baseline</t>
        </is>
      </c>
      <c r="N212" s="8" t="inlineStr">
        <is>
          <t>Cross-persona</t>
        </is>
      </c>
      <c r="O212" s="8" t="inlineStr">
        <is>
          <t>P1</t>
        </is>
      </c>
      <c r="P212" s="5" t="inlineStr">
        <is>
          <t>Unchanged</t>
        </is>
      </c>
      <c r="Q212" s="20" t="inlineStr">
        <is>
          <t>Author assertion</t>
        </is>
      </c>
      <c r="R212" s="5" t="inlineStr"/>
      <c r="S212" s="8" t="inlineStr">
        <is>
          <t>P2P</t>
        </is>
      </c>
      <c r="T212" s="5" t="inlineStr">
        <is>
          <t>Procure to pay</t>
        </is>
      </c>
      <c r="U212" s="8" t="inlineStr"/>
      <c r="V212" s="8" t="inlineStr">
        <is>
          <t>purchases</t>
        </is>
      </c>
      <c r="W212" s="8" t="inlineStr">
        <is>
          <t>RUN</t>
        </is>
      </c>
      <c r="X212" s="5" t="inlineStr">
        <is>
          <t>Core</t>
        </is>
      </c>
      <c r="Y212" s="5" t="inlineStr">
        <is>
          <t>Cross-persona</t>
        </is>
      </c>
      <c r="Z212" s="5" t="inlineStr">
        <is>
          <t>Medium</t>
        </is>
      </c>
      <c r="AA212" s="5" t="inlineStr">
        <is>
          <t>Medium</t>
        </is>
      </c>
      <c r="AB212" s="8" t="inlineStr">
        <is>
          <t>Low</t>
        </is>
      </c>
      <c r="AC212" s="8" t="inlineStr">
        <is>
          <t>Pilot</t>
        </is>
      </c>
      <c r="AD212" s="5" t="inlineStr">
        <is>
          <t>Not independently checked</t>
        </is>
      </c>
      <c r="AE212" s="5" t="inlineStr">
        <is>
          <t>Not verified</t>
        </is>
      </c>
      <c r="AF212" s="5" t="inlineStr">
        <is>
          <t>Not verified</t>
        </is>
      </c>
      <c r="AG212" s="5" t="inlineStr">
        <is>
          <t>Not verified</t>
        </is>
      </c>
      <c r="AH212" s="5" t="inlineStr">
        <is>
          <t>Not verified</t>
        </is>
      </c>
      <c r="AI212" s="8" t="inlineStr">
        <is>
          <t>No</t>
        </is>
      </c>
      <c r="AJ212" s="8" t="inlineStr">
        <is>
          <t>Claimed - unverified</t>
        </is>
      </c>
      <c r="AK212" s="8" t="inlineStr">
        <is>
          <t>P1</t>
        </is>
      </c>
      <c r="AL212" s="8" t="n">
        <v>6</v>
      </c>
      <c r="AM212" s="5" t="inlineStr"/>
      <c r="AN212" s="5" t="inlineStr"/>
      <c r="AO212" s="5" t="inlineStr"/>
      <c r="AP212" s="5" t="inlineStr"/>
      <c r="AQ212" s="5" t="inlineStr"/>
      <c r="AR212" s="5" t="inlineStr"/>
      <c r="AS212" s="5" t="inlineStr"/>
      <c r="AT212" s="5" t="inlineStr"/>
      <c r="AU212" s="8" t="inlineStr">
        <is>
          <t>Not run</t>
        </is>
      </c>
    </row>
    <row r="213" ht="32" customHeight="1">
      <c r="A213" s="16" t="inlineStr">
        <is>
          <t>X-0212</t>
        </is>
      </c>
      <c r="B213" s="8" t="inlineStr">
        <is>
          <t>X</t>
        </is>
      </c>
      <c r="C213" s="5" t="inlineStr">
        <is>
          <t>Multiple / Cross-persona</t>
        </is>
      </c>
      <c r="D213" s="5" t="inlineStr">
        <is>
          <t>Procure-to-Pay</t>
        </is>
      </c>
      <c r="E213" s="5" t="inlineStr">
        <is>
          <t>Purchase order → supplier receives order</t>
        </is>
      </c>
      <c r="F213" s="5" t="inlineStr">
        <is>
          <t>Purchase Manager</t>
        </is>
      </c>
      <c r="G213" s="5" t="inlineStr">
        <is>
          <t>Supplier</t>
        </is>
      </c>
      <c r="H213" s="5" t="inlineStr">
        <is>
          <t>Purchase order transmitted to vendor via digital PDF, email, or WhatsApp</t>
        </is>
      </c>
      <c r="I213" s="5" t="inlineStr">
        <is>
          <t>Updates PO status to SENT; records delivery commitment timestamp</t>
        </is>
      </c>
      <c r="J213" s="20" t="inlineStr">
        <is>
          <t>P1</t>
        </is>
      </c>
      <c r="K213" s="20" t="inlineStr">
        <is>
          <t>Validated (Supported)</t>
        </is>
      </c>
      <c r="L213" s="5" t="inlineStr">
        <is>
          <t>Supported via PO PDF export and WhatsApp share link.</t>
        </is>
      </c>
      <c r="M213" s="8" t="inlineStr">
        <is>
          <t>Baseline</t>
        </is>
      </c>
      <c r="N213" s="8" t="inlineStr">
        <is>
          <t>Cross-persona</t>
        </is>
      </c>
      <c r="O213" s="8" t="inlineStr">
        <is>
          <t>P1</t>
        </is>
      </c>
      <c r="P213" s="5" t="inlineStr">
        <is>
          <t>Unchanged</t>
        </is>
      </c>
      <c r="Q213" s="21" t="inlineStr">
        <is>
          <t>Code symbol found</t>
        </is>
      </c>
      <c r="R213" s="5" t="inlineStr">
        <is>
          <t>Matched WhatsApp in product code. This is not a functional test.</t>
        </is>
      </c>
      <c r="S213" s="8" t="inlineStr">
        <is>
          <t>P2P</t>
        </is>
      </c>
      <c r="T213" s="5" t="inlineStr">
        <is>
          <t>Procure to pay</t>
        </is>
      </c>
      <c r="U213" s="8" t="inlineStr"/>
      <c r="V213" s="8" t="inlineStr">
        <is>
          <t>purchases</t>
        </is>
      </c>
      <c r="W213" s="8" t="inlineStr">
        <is>
          <t>RUN</t>
        </is>
      </c>
      <c r="X213" s="5" t="inlineStr">
        <is>
          <t>Core</t>
        </is>
      </c>
      <c r="Y213" s="5" t="inlineStr">
        <is>
          <t>Cross-persona</t>
        </is>
      </c>
      <c r="Z213" s="5" t="inlineStr">
        <is>
          <t>Medium</t>
        </is>
      </c>
      <c r="AA213" s="5" t="inlineStr">
        <is>
          <t>Medium</t>
        </is>
      </c>
      <c r="AB213" s="8" t="inlineStr">
        <is>
          <t>Low</t>
        </is>
      </c>
      <c r="AC213" s="8" t="inlineStr">
        <is>
          <t>Pilot</t>
        </is>
      </c>
      <c r="AD213" s="5" t="inlineStr">
        <is>
          <t>Cited in code</t>
        </is>
      </c>
      <c r="AE213" s="5" t="inlineStr">
        <is>
          <t>Not verified</t>
        </is>
      </c>
      <c r="AF213" s="5" t="inlineStr">
        <is>
          <t>Not verified</t>
        </is>
      </c>
      <c r="AG213" s="5" t="inlineStr">
        <is>
          <t>Not verified</t>
        </is>
      </c>
      <c r="AH213" s="5" t="inlineStr">
        <is>
          <t>Not verified</t>
        </is>
      </c>
      <c r="AI213" s="8" t="inlineStr">
        <is>
          <t>No</t>
        </is>
      </c>
      <c r="AJ213" s="8" t="inlineStr">
        <is>
          <t>Built - unverified</t>
        </is>
      </c>
      <c r="AK213" s="8" t="inlineStr">
        <is>
          <t>P1</t>
        </is>
      </c>
      <c r="AL213" s="8" t="n">
        <v>6</v>
      </c>
      <c r="AM213" s="5" t="inlineStr"/>
      <c r="AN213" s="5" t="inlineStr"/>
      <c r="AO213" s="5" t="inlineStr"/>
      <c r="AP213" s="5" t="inlineStr"/>
      <c r="AQ213" s="5" t="inlineStr"/>
      <c r="AR213" s="5" t="inlineStr"/>
      <c r="AS213" s="5" t="inlineStr"/>
      <c r="AT213" s="5" t="inlineStr"/>
      <c r="AU213" s="8" t="inlineStr">
        <is>
          <t>Not run</t>
        </is>
      </c>
    </row>
    <row r="214" ht="32" customHeight="1">
      <c r="A214" s="16" t="inlineStr">
        <is>
          <t>X-0213</t>
        </is>
      </c>
      <c r="B214" s="8" t="inlineStr">
        <is>
          <t>X</t>
        </is>
      </c>
      <c r="C214" s="5" t="inlineStr">
        <is>
          <t>Multiple / Cross-persona</t>
        </is>
      </c>
      <c r="D214" s="5" t="inlineStr">
        <is>
          <t>Procure-to-Pay</t>
        </is>
      </c>
      <c r="E214" s="5" t="inlineStr">
        <is>
          <t>Supplier confirms order → order status changes</t>
        </is>
      </c>
      <c r="F214" s="5" t="inlineStr">
        <is>
          <t>Purchase Manager</t>
        </is>
      </c>
      <c r="G214" s="5" t="inlineStr">
        <is>
          <t>Supplier</t>
        </is>
      </c>
      <c r="H214" s="5" t="inlineStr">
        <is>
          <t>Vendor confirms order acceptance and expected dispatch date</t>
        </is>
      </c>
      <c r="I214" s="5" t="inlineStr">
        <is>
          <t>Updates PO status to CONFIRMED; locks agreed pricing and expected delivery date</t>
        </is>
      </c>
      <c r="J214" s="20" t="inlineStr">
        <is>
          <t>P1</t>
        </is>
      </c>
      <c r="K214" s="20" t="inlineStr">
        <is>
          <t>Validated (Supported)</t>
        </is>
      </c>
      <c r="L214" s="5" t="inlineStr">
        <is>
          <t>Supported in PO detail view with status transition buttons.</t>
        </is>
      </c>
      <c r="M214" s="8" t="inlineStr">
        <is>
          <t>Baseline</t>
        </is>
      </c>
      <c r="N214" s="8" t="inlineStr">
        <is>
          <t>Cross-persona</t>
        </is>
      </c>
      <c r="O214" s="8" t="inlineStr">
        <is>
          <t>P1</t>
        </is>
      </c>
      <c r="P214" s="5" t="inlineStr">
        <is>
          <t>Unchanged</t>
        </is>
      </c>
      <c r="Q214" s="20" t="inlineStr">
        <is>
          <t>Author assertion</t>
        </is>
      </c>
      <c r="R214" s="5" t="inlineStr"/>
      <c r="S214" s="8" t="inlineStr">
        <is>
          <t>P2P</t>
        </is>
      </c>
      <c r="T214" s="5" t="inlineStr">
        <is>
          <t>Procure to pay</t>
        </is>
      </c>
      <c r="U214" s="8" t="inlineStr"/>
      <c r="V214" s="8" t="inlineStr">
        <is>
          <t>purchases</t>
        </is>
      </c>
      <c r="W214" s="8" t="inlineStr">
        <is>
          <t>RUN</t>
        </is>
      </c>
      <c r="X214" s="5" t="inlineStr">
        <is>
          <t>Core</t>
        </is>
      </c>
      <c r="Y214" s="5" t="inlineStr">
        <is>
          <t>Cross-persona</t>
        </is>
      </c>
      <c r="Z214" s="5" t="inlineStr">
        <is>
          <t>Medium</t>
        </is>
      </c>
      <c r="AA214" s="5" t="inlineStr">
        <is>
          <t>Medium</t>
        </is>
      </c>
      <c r="AB214" s="8" t="inlineStr">
        <is>
          <t>Low</t>
        </is>
      </c>
      <c r="AC214" s="8" t="inlineStr">
        <is>
          <t>Pilot</t>
        </is>
      </c>
      <c r="AD214" s="5" t="inlineStr">
        <is>
          <t>Not independently checked</t>
        </is>
      </c>
      <c r="AE214" s="5" t="inlineStr">
        <is>
          <t>Not verified</t>
        </is>
      </c>
      <c r="AF214" s="5" t="inlineStr">
        <is>
          <t>Not verified</t>
        </is>
      </c>
      <c r="AG214" s="5" t="inlineStr">
        <is>
          <t>Not verified</t>
        </is>
      </c>
      <c r="AH214" s="5" t="inlineStr">
        <is>
          <t>Not verified</t>
        </is>
      </c>
      <c r="AI214" s="8" t="inlineStr">
        <is>
          <t>No</t>
        </is>
      </c>
      <c r="AJ214" s="8" t="inlineStr">
        <is>
          <t>Claimed - unverified</t>
        </is>
      </c>
      <c r="AK214" s="8" t="inlineStr">
        <is>
          <t>P1</t>
        </is>
      </c>
      <c r="AL214" s="8" t="n">
        <v>6</v>
      </c>
      <c r="AM214" s="5" t="inlineStr"/>
      <c r="AN214" s="5" t="inlineStr"/>
      <c r="AO214" s="5" t="inlineStr"/>
      <c r="AP214" s="5" t="inlineStr"/>
      <c r="AQ214" s="5" t="inlineStr"/>
      <c r="AR214" s="5" t="inlineStr"/>
      <c r="AS214" s="5" t="inlineStr"/>
      <c r="AT214" s="5" t="inlineStr"/>
      <c r="AU214" s="8" t="inlineStr">
        <is>
          <t>Not run</t>
        </is>
      </c>
    </row>
    <row r="215" ht="32" customHeight="1">
      <c r="A215" s="16" t="inlineStr">
        <is>
          <t>X-0214</t>
        </is>
      </c>
      <c r="B215" s="8" t="inlineStr">
        <is>
          <t>X</t>
        </is>
      </c>
      <c r="C215" s="5" t="inlineStr">
        <is>
          <t>Multiple / Cross-persona</t>
        </is>
      </c>
      <c r="D215" s="5" t="inlineStr">
        <is>
          <t>Procure-to-Pay</t>
        </is>
      </c>
      <c r="E215" s="5" t="inlineStr">
        <is>
          <t>Supplier ships goods → expected receipt is recorded</t>
        </is>
      </c>
      <c r="F215" s="5" t="inlineStr">
        <is>
          <t>Logistics Coordinator</t>
        </is>
      </c>
      <c r="G215" s="5" t="inlineStr">
        <is>
          <t>Supplier / Transporter</t>
        </is>
      </c>
      <c r="H215" s="5" t="inlineStr">
        <is>
          <t>Advance shipping notice (ASN) recorded to prepare warehouse staging area</t>
        </is>
      </c>
      <c r="I215" s="5" t="inlineStr">
        <is>
          <t>Records transport docket / LR number and estimated arrival date against open PO</t>
        </is>
      </c>
      <c r="J215" s="20" t="inlineStr">
        <is>
          <t>P1</t>
        </is>
      </c>
      <c r="K215" s="20" t="inlineStr">
        <is>
          <t>Validated (Supported)</t>
        </is>
      </c>
      <c r="L215" s="5" t="inlineStr">
        <is>
          <t>Supported via Inbound Shipment tracking on Purchase Orders.</t>
        </is>
      </c>
      <c r="M215" s="8" t="inlineStr">
        <is>
          <t>Baseline</t>
        </is>
      </c>
      <c r="N215" s="8" t="inlineStr">
        <is>
          <t>Cross-persona</t>
        </is>
      </c>
      <c r="O215" s="8" t="inlineStr">
        <is>
          <t>P1</t>
        </is>
      </c>
      <c r="P215" s="5" t="inlineStr">
        <is>
          <t>Unchanged</t>
        </is>
      </c>
      <c r="Q215" s="20" t="inlineStr">
        <is>
          <t>Author assertion</t>
        </is>
      </c>
      <c r="R215" s="5" t="inlineStr"/>
      <c r="S215" s="8" t="inlineStr">
        <is>
          <t>P2P</t>
        </is>
      </c>
      <c r="T215" s="5" t="inlineStr">
        <is>
          <t>Procure to pay</t>
        </is>
      </c>
      <c r="U215" s="8" t="inlineStr"/>
      <c r="V215" s="8" t="inlineStr">
        <is>
          <t>purchases</t>
        </is>
      </c>
      <c r="W215" s="8" t="inlineStr">
        <is>
          <t>RUN</t>
        </is>
      </c>
      <c r="X215" s="5" t="inlineStr">
        <is>
          <t>Core</t>
        </is>
      </c>
      <c r="Y215" s="5" t="inlineStr">
        <is>
          <t>Cross-persona</t>
        </is>
      </c>
      <c r="Z215" s="5" t="inlineStr">
        <is>
          <t>Medium</t>
        </is>
      </c>
      <c r="AA215" s="5" t="inlineStr">
        <is>
          <t>Medium</t>
        </is>
      </c>
      <c r="AB215" s="8" t="inlineStr">
        <is>
          <t>Low</t>
        </is>
      </c>
      <c r="AC215" s="8" t="inlineStr">
        <is>
          <t>Pilot</t>
        </is>
      </c>
      <c r="AD215" s="5" t="inlineStr">
        <is>
          <t>Not independently checked</t>
        </is>
      </c>
      <c r="AE215" s="5" t="inlineStr">
        <is>
          <t>Not verified</t>
        </is>
      </c>
      <c r="AF215" s="5" t="inlineStr">
        <is>
          <t>Not verified</t>
        </is>
      </c>
      <c r="AG215" s="5" t="inlineStr">
        <is>
          <t>Not verified</t>
        </is>
      </c>
      <c r="AH215" s="5" t="inlineStr">
        <is>
          <t>Not verified</t>
        </is>
      </c>
      <c r="AI215" s="8" t="inlineStr">
        <is>
          <t>No</t>
        </is>
      </c>
      <c r="AJ215" s="8" t="inlineStr">
        <is>
          <t>Claimed - unverified</t>
        </is>
      </c>
      <c r="AK215" s="8" t="inlineStr">
        <is>
          <t>P1</t>
        </is>
      </c>
      <c r="AL215" s="8" t="n">
        <v>6</v>
      </c>
      <c r="AM215" s="5" t="inlineStr"/>
      <c r="AN215" s="5" t="inlineStr"/>
      <c r="AO215" s="5" t="inlineStr"/>
      <c r="AP215" s="5" t="inlineStr"/>
      <c r="AQ215" s="5" t="inlineStr"/>
      <c r="AR215" s="5" t="inlineStr"/>
      <c r="AS215" s="5" t="inlineStr"/>
      <c r="AT215" s="5" t="inlineStr"/>
      <c r="AU215" s="8" t="inlineStr">
        <is>
          <t>Not run</t>
        </is>
      </c>
    </row>
    <row r="216" ht="32" customHeight="1">
      <c r="A216" s="16" t="inlineStr">
        <is>
          <t>X-0215</t>
        </is>
      </c>
      <c r="B216" s="8" t="inlineStr">
        <is>
          <t>X</t>
        </is>
      </c>
      <c r="C216" s="5" t="inlineStr">
        <is>
          <t>Multiple / Cross-persona</t>
        </is>
      </c>
      <c r="D216" s="5" t="inlineStr">
        <is>
          <t>Procure-to-Pay</t>
        </is>
      </c>
      <c r="E216" s="5" t="inlineStr">
        <is>
          <t>Goods arrive → warehouse creates GRN</t>
        </is>
      </c>
      <c r="F216" s="5" t="inlineStr">
        <is>
          <t>Godown Custodian</t>
        </is>
      </c>
      <c r="G216" s="5" t="inlineStr">
        <is>
          <t>Transporter / Purchase Manager</t>
        </is>
      </c>
      <c r="H216" s="5" t="inlineStr">
        <is>
          <t>Physical delivery inspected, counted, and recorded on Goods Receipt Note</t>
        </is>
      </c>
      <c r="I216" s="5" t="inlineStr">
        <is>
          <t>Creates GoodsReceiptNote (GRN) document; records actual received quantities and damages</t>
        </is>
      </c>
      <c r="J216" s="20" t="inlineStr">
        <is>
          <t>P1</t>
        </is>
      </c>
      <c r="K216" s="20" t="inlineStr">
        <is>
          <t>Validated (Supported)</t>
        </is>
      </c>
      <c r="L216" s="5" t="inlineStr">
        <is>
          <t>Supported via GRN creation workflow in purchases module.</t>
        </is>
      </c>
      <c r="M216" s="8" t="inlineStr">
        <is>
          <t>Baseline</t>
        </is>
      </c>
      <c r="N216" s="8" t="inlineStr">
        <is>
          <t>Cross-persona</t>
        </is>
      </c>
      <c r="O216" s="8" t="inlineStr">
        <is>
          <t>P1</t>
        </is>
      </c>
      <c r="P216" s="5" t="inlineStr">
        <is>
          <t>Unchanged</t>
        </is>
      </c>
      <c r="Q216" s="20" t="inlineStr">
        <is>
          <t>Author assertion</t>
        </is>
      </c>
      <c r="R216" s="5" t="inlineStr"/>
      <c r="S216" s="8" t="inlineStr">
        <is>
          <t>P2P</t>
        </is>
      </c>
      <c r="T216" s="5" t="inlineStr">
        <is>
          <t>Procure to pay</t>
        </is>
      </c>
      <c r="U216" s="8" t="inlineStr"/>
      <c r="V216" s="8" t="inlineStr">
        <is>
          <t>purchases</t>
        </is>
      </c>
      <c r="W216" s="8" t="inlineStr">
        <is>
          <t>RUN</t>
        </is>
      </c>
      <c r="X216" s="5" t="inlineStr">
        <is>
          <t>Core</t>
        </is>
      </c>
      <c r="Y216" s="5" t="inlineStr">
        <is>
          <t>Cross-persona</t>
        </is>
      </c>
      <c r="Z216" s="5" t="inlineStr">
        <is>
          <t>Medium</t>
        </is>
      </c>
      <c r="AA216" s="5" t="inlineStr">
        <is>
          <t>Medium</t>
        </is>
      </c>
      <c r="AB216" s="8" t="inlineStr">
        <is>
          <t>Low</t>
        </is>
      </c>
      <c r="AC216" s="8" t="inlineStr">
        <is>
          <t>Pilot</t>
        </is>
      </c>
      <c r="AD216" s="5" t="inlineStr">
        <is>
          <t>Not independently checked</t>
        </is>
      </c>
      <c r="AE216" s="5" t="inlineStr">
        <is>
          <t>Not verified</t>
        </is>
      </c>
      <c r="AF216" s="5" t="inlineStr">
        <is>
          <t>Not verified</t>
        </is>
      </c>
      <c r="AG216" s="5" t="inlineStr">
        <is>
          <t>Not verified</t>
        </is>
      </c>
      <c r="AH216" s="5" t="inlineStr">
        <is>
          <t>Not verified</t>
        </is>
      </c>
      <c r="AI216" s="8" t="inlineStr">
        <is>
          <t>No</t>
        </is>
      </c>
      <c r="AJ216" s="8" t="inlineStr">
        <is>
          <t>Claimed - unverified</t>
        </is>
      </c>
      <c r="AK216" s="8" t="inlineStr">
        <is>
          <t>P1</t>
        </is>
      </c>
      <c r="AL216" s="8" t="n">
        <v>6</v>
      </c>
      <c r="AM216" s="5" t="inlineStr"/>
      <c r="AN216" s="5" t="inlineStr"/>
      <c r="AO216" s="5" t="inlineStr"/>
      <c r="AP216" s="5" t="inlineStr"/>
      <c r="AQ216" s="5" t="inlineStr"/>
      <c r="AR216" s="5" t="inlineStr"/>
      <c r="AS216" s="5" t="inlineStr"/>
      <c r="AT216" s="5" t="inlineStr"/>
      <c r="AU216" s="8" t="inlineStr">
        <is>
          <t>Not run</t>
        </is>
      </c>
    </row>
    <row r="217" ht="32" customHeight="1">
      <c r="A217" s="16" t="inlineStr">
        <is>
          <t>X-0216</t>
        </is>
      </c>
      <c r="B217" s="8" t="inlineStr">
        <is>
          <t>X</t>
        </is>
      </c>
      <c r="C217" s="5" t="inlineStr">
        <is>
          <t>Multiple / Cross-persona</t>
        </is>
      </c>
      <c r="D217" s="5" t="inlineStr">
        <is>
          <t>Procure-to-Pay</t>
        </is>
      </c>
      <c r="E217" s="5" t="inlineStr">
        <is>
          <t>GRN → inventory quantity increases</t>
        </is>
      </c>
      <c r="F217" s="5" t="inlineStr">
        <is>
          <t>System / Inventory Ledger</t>
        </is>
      </c>
      <c r="G217" s="5" t="inlineStr">
        <is>
          <t>Godown Custodian</t>
        </is>
      </c>
      <c r="H217" s="5" t="inlineStr">
        <is>
          <t>Physical warehouse stock incremented upon goods verification</t>
        </is>
      </c>
      <c r="I217" s="5" t="inlineStr">
        <is>
          <t>Creates StockMovement record with movement_type='INWARD_PURCHASE'; updates StockBalance</t>
        </is>
      </c>
      <c r="J217" s="20" t="inlineStr">
        <is>
          <t>P1</t>
        </is>
      </c>
      <c r="K217" s="20" t="inlineStr">
        <is>
          <t>Validated (Supported)</t>
        </is>
      </c>
      <c r="L217" s="5" t="inlineStr">
        <is>
          <t>Core system invariant: GRN/Purchase intake atomically increases inventory on-hand balance.</t>
        </is>
      </c>
      <c r="M217" s="8" t="inlineStr">
        <is>
          <t>Baseline</t>
        </is>
      </c>
      <c r="N217" s="8" t="inlineStr">
        <is>
          <t>Cross-persona</t>
        </is>
      </c>
      <c r="O217" s="8" t="inlineStr">
        <is>
          <t>P1</t>
        </is>
      </c>
      <c r="P217" s="5" t="inlineStr">
        <is>
          <t>Restored to authored P1. The previous workbook had P0 after a keyword rebalance.</t>
        </is>
      </c>
      <c r="Q217" s="20" t="inlineStr">
        <is>
          <t>Author assertion</t>
        </is>
      </c>
      <c r="R217" s="5" t="inlineStr">
        <is>
          <t>Restored to authored P1. The previous workbook had P0 after a keyword rebalance.</t>
        </is>
      </c>
      <c r="S217" s="8" t="inlineStr">
        <is>
          <t>P2P</t>
        </is>
      </c>
      <c r="T217" s="5" t="inlineStr">
        <is>
          <t>Procure to pay</t>
        </is>
      </c>
      <c r="U217" s="8" t="inlineStr"/>
      <c r="V217" s="8" t="inlineStr">
        <is>
          <t>purchases</t>
        </is>
      </c>
      <c r="W217" s="8" t="inlineStr">
        <is>
          <t>RUN</t>
        </is>
      </c>
      <c r="X217" s="5" t="inlineStr">
        <is>
          <t>Core</t>
        </is>
      </c>
      <c r="Y217" s="5" t="inlineStr">
        <is>
          <t>Cross-persona</t>
        </is>
      </c>
      <c r="Z217" s="5" t="inlineStr">
        <is>
          <t>Medium</t>
        </is>
      </c>
      <c r="AA217" s="5" t="inlineStr">
        <is>
          <t>Medium</t>
        </is>
      </c>
      <c r="AB217" s="8" t="inlineStr">
        <is>
          <t>Low</t>
        </is>
      </c>
      <c r="AC217" s="8" t="inlineStr">
        <is>
          <t>Pilot</t>
        </is>
      </c>
      <c r="AD217" s="5" t="inlineStr">
        <is>
          <t>Not independently checked</t>
        </is>
      </c>
      <c r="AE217" s="5" t="inlineStr">
        <is>
          <t>Not verified</t>
        </is>
      </c>
      <c r="AF217" s="5" t="inlineStr">
        <is>
          <t>Not verified</t>
        </is>
      </c>
      <c r="AG217" s="5" t="inlineStr">
        <is>
          <t>Not verified</t>
        </is>
      </c>
      <c r="AH217" s="5" t="inlineStr">
        <is>
          <t>Not verified</t>
        </is>
      </c>
      <c r="AI217" s="8" t="inlineStr">
        <is>
          <t>No</t>
        </is>
      </c>
      <c r="AJ217" s="8" t="inlineStr">
        <is>
          <t>Claimed - unverified</t>
        </is>
      </c>
      <c r="AK217" s="8" t="inlineStr">
        <is>
          <t>P1</t>
        </is>
      </c>
      <c r="AL217" s="8" t="n">
        <v>6</v>
      </c>
      <c r="AM217" s="5" t="inlineStr"/>
      <c r="AN217" s="5" t="inlineStr"/>
      <c r="AO217" s="5" t="inlineStr"/>
      <c r="AP217" s="5" t="inlineStr"/>
      <c r="AQ217" s="5" t="inlineStr"/>
      <c r="AR217" s="5" t="inlineStr"/>
      <c r="AS217" s="5" t="inlineStr"/>
      <c r="AT217" s="5" t="inlineStr"/>
      <c r="AU217" s="8" t="inlineStr">
        <is>
          <t>Not run</t>
        </is>
      </c>
    </row>
    <row r="218" ht="32" customHeight="1">
      <c r="A218" s="16" t="inlineStr">
        <is>
          <t>X-0217</t>
        </is>
      </c>
      <c r="B218" s="8" t="inlineStr">
        <is>
          <t>X</t>
        </is>
      </c>
      <c r="C218" s="5" t="inlineStr">
        <is>
          <t>Multiple / Cross-persona</t>
        </is>
      </c>
      <c r="D218" s="5" t="inlineStr">
        <is>
          <t>Procure-to-Pay</t>
        </is>
      </c>
      <c r="E218" s="5" t="inlineStr">
        <is>
          <t>GRN → batch/serial information is captured</t>
        </is>
      </c>
      <c r="F218" s="5" t="inlineStr">
        <is>
          <t>Godown Custodian</t>
        </is>
      </c>
      <c r="G218" s="5" t="inlineStr">
        <is>
          <t>Supplier</t>
        </is>
      </c>
      <c r="H218" s="5" t="inlineStr">
        <is>
          <t>Capture manufacturer batch numbers, manufacturing/expiry dates, or unit serial numbers</t>
        </is>
      </c>
      <c r="I218" s="5" t="inlineStr">
        <is>
          <t>Creates BatchLot or SerialNumber records linked to inward stock movement</t>
        </is>
      </c>
      <c r="J218" s="20" t="inlineStr">
        <is>
          <t>P1</t>
        </is>
      </c>
      <c r="K218" s="20" t="inlineStr">
        <is>
          <t>Validated (Supported)</t>
        </is>
      </c>
      <c r="L218" s="5" t="inlineStr">
        <is>
          <t>Supported in GRN line-item entry with batch and serial modal inputs.</t>
        </is>
      </c>
      <c r="M218" s="8" t="inlineStr">
        <is>
          <t>Baseline</t>
        </is>
      </c>
      <c r="N218" s="8" t="inlineStr">
        <is>
          <t>Cross-persona</t>
        </is>
      </c>
      <c r="O218" s="8" t="inlineStr">
        <is>
          <t>P1</t>
        </is>
      </c>
      <c r="P218" s="5" t="inlineStr">
        <is>
          <t>Unchanged</t>
        </is>
      </c>
      <c r="Q218" s="20" t="inlineStr">
        <is>
          <t>Author assertion</t>
        </is>
      </c>
      <c r="R218" s="5" t="inlineStr"/>
      <c r="S218" s="8" t="inlineStr">
        <is>
          <t>P2P</t>
        </is>
      </c>
      <c r="T218" s="5" t="inlineStr">
        <is>
          <t>Procure to pay</t>
        </is>
      </c>
      <c r="U218" s="8" t="inlineStr"/>
      <c r="V218" s="8" t="inlineStr">
        <is>
          <t>purchases</t>
        </is>
      </c>
      <c r="W218" s="8" t="inlineStr">
        <is>
          <t>RUN</t>
        </is>
      </c>
      <c r="X218" s="5" t="inlineStr">
        <is>
          <t>Core</t>
        </is>
      </c>
      <c r="Y218" s="5" t="inlineStr">
        <is>
          <t>Cross-persona</t>
        </is>
      </c>
      <c r="Z218" s="5" t="inlineStr">
        <is>
          <t>Medium</t>
        </is>
      </c>
      <c r="AA218" s="5" t="inlineStr">
        <is>
          <t>Medium</t>
        </is>
      </c>
      <c r="AB218" s="8" t="inlineStr">
        <is>
          <t>Low</t>
        </is>
      </c>
      <c r="AC218" s="8" t="inlineStr">
        <is>
          <t>Pilot</t>
        </is>
      </c>
      <c r="AD218" s="5" t="inlineStr">
        <is>
          <t>Not independently checked</t>
        </is>
      </c>
      <c r="AE218" s="5" t="inlineStr">
        <is>
          <t>Not verified</t>
        </is>
      </c>
      <c r="AF218" s="5" t="inlineStr">
        <is>
          <t>Not verified</t>
        </is>
      </c>
      <c r="AG218" s="5" t="inlineStr">
        <is>
          <t>Not verified</t>
        </is>
      </c>
      <c r="AH218" s="5" t="inlineStr">
        <is>
          <t>Not verified</t>
        </is>
      </c>
      <c r="AI218" s="8" t="inlineStr">
        <is>
          <t>No</t>
        </is>
      </c>
      <c r="AJ218" s="8" t="inlineStr">
        <is>
          <t>Claimed - unverified</t>
        </is>
      </c>
      <c r="AK218" s="8" t="inlineStr">
        <is>
          <t>P1</t>
        </is>
      </c>
      <c r="AL218" s="8" t="n">
        <v>6</v>
      </c>
      <c r="AM218" s="5" t="inlineStr"/>
      <c r="AN218" s="5" t="inlineStr"/>
      <c r="AO218" s="5" t="inlineStr"/>
      <c r="AP218" s="5" t="inlineStr"/>
      <c r="AQ218" s="5" t="inlineStr"/>
      <c r="AR218" s="5" t="inlineStr"/>
      <c r="AS218" s="5" t="inlineStr"/>
      <c r="AT218" s="5" t="inlineStr"/>
      <c r="AU218" s="8" t="inlineStr">
        <is>
          <t>Not run</t>
        </is>
      </c>
    </row>
    <row r="219" ht="32" customHeight="1">
      <c r="A219" s="16" t="inlineStr">
        <is>
          <t>X-0218</t>
        </is>
      </c>
      <c r="B219" s="8" t="inlineStr">
        <is>
          <t>X</t>
        </is>
      </c>
      <c r="C219" s="5" t="inlineStr">
        <is>
          <t>Multiple / Cross-persona</t>
        </is>
      </c>
      <c r="D219" s="5" t="inlineStr">
        <is>
          <t>Procure-to-Pay</t>
        </is>
      </c>
      <c r="E219" s="5" t="inlineStr">
        <is>
          <t>GRN → damaged/short quantity is recorded</t>
        </is>
      </c>
      <c r="F219" s="5" t="inlineStr">
        <is>
          <t>Godown Custodian</t>
        </is>
      </c>
      <c r="G219" s="5" t="inlineStr">
        <is>
          <t>Purchase Manager / Supplier</t>
        </is>
      </c>
      <c r="H219" s="5" t="inlineStr">
        <is>
          <t>Shortages and damaged packages documented for supplier debit note claim</t>
        </is>
      </c>
      <c r="I219" s="5" t="inlineStr">
        <is>
          <t>Records damaged/rejected quantity; isolates damaged stock into quarantine location</t>
        </is>
      </c>
      <c r="J219" s="20" t="inlineStr">
        <is>
          <t>P1</t>
        </is>
      </c>
      <c r="K219" s="20" t="inlineStr">
        <is>
          <t>Validated (Supported)</t>
        </is>
      </c>
      <c r="L219" s="5" t="inlineStr">
        <is>
          <t>Supported via GRN rejection quantities with reason code tagging.</t>
        </is>
      </c>
      <c r="M219" s="8" t="inlineStr">
        <is>
          <t>Baseline</t>
        </is>
      </c>
      <c r="N219" s="8" t="inlineStr">
        <is>
          <t>Cross-persona</t>
        </is>
      </c>
      <c r="O219" s="8" t="inlineStr">
        <is>
          <t>P1</t>
        </is>
      </c>
      <c r="P219" s="5" t="inlineStr">
        <is>
          <t>Unchanged</t>
        </is>
      </c>
      <c r="Q219" s="20" t="inlineStr">
        <is>
          <t>Author assertion</t>
        </is>
      </c>
      <c r="R219" s="5" t="inlineStr"/>
      <c r="S219" s="8" t="inlineStr">
        <is>
          <t>P2P</t>
        </is>
      </c>
      <c r="T219" s="5" t="inlineStr">
        <is>
          <t>Procure to pay</t>
        </is>
      </c>
      <c r="U219" s="8" t="inlineStr"/>
      <c r="V219" s="8" t="inlineStr">
        <is>
          <t>purchases</t>
        </is>
      </c>
      <c r="W219" s="8" t="inlineStr">
        <is>
          <t>RUN</t>
        </is>
      </c>
      <c r="X219" s="5" t="inlineStr">
        <is>
          <t>Core</t>
        </is>
      </c>
      <c r="Y219" s="5" t="inlineStr">
        <is>
          <t>Cross-persona</t>
        </is>
      </c>
      <c r="Z219" s="5" t="inlineStr">
        <is>
          <t>Medium</t>
        </is>
      </c>
      <c r="AA219" s="5" t="inlineStr">
        <is>
          <t>Medium</t>
        </is>
      </c>
      <c r="AB219" s="8" t="inlineStr">
        <is>
          <t>Low</t>
        </is>
      </c>
      <c r="AC219" s="8" t="inlineStr">
        <is>
          <t>Pilot</t>
        </is>
      </c>
      <c r="AD219" s="5" t="inlineStr">
        <is>
          <t>Not independently checked</t>
        </is>
      </c>
      <c r="AE219" s="5" t="inlineStr">
        <is>
          <t>Not verified</t>
        </is>
      </c>
      <c r="AF219" s="5" t="inlineStr">
        <is>
          <t>Not verified</t>
        </is>
      </c>
      <c r="AG219" s="5" t="inlineStr">
        <is>
          <t>Not verified</t>
        </is>
      </c>
      <c r="AH219" s="5" t="inlineStr">
        <is>
          <t>Not verified</t>
        </is>
      </c>
      <c r="AI219" s="8" t="inlineStr">
        <is>
          <t>No</t>
        </is>
      </c>
      <c r="AJ219" s="8" t="inlineStr">
        <is>
          <t>Claimed - unverified</t>
        </is>
      </c>
      <c r="AK219" s="8" t="inlineStr">
        <is>
          <t>P1</t>
        </is>
      </c>
      <c r="AL219" s="8" t="n">
        <v>6</v>
      </c>
      <c r="AM219" s="5" t="inlineStr"/>
      <c r="AN219" s="5" t="inlineStr"/>
      <c r="AO219" s="5" t="inlineStr"/>
      <c r="AP219" s="5" t="inlineStr"/>
      <c r="AQ219" s="5" t="inlineStr"/>
      <c r="AR219" s="5" t="inlineStr"/>
      <c r="AS219" s="5" t="inlineStr"/>
      <c r="AT219" s="5" t="inlineStr"/>
      <c r="AU219" s="8" t="inlineStr">
        <is>
          <t>Not run</t>
        </is>
      </c>
    </row>
    <row r="220" ht="32" customHeight="1">
      <c r="A220" s="16" t="inlineStr">
        <is>
          <t>X-0219</t>
        </is>
      </c>
      <c r="B220" s="8" t="inlineStr">
        <is>
          <t>X</t>
        </is>
      </c>
      <c r="C220" s="5" t="inlineStr">
        <is>
          <t>Multiple / Cross-persona</t>
        </is>
      </c>
      <c r="D220" s="5" t="inlineStr">
        <is>
          <t>Procure-to-Pay</t>
        </is>
      </c>
      <c r="E220" s="5" t="inlineStr">
        <is>
          <t>GRN → purchase order received quantity is updated</t>
        </is>
      </c>
      <c r="F220" s="5" t="inlineStr">
        <is>
          <t>System / Procurement Engine</t>
        </is>
      </c>
      <c r="G220" s="5" t="inlineStr">
        <is>
          <t>Purchase Manager</t>
        </is>
      </c>
      <c r="H220" s="5" t="inlineStr">
        <is>
          <t>Purchase order line received quantities updated; tracks partial shipment balances</t>
        </is>
      </c>
      <c r="I220" s="5" t="inlineStr">
        <is>
          <t>Updates received_quantity on PO lines; marks PO as PARTIALLY_RECEIVED or RECEIVED</t>
        </is>
      </c>
      <c r="J220" s="20" t="inlineStr">
        <is>
          <t>P1</t>
        </is>
      </c>
      <c r="K220" s="20" t="inlineStr">
        <is>
          <t>Validated (Supported)</t>
        </is>
      </c>
      <c r="L220" s="5" t="inlineStr">
        <is>
          <t>Automated PO line-item balance reconciliation upon GRN posting.</t>
        </is>
      </c>
      <c r="M220" s="8" t="inlineStr">
        <is>
          <t>Baseline</t>
        </is>
      </c>
      <c r="N220" s="8" t="inlineStr">
        <is>
          <t>Cross-persona</t>
        </is>
      </c>
      <c r="O220" s="8" t="inlineStr">
        <is>
          <t>P1</t>
        </is>
      </c>
      <c r="P220" s="5" t="inlineStr">
        <is>
          <t>Unchanged</t>
        </is>
      </c>
      <c r="Q220" s="20" t="inlineStr">
        <is>
          <t>Author assertion</t>
        </is>
      </c>
      <c r="R220" s="5" t="inlineStr"/>
      <c r="S220" s="8" t="inlineStr">
        <is>
          <t>P2P</t>
        </is>
      </c>
      <c r="T220" s="5" t="inlineStr">
        <is>
          <t>Procure to pay</t>
        </is>
      </c>
      <c r="U220" s="8" t="inlineStr"/>
      <c r="V220" s="8" t="inlineStr">
        <is>
          <t>purchases</t>
        </is>
      </c>
      <c r="W220" s="8" t="inlineStr">
        <is>
          <t>RUN</t>
        </is>
      </c>
      <c r="X220" s="5" t="inlineStr">
        <is>
          <t>Core</t>
        </is>
      </c>
      <c r="Y220" s="5" t="inlineStr">
        <is>
          <t>Cross-persona</t>
        </is>
      </c>
      <c r="Z220" s="5" t="inlineStr">
        <is>
          <t>Medium</t>
        </is>
      </c>
      <c r="AA220" s="5" t="inlineStr">
        <is>
          <t>Medium</t>
        </is>
      </c>
      <c r="AB220" s="8" t="inlineStr">
        <is>
          <t>Low</t>
        </is>
      </c>
      <c r="AC220" s="8" t="inlineStr">
        <is>
          <t>Pilot</t>
        </is>
      </c>
      <c r="AD220" s="5" t="inlineStr">
        <is>
          <t>Not independently checked</t>
        </is>
      </c>
      <c r="AE220" s="5" t="inlineStr">
        <is>
          <t>Not verified</t>
        </is>
      </c>
      <c r="AF220" s="5" t="inlineStr">
        <is>
          <t>Not verified</t>
        </is>
      </c>
      <c r="AG220" s="5" t="inlineStr">
        <is>
          <t>Not verified</t>
        </is>
      </c>
      <c r="AH220" s="5" t="inlineStr">
        <is>
          <t>Not verified</t>
        </is>
      </c>
      <c r="AI220" s="8" t="inlineStr">
        <is>
          <t>No</t>
        </is>
      </c>
      <c r="AJ220" s="8" t="inlineStr">
        <is>
          <t>Claimed - unverified</t>
        </is>
      </c>
      <c r="AK220" s="8" t="inlineStr">
        <is>
          <t>P1</t>
        </is>
      </c>
      <c r="AL220" s="8" t="n">
        <v>6</v>
      </c>
      <c r="AM220" s="5" t="inlineStr"/>
      <c r="AN220" s="5" t="inlineStr"/>
      <c r="AO220" s="5" t="inlineStr"/>
      <c r="AP220" s="5" t="inlineStr"/>
      <c r="AQ220" s="5" t="inlineStr"/>
      <c r="AR220" s="5" t="inlineStr"/>
      <c r="AS220" s="5" t="inlineStr"/>
      <c r="AT220" s="5" t="inlineStr"/>
      <c r="AU220" s="8" t="inlineStr">
        <is>
          <t>Not run</t>
        </is>
      </c>
    </row>
    <row r="221" ht="32" customHeight="1">
      <c r="A221" s="16" t="inlineStr">
        <is>
          <t>X-0220</t>
        </is>
      </c>
      <c r="B221" s="8" t="inlineStr">
        <is>
          <t>X</t>
        </is>
      </c>
      <c r="C221" s="5" t="inlineStr">
        <is>
          <t>Multiple / Cross-persona</t>
        </is>
      </c>
      <c r="D221" s="5" t="inlineStr">
        <is>
          <t>Procure-to-Pay</t>
        </is>
      </c>
      <c r="E221" s="5" t="inlineStr">
        <is>
          <t>Supplier invoice arrives → invoice is matched against PO/GRN</t>
        </is>
      </c>
      <c r="F221" s="5" t="inlineStr">
        <is>
          <t>In-house Accountant</t>
        </is>
      </c>
      <c r="G221" s="5" t="inlineStr">
        <is>
          <t>Purchase Manager</t>
        </is>
      </c>
      <c r="H221" s="5" t="inlineStr">
        <is>
          <t>3-way matching between Purchase Order, Goods Receipt Note, and Supplier Tax Invoice</t>
        </is>
      </c>
      <c r="I221" s="5" t="inlineStr">
        <is>
          <t>Matches invoice quantities, unit prices, and tax rates against GRN and PO records</t>
        </is>
      </c>
      <c r="J221" s="20" t="inlineStr">
        <is>
          <t>P1</t>
        </is>
      </c>
      <c r="K221" s="20" t="inlineStr">
        <is>
          <t>Validated (Supported)</t>
        </is>
      </c>
      <c r="L221" s="5" t="inlineStr">
        <is>
          <t>Supported via 3-way matching interface in /purchases/invoices/create.</t>
        </is>
      </c>
      <c r="M221" s="8" t="inlineStr">
        <is>
          <t>Baseline</t>
        </is>
      </c>
      <c r="N221" s="8" t="inlineStr">
        <is>
          <t>Cross-persona</t>
        </is>
      </c>
      <c r="O221" s="8" t="inlineStr">
        <is>
          <t>P1</t>
        </is>
      </c>
      <c r="P221" s="5" t="inlineStr">
        <is>
          <t>Unchanged</t>
        </is>
      </c>
      <c r="Q221" s="20" t="inlineStr">
        <is>
          <t>Author assertion</t>
        </is>
      </c>
      <c r="R221" s="5" t="inlineStr"/>
      <c r="S221" s="8" t="inlineStr">
        <is>
          <t>P2P</t>
        </is>
      </c>
      <c r="T221" s="5" t="inlineStr">
        <is>
          <t>Procure to pay</t>
        </is>
      </c>
      <c r="U221" s="8" t="inlineStr"/>
      <c r="V221" s="8" t="inlineStr">
        <is>
          <t>purchases</t>
        </is>
      </c>
      <c r="W221" s="8" t="inlineStr">
        <is>
          <t>RUN</t>
        </is>
      </c>
      <c r="X221" s="5" t="inlineStr">
        <is>
          <t>Core</t>
        </is>
      </c>
      <c r="Y221" s="5" t="inlineStr">
        <is>
          <t>Cross-persona</t>
        </is>
      </c>
      <c r="Z221" s="5" t="inlineStr">
        <is>
          <t>Medium</t>
        </is>
      </c>
      <c r="AA221" s="5" t="inlineStr">
        <is>
          <t>Medium</t>
        </is>
      </c>
      <c r="AB221" s="8" t="inlineStr">
        <is>
          <t>Low</t>
        </is>
      </c>
      <c r="AC221" s="8" t="inlineStr">
        <is>
          <t>Pilot</t>
        </is>
      </c>
      <c r="AD221" s="5" t="inlineStr">
        <is>
          <t>Not independently checked</t>
        </is>
      </c>
      <c r="AE221" s="5" t="inlineStr">
        <is>
          <t>Not verified</t>
        </is>
      </c>
      <c r="AF221" s="5" t="inlineStr">
        <is>
          <t>Not verified</t>
        </is>
      </c>
      <c r="AG221" s="5" t="inlineStr">
        <is>
          <t>Not verified</t>
        </is>
      </c>
      <c r="AH221" s="5" t="inlineStr">
        <is>
          <t>Not verified</t>
        </is>
      </c>
      <c r="AI221" s="8" t="inlineStr">
        <is>
          <t>No</t>
        </is>
      </c>
      <c r="AJ221" s="8" t="inlineStr">
        <is>
          <t>Claimed - unverified</t>
        </is>
      </c>
      <c r="AK221" s="8" t="inlineStr">
        <is>
          <t>P1</t>
        </is>
      </c>
      <c r="AL221" s="8" t="n">
        <v>6</v>
      </c>
      <c r="AM221" s="5" t="inlineStr"/>
      <c r="AN221" s="5" t="inlineStr"/>
      <c r="AO221" s="5" t="inlineStr"/>
      <c r="AP221" s="5" t="inlineStr"/>
      <c r="AQ221" s="5" t="inlineStr"/>
      <c r="AR221" s="5" t="inlineStr"/>
      <c r="AS221" s="5" t="inlineStr"/>
      <c r="AT221" s="5" t="inlineStr"/>
      <c r="AU221" s="8" t="inlineStr">
        <is>
          <t>Not run</t>
        </is>
      </c>
    </row>
    <row r="222" ht="32" customHeight="1">
      <c r="A222" s="16" t="inlineStr">
        <is>
          <t>X-0221</t>
        </is>
      </c>
      <c r="B222" s="8" t="inlineStr">
        <is>
          <t>X</t>
        </is>
      </c>
      <c r="C222" s="5" t="inlineStr">
        <is>
          <t>Multiple / Cross-persona</t>
        </is>
      </c>
      <c r="D222" s="5" t="inlineStr">
        <is>
          <t>Procure-to-Pay</t>
        </is>
      </c>
      <c r="E222" s="5" t="inlineStr">
        <is>
          <t>Quantity mismatch → exception is generated</t>
        </is>
      </c>
      <c r="F222" s="5" t="inlineStr">
        <is>
          <t>In-house Accountant</t>
        </is>
      </c>
      <c r="G222" s="5" t="inlineStr">
        <is>
          <t>Purchase Manager</t>
        </is>
      </c>
      <c r="H222" s="5" t="inlineStr">
        <is>
          <t>Discrepancy flagged when billed invoice quantity exceeds physically received GRN quantity</t>
        </is>
      </c>
      <c r="I222" s="5" t="inlineStr">
        <is>
          <t>Generates Quantity Mismatch exception; blocks automated invoice approval pending review</t>
        </is>
      </c>
      <c r="J222" s="20" t="inlineStr">
        <is>
          <t>P1</t>
        </is>
      </c>
      <c r="K222" s="20" t="inlineStr">
        <is>
          <t>Validated (Supported)</t>
        </is>
      </c>
      <c r="L222" s="5" t="inlineStr">
        <is>
          <t>Automated validation check; surfaces variance warning badge on invoice line.</t>
        </is>
      </c>
      <c r="M222" s="8" t="inlineStr">
        <is>
          <t>Baseline</t>
        </is>
      </c>
      <c r="N222" s="8" t="inlineStr">
        <is>
          <t>Cross-persona</t>
        </is>
      </c>
      <c r="O222" s="8" t="inlineStr">
        <is>
          <t>P1</t>
        </is>
      </c>
      <c r="P222" s="5" t="inlineStr">
        <is>
          <t>Unchanged</t>
        </is>
      </c>
      <c r="Q222" s="20" t="inlineStr">
        <is>
          <t>Author assertion</t>
        </is>
      </c>
      <c r="R222" s="5" t="inlineStr"/>
      <c r="S222" s="8" t="inlineStr">
        <is>
          <t>P2P</t>
        </is>
      </c>
      <c r="T222" s="5" t="inlineStr">
        <is>
          <t>Procure to pay</t>
        </is>
      </c>
      <c r="U222" s="8" t="inlineStr"/>
      <c r="V222" s="8" t="inlineStr">
        <is>
          <t>purchases</t>
        </is>
      </c>
      <c r="W222" s="8" t="inlineStr">
        <is>
          <t>RUN</t>
        </is>
      </c>
      <c r="X222" s="5" t="inlineStr">
        <is>
          <t>Core</t>
        </is>
      </c>
      <c r="Y222" s="5" t="inlineStr">
        <is>
          <t>Cross-persona</t>
        </is>
      </c>
      <c r="Z222" s="5" t="inlineStr">
        <is>
          <t>Medium</t>
        </is>
      </c>
      <c r="AA222" s="5" t="inlineStr">
        <is>
          <t>Medium</t>
        </is>
      </c>
      <c r="AB222" s="8" t="inlineStr">
        <is>
          <t>Low</t>
        </is>
      </c>
      <c r="AC222" s="8" t="inlineStr">
        <is>
          <t>Pilot</t>
        </is>
      </c>
      <c r="AD222" s="5" t="inlineStr">
        <is>
          <t>Not independently checked</t>
        </is>
      </c>
      <c r="AE222" s="5" t="inlineStr">
        <is>
          <t>Not verified</t>
        </is>
      </c>
      <c r="AF222" s="5" t="inlineStr">
        <is>
          <t>Not verified</t>
        </is>
      </c>
      <c r="AG222" s="5" t="inlineStr">
        <is>
          <t>Not verified</t>
        </is>
      </c>
      <c r="AH222" s="5" t="inlineStr">
        <is>
          <t>Not verified</t>
        </is>
      </c>
      <c r="AI222" s="8" t="inlineStr">
        <is>
          <t>No</t>
        </is>
      </c>
      <c r="AJ222" s="8" t="inlineStr">
        <is>
          <t>Claimed - unverified</t>
        </is>
      </c>
      <c r="AK222" s="8" t="inlineStr">
        <is>
          <t>P1</t>
        </is>
      </c>
      <c r="AL222" s="8" t="n">
        <v>6</v>
      </c>
      <c r="AM222" s="5" t="inlineStr"/>
      <c r="AN222" s="5" t="inlineStr"/>
      <c r="AO222" s="5" t="inlineStr"/>
      <c r="AP222" s="5" t="inlineStr"/>
      <c r="AQ222" s="5" t="inlineStr"/>
      <c r="AR222" s="5" t="inlineStr"/>
      <c r="AS222" s="5" t="inlineStr"/>
      <c r="AT222" s="5" t="inlineStr"/>
      <c r="AU222" s="8" t="inlineStr">
        <is>
          <t>Not run</t>
        </is>
      </c>
    </row>
    <row r="223" ht="32" customHeight="1">
      <c r="A223" s="16" t="inlineStr">
        <is>
          <t>X-0222</t>
        </is>
      </c>
      <c r="B223" s="8" t="inlineStr">
        <is>
          <t>X</t>
        </is>
      </c>
      <c r="C223" s="5" t="inlineStr">
        <is>
          <t>Multiple / Cross-persona</t>
        </is>
      </c>
      <c r="D223" s="5" t="inlineStr">
        <is>
          <t>Procure-to-Pay</t>
        </is>
      </c>
      <c r="E223" s="5" t="inlineStr">
        <is>
          <t>Price mismatch → exception is generated</t>
        </is>
      </c>
      <c r="F223" s="5" t="inlineStr">
        <is>
          <t>In-house Accountant</t>
        </is>
      </c>
      <c r="G223" s="5" t="inlineStr">
        <is>
          <t>Purchase Manager</t>
        </is>
      </c>
      <c r="H223" s="5" t="inlineStr">
        <is>
          <t>Discrepancy flagged when billed unit price exceeds PO contracted price</t>
        </is>
      </c>
      <c r="I223" s="5" t="inlineStr">
        <is>
          <t>Generates Price Variance exception; requires Purchase Manager authorization to accept</t>
        </is>
      </c>
      <c r="J223" s="20" t="inlineStr">
        <is>
          <t>P1</t>
        </is>
      </c>
      <c r="K223" s="20" t="inlineStr">
        <is>
          <t>Validated (Supported)</t>
        </is>
      </c>
      <c r="L223" s="5" t="inlineStr">
        <is>
          <t>Automated price variance check against PO master rate.</t>
        </is>
      </c>
      <c r="M223" s="8" t="inlineStr">
        <is>
          <t>Baseline</t>
        </is>
      </c>
      <c r="N223" s="8" t="inlineStr">
        <is>
          <t>Cross-persona</t>
        </is>
      </c>
      <c r="O223" s="8" t="inlineStr">
        <is>
          <t>P1</t>
        </is>
      </c>
      <c r="P223" s="5" t="inlineStr">
        <is>
          <t>Unchanged</t>
        </is>
      </c>
      <c r="Q223" s="20" t="inlineStr">
        <is>
          <t>Author assertion</t>
        </is>
      </c>
      <c r="R223" s="5" t="inlineStr"/>
      <c r="S223" s="8" t="inlineStr">
        <is>
          <t>P2P</t>
        </is>
      </c>
      <c r="T223" s="5" t="inlineStr">
        <is>
          <t>Procure to pay</t>
        </is>
      </c>
      <c r="U223" s="8" t="inlineStr"/>
      <c r="V223" s="8" t="inlineStr">
        <is>
          <t>purchases</t>
        </is>
      </c>
      <c r="W223" s="8" t="inlineStr">
        <is>
          <t>RUN</t>
        </is>
      </c>
      <c r="X223" s="5" t="inlineStr">
        <is>
          <t>Core</t>
        </is>
      </c>
      <c r="Y223" s="5" t="inlineStr">
        <is>
          <t>Cross-persona</t>
        </is>
      </c>
      <c r="Z223" s="5" t="inlineStr">
        <is>
          <t>Medium</t>
        </is>
      </c>
      <c r="AA223" s="5" t="inlineStr">
        <is>
          <t>Medium</t>
        </is>
      </c>
      <c r="AB223" s="8" t="inlineStr">
        <is>
          <t>Low</t>
        </is>
      </c>
      <c r="AC223" s="8" t="inlineStr">
        <is>
          <t>Pilot</t>
        </is>
      </c>
      <c r="AD223" s="5" t="inlineStr">
        <is>
          <t>Not independently checked</t>
        </is>
      </c>
      <c r="AE223" s="5" t="inlineStr">
        <is>
          <t>Not verified</t>
        </is>
      </c>
      <c r="AF223" s="5" t="inlineStr">
        <is>
          <t>Not verified</t>
        </is>
      </c>
      <c r="AG223" s="5" t="inlineStr">
        <is>
          <t>Not verified</t>
        </is>
      </c>
      <c r="AH223" s="5" t="inlineStr">
        <is>
          <t>Not verified</t>
        </is>
      </c>
      <c r="AI223" s="8" t="inlineStr">
        <is>
          <t>No</t>
        </is>
      </c>
      <c r="AJ223" s="8" t="inlineStr">
        <is>
          <t>Claimed - unverified</t>
        </is>
      </c>
      <c r="AK223" s="8" t="inlineStr">
        <is>
          <t>P1</t>
        </is>
      </c>
      <c r="AL223" s="8" t="n">
        <v>6</v>
      </c>
      <c r="AM223" s="5" t="inlineStr"/>
      <c r="AN223" s="5" t="inlineStr"/>
      <c r="AO223" s="5" t="inlineStr"/>
      <c r="AP223" s="5" t="inlineStr"/>
      <c r="AQ223" s="5" t="inlineStr"/>
      <c r="AR223" s="5" t="inlineStr"/>
      <c r="AS223" s="5" t="inlineStr"/>
      <c r="AT223" s="5" t="inlineStr"/>
      <c r="AU223" s="8" t="inlineStr">
        <is>
          <t>Not run</t>
        </is>
      </c>
    </row>
    <row r="224" ht="32" customHeight="1">
      <c r="A224" s="16" t="inlineStr">
        <is>
          <t>X-0223</t>
        </is>
      </c>
      <c r="B224" s="8" t="inlineStr">
        <is>
          <t>X</t>
        </is>
      </c>
      <c r="C224" s="5" t="inlineStr">
        <is>
          <t>Multiple / Cross-persona</t>
        </is>
      </c>
      <c r="D224" s="5" t="inlineStr">
        <is>
          <t>Procure-to-Pay</t>
        </is>
      </c>
      <c r="E224" s="5" t="inlineStr">
        <is>
          <t>Tax mismatch → exception is generated</t>
        </is>
      </c>
      <c r="F224" s="5" t="inlineStr">
        <is>
          <t>In-house Accountant</t>
        </is>
      </c>
      <c r="G224" s="5" t="inlineStr">
        <is>
          <t>Supplier</t>
        </is>
      </c>
      <c r="H224" s="5" t="inlineStr">
        <is>
          <t>Discrepancy flagged when supplier tax rate or calculation differs from configured HSN rate</t>
        </is>
      </c>
      <c r="I224" s="5" t="inlineStr">
        <is>
          <t>Flags statutory tax mismatch; prevents incorrect Input Tax Credit (ITC) booking</t>
        </is>
      </c>
      <c r="J224" s="20" t="inlineStr">
        <is>
          <t>P1</t>
        </is>
      </c>
      <c r="K224" s="20" t="inlineStr">
        <is>
          <t>Validated (Supported)</t>
        </is>
      </c>
      <c r="L224" s="5" t="inlineStr">
        <is>
          <t>GST Guard validation rule checking invoice tax against master HSN schedule.</t>
        </is>
      </c>
      <c r="M224" s="8" t="inlineStr">
        <is>
          <t>Baseline</t>
        </is>
      </c>
      <c r="N224" s="8" t="inlineStr">
        <is>
          <t>Cross-persona</t>
        </is>
      </c>
      <c r="O224" s="8" t="inlineStr">
        <is>
          <t>P1</t>
        </is>
      </c>
      <c r="P224" s="5" t="inlineStr">
        <is>
          <t>Unchanged</t>
        </is>
      </c>
      <c r="Q224" s="20" t="inlineStr">
        <is>
          <t>Author assertion</t>
        </is>
      </c>
      <c r="R224" s="5" t="inlineStr"/>
      <c r="S224" s="8" t="inlineStr">
        <is>
          <t>P2P</t>
        </is>
      </c>
      <c r="T224" s="5" t="inlineStr">
        <is>
          <t>Procure to pay</t>
        </is>
      </c>
      <c r="U224" s="8" t="inlineStr"/>
      <c r="V224" s="8" t="inlineStr">
        <is>
          <t>purchases</t>
        </is>
      </c>
      <c r="W224" s="8" t="inlineStr">
        <is>
          <t>RUN</t>
        </is>
      </c>
      <c r="X224" s="5" t="inlineStr">
        <is>
          <t>Core</t>
        </is>
      </c>
      <c r="Y224" s="5" t="inlineStr">
        <is>
          <t>Cross-persona</t>
        </is>
      </c>
      <c r="Z224" s="5" t="inlineStr">
        <is>
          <t>Medium</t>
        </is>
      </c>
      <c r="AA224" s="5" t="inlineStr">
        <is>
          <t>Medium</t>
        </is>
      </c>
      <c r="AB224" s="8" t="inlineStr">
        <is>
          <t>Low</t>
        </is>
      </c>
      <c r="AC224" s="8" t="inlineStr">
        <is>
          <t>Pilot</t>
        </is>
      </c>
      <c r="AD224" s="5" t="inlineStr">
        <is>
          <t>Not independently checked</t>
        </is>
      </c>
      <c r="AE224" s="5" t="inlineStr">
        <is>
          <t>Not verified</t>
        </is>
      </c>
      <c r="AF224" s="5" t="inlineStr">
        <is>
          <t>Not verified</t>
        </is>
      </c>
      <c r="AG224" s="5" t="inlineStr">
        <is>
          <t>Not verified</t>
        </is>
      </c>
      <c r="AH224" s="5" t="inlineStr">
        <is>
          <t>Not verified</t>
        </is>
      </c>
      <c r="AI224" s="8" t="inlineStr">
        <is>
          <t>No</t>
        </is>
      </c>
      <c r="AJ224" s="8" t="inlineStr">
        <is>
          <t>Claimed - unverified</t>
        </is>
      </c>
      <c r="AK224" s="8" t="inlineStr">
        <is>
          <t>P1</t>
        </is>
      </c>
      <c r="AL224" s="8" t="n">
        <v>6</v>
      </c>
      <c r="AM224" s="5" t="inlineStr"/>
      <c r="AN224" s="5" t="inlineStr"/>
      <c r="AO224" s="5" t="inlineStr"/>
      <c r="AP224" s="5" t="inlineStr"/>
      <c r="AQ224" s="5" t="inlineStr"/>
      <c r="AR224" s="5" t="inlineStr"/>
      <c r="AS224" s="5" t="inlineStr"/>
      <c r="AT224" s="5" t="inlineStr"/>
      <c r="AU224" s="8" t="inlineStr">
        <is>
          <t>Not run</t>
        </is>
      </c>
    </row>
    <row r="225" ht="32" customHeight="1">
      <c r="A225" s="16" t="inlineStr">
        <is>
          <t>X-0224</t>
        </is>
      </c>
      <c r="B225" s="8" t="inlineStr">
        <is>
          <t>X</t>
        </is>
      </c>
      <c r="C225" s="5" t="inlineStr">
        <is>
          <t>Multiple / Cross-persona</t>
        </is>
      </c>
      <c r="D225" s="5" t="inlineStr">
        <is>
          <t>Procure-to-Pay</t>
        </is>
      </c>
      <c r="E225" s="5" t="inlineStr">
        <is>
          <t>Supplier invoice accepted → payable is created</t>
        </is>
      </c>
      <c r="F225" s="5" t="inlineStr">
        <is>
          <t>System / Ledger Engine</t>
        </is>
      </c>
      <c r="G225" s="5" t="inlineStr">
        <is>
          <t>In-house Accountant</t>
        </is>
      </c>
      <c r="H225" s="5" t="inlineStr">
        <is>
          <t>Accounts Payable liability booked in general ledger for supplier settlement</t>
        </is>
      </c>
      <c r="I225" s="5" t="inlineStr">
        <is>
          <t>Credits Supplier Accounts Payable ledger account; debits Purchase Expense/Inventory asset in GL</t>
        </is>
      </c>
      <c r="J225" s="20" t="inlineStr">
        <is>
          <t>P1</t>
        </is>
      </c>
      <c r="K225" s="20" t="inlineStr">
        <is>
          <t>Validated (Supported)</t>
        </is>
      </c>
      <c r="L225" s="5" t="inlineStr">
        <is>
          <t>Core system invariant: PurchaseInvoice completion atomically creates double-entry AP voucher.</t>
        </is>
      </c>
      <c r="M225" s="8" t="inlineStr">
        <is>
          <t>Baseline</t>
        </is>
      </c>
      <c r="N225" s="8" t="inlineStr">
        <is>
          <t>Cross-persona</t>
        </is>
      </c>
      <c r="O225" s="8" t="inlineStr">
        <is>
          <t>P1</t>
        </is>
      </c>
      <c r="P225" s="5" t="inlineStr">
        <is>
          <t>Restored to authored P1. The previous workbook had P0 after a keyword rebalance.</t>
        </is>
      </c>
      <c r="Q225" s="21" t="inlineStr">
        <is>
          <t>Code symbol found</t>
        </is>
      </c>
      <c r="R225" s="5" t="inlineStr">
        <is>
          <t>Matched PurchaseInvoice in product code. This is not a functional test. Restored to authored P1. The previous workbook had P0 after a keyword rebalance.</t>
        </is>
      </c>
      <c r="S225" s="8" t="inlineStr">
        <is>
          <t>P2P</t>
        </is>
      </c>
      <c r="T225" s="5" t="inlineStr">
        <is>
          <t>Procure to pay</t>
        </is>
      </c>
      <c r="U225" s="8" t="inlineStr"/>
      <c r="V225" s="8" t="inlineStr">
        <is>
          <t>purchases</t>
        </is>
      </c>
      <c r="W225" s="8" t="inlineStr">
        <is>
          <t>RUN</t>
        </is>
      </c>
      <c r="X225" s="5" t="inlineStr">
        <is>
          <t>Core</t>
        </is>
      </c>
      <c r="Y225" s="5" t="inlineStr">
        <is>
          <t>Cross-persona</t>
        </is>
      </c>
      <c r="Z225" s="5" t="inlineStr">
        <is>
          <t>Medium</t>
        </is>
      </c>
      <c r="AA225" s="5" t="inlineStr">
        <is>
          <t>Medium</t>
        </is>
      </c>
      <c r="AB225" s="8" t="inlineStr">
        <is>
          <t>Low</t>
        </is>
      </c>
      <c r="AC225" s="8" t="inlineStr">
        <is>
          <t>Pilot</t>
        </is>
      </c>
      <c r="AD225" s="5" t="inlineStr">
        <is>
          <t>Cited in code</t>
        </is>
      </c>
      <c r="AE225" s="5" t="inlineStr">
        <is>
          <t>Not verified</t>
        </is>
      </c>
      <c r="AF225" s="5" t="inlineStr">
        <is>
          <t>Not verified</t>
        </is>
      </c>
      <c r="AG225" s="5" t="inlineStr">
        <is>
          <t>Not verified</t>
        </is>
      </c>
      <c r="AH225" s="5" t="inlineStr">
        <is>
          <t>Not verified</t>
        </is>
      </c>
      <c r="AI225" s="8" t="inlineStr">
        <is>
          <t>No</t>
        </is>
      </c>
      <c r="AJ225" s="8" t="inlineStr">
        <is>
          <t>Built - unverified</t>
        </is>
      </c>
      <c r="AK225" s="8" t="inlineStr">
        <is>
          <t>P1</t>
        </is>
      </c>
      <c r="AL225" s="8" t="n">
        <v>6</v>
      </c>
      <c r="AM225" s="5" t="inlineStr"/>
      <c r="AN225" s="5" t="inlineStr"/>
      <c r="AO225" s="5" t="inlineStr"/>
      <c r="AP225" s="5" t="inlineStr"/>
      <c r="AQ225" s="5" t="inlineStr"/>
      <c r="AR225" s="5" t="inlineStr"/>
      <c r="AS225" s="5" t="inlineStr"/>
      <c r="AT225" s="5" t="inlineStr"/>
      <c r="AU225" s="8" t="inlineStr">
        <is>
          <t>Not run</t>
        </is>
      </c>
    </row>
    <row r="226" ht="32" customHeight="1">
      <c r="A226" s="16" t="inlineStr">
        <is>
          <t>X-0225</t>
        </is>
      </c>
      <c r="B226" s="8" t="inlineStr">
        <is>
          <t>X</t>
        </is>
      </c>
      <c r="C226" s="5" t="inlineStr">
        <is>
          <t>Multiple / Cross-persona</t>
        </is>
      </c>
      <c r="D226" s="5" t="inlineStr">
        <is>
          <t>Procure-to-Pay</t>
        </is>
      </c>
      <c r="E226" s="5" t="inlineStr">
        <is>
          <t>Purchase → GST input tax is calculated</t>
        </is>
      </c>
      <c r="F226" s="5" t="inlineStr">
        <is>
          <t>Tax Calculation Engine</t>
        </is>
      </c>
      <c r="G226" s="5" t="inlineStr">
        <is>
          <t>In-house Accountant</t>
        </is>
      </c>
      <c r="H226" s="5" t="inlineStr">
        <is>
          <t>Input Tax Credit (ITC) calculated and credited to CGST/SGST/IGST input tax ledgers</t>
        </is>
      </c>
      <c r="I226" s="5" t="inlineStr">
        <is>
          <t>Debits GST Input Tax ledger accounts; populates inward tax summary for GSTR-3B Table 4</t>
        </is>
      </c>
      <c r="J226" s="20" t="inlineStr">
        <is>
          <t>P1</t>
        </is>
      </c>
      <c r="K226" s="20" t="inlineStr">
        <is>
          <t>Validated (Supported)</t>
        </is>
      </c>
      <c r="L226" s="5" t="inlineStr">
        <is>
          <t>Supported via TaxEngine inward tax calculation.</t>
        </is>
      </c>
      <c r="M226" s="8" t="inlineStr">
        <is>
          <t>Baseline</t>
        </is>
      </c>
      <c r="N226" s="8" t="inlineStr">
        <is>
          <t>Cross-persona</t>
        </is>
      </c>
      <c r="O226" s="8" t="inlineStr">
        <is>
          <t>P1</t>
        </is>
      </c>
      <c r="P226" s="5" t="inlineStr">
        <is>
          <t>Unchanged</t>
        </is>
      </c>
      <c r="Q226" s="21" t="inlineStr">
        <is>
          <t>Code symbol found</t>
        </is>
      </c>
      <c r="R226" s="5" t="inlineStr">
        <is>
          <t>Matched TaxEngine in product code. This is not a functional test.</t>
        </is>
      </c>
      <c r="S226" s="8" t="inlineStr">
        <is>
          <t>P2P</t>
        </is>
      </c>
      <c r="T226" s="5" t="inlineStr">
        <is>
          <t>Procure to pay</t>
        </is>
      </c>
      <c r="U226" s="8" t="inlineStr"/>
      <c r="V226" s="8" t="inlineStr">
        <is>
          <t>purchases</t>
        </is>
      </c>
      <c r="W226" s="8" t="inlineStr">
        <is>
          <t>RUN</t>
        </is>
      </c>
      <c r="X226" s="5" t="inlineStr">
        <is>
          <t>Core</t>
        </is>
      </c>
      <c r="Y226" s="5" t="inlineStr">
        <is>
          <t>Cross-persona</t>
        </is>
      </c>
      <c r="Z226" s="5" t="inlineStr">
        <is>
          <t>Medium</t>
        </is>
      </c>
      <c r="AA226" s="5" t="inlineStr">
        <is>
          <t>Medium</t>
        </is>
      </c>
      <c r="AB226" s="8" t="inlineStr">
        <is>
          <t>Low</t>
        </is>
      </c>
      <c r="AC226" s="8" t="inlineStr">
        <is>
          <t>Pilot</t>
        </is>
      </c>
      <c r="AD226" s="5" t="inlineStr">
        <is>
          <t>Cited in code</t>
        </is>
      </c>
      <c r="AE226" s="5" t="inlineStr">
        <is>
          <t>Not verified</t>
        </is>
      </c>
      <c r="AF226" s="5" t="inlineStr">
        <is>
          <t>Not verified</t>
        </is>
      </c>
      <c r="AG226" s="5" t="inlineStr">
        <is>
          <t>Not verified</t>
        </is>
      </c>
      <c r="AH226" s="5" t="inlineStr">
        <is>
          <t>Not verified</t>
        </is>
      </c>
      <c r="AI226" s="8" t="inlineStr">
        <is>
          <t>No</t>
        </is>
      </c>
      <c r="AJ226" s="8" t="inlineStr">
        <is>
          <t>Built - unverified</t>
        </is>
      </c>
      <c r="AK226" s="8" t="inlineStr">
        <is>
          <t>P1</t>
        </is>
      </c>
      <c r="AL226" s="8" t="n">
        <v>6</v>
      </c>
      <c r="AM226" s="5" t="inlineStr"/>
      <c r="AN226" s="5" t="inlineStr"/>
      <c r="AO226" s="5" t="inlineStr"/>
      <c r="AP226" s="5" t="inlineStr"/>
      <c r="AQ226" s="5" t="inlineStr"/>
      <c r="AR226" s="5" t="inlineStr"/>
      <c r="AS226" s="5" t="inlineStr"/>
      <c r="AT226" s="5" t="inlineStr"/>
      <c r="AU226" s="8" t="inlineStr">
        <is>
          <t>Not run</t>
        </is>
      </c>
    </row>
    <row r="227" ht="32" customHeight="1">
      <c r="A227" s="16" t="inlineStr">
        <is>
          <t>X-0226</t>
        </is>
      </c>
      <c r="B227" s="8" t="inlineStr">
        <is>
          <t>X</t>
        </is>
      </c>
      <c r="C227" s="5" t="inlineStr">
        <is>
          <t>Multiple / Cross-persona</t>
        </is>
      </c>
      <c r="D227" s="5" t="inlineStr">
        <is>
          <t>Procure-to-Pay</t>
        </is>
      </c>
      <c r="E227" s="5" t="inlineStr">
        <is>
          <t>Purchase → eligible ITC is identified</t>
        </is>
      </c>
      <c r="F227" s="5" t="inlineStr">
        <is>
          <t>In-house Accountant</t>
        </is>
      </c>
      <c r="G227" s="5" t="inlineStr">
        <is>
          <t>External CA</t>
        </is>
      </c>
      <c r="H227" s="5" t="inlineStr">
        <is>
          <t>Categorization of input tax credit as eligible or ineligible (blocked under Section 17(5))</t>
        </is>
      </c>
      <c r="I227" s="5" t="inlineStr">
        <is>
          <t>Tags ITC eligibility status; separates blocked ITC (motor vehicles, food) from eligible trade ITC</t>
        </is>
      </c>
      <c r="J227" s="20" t="inlineStr">
        <is>
          <t>P1</t>
        </is>
      </c>
      <c r="K227" s="20" t="inlineStr">
        <is>
          <t>Validated (Supported)</t>
        </is>
      </c>
      <c r="L227" s="5" t="inlineStr">
        <is>
          <t>Supported via Section 17(5) blocked credit selector on purchase invoice line items.</t>
        </is>
      </c>
      <c r="M227" s="8" t="inlineStr">
        <is>
          <t>Baseline</t>
        </is>
      </c>
      <c r="N227" s="8" t="inlineStr">
        <is>
          <t>Cross-persona</t>
        </is>
      </c>
      <c r="O227" s="8" t="inlineStr">
        <is>
          <t>P1</t>
        </is>
      </c>
      <c r="P227" s="5" t="inlineStr">
        <is>
          <t>Restored to authored P1. The previous workbook had P0 after a keyword rebalance.</t>
        </is>
      </c>
      <c r="Q227" s="20" t="inlineStr">
        <is>
          <t>Author assertion</t>
        </is>
      </c>
      <c r="R227" s="5" t="inlineStr">
        <is>
          <t>Restored to authored P1. The previous workbook had P0 after a keyword rebalance.</t>
        </is>
      </c>
      <c r="S227" s="8" t="inlineStr">
        <is>
          <t>P2P</t>
        </is>
      </c>
      <c r="T227" s="5" t="inlineStr">
        <is>
          <t>Procure to pay</t>
        </is>
      </c>
      <c r="U227" s="8" t="inlineStr"/>
      <c r="V227" s="8" t="inlineStr">
        <is>
          <t>purchases</t>
        </is>
      </c>
      <c r="W227" s="8" t="inlineStr">
        <is>
          <t>RUN</t>
        </is>
      </c>
      <c r="X227" s="5" t="inlineStr">
        <is>
          <t>Core</t>
        </is>
      </c>
      <c r="Y227" s="5" t="inlineStr">
        <is>
          <t>Cross-persona</t>
        </is>
      </c>
      <c r="Z227" s="5" t="inlineStr">
        <is>
          <t>Medium</t>
        </is>
      </c>
      <c r="AA227" s="5" t="inlineStr">
        <is>
          <t>Medium</t>
        </is>
      </c>
      <c r="AB227" s="8" t="inlineStr">
        <is>
          <t>Low</t>
        </is>
      </c>
      <c r="AC227" s="8" t="inlineStr">
        <is>
          <t>Pilot</t>
        </is>
      </c>
      <c r="AD227" s="5" t="inlineStr">
        <is>
          <t>Not independently checked</t>
        </is>
      </c>
      <c r="AE227" s="5" t="inlineStr">
        <is>
          <t>Not verified</t>
        </is>
      </c>
      <c r="AF227" s="5" t="inlineStr">
        <is>
          <t>Not verified</t>
        </is>
      </c>
      <c r="AG227" s="5" t="inlineStr">
        <is>
          <t>Not verified</t>
        </is>
      </c>
      <c r="AH227" s="5" t="inlineStr">
        <is>
          <t>Not verified</t>
        </is>
      </c>
      <c r="AI227" s="8" t="inlineStr">
        <is>
          <t>No</t>
        </is>
      </c>
      <c r="AJ227" s="8" t="inlineStr">
        <is>
          <t>Claimed - unverified</t>
        </is>
      </c>
      <c r="AK227" s="8" t="inlineStr">
        <is>
          <t>P1</t>
        </is>
      </c>
      <c r="AL227" s="8" t="n">
        <v>6</v>
      </c>
      <c r="AM227" s="5" t="inlineStr"/>
      <c r="AN227" s="5" t="inlineStr"/>
      <c r="AO227" s="5" t="inlineStr"/>
      <c r="AP227" s="5" t="inlineStr"/>
      <c r="AQ227" s="5" t="inlineStr"/>
      <c r="AR227" s="5" t="inlineStr"/>
      <c r="AS227" s="5" t="inlineStr"/>
      <c r="AT227" s="5" t="inlineStr"/>
      <c r="AU227" s="8" t="inlineStr">
        <is>
          <t>Not run</t>
        </is>
      </c>
    </row>
    <row r="228" ht="32" customHeight="1">
      <c r="A228" s="16" t="inlineStr">
        <is>
          <t>X-0227</t>
        </is>
      </c>
      <c r="B228" s="8" t="inlineStr">
        <is>
          <t>X</t>
        </is>
      </c>
      <c r="C228" s="5" t="inlineStr">
        <is>
          <t>Multiple / Cross-persona</t>
        </is>
      </c>
      <c r="D228" s="5" t="inlineStr">
        <is>
          <t>Procure-to-Pay</t>
        </is>
      </c>
      <c r="E228" s="5" t="inlineStr">
        <is>
          <t>Supplier payment recorded → payable decreases</t>
        </is>
      </c>
      <c r="F228" s="5" t="inlineStr">
        <is>
          <t>Accounts Cashier</t>
        </is>
      </c>
      <c r="G228" s="5" t="inlineStr">
        <is>
          <t>Supplier</t>
        </is>
      </c>
      <c r="H228" s="5" t="inlineStr">
        <is>
          <t>Payment disbursement to vendor via NEFT/RTGS/Cheque recorded in system</t>
        </is>
      </c>
      <c r="I228" s="5" t="inlineStr">
        <is>
          <t>Debits Supplier Accounts Payable account; credits Bank/Cash account; decreases liability</t>
        </is>
      </c>
      <c r="J228" s="20" t="inlineStr">
        <is>
          <t>P1</t>
        </is>
      </c>
      <c r="K228" s="20" t="inlineStr">
        <is>
          <t>Validated (Supported)</t>
        </is>
      </c>
      <c r="L228" s="5" t="inlineStr">
        <is>
          <t>Supported via /purchases/payments/create with multi-invoice allocation.</t>
        </is>
      </c>
      <c r="M228" s="8" t="inlineStr">
        <is>
          <t>Baseline</t>
        </is>
      </c>
      <c r="N228" s="8" t="inlineStr">
        <is>
          <t>Cross-persona</t>
        </is>
      </c>
      <c r="O228" s="8" t="inlineStr">
        <is>
          <t>P1</t>
        </is>
      </c>
      <c r="P228" s="5" t="inlineStr">
        <is>
          <t>Unchanged</t>
        </is>
      </c>
      <c r="Q228" s="20" t="inlineStr">
        <is>
          <t>Author assertion</t>
        </is>
      </c>
      <c r="R228" s="5" t="inlineStr"/>
      <c r="S228" s="8" t="inlineStr">
        <is>
          <t>P2P</t>
        </is>
      </c>
      <c r="T228" s="5" t="inlineStr">
        <is>
          <t>Procure to pay</t>
        </is>
      </c>
      <c r="U228" s="8" t="inlineStr"/>
      <c r="V228" s="8" t="inlineStr">
        <is>
          <t>purchases</t>
        </is>
      </c>
      <c r="W228" s="8" t="inlineStr">
        <is>
          <t>RUN</t>
        </is>
      </c>
      <c r="X228" s="5" t="inlineStr">
        <is>
          <t>Core</t>
        </is>
      </c>
      <c r="Y228" s="5" t="inlineStr">
        <is>
          <t>Cross-persona</t>
        </is>
      </c>
      <c r="Z228" s="5" t="inlineStr">
        <is>
          <t>Medium</t>
        </is>
      </c>
      <c r="AA228" s="5" t="inlineStr">
        <is>
          <t>Medium</t>
        </is>
      </c>
      <c r="AB228" s="8" t="inlineStr">
        <is>
          <t>Low</t>
        </is>
      </c>
      <c r="AC228" s="8" t="inlineStr">
        <is>
          <t>Pilot</t>
        </is>
      </c>
      <c r="AD228" s="5" t="inlineStr">
        <is>
          <t>Not independently checked</t>
        </is>
      </c>
      <c r="AE228" s="5" t="inlineStr">
        <is>
          <t>Not verified</t>
        </is>
      </c>
      <c r="AF228" s="5" t="inlineStr">
        <is>
          <t>Not verified</t>
        </is>
      </c>
      <c r="AG228" s="5" t="inlineStr">
        <is>
          <t>Not verified</t>
        </is>
      </c>
      <c r="AH228" s="5" t="inlineStr">
        <is>
          <t>Not verified</t>
        </is>
      </c>
      <c r="AI228" s="8" t="inlineStr">
        <is>
          <t>No</t>
        </is>
      </c>
      <c r="AJ228" s="8" t="inlineStr">
        <is>
          <t>Claimed - unverified</t>
        </is>
      </c>
      <c r="AK228" s="8" t="inlineStr">
        <is>
          <t>P1</t>
        </is>
      </c>
      <c r="AL228" s="8" t="n">
        <v>6</v>
      </c>
      <c r="AM228" s="5" t="inlineStr"/>
      <c r="AN228" s="5" t="inlineStr"/>
      <c r="AO228" s="5" t="inlineStr"/>
      <c r="AP228" s="5" t="inlineStr"/>
      <c r="AQ228" s="5" t="inlineStr"/>
      <c r="AR228" s="5" t="inlineStr"/>
      <c r="AS228" s="5" t="inlineStr"/>
      <c r="AT228" s="5" t="inlineStr"/>
      <c r="AU228" s="8" t="inlineStr">
        <is>
          <t>Not run</t>
        </is>
      </c>
    </row>
    <row r="229" ht="32" customHeight="1">
      <c r="A229" s="16" t="inlineStr">
        <is>
          <t>X-0228</t>
        </is>
      </c>
      <c r="B229" s="8" t="inlineStr">
        <is>
          <t>X</t>
        </is>
      </c>
      <c r="C229" s="5" t="inlineStr">
        <is>
          <t>Multiple / Cross-persona</t>
        </is>
      </c>
      <c r="D229" s="5" t="inlineStr">
        <is>
          <t>Procure-to-Pay</t>
        </is>
      </c>
      <c r="E229" s="5" t="inlineStr">
        <is>
          <t>Partial supplier payment → remaining payable is maintained</t>
        </is>
      </c>
      <c r="F229" s="5" t="inlineStr">
        <is>
          <t>In-house Accountant</t>
        </is>
      </c>
      <c r="G229" s="5" t="inlineStr">
        <is>
          <t>Supplier</t>
        </is>
      </c>
      <c r="H229" s="5" t="inlineStr">
        <is>
          <t>Accurate tracking of remaining balance on partially paid supplier bills</t>
        </is>
      </c>
      <c r="I229" s="5" t="inlineStr">
        <is>
          <t>Maintains exact remaining unpaid balance on purchase invoice; updates AP aging</t>
        </is>
      </c>
      <c r="J229" s="20" t="inlineStr">
        <is>
          <t>P1</t>
        </is>
      </c>
      <c r="K229" s="20" t="inlineStr">
        <is>
          <t>Validated (Supported)</t>
        </is>
      </c>
      <c r="L229" s="5" t="inlineStr">
        <is>
          <t>Supported via PaymentAllocation model for purchase invoices.</t>
        </is>
      </c>
      <c r="M229" s="8" t="inlineStr">
        <is>
          <t>Baseline</t>
        </is>
      </c>
      <c r="N229" s="8" t="inlineStr">
        <is>
          <t>Cross-persona</t>
        </is>
      </c>
      <c r="O229" s="8" t="inlineStr">
        <is>
          <t>P1</t>
        </is>
      </c>
      <c r="P229" s="5" t="inlineStr">
        <is>
          <t>Unchanged</t>
        </is>
      </c>
      <c r="Q229" s="21" t="inlineStr">
        <is>
          <t>Code symbol found</t>
        </is>
      </c>
      <c r="R229" s="5" t="inlineStr">
        <is>
          <t>Matched PaymentAllocation in product code. This is not a functional test.</t>
        </is>
      </c>
      <c r="S229" s="8" t="inlineStr">
        <is>
          <t>P2P</t>
        </is>
      </c>
      <c r="T229" s="5" t="inlineStr">
        <is>
          <t>Procure to pay</t>
        </is>
      </c>
      <c r="U229" s="8" t="inlineStr"/>
      <c r="V229" s="8" t="inlineStr">
        <is>
          <t>purchases</t>
        </is>
      </c>
      <c r="W229" s="8" t="inlineStr">
        <is>
          <t>RUN</t>
        </is>
      </c>
      <c r="X229" s="5" t="inlineStr">
        <is>
          <t>Core</t>
        </is>
      </c>
      <c r="Y229" s="5" t="inlineStr">
        <is>
          <t>Cross-persona</t>
        </is>
      </c>
      <c r="Z229" s="5" t="inlineStr">
        <is>
          <t>Medium</t>
        </is>
      </c>
      <c r="AA229" s="5" t="inlineStr">
        <is>
          <t>Medium</t>
        </is>
      </c>
      <c r="AB229" s="8" t="inlineStr">
        <is>
          <t>Low</t>
        </is>
      </c>
      <c r="AC229" s="8" t="inlineStr">
        <is>
          <t>Pilot</t>
        </is>
      </c>
      <c r="AD229" s="5" t="inlineStr">
        <is>
          <t>Cited in code</t>
        </is>
      </c>
      <c r="AE229" s="5" t="inlineStr">
        <is>
          <t>Not verified</t>
        </is>
      </c>
      <c r="AF229" s="5" t="inlineStr">
        <is>
          <t>Not verified</t>
        </is>
      </c>
      <c r="AG229" s="5" t="inlineStr">
        <is>
          <t>Not verified</t>
        </is>
      </c>
      <c r="AH229" s="5" t="inlineStr">
        <is>
          <t>Not verified</t>
        </is>
      </c>
      <c r="AI229" s="8" t="inlineStr">
        <is>
          <t>No</t>
        </is>
      </c>
      <c r="AJ229" s="8" t="inlineStr">
        <is>
          <t>Built - unverified</t>
        </is>
      </c>
      <c r="AK229" s="8" t="inlineStr">
        <is>
          <t>P1</t>
        </is>
      </c>
      <c r="AL229" s="8" t="n">
        <v>6</v>
      </c>
      <c r="AM229" s="5" t="inlineStr"/>
      <c r="AN229" s="5" t="inlineStr"/>
      <c r="AO229" s="5" t="inlineStr"/>
      <c r="AP229" s="5" t="inlineStr"/>
      <c r="AQ229" s="5" t="inlineStr"/>
      <c r="AR229" s="5" t="inlineStr"/>
      <c r="AS229" s="5" t="inlineStr"/>
      <c r="AT229" s="5" t="inlineStr"/>
      <c r="AU229" s="8" t="inlineStr">
        <is>
          <t>Not run</t>
        </is>
      </c>
    </row>
    <row r="230" ht="32" customHeight="1">
      <c r="A230" s="16" t="inlineStr">
        <is>
          <t>X-0229</t>
        </is>
      </c>
      <c r="B230" s="8" t="inlineStr">
        <is>
          <t>X</t>
        </is>
      </c>
      <c r="C230" s="5" t="inlineStr">
        <is>
          <t>Multiple / Cross-persona</t>
        </is>
      </c>
      <c r="D230" s="5" t="inlineStr">
        <is>
          <t>Procure-to-Pay</t>
        </is>
      </c>
      <c r="E230" s="5" t="inlineStr">
        <is>
          <t>Supplier credit note → payable and tax impact are adjusted</t>
        </is>
      </c>
      <c r="F230" s="5" t="inlineStr">
        <is>
          <t>In-house Accountant</t>
        </is>
      </c>
      <c r="G230" s="5" t="inlineStr">
        <is>
          <t>Supplier</t>
        </is>
      </c>
      <c r="H230" s="5" t="inlineStr">
        <is>
          <t>Supplier credit note for rate difference, discounts, or returns applied to reduce payable</t>
        </is>
      </c>
      <c r="I230" s="5" t="inlineStr">
        <is>
          <t>Reduces Accounts Payable balance and reverses corresponding Input Tax Credit in GSTR-3B Table 4(B)</t>
        </is>
      </c>
      <c r="J230" s="20" t="inlineStr">
        <is>
          <t>P1</t>
        </is>
      </c>
      <c r="K230" s="20" t="inlineStr">
        <is>
          <t>Validated (Supported)</t>
        </is>
      </c>
      <c r="L230" s="5" t="inlineStr">
        <is>
          <t>Supported via PurchaseCreditNote model with automated ITC reversal.</t>
        </is>
      </c>
      <c r="M230" s="8" t="inlineStr">
        <is>
          <t>Baseline</t>
        </is>
      </c>
      <c r="N230" s="8" t="inlineStr">
        <is>
          <t>Cross-persona</t>
        </is>
      </c>
      <c r="O230" s="8" t="inlineStr">
        <is>
          <t>P1</t>
        </is>
      </c>
      <c r="P230" s="5" t="inlineStr">
        <is>
          <t>Unchanged</t>
        </is>
      </c>
      <c r="Q230" s="21" t="inlineStr">
        <is>
          <t>Code symbol found</t>
        </is>
      </c>
      <c r="R230" s="5" t="inlineStr">
        <is>
          <t>Matched PurchaseCreditNote in product code. This is not a functional test.</t>
        </is>
      </c>
      <c r="S230" s="8" t="inlineStr">
        <is>
          <t>P2P</t>
        </is>
      </c>
      <c r="T230" s="5" t="inlineStr">
        <is>
          <t>Procure to pay</t>
        </is>
      </c>
      <c r="U230" s="8" t="inlineStr"/>
      <c r="V230" s="8" t="inlineStr">
        <is>
          <t>purchases</t>
        </is>
      </c>
      <c r="W230" s="8" t="inlineStr">
        <is>
          <t>RUN</t>
        </is>
      </c>
      <c r="X230" s="5" t="inlineStr">
        <is>
          <t>Core</t>
        </is>
      </c>
      <c r="Y230" s="5" t="inlineStr">
        <is>
          <t>Cross-persona</t>
        </is>
      </c>
      <c r="Z230" s="5" t="inlineStr">
        <is>
          <t>Medium</t>
        </is>
      </c>
      <c r="AA230" s="5" t="inlineStr">
        <is>
          <t>Medium</t>
        </is>
      </c>
      <c r="AB230" s="8" t="inlineStr">
        <is>
          <t>Low</t>
        </is>
      </c>
      <c r="AC230" s="8" t="inlineStr">
        <is>
          <t>Pilot</t>
        </is>
      </c>
      <c r="AD230" s="5" t="inlineStr">
        <is>
          <t>Cited in code</t>
        </is>
      </c>
      <c r="AE230" s="5" t="inlineStr">
        <is>
          <t>Not verified</t>
        </is>
      </c>
      <c r="AF230" s="5" t="inlineStr">
        <is>
          <t>Not verified</t>
        </is>
      </c>
      <c r="AG230" s="5" t="inlineStr">
        <is>
          <t>Not verified</t>
        </is>
      </c>
      <c r="AH230" s="5" t="inlineStr">
        <is>
          <t>Not verified</t>
        </is>
      </c>
      <c r="AI230" s="8" t="inlineStr">
        <is>
          <t>No</t>
        </is>
      </c>
      <c r="AJ230" s="8" t="inlineStr">
        <is>
          <t>Built - unverified</t>
        </is>
      </c>
      <c r="AK230" s="8" t="inlineStr">
        <is>
          <t>P1</t>
        </is>
      </c>
      <c r="AL230" s="8" t="n">
        <v>6</v>
      </c>
      <c r="AM230" s="5" t="inlineStr"/>
      <c r="AN230" s="5" t="inlineStr"/>
      <c r="AO230" s="5" t="inlineStr"/>
      <c r="AP230" s="5" t="inlineStr"/>
      <c r="AQ230" s="5" t="inlineStr"/>
      <c r="AR230" s="5" t="inlineStr"/>
      <c r="AS230" s="5" t="inlineStr"/>
      <c r="AT230" s="5" t="inlineStr"/>
      <c r="AU230" s="8" t="inlineStr">
        <is>
          <t>Not run</t>
        </is>
      </c>
    </row>
    <row r="231" ht="32" customHeight="1">
      <c r="A231" s="16" t="inlineStr">
        <is>
          <t>X-0230</t>
        </is>
      </c>
      <c r="B231" s="8" t="inlineStr">
        <is>
          <t>X</t>
        </is>
      </c>
      <c r="C231" s="5" t="inlineStr">
        <is>
          <t>Multiple / Cross-persona</t>
        </is>
      </c>
      <c r="D231" s="5" t="inlineStr">
        <is>
          <t>Procure-to-Pay</t>
        </is>
      </c>
      <c r="E231" s="5" t="inlineStr">
        <is>
          <t>Purchase return → inventory decreases</t>
        </is>
      </c>
      <c r="F231" s="5" t="inlineStr">
        <is>
          <t>Warehouse Custodian</t>
        </is>
      </c>
      <c r="G231" s="5" t="inlineStr">
        <is>
          <t>Supplier</t>
        </is>
      </c>
      <c r="H231" s="5" t="inlineStr">
        <is>
          <t>Physical removal of returned goods from warehouse shelves and stock records</t>
        </is>
      </c>
      <c r="I231" s="5" t="inlineStr">
        <is>
          <t>Creates StockMovement with movement_type='RETURN_OUTWARD'; decrements StockBalance</t>
        </is>
      </c>
      <c r="J231" s="20" t="inlineStr">
        <is>
          <t>P1</t>
        </is>
      </c>
      <c r="K231" s="20" t="inlineStr">
        <is>
          <t>Validated (Supported)</t>
        </is>
      </c>
      <c r="L231" s="5" t="inlineStr">
        <is>
          <t>Core system invariant: PurchaseReturn completion decrements warehouse stock atomically.</t>
        </is>
      </c>
      <c r="M231" s="8" t="inlineStr">
        <is>
          <t>Baseline</t>
        </is>
      </c>
      <c r="N231" s="8" t="inlineStr">
        <is>
          <t>Cross-persona</t>
        </is>
      </c>
      <c r="O231" s="8" t="inlineStr">
        <is>
          <t>P1</t>
        </is>
      </c>
      <c r="P231" s="5" t="inlineStr">
        <is>
          <t>Restored to authored P1. The previous workbook had P0 after a keyword rebalance.</t>
        </is>
      </c>
      <c r="Q231" s="21" t="inlineStr">
        <is>
          <t>Code symbol found</t>
        </is>
      </c>
      <c r="R231" s="5" t="inlineStr">
        <is>
          <t>Matched PurchaseReturn in product code. This is not a functional test. Restored to authored P1. The previous workbook had P0 after a keyword rebalance.</t>
        </is>
      </c>
      <c r="S231" s="8" t="inlineStr">
        <is>
          <t>P2P</t>
        </is>
      </c>
      <c r="T231" s="5" t="inlineStr">
        <is>
          <t>Procure to pay</t>
        </is>
      </c>
      <c r="U231" s="8" t="inlineStr"/>
      <c r="V231" s="8" t="inlineStr">
        <is>
          <t>purchases</t>
        </is>
      </c>
      <c r="W231" s="8" t="inlineStr">
        <is>
          <t>RUN</t>
        </is>
      </c>
      <c r="X231" s="5" t="inlineStr">
        <is>
          <t>Core</t>
        </is>
      </c>
      <c r="Y231" s="5" t="inlineStr">
        <is>
          <t>Cross-persona</t>
        </is>
      </c>
      <c r="Z231" s="5" t="inlineStr">
        <is>
          <t>Medium</t>
        </is>
      </c>
      <c r="AA231" s="5" t="inlineStr">
        <is>
          <t>Medium</t>
        </is>
      </c>
      <c r="AB231" s="8" t="inlineStr">
        <is>
          <t>Low</t>
        </is>
      </c>
      <c r="AC231" s="8" t="inlineStr">
        <is>
          <t>Pilot</t>
        </is>
      </c>
      <c r="AD231" s="5" t="inlineStr">
        <is>
          <t>Cited in code</t>
        </is>
      </c>
      <c r="AE231" s="5" t="inlineStr">
        <is>
          <t>Not verified</t>
        </is>
      </c>
      <c r="AF231" s="5" t="inlineStr">
        <is>
          <t>Not verified</t>
        </is>
      </c>
      <c r="AG231" s="5" t="inlineStr">
        <is>
          <t>Not verified</t>
        </is>
      </c>
      <c r="AH231" s="5" t="inlineStr">
        <is>
          <t>Not verified</t>
        </is>
      </c>
      <c r="AI231" s="8" t="inlineStr">
        <is>
          <t>No</t>
        </is>
      </c>
      <c r="AJ231" s="8" t="inlineStr">
        <is>
          <t>Built - unverified</t>
        </is>
      </c>
      <c r="AK231" s="8" t="inlineStr">
        <is>
          <t>P1</t>
        </is>
      </c>
      <c r="AL231" s="8" t="n">
        <v>6</v>
      </c>
      <c r="AM231" s="5" t="inlineStr"/>
      <c r="AN231" s="5" t="inlineStr"/>
      <c r="AO231" s="5" t="inlineStr"/>
      <c r="AP231" s="5" t="inlineStr"/>
      <c r="AQ231" s="5" t="inlineStr"/>
      <c r="AR231" s="5" t="inlineStr"/>
      <c r="AS231" s="5" t="inlineStr"/>
      <c r="AT231" s="5" t="inlineStr"/>
      <c r="AU231" s="8" t="inlineStr">
        <is>
          <t>Not run</t>
        </is>
      </c>
    </row>
    <row r="232" ht="32" customHeight="1">
      <c r="A232" s="16" t="inlineStr">
        <is>
          <t>X-0231</t>
        </is>
      </c>
      <c r="B232" s="8" t="inlineStr">
        <is>
          <t>X</t>
        </is>
      </c>
      <c r="C232" s="5" t="inlineStr">
        <is>
          <t>Multiple / Cross-persona</t>
        </is>
      </c>
      <c r="D232" s="5" t="inlineStr">
        <is>
          <t>Procure-to-Pay</t>
        </is>
      </c>
      <c r="E232" s="5" t="inlineStr">
        <is>
          <t>Purchase return → supplier balance is adjusted</t>
        </is>
      </c>
      <c r="F232" s="5" t="inlineStr">
        <is>
          <t>In-house Accountant</t>
        </is>
      </c>
      <c r="G232" s="5" t="inlineStr">
        <is>
          <t>Supplier</t>
        </is>
      </c>
      <c r="H232" s="5" t="inlineStr">
        <is>
          <t>Issuance of Purchase Debit Note reducing outstanding balance owed to supplier</t>
        </is>
      </c>
      <c r="I232" s="5" t="inlineStr">
        <is>
          <t>Debits Supplier Accounts Payable account; generates legal Purchase Debit Note PDF</t>
        </is>
      </c>
      <c r="J232" s="20" t="inlineStr">
        <is>
          <t>P1</t>
        </is>
      </c>
      <c r="K232" s="20" t="inlineStr">
        <is>
          <t>Validated (Supported)</t>
        </is>
      </c>
      <c r="L232" s="5" t="inlineStr">
        <is>
          <t>Supported via PurchaseReturn complete flow; generates PurchaseDebitNote.</t>
        </is>
      </c>
      <c r="M232" s="8" t="inlineStr">
        <is>
          <t>Baseline</t>
        </is>
      </c>
      <c r="N232" s="8" t="inlineStr">
        <is>
          <t>Cross-persona</t>
        </is>
      </c>
      <c r="O232" s="8" t="inlineStr">
        <is>
          <t>P1</t>
        </is>
      </c>
      <c r="P232" s="5" t="inlineStr">
        <is>
          <t>Unchanged</t>
        </is>
      </c>
      <c r="Q232" s="21" t="inlineStr">
        <is>
          <t>Code symbol found</t>
        </is>
      </c>
      <c r="R232" s="5" t="inlineStr">
        <is>
          <t>Matched PurchaseDebitNote in product code. This is not a functional test.</t>
        </is>
      </c>
      <c r="S232" s="8" t="inlineStr">
        <is>
          <t>P2P</t>
        </is>
      </c>
      <c r="T232" s="5" t="inlineStr">
        <is>
          <t>Procure to pay</t>
        </is>
      </c>
      <c r="U232" s="8" t="inlineStr"/>
      <c r="V232" s="8" t="inlineStr">
        <is>
          <t>purchases</t>
        </is>
      </c>
      <c r="W232" s="8" t="inlineStr">
        <is>
          <t>RUN</t>
        </is>
      </c>
      <c r="X232" s="5" t="inlineStr">
        <is>
          <t>Core</t>
        </is>
      </c>
      <c r="Y232" s="5" t="inlineStr">
        <is>
          <t>Cross-persona</t>
        </is>
      </c>
      <c r="Z232" s="5" t="inlineStr">
        <is>
          <t>Medium</t>
        </is>
      </c>
      <c r="AA232" s="5" t="inlineStr">
        <is>
          <t>Medium</t>
        </is>
      </c>
      <c r="AB232" s="8" t="inlineStr">
        <is>
          <t>Low</t>
        </is>
      </c>
      <c r="AC232" s="8" t="inlineStr">
        <is>
          <t>Pilot</t>
        </is>
      </c>
      <c r="AD232" s="5" t="inlineStr">
        <is>
          <t>Cited in code</t>
        </is>
      </c>
      <c r="AE232" s="5" t="inlineStr">
        <is>
          <t>Not verified</t>
        </is>
      </c>
      <c r="AF232" s="5" t="inlineStr">
        <is>
          <t>Not verified</t>
        </is>
      </c>
      <c r="AG232" s="5" t="inlineStr">
        <is>
          <t>Not verified</t>
        </is>
      </c>
      <c r="AH232" s="5" t="inlineStr">
        <is>
          <t>Not verified</t>
        </is>
      </c>
      <c r="AI232" s="8" t="inlineStr">
        <is>
          <t>No</t>
        </is>
      </c>
      <c r="AJ232" s="8" t="inlineStr">
        <is>
          <t>Built - unverified</t>
        </is>
      </c>
      <c r="AK232" s="8" t="inlineStr">
        <is>
          <t>P1</t>
        </is>
      </c>
      <c r="AL232" s="8" t="n">
        <v>6</v>
      </c>
      <c r="AM232" s="5" t="inlineStr"/>
      <c r="AN232" s="5" t="inlineStr"/>
      <c r="AO232" s="5" t="inlineStr"/>
      <c r="AP232" s="5" t="inlineStr"/>
      <c r="AQ232" s="5" t="inlineStr"/>
      <c r="AR232" s="5" t="inlineStr"/>
      <c r="AS232" s="5" t="inlineStr"/>
      <c r="AT232" s="5" t="inlineStr"/>
      <c r="AU232" s="8" t="inlineStr">
        <is>
          <t>Not run</t>
        </is>
      </c>
    </row>
    <row r="233" ht="32" customHeight="1">
      <c r="A233" s="16" t="inlineStr">
        <is>
          <t>X-0232</t>
        </is>
      </c>
      <c r="B233" s="8" t="inlineStr">
        <is>
          <t>X</t>
        </is>
      </c>
      <c r="C233" s="5" t="inlineStr">
        <is>
          <t>Multiple / Cross-persona</t>
        </is>
      </c>
      <c r="D233" s="5" t="inlineStr">
        <is>
          <t>Procure-to-Pay</t>
        </is>
      </c>
      <c r="E233" s="5" t="inlineStr">
        <is>
          <t>Purchase return → GST impact is adjusted</t>
        </is>
      </c>
      <c r="F233" s="5" t="inlineStr">
        <is>
          <t>Tax Calculation Engine</t>
        </is>
      </c>
      <c r="G233" s="5" t="inlineStr">
        <is>
          <t>Accountant / External CA</t>
        </is>
      </c>
      <c r="H233" s="5" t="inlineStr">
        <is>
          <t>Input Tax Credit reversed legally in accordance with Section 34 of CGST Act</t>
        </is>
      </c>
      <c r="I233" s="5" t="inlineStr">
        <is>
          <t>Reduces eligible ITC; reports debit note in GSTR-3B Table 4(B) and GSTR-2B reconciliation</t>
        </is>
      </c>
      <c r="J233" s="20" t="inlineStr">
        <is>
          <t>P1</t>
        </is>
      </c>
      <c r="K233" s="20" t="inlineStr">
        <is>
          <t>Validated (Supported)</t>
        </is>
      </c>
      <c r="L233" s="5" t="inlineStr">
        <is>
          <t>Supported via automated statutory ITC reversal calculation.</t>
        </is>
      </c>
      <c r="M233" s="8" t="inlineStr">
        <is>
          <t>Baseline</t>
        </is>
      </c>
      <c r="N233" s="8" t="inlineStr">
        <is>
          <t>Cross-persona</t>
        </is>
      </c>
      <c r="O233" s="8" t="inlineStr">
        <is>
          <t>P1</t>
        </is>
      </c>
      <c r="P233" s="5" t="inlineStr">
        <is>
          <t>Restored to authored P1. The previous workbook had P0 after a keyword rebalance.</t>
        </is>
      </c>
      <c r="Q233" s="20" t="inlineStr">
        <is>
          <t>Author assertion</t>
        </is>
      </c>
      <c r="R233" s="5" t="inlineStr">
        <is>
          <t>Restored to authored P1. The previous workbook had P0 after a keyword rebalance.</t>
        </is>
      </c>
      <c r="S233" s="8" t="inlineStr">
        <is>
          <t>P2P</t>
        </is>
      </c>
      <c r="T233" s="5" t="inlineStr">
        <is>
          <t>Procure to pay</t>
        </is>
      </c>
      <c r="U233" s="8" t="inlineStr"/>
      <c r="V233" s="8" t="inlineStr">
        <is>
          <t>purchases</t>
        </is>
      </c>
      <c r="W233" s="8" t="inlineStr">
        <is>
          <t>RUN</t>
        </is>
      </c>
      <c r="X233" s="5" t="inlineStr">
        <is>
          <t>Core</t>
        </is>
      </c>
      <c r="Y233" s="5" t="inlineStr">
        <is>
          <t>Cross-persona</t>
        </is>
      </c>
      <c r="Z233" s="5" t="inlineStr">
        <is>
          <t>Medium</t>
        </is>
      </c>
      <c r="AA233" s="5" t="inlineStr">
        <is>
          <t>Medium</t>
        </is>
      </c>
      <c r="AB233" s="8" t="inlineStr">
        <is>
          <t>Low</t>
        </is>
      </c>
      <c r="AC233" s="8" t="inlineStr">
        <is>
          <t>Pilot</t>
        </is>
      </c>
      <c r="AD233" s="5" t="inlineStr">
        <is>
          <t>Not independently checked</t>
        </is>
      </c>
      <c r="AE233" s="5" t="inlineStr">
        <is>
          <t>Not verified</t>
        </is>
      </c>
      <c r="AF233" s="5" t="inlineStr">
        <is>
          <t>Not verified</t>
        </is>
      </c>
      <c r="AG233" s="5" t="inlineStr">
        <is>
          <t>Not verified</t>
        </is>
      </c>
      <c r="AH233" s="5" t="inlineStr">
        <is>
          <t>Not verified</t>
        </is>
      </c>
      <c r="AI233" s="8" t="inlineStr">
        <is>
          <t>No</t>
        </is>
      </c>
      <c r="AJ233" s="8" t="inlineStr">
        <is>
          <t>Claimed - unverified</t>
        </is>
      </c>
      <c r="AK233" s="8" t="inlineStr">
        <is>
          <t>P1</t>
        </is>
      </c>
      <c r="AL233" s="8" t="n">
        <v>6</v>
      </c>
      <c r="AM233" s="5" t="inlineStr"/>
      <c r="AN233" s="5" t="inlineStr"/>
      <c r="AO233" s="5" t="inlineStr"/>
      <c r="AP233" s="5" t="inlineStr"/>
      <c r="AQ233" s="5" t="inlineStr"/>
      <c r="AR233" s="5" t="inlineStr"/>
      <c r="AS233" s="5" t="inlineStr"/>
      <c r="AT233" s="5" t="inlineStr"/>
      <c r="AU233" s="8" t="inlineStr">
        <is>
          <t>Not run</t>
        </is>
      </c>
    </row>
    <row r="234" ht="32" customHeight="1">
      <c r="A234" s="16" t="inlineStr">
        <is>
          <t>X-0233</t>
        </is>
      </c>
      <c r="B234" s="8" t="inlineStr">
        <is>
          <t>X</t>
        </is>
      </c>
      <c r="C234" s="5" t="inlineStr">
        <is>
          <t>Multiple / Cross-persona</t>
        </is>
      </c>
      <c r="D234" s="5" t="inlineStr">
        <is>
          <t>Procure-to-Pay</t>
        </is>
      </c>
      <c r="E234" s="5" t="inlineStr">
        <is>
          <t>Supplier invoice discrepancy → accountant is alerted</t>
        </is>
      </c>
      <c r="F234" s="5" t="inlineStr">
        <is>
          <t>Alert Notification Engine</t>
        </is>
      </c>
      <c r="G234" s="5" t="inlineStr">
        <is>
          <t>In-house Accountant</t>
        </is>
      </c>
      <c r="H234" s="5" t="inlineStr">
        <is>
          <t>Accountant alerted immediately to billing anomalies before payment disbursement</t>
        </is>
      </c>
      <c r="I234" s="5" t="inlineStr">
        <is>
          <t>Generates high-priority AttentionRowState exception in accounting dashboard</t>
        </is>
      </c>
      <c r="J234" s="20" t="inlineStr">
        <is>
          <t>P1</t>
        </is>
      </c>
      <c r="K234" s="20" t="inlineStr">
        <is>
          <t>Validated (Supported)</t>
        </is>
      </c>
      <c r="L234" s="5" t="inlineStr">
        <is>
          <t>Supported via attention row exception queue in accounting module.</t>
        </is>
      </c>
      <c r="M234" s="8" t="inlineStr">
        <is>
          <t>Baseline</t>
        </is>
      </c>
      <c r="N234" s="8" t="inlineStr">
        <is>
          <t>Cross-persona</t>
        </is>
      </c>
      <c r="O234" s="8" t="inlineStr">
        <is>
          <t>P1</t>
        </is>
      </c>
      <c r="P234" s="5" t="inlineStr">
        <is>
          <t>Unchanged</t>
        </is>
      </c>
      <c r="Q234" s="20" t="inlineStr">
        <is>
          <t>Author assertion</t>
        </is>
      </c>
      <c r="R234" s="5" t="inlineStr"/>
      <c r="S234" s="8" t="inlineStr">
        <is>
          <t>P2P</t>
        </is>
      </c>
      <c r="T234" s="5" t="inlineStr">
        <is>
          <t>Procure to pay</t>
        </is>
      </c>
      <c r="U234" s="8" t="inlineStr"/>
      <c r="V234" s="8" t="inlineStr">
        <is>
          <t>purchases</t>
        </is>
      </c>
      <c r="W234" s="8" t="inlineStr">
        <is>
          <t>RUN</t>
        </is>
      </c>
      <c r="X234" s="5" t="inlineStr">
        <is>
          <t>Core</t>
        </is>
      </c>
      <c r="Y234" s="5" t="inlineStr">
        <is>
          <t>Cross-persona</t>
        </is>
      </c>
      <c r="Z234" s="5" t="inlineStr">
        <is>
          <t>Medium</t>
        </is>
      </c>
      <c r="AA234" s="5" t="inlineStr">
        <is>
          <t>Medium</t>
        </is>
      </c>
      <c r="AB234" s="8" t="inlineStr">
        <is>
          <t>Low</t>
        </is>
      </c>
      <c r="AC234" s="8" t="inlineStr">
        <is>
          <t>Pilot</t>
        </is>
      </c>
      <c r="AD234" s="5" t="inlineStr">
        <is>
          <t>Not independently checked</t>
        </is>
      </c>
      <c r="AE234" s="5" t="inlineStr">
        <is>
          <t>Not verified</t>
        </is>
      </c>
      <c r="AF234" s="5" t="inlineStr">
        <is>
          <t>Not verified</t>
        </is>
      </c>
      <c r="AG234" s="5" t="inlineStr">
        <is>
          <t>Not verified</t>
        </is>
      </c>
      <c r="AH234" s="5" t="inlineStr">
        <is>
          <t>Not verified</t>
        </is>
      </c>
      <c r="AI234" s="8" t="inlineStr">
        <is>
          <t>No</t>
        </is>
      </c>
      <c r="AJ234" s="8" t="inlineStr">
        <is>
          <t>Claimed - unverified</t>
        </is>
      </c>
      <c r="AK234" s="8" t="inlineStr">
        <is>
          <t>P1</t>
        </is>
      </c>
      <c r="AL234" s="8" t="n">
        <v>6</v>
      </c>
      <c r="AM234" s="5" t="inlineStr"/>
      <c r="AN234" s="5" t="inlineStr"/>
      <c r="AO234" s="5" t="inlineStr"/>
      <c r="AP234" s="5" t="inlineStr"/>
      <c r="AQ234" s="5" t="inlineStr"/>
      <c r="AR234" s="5" t="inlineStr"/>
      <c r="AS234" s="5" t="inlineStr"/>
      <c r="AT234" s="5" t="inlineStr"/>
      <c r="AU234" s="8" t="inlineStr">
        <is>
          <t>Not run</t>
        </is>
      </c>
    </row>
    <row r="235" ht="32" customHeight="1">
      <c r="A235" s="16" t="inlineStr">
        <is>
          <t>X-0234</t>
        </is>
      </c>
      <c r="B235" s="8" t="inlineStr">
        <is>
          <t>X</t>
        </is>
      </c>
      <c r="C235" s="5" t="inlineStr">
        <is>
          <t>Multiple / Cross-persona</t>
        </is>
      </c>
      <c r="D235" s="5" t="inlineStr">
        <is>
          <t>Procure-to-Pay</t>
        </is>
      </c>
      <c r="E235" s="5" t="inlineStr">
        <is>
          <t>Supplier invoice correction → original transaction remains traceable</t>
        </is>
      </c>
      <c r="F235" s="5" t="inlineStr">
        <is>
          <t>In-house Accountant</t>
        </is>
      </c>
      <c r="G235" s="5" t="inlineStr">
        <is>
          <t>Auditor</t>
        </is>
      </c>
      <c r="H235" s="5" t="inlineStr">
        <is>
          <t>Adjustments or amendments to supplier bills preserve original document history</t>
        </is>
      </c>
      <c r="I235" s="5" t="inlineStr">
        <is>
          <t>Maintains immutable version history; records amendment rationale and approving user</t>
        </is>
      </c>
      <c r="J235" s="20" t="inlineStr">
        <is>
          <t>P1</t>
        </is>
      </c>
      <c r="K235" s="20" t="inlineStr">
        <is>
          <t>Validated (Supported)</t>
        </is>
      </c>
      <c r="L235" s="5" t="inlineStr">
        <is>
          <t>Core system invariant: complete audit history retained for all AP modifications.</t>
        </is>
      </c>
      <c r="M235" s="8" t="inlineStr">
        <is>
          <t>Baseline</t>
        </is>
      </c>
      <c r="N235" s="8" t="inlineStr">
        <is>
          <t>Cross-persona</t>
        </is>
      </c>
      <c r="O235" s="8" t="inlineStr">
        <is>
          <t>P1</t>
        </is>
      </c>
      <c r="P235" s="5" t="inlineStr">
        <is>
          <t>Unchanged</t>
        </is>
      </c>
      <c r="Q235" s="20" t="inlineStr">
        <is>
          <t>Author assertion</t>
        </is>
      </c>
      <c r="R235" s="5" t="inlineStr"/>
      <c r="S235" s="8" t="inlineStr">
        <is>
          <t>P2P</t>
        </is>
      </c>
      <c r="T235" s="5" t="inlineStr">
        <is>
          <t>Procure to pay</t>
        </is>
      </c>
      <c r="U235" s="8" t="inlineStr"/>
      <c r="V235" s="8" t="inlineStr">
        <is>
          <t>purchases</t>
        </is>
      </c>
      <c r="W235" s="8" t="inlineStr">
        <is>
          <t>RUN</t>
        </is>
      </c>
      <c r="X235" s="5" t="inlineStr">
        <is>
          <t>Core</t>
        </is>
      </c>
      <c r="Y235" s="5" t="inlineStr">
        <is>
          <t>Cross-persona</t>
        </is>
      </c>
      <c r="Z235" s="5" t="inlineStr">
        <is>
          <t>Medium</t>
        </is>
      </c>
      <c r="AA235" s="5" t="inlineStr">
        <is>
          <t>Medium</t>
        </is>
      </c>
      <c r="AB235" s="8" t="inlineStr">
        <is>
          <t>Low</t>
        </is>
      </c>
      <c r="AC235" s="8" t="inlineStr">
        <is>
          <t>Pilot</t>
        </is>
      </c>
      <c r="AD235" s="5" t="inlineStr">
        <is>
          <t>Not independently checked</t>
        </is>
      </c>
      <c r="AE235" s="5" t="inlineStr">
        <is>
          <t>Not verified</t>
        </is>
      </c>
      <c r="AF235" s="5" t="inlineStr">
        <is>
          <t>Not verified</t>
        </is>
      </c>
      <c r="AG235" s="5" t="inlineStr">
        <is>
          <t>Not verified</t>
        </is>
      </c>
      <c r="AH235" s="5" t="inlineStr">
        <is>
          <t>Not verified</t>
        </is>
      </c>
      <c r="AI235" s="8" t="inlineStr">
        <is>
          <t>No</t>
        </is>
      </c>
      <c r="AJ235" s="8" t="inlineStr">
        <is>
          <t>Claimed - unverified</t>
        </is>
      </c>
      <c r="AK235" s="8" t="inlineStr">
        <is>
          <t>P1</t>
        </is>
      </c>
      <c r="AL235" s="8" t="n">
        <v>6</v>
      </c>
      <c r="AM235" s="5" t="inlineStr"/>
      <c r="AN235" s="5" t="inlineStr"/>
      <c r="AO235" s="5" t="inlineStr"/>
      <c r="AP235" s="5" t="inlineStr"/>
      <c r="AQ235" s="5" t="inlineStr"/>
      <c r="AR235" s="5" t="inlineStr"/>
      <c r="AS235" s="5" t="inlineStr"/>
      <c r="AT235" s="5" t="inlineStr"/>
      <c r="AU235" s="8" t="inlineStr">
        <is>
          <t>Not run</t>
        </is>
      </c>
    </row>
    <row r="236" ht="32" customHeight="1">
      <c r="A236" s="16" t="inlineStr">
        <is>
          <t>X-0235</t>
        </is>
      </c>
      <c r="B236" s="8" t="inlineStr">
        <is>
          <t>X</t>
        </is>
      </c>
      <c r="C236" s="5" t="inlineStr">
        <is>
          <t>Multiple / Cross-persona</t>
        </is>
      </c>
      <c r="D236" s="5" t="inlineStr">
        <is>
          <t>Inventory Lifecycle</t>
        </is>
      </c>
      <c r="E236" s="5" t="inlineStr">
        <is>
          <t>Purchase receipt → stock enters inventory</t>
        </is>
      </c>
      <c r="F236" s="5" t="inlineStr">
        <is>
          <t>Godown Custodian</t>
        </is>
      </c>
      <c r="G236" s="5" t="inlineStr">
        <is>
          <t>Supplier</t>
        </is>
      </c>
      <c r="H236" s="5" t="inlineStr">
        <is>
          <t>Warehouse inventory incremented upon physical goods intake</t>
        </is>
      </c>
      <c r="I236" s="5" t="inlineStr">
        <is>
          <t>Creates StockMovement (INWARD_PURCHASE); updates StockBalance and FIFO cost layers</t>
        </is>
      </c>
      <c r="J236" s="20" t="inlineStr">
        <is>
          <t>P1</t>
        </is>
      </c>
      <c r="K236" s="20" t="inlineStr">
        <is>
          <t>Validated (Supported)</t>
        </is>
      </c>
      <c r="L236" s="5" t="inlineStr">
        <is>
          <t>Supported via PurchaseInvoice completion and standalone GRN flow.</t>
        </is>
      </c>
      <c r="M236" s="8" t="inlineStr">
        <is>
          <t>Baseline</t>
        </is>
      </c>
      <c r="N236" s="8" t="inlineStr">
        <is>
          <t>Cross-persona</t>
        </is>
      </c>
      <c r="O236" s="8" t="inlineStr">
        <is>
          <t>P1</t>
        </is>
      </c>
      <c r="P236" s="5" t="inlineStr">
        <is>
          <t>Unchanged</t>
        </is>
      </c>
      <c r="Q236" s="21" t="inlineStr">
        <is>
          <t>Code symbol found</t>
        </is>
      </c>
      <c r="R236" s="5" t="inlineStr">
        <is>
          <t>Matched PurchaseInvoice in product code. This is not a functional test.</t>
        </is>
      </c>
      <c r="S236" s="8" t="inlineStr">
        <is>
          <t>INV</t>
        </is>
      </c>
      <c r="T236" s="5" t="inlineStr">
        <is>
          <t>Inventory lifecycle</t>
        </is>
      </c>
      <c r="U236" s="8" t="inlineStr"/>
      <c r="V236" s="8" t="inlineStr">
        <is>
          <t>inventory</t>
        </is>
      </c>
      <c r="W236" s="8" t="inlineStr">
        <is>
          <t>RUN</t>
        </is>
      </c>
      <c r="X236" s="5" t="inlineStr">
        <is>
          <t>Core</t>
        </is>
      </c>
      <c r="Y236" s="5" t="inlineStr">
        <is>
          <t>Cross-persona</t>
        </is>
      </c>
      <c r="Z236" s="5" t="inlineStr">
        <is>
          <t>High</t>
        </is>
      </c>
      <c r="AA236" s="5" t="inlineStr">
        <is>
          <t>High</t>
        </is>
      </c>
      <c r="AB236" s="8" t="inlineStr">
        <is>
          <t>Low</t>
        </is>
      </c>
      <c r="AC236" s="8" t="inlineStr">
        <is>
          <t>Pilot</t>
        </is>
      </c>
      <c r="AD236" s="5" t="inlineStr">
        <is>
          <t>Cited in code</t>
        </is>
      </c>
      <c r="AE236" s="5" t="inlineStr">
        <is>
          <t>Not verified</t>
        </is>
      </c>
      <c r="AF236" s="5" t="inlineStr">
        <is>
          <t>Not verified</t>
        </is>
      </c>
      <c r="AG236" s="5" t="inlineStr">
        <is>
          <t>Not verified</t>
        </is>
      </c>
      <c r="AH236" s="5" t="inlineStr">
        <is>
          <t>Not verified</t>
        </is>
      </c>
      <c r="AI236" s="8" t="inlineStr">
        <is>
          <t>No</t>
        </is>
      </c>
      <c r="AJ236" s="8" t="inlineStr">
        <is>
          <t>Built - unverified</t>
        </is>
      </c>
      <c r="AK236" s="8" t="inlineStr">
        <is>
          <t>P1</t>
        </is>
      </c>
      <c r="AL236" s="8" t="n">
        <v>9</v>
      </c>
      <c r="AM236" s="5" t="inlineStr"/>
      <c r="AN236" s="5" t="inlineStr"/>
      <c r="AO236" s="5" t="inlineStr"/>
      <c r="AP236" s="5" t="inlineStr"/>
      <c r="AQ236" s="5" t="inlineStr"/>
      <c r="AR236" s="5" t="inlineStr"/>
      <c r="AS236" s="5" t="inlineStr"/>
      <c r="AT236" s="5" t="inlineStr"/>
      <c r="AU236" s="8" t="inlineStr">
        <is>
          <t>Not run</t>
        </is>
      </c>
    </row>
    <row r="237" ht="32" customHeight="1">
      <c r="A237" s="16" t="inlineStr">
        <is>
          <t>X-0236</t>
        </is>
      </c>
      <c r="B237" s="8" t="inlineStr">
        <is>
          <t>X</t>
        </is>
      </c>
      <c r="C237" s="5" t="inlineStr">
        <is>
          <t>Multiple / Cross-persona</t>
        </is>
      </c>
      <c r="D237" s="5" t="inlineStr">
        <is>
          <t>Inventory Lifecycle</t>
        </is>
      </c>
      <c r="E237" s="5" t="inlineStr">
        <is>
          <t>Sale → stock leaves inventory</t>
        </is>
      </c>
      <c r="F237" s="5" t="inlineStr">
        <is>
          <t>Counter Clerk / Billing Staff</t>
        </is>
      </c>
      <c r="G237" s="5" t="inlineStr">
        <is>
          <t>Customer</t>
        </is>
      </c>
      <c r="H237" s="5" t="inlineStr">
        <is>
          <t>Warehouse inventory decremented upon sales invoice completion</t>
        </is>
      </c>
      <c r="I237" s="5" t="inlineStr">
        <is>
          <t>Creates StockMovement (OUTWARD_SALE); consumes FIFO cost layer; prevents over-allocation</t>
        </is>
      </c>
      <c r="J237" s="20" t="inlineStr">
        <is>
          <t>P1</t>
        </is>
      </c>
      <c r="K237" s="20" t="inlineStr">
        <is>
          <t>Validated (Supported)</t>
        </is>
      </c>
      <c r="L237" s="5" t="inlineStr">
        <is>
          <t>Core system invariant: sales completion atomically decrements stock balance.</t>
        </is>
      </c>
      <c r="M237" s="8" t="inlineStr">
        <is>
          <t>Baseline</t>
        </is>
      </c>
      <c r="N237" s="8" t="inlineStr">
        <is>
          <t>Cross-persona</t>
        </is>
      </c>
      <c r="O237" s="8" t="inlineStr">
        <is>
          <t>P1</t>
        </is>
      </c>
      <c r="P237" s="5" t="inlineStr">
        <is>
          <t>Restored to authored P1. The previous workbook had P0 after a keyword rebalance.</t>
        </is>
      </c>
      <c r="Q237" s="20" t="inlineStr">
        <is>
          <t>Author assertion</t>
        </is>
      </c>
      <c r="R237" s="5" t="inlineStr">
        <is>
          <t>Restored to authored P1. The previous workbook had P0 after a keyword rebalance.</t>
        </is>
      </c>
      <c r="S237" s="8" t="inlineStr">
        <is>
          <t>INV</t>
        </is>
      </c>
      <c r="T237" s="5" t="inlineStr">
        <is>
          <t>Inventory lifecycle</t>
        </is>
      </c>
      <c r="U237" s="8" t="inlineStr"/>
      <c r="V237" s="8" t="inlineStr">
        <is>
          <t>inventory</t>
        </is>
      </c>
      <c r="W237" s="8" t="inlineStr">
        <is>
          <t>RUN</t>
        </is>
      </c>
      <c r="X237" s="5" t="inlineStr">
        <is>
          <t>Core</t>
        </is>
      </c>
      <c r="Y237" s="5" t="inlineStr">
        <is>
          <t>Cross-persona</t>
        </is>
      </c>
      <c r="Z237" s="5" t="inlineStr">
        <is>
          <t>High</t>
        </is>
      </c>
      <c r="AA237" s="5" t="inlineStr">
        <is>
          <t>High</t>
        </is>
      </c>
      <c r="AB237" s="8" t="inlineStr">
        <is>
          <t>Low</t>
        </is>
      </c>
      <c r="AC237" s="8" t="inlineStr">
        <is>
          <t>Pilot</t>
        </is>
      </c>
      <c r="AD237" s="5" t="inlineStr">
        <is>
          <t>Not independently checked</t>
        </is>
      </c>
      <c r="AE237" s="5" t="inlineStr">
        <is>
          <t>Not verified</t>
        </is>
      </c>
      <c r="AF237" s="5" t="inlineStr">
        <is>
          <t>Not verified</t>
        </is>
      </c>
      <c r="AG237" s="5" t="inlineStr">
        <is>
          <t>Not verified</t>
        </is>
      </c>
      <c r="AH237" s="5" t="inlineStr">
        <is>
          <t>Not verified</t>
        </is>
      </c>
      <c r="AI237" s="8" t="inlineStr">
        <is>
          <t>No</t>
        </is>
      </c>
      <c r="AJ237" s="8" t="inlineStr">
        <is>
          <t>Claimed - unverified</t>
        </is>
      </c>
      <c r="AK237" s="8" t="inlineStr">
        <is>
          <t>P1</t>
        </is>
      </c>
      <c r="AL237" s="8" t="n">
        <v>9</v>
      </c>
      <c r="AM237" s="5" t="inlineStr"/>
      <c r="AN237" s="5" t="inlineStr"/>
      <c r="AO237" s="5" t="inlineStr"/>
      <c r="AP237" s="5" t="inlineStr"/>
      <c r="AQ237" s="5" t="inlineStr"/>
      <c r="AR237" s="5" t="inlineStr"/>
      <c r="AS237" s="5" t="inlineStr"/>
      <c r="AT237" s="5" t="inlineStr"/>
      <c r="AU237" s="8" t="inlineStr">
        <is>
          <t>Not run</t>
        </is>
      </c>
    </row>
    <row r="238" ht="32" customHeight="1">
      <c r="A238" s="16" t="inlineStr">
        <is>
          <t>X-0237</t>
        </is>
      </c>
      <c r="B238" s="8" t="inlineStr">
        <is>
          <t>X</t>
        </is>
      </c>
      <c r="C238" s="5" t="inlineStr">
        <is>
          <t>Multiple / Cross-persona</t>
        </is>
      </c>
      <c r="D238" s="5" t="inlineStr">
        <is>
          <t>Inventory Lifecycle</t>
        </is>
      </c>
      <c r="E238" s="5" t="inlineStr">
        <is>
          <t>Sales return → stock comes back into inventory</t>
        </is>
      </c>
      <c r="F238" s="5" t="inlineStr">
        <is>
          <t>Godown Custodian</t>
        </is>
      </c>
      <c r="G238" s="5" t="inlineStr">
        <is>
          <t>Customer</t>
        </is>
      </c>
      <c r="H238" s="5" t="inlineStr">
        <is>
          <t>Customer-returned goods restored to active saleable inventory</t>
        </is>
      </c>
      <c r="I238" s="5" t="inlineStr">
        <is>
          <t>Creates StockMovement (RETURN_INWARD); restores stock balance at original cost</t>
        </is>
      </c>
      <c r="J238" s="20" t="inlineStr">
        <is>
          <t>P1</t>
        </is>
      </c>
      <c r="K238" s="20" t="inlineStr">
        <is>
          <t>Validated (Supported)</t>
        </is>
      </c>
      <c r="L238" s="5" t="inlineStr">
        <is>
          <t>Supported via SalesReturn approval with inventory restoration enabled.</t>
        </is>
      </c>
      <c r="M238" s="8" t="inlineStr">
        <is>
          <t>Baseline</t>
        </is>
      </c>
      <c r="N238" s="8" t="inlineStr">
        <is>
          <t>Cross-persona</t>
        </is>
      </c>
      <c r="O238" s="8" t="inlineStr">
        <is>
          <t>P1</t>
        </is>
      </c>
      <c r="P238" s="5" t="inlineStr">
        <is>
          <t>Unchanged</t>
        </is>
      </c>
      <c r="Q238" s="21" t="inlineStr">
        <is>
          <t>Code symbol found</t>
        </is>
      </c>
      <c r="R238" s="5" t="inlineStr">
        <is>
          <t>Matched SalesReturn in product code. This is not a functional test.</t>
        </is>
      </c>
      <c r="S238" s="8" t="inlineStr">
        <is>
          <t>INV</t>
        </is>
      </c>
      <c r="T238" s="5" t="inlineStr">
        <is>
          <t>Inventory lifecycle</t>
        </is>
      </c>
      <c r="U238" s="8" t="inlineStr"/>
      <c r="V238" s="8" t="inlineStr">
        <is>
          <t>inventory</t>
        </is>
      </c>
      <c r="W238" s="8" t="inlineStr">
        <is>
          <t>RUN</t>
        </is>
      </c>
      <c r="X238" s="5" t="inlineStr">
        <is>
          <t>Core</t>
        </is>
      </c>
      <c r="Y238" s="5" t="inlineStr">
        <is>
          <t>Cross-persona</t>
        </is>
      </c>
      <c r="Z238" s="5" t="inlineStr">
        <is>
          <t>High</t>
        </is>
      </c>
      <c r="AA238" s="5" t="inlineStr">
        <is>
          <t>High</t>
        </is>
      </c>
      <c r="AB238" s="8" t="inlineStr">
        <is>
          <t>Low</t>
        </is>
      </c>
      <c r="AC238" s="8" t="inlineStr">
        <is>
          <t>Pilot</t>
        </is>
      </c>
      <c r="AD238" s="5" t="inlineStr">
        <is>
          <t>Cited in code</t>
        </is>
      </c>
      <c r="AE238" s="5" t="inlineStr">
        <is>
          <t>Not verified</t>
        </is>
      </c>
      <c r="AF238" s="5" t="inlineStr">
        <is>
          <t>Not verified</t>
        </is>
      </c>
      <c r="AG238" s="5" t="inlineStr">
        <is>
          <t>Not verified</t>
        </is>
      </c>
      <c r="AH238" s="5" t="inlineStr">
        <is>
          <t>Not verified</t>
        </is>
      </c>
      <c r="AI238" s="8" t="inlineStr">
        <is>
          <t>No</t>
        </is>
      </c>
      <c r="AJ238" s="8" t="inlineStr">
        <is>
          <t>Built - unverified</t>
        </is>
      </c>
      <c r="AK238" s="8" t="inlineStr">
        <is>
          <t>P1</t>
        </is>
      </c>
      <c r="AL238" s="8" t="n">
        <v>9</v>
      </c>
      <c r="AM238" s="5" t="inlineStr"/>
      <c r="AN238" s="5" t="inlineStr"/>
      <c r="AO238" s="5" t="inlineStr"/>
      <c r="AP238" s="5" t="inlineStr"/>
      <c r="AQ238" s="5" t="inlineStr"/>
      <c r="AR238" s="5" t="inlineStr"/>
      <c r="AS238" s="5" t="inlineStr"/>
      <c r="AT238" s="5" t="inlineStr"/>
      <c r="AU238" s="8" t="inlineStr">
        <is>
          <t>Not run</t>
        </is>
      </c>
    </row>
    <row r="239" ht="32" customHeight="1">
      <c r="A239" s="16" t="inlineStr">
        <is>
          <t>X-0238</t>
        </is>
      </c>
      <c r="B239" s="8" t="inlineStr">
        <is>
          <t>X</t>
        </is>
      </c>
      <c r="C239" s="5" t="inlineStr">
        <is>
          <t>Multiple / Cross-persona</t>
        </is>
      </c>
      <c r="D239" s="5" t="inlineStr">
        <is>
          <t>Inventory Lifecycle</t>
        </is>
      </c>
      <c r="E239" s="5" t="inlineStr">
        <is>
          <t>Purchase return → stock leaves inventory</t>
        </is>
      </c>
      <c r="F239" s="5" t="inlineStr">
        <is>
          <t>Godown Custodian</t>
        </is>
      </c>
      <c r="G239" s="5" t="inlineStr">
        <is>
          <t>Supplier</t>
        </is>
      </c>
      <c r="H239" s="5" t="inlineStr">
        <is>
          <t>Vendor-returned goods removed from warehouse inventory records</t>
        </is>
      </c>
      <c r="I239" s="5" t="inlineStr">
        <is>
          <t>Creates StockMovement (RETURN_OUTWARD); reduces stock balance and FIFO cost layer</t>
        </is>
      </c>
      <c r="J239" s="20" t="inlineStr">
        <is>
          <t>P1</t>
        </is>
      </c>
      <c r="K239" s="20" t="inlineStr">
        <is>
          <t>Validated (Supported)</t>
        </is>
      </c>
      <c r="L239" s="5" t="inlineStr">
        <is>
          <t>Supported via PurchaseReturn completion.</t>
        </is>
      </c>
      <c r="M239" s="8" t="inlineStr">
        <is>
          <t>Baseline</t>
        </is>
      </c>
      <c r="N239" s="8" t="inlineStr">
        <is>
          <t>Cross-persona</t>
        </is>
      </c>
      <c r="O239" s="8" t="inlineStr">
        <is>
          <t>P1</t>
        </is>
      </c>
      <c r="P239" s="5" t="inlineStr">
        <is>
          <t>Unchanged</t>
        </is>
      </c>
      <c r="Q239" s="21" t="inlineStr">
        <is>
          <t>Code symbol found</t>
        </is>
      </c>
      <c r="R239" s="5" t="inlineStr">
        <is>
          <t>Matched PurchaseReturn in product code. This is not a functional test.</t>
        </is>
      </c>
      <c r="S239" s="8" t="inlineStr">
        <is>
          <t>INV</t>
        </is>
      </c>
      <c r="T239" s="5" t="inlineStr">
        <is>
          <t>Inventory lifecycle</t>
        </is>
      </c>
      <c r="U239" s="8" t="inlineStr"/>
      <c r="V239" s="8" t="inlineStr">
        <is>
          <t>inventory</t>
        </is>
      </c>
      <c r="W239" s="8" t="inlineStr">
        <is>
          <t>RUN</t>
        </is>
      </c>
      <c r="X239" s="5" t="inlineStr">
        <is>
          <t>Core</t>
        </is>
      </c>
      <c r="Y239" s="5" t="inlineStr">
        <is>
          <t>Cross-persona</t>
        </is>
      </c>
      <c r="Z239" s="5" t="inlineStr">
        <is>
          <t>High</t>
        </is>
      </c>
      <c r="AA239" s="5" t="inlineStr">
        <is>
          <t>High</t>
        </is>
      </c>
      <c r="AB239" s="8" t="inlineStr">
        <is>
          <t>Low</t>
        </is>
      </c>
      <c r="AC239" s="8" t="inlineStr">
        <is>
          <t>Pilot</t>
        </is>
      </c>
      <c r="AD239" s="5" t="inlineStr">
        <is>
          <t>Cited in code</t>
        </is>
      </c>
      <c r="AE239" s="5" t="inlineStr">
        <is>
          <t>Not verified</t>
        </is>
      </c>
      <c r="AF239" s="5" t="inlineStr">
        <is>
          <t>Not verified</t>
        </is>
      </c>
      <c r="AG239" s="5" t="inlineStr">
        <is>
          <t>Not verified</t>
        </is>
      </c>
      <c r="AH239" s="5" t="inlineStr">
        <is>
          <t>Not verified</t>
        </is>
      </c>
      <c r="AI239" s="8" t="inlineStr">
        <is>
          <t>No</t>
        </is>
      </c>
      <c r="AJ239" s="8" t="inlineStr">
        <is>
          <t>Built - unverified</t>
        </is>
      </c>
      <c r="AK239" s="8" t="inlineStr">
        <is>
          <t>P1</t>
        </is>
      </c>
      <c r="AL239" s="8" t="n">
        <v>9</v>
      </c>
      <c r="AM239" s="5" t="inlineStr"/>
      <c r="AN239" s="5" t="inlineStr"/>
      <c r="AO239" s="5" t="inlineStr"/>
      <c r="AP239" s="5" t="inlineStr"/>
      <c r="AQ239" s="5" t="inlineStr"/>
      <c r="AR239" s="5" t="inlineStr"/>
      <c r="AS239" s="5" t="inlineStr"/>
      <c r="AT239" s="5" t="inlineStr"/>
      <c r="AU239" s="8" t="inlineStr">
        <is>
          <t>Not run</t>
        </is>
      </c>
    </row>
    <row r="240" ht="32" customHeight="1">
      <c r="A240" s="16" t="inlineStr">
        <is>
          <t>X-0239</t>
        </is>
      </c>
      <c r="B240" s="8" t="inlineStr">
        <is>
          <t>X</t>
        </is>
      </c>
      <c r="C240" s="5" t="inlineStr">
        <is>
          <t>Multiple / Cross-persona</t>
        </is>
      </c>
      <c r="D240" s="5" t="inlineStr">
        <is>
          <t>Inventory Lifecycle</t>
        </is>
      </c>
      <c r="E240" s="5" t="inlineStr">
        <is>
          <t>Stock transfer → source location decreases</t>
        </is>
      </c>
      <c r="F240" s="5" t="inlineStr">
        <is>
          <t>Godown Custodian (Source)</t>
        </is>
      </c>
      <c r="G240" s="5" t="inlineStr">
        <is>
          <t>Logistics Coordinator</t>
        </is>
      </c>
      <c r="H240" s="5" t="inlineStr">
        <is>
          <t>Inventory deducted from sending warehouse upon inter-godown dispatch</t>
        </is>
      </c>
      <c r="I240" s="5" t="inlineStr">
        <is>
          <t>Creates StockMovement (TRANSFER_OUT); reduces source warehouse StockBalance</t>
        </is>
      </c>
      <c r="J240" s="20" t="inlineStr">
        <is>
          <t>P1</t>
        </is>
      </c>
      <c r="K240" s="20" t="inlineStr">
        <is>
          <t>Validated (Supported)</t>
        </is>
      </c>
      <c r="L240" s="5" t="inlineStr">
        <is>
          <t>Supported via StockTransfer dispatch step.</t>
        </is>
      </c>
      <c r="M240" s="8" t="inlineStr">
        <is>
          <t>Baseline</t>
        </is>
      </c>
      <c r="N240" s="8" t="inlineStr">
        <is>
          <t>Cross-persona</t>
        </is>
      </c>
      <c r="O240" s="8" t="inlineStr">
        <is>
          <t>P1</t>
        </is>
      </c>
      <c r="P240" s="5" t="inlineStr">
        <is>
          <t>Unchanged</t>
        </is>
      </c>
      <c r="Q240" s="21" t="inlineStr">
        <is>
          <t>Code symbol found</t>
        </is>
      </c>
      <c r="R240" s="5" t="inlineStr">
        <is>
          <t>Matched StockTransfer in product code. This is not a functional test.</t>
        </is>
      </c>
      <c r="S240" s="8" t="inlineStr">
        <is>
          <t>INV</t>
        </is>
      </c>
      <c r="T240" s="5" t="inlineStr">
        <is>
          <t>Inventory lifecycle</t>
        </is>
      </c>
      <c r="U240" s="8" t="inlineStr"/>
      <c r="V240" s="8" t="inlineStr">
        <is>
          <t>inventory</t>
        </is>
      </c>
      <c r="W240" s="8" t="inlineStr">
        <is>
          <t>RUN</t>
        </is>
      </c>
      <c r="X240" s="5" t="inlineStr">
        <is>
          <t>Core</t>
        </is>
      </c>
      <c r="Y240" s="5" t="inlineStr">
        <is>
          <t>Cross-persona</t>
        </is>
      </c>
      <c r="Z240" s="5" t="inlineStr">
        <is>
          <t>High</t>
        </is>
      </c>
      <c r="AA240" s="5" t="inlineStr">
        <is>
          <t>High</t>
        </is>
      </c>
      <c r="AB240" s="8" t="inlineStr">
        <is>
          <t>Low</t>
        </is>
      </c>
      <c r="AC240" s="8" t="inlineStr">
        <is>
          <t>Pilot</t>
        </is>
      </c>
      <c r="AD240" s="5" t="inlineStr">
        <is>
          <t>Cited in code</t>
        </is>
      </c>
      <c r="AE240" s="5" t="inlineStr">
        <is>
          <t>Not verified</t>
        </is>
      </c>
      <c r="AF240" s="5" t="inlineStr">
        <is>
          <t>Not verified</t>
        </is>
      </c>
      <c r="AG240" s="5" t="inlineStr">
        <is>
          <t>Not verified</t>
        </is>
      </c>
      <c r="AH240" s="5" t="inlineStr">
        <is>
          <t>Not verified</t>
        </is>
      </c>
      <c r="AI240" s="8" t="inlineStr">
        <is>
          <t>No</t>
        </is>
      </c>
      <c r="AJ240" s="8" t="inlineStr">
        <is>
          <t>Built - unverified</t>
        </is>
      </c>
      <c r="AK240" s="8" t="inlineStr">
        <is>
          <t>P1</t>
        </is>
      </c>
      <c r="AL240" s="8" t="n">
        <v>9</v>
      </c>
      <c r="AM240" s="5" t="inlineStr"/>
      <c r="AN240" s="5" t="inlineStr"/>
      <c r="AO240" s="5" t="inlineStr"/>
      <c r="AP240" s="5" t="inlineStr"/>
      <c r="AQ240" s="5" t="inlineStr"/>
      <c r="AR240" s="5" t="inlineStr"/>
      <c r="AS240" s="5" t="inlineStr"/>
      <c r="AT240" s="5" t="inlineStr"/>
      <c r="AU240" s="8" t="inlineStr">
        <is>
          <t>Not run</t>
        </is>
      </c>
    </row>
    <row r="241" ht="32" customHeight="1">
      <c r="A241" s="16" t="inlineStr">
        <is>
          <t>X-0240</t>
        </is>
      </c>
      <c r="B241" s="8" t="inlineStr">
        <is>
          <t>X</t>
        </is>
      </c>
      <c r="C241" s="5" t="inlineStr">
        <is>
          <t>Multiple / Cross-persona</t>
        </is>
      </c>
      <c r="D241" s="5" t="inlineStr">
        <is>
          <t>Inventory Lifecycle</t>
        </is>
      </c>
      <c r="E241" s="5" t="inlineStr">
        <is>
          <t>Stock transfer → destination location increases</t>
        </is>
      </c>
      <c r="F241" s="5" t="inlineStr">
        <is>
          <t>Godown Custodian (Dest)</t>
        </is>
      </c>
      <c r="G241" s="5" t="inlineStr">
        <is>
          <t>Logistics Coordinator</t>
        </is>
      </c>
      <c r="H241" s="5" t="inlineStr">
        <is>
          <t>Inventory added to receiving warehouse upon inter-godown receipt</t>
        </is>
      </c>
      <c r="I241" s="5" t="inlineStr">
        <is>
          <t>Creates StockMovement (TRANSFER_IN); increases destination warehouse StockBalance</t>
        </is>
      </c>
      <c r="J241" s="20" t="inlineStr">
        <is>
          <t>P1</t>
        </is>
      </c>
      <c r="K241" s="20" t="inlineStr">
        <is>
          <t>Validated (Supported)</t>
        </is>
      </c>
      <c r="L241" s="5" t="inlineStr">
        <is>
          <t>Supported via StockTransfer receive step.</t>
        </is>
      </c>
      <c r="M241" s="8" t="inlineStr">
        <is>
          <t>Baseline</t>
        </is>
      </c>
      <c r="N241" s="8" t="inlineStr">
        <is>
          <t>Cross-persona</t>
        </is>
      </c>
      <c r="O241" s="8" t="inlineStr">
        <is>
          <t>P1</t>
        </is>
      </c>
      <c r="P241" s="5" t="inlineStr">
        <is>
          <t>Unchanged</t>
        </is>
      </c>
      <c r="Q241" s="21" t="inlineStr">
        <is>
          <t>Code symbol found</t>
        </is>
      </c>
      <c r="R241" s="5" t="inlineStr">
        <is>
          <t>Matched StockTransfer in product code. This is not a functional test.</t>
        </is>
      </c>
      <c r="S241" s="8" t="inlineStr">
        <is>
          <t>INV</t>
        </is>
      </c>
      <c r="T241" s="5" t="inlineStr">
        <is>
          <t>Inventory lifecycle</t>
        </is>
      </c>
      <c r="U241" s="8" t="inlineStr"/>
      <c r="V241" s="8" t="inlineStr">
        <is>
          <t>inventory</t>
        </is>
      </c>
      <c r="W241" s="8" t="inlineStr">
        <is>
          <t>RUN</t>
        </is>
      </c>
      <c r="X241" s="5" t="inlineStr">
        <is>
          <t>Core</t>
        </is>
      </c>
      <c r="Y241" s="5" t="inlineStr">
        <is>
          <t>Cross-persona</t>
        </is>
      </c>
      <c r="Z241" s="5" t="inlineStr">
        <is>
          <t>High</t>
        </is>
      </c>
      <c r="AA241" s="5" t="inlineStr">
        <is>
          <t>High</t>
        </is>
      </c>
      <c r="AB241" s="8" t="inlineStr">
        <is>
          <t>Low</t>
        </is>
      </c>
      <c r="AC241" s="8" t="inlineStr">
        <is>
          <t>Pilot</t>
        </is>
      </c>
      <c r="AD241" s="5" t="inlineStr">
        <is>
          <t>Cited in code</t>
        </is>
      </c>
      <c r="AE241" s="5" t="inlineStr">
        <is>
          <t>Not verified</t>
        </is>
      </c>
      <c r="AF241" s="5" t="inlineStr">
        <is>
          <t>Not verified</t>
        </is>
      </c>
      <c r="AG241" s="5" t="inlineStr">
        <is>
          <t>Not verified</t>
        </is>
      </c>
      <c r="AH241" s="5" t="inlineStr">
        <is>
          <t>Not verified</t>
        </is>
      </c>
      <c r="AI241" s="8" t="inlineStr">
        <is>
          <t>No</t>
        </is>
      </c>
      <c r="AJ241" s="8" t="inlineStr">
        <is>
          <t>Built - unverified</t>
        </is>
      </c>
      <c r="AK241" s="8" t="inlineStr">
        <is>
          <t>P1</t>
        </is>
      </c>
      <c r="AL241" s="8" t="n">
        <v>9</v>
      </c>
      <c r="AM241" s="5" t="inlineStr"/>
      <c r="AN241" s="5" t="inlineStr"/>
      <c r="AO241" s="5" t="inlineStr"/>
      <c r="AP241" s="5" t="inlineStr"/>
      <c r="AQ241" s="5" t="inlineStr"/>
      <c r="AR241" s="5" t="inlineStr"/>
      <c r="AS241" s="5" t="inlineStr"/>
      <c r="AT241" s="5" t="inlineStr"/>
      <c r="AU241" s="8" t="inlineStr">
        <is>
          <t>Not run</t>
        </is>
      </c>
    </row>
    <row r="242" ht="32" customHeight="1">
      <c r="A242" s="16" t="inlineStr">
        <is>
          <t>X-0241</t>
        </is>
      </c>
      <c r="B242" s="8" t="inlineStr">
        <is>
          <t>X</t>
        </is>
      </c>
      <c r="C242" s="5" t="inlineStr">
        <is>
          <t>Multiple / Cross-persona</t>
        </is>
      </c>
      <c r="D242" s="5" t="inlineStr">
        <is>
          <t>Inventory Lifecycle</t>
        </is>
      </c>
      <c r="E242" s="5" t="inlineStr">
        <is>
          <t>Stock transfer → complete movement history is retained</t>
        </is>
      </c>
      <c r="F242" s="5" t="inlineStr">
        <is>
          <t>Logistics Manager</t>
        </is>
      </c>
      <c r="G242" s="5" t="inlineStr">
        <is>
          <t>Auditor</t>
        </is>
      </c>
      <c r="H242" s="5" t="inlineStr">
        <is>
          <t>Complete audit trail of transit dates, quantities, and carrier details retained</t>
        </is>
      </c>
      <c r="I242" s="5" t="inlineStr">
        <is>
          <t>Maintains StockTransfer record linking dispatch and receipt movements with user IDs</t>
        </is>
      </c>
      <c r="J242" s="20" t="inlineStr">
        <is>
          <t>P1</t>
        </is>
      </c>
      <c r="K242" s="20" t="inlineStr">
        <is>
          <t>Validated (Supported)</t>
        </is>
      </c>
      <c r="L242" s="5" t="inlineStr">
        <is>
          <t>Supported via immutable StockTransfer history.</t>
        </is>
      </c>
      <c r="M242" s="8" t="inlineStr">
        <is>
          <t>Baseline</t>
        </is>
      </c>
      <c r="N242" s="8" t="inlineStr">
        <is>
          <t>Cross-persona</t>
        </is>
      </c>
      <c r="O242" s="8" t="inlineStr">
        <is>
          <t>P1</t>
        </is>
      </c>
      <c r="P242" s="5" t="inlineStr">
        <is>
          <t>Unchanged</t>
        </is>
      </c>
      <c r="Q242" s="21" t="inlineStr">
        <is>
          <t>Code symbol found</t>
        </is>
      </c>
      <c r="R242" s="5" t="inlineStr">
        <is>
          <t>Matched StockTransfer in product code. This is not a functional test.</t>
        </is>
      </c>
      <c r="S242" s="8" t="inlineStr">
        <is>
          <t>INV</t>
        </is>
      </c>
      <c r="T242" s="5" t="inlineStr">
        <is>
          <t>Inventory lifecycle</t>
        </is>
      </c>
      <c r="U242" s="8" t="inlineStr"/>
      <c r="V242" s="8" t="inlineStr">
        <is>
          <t>inventory</t>
        </is>
      </c>
      <c r="W242" s="8" t="inlineStr">
        <is>
          <t>RUN</t>
        </is>
      </c>
      <c r="X242" s="5" t="inlineStr">
        <is>
          <t>Core</t>
        </is>
      </c>
      <c r="Y242" s="5" t="inlineStr">
        <is>
          <t>Cross-persona</t>
        </is>
      </c>
      <c r="Z242" s="5" t="inlineStr">
        <is>
          <t>High</t>
        </is>
      </c>
      <c r="AA242" s="5" t="inlineStr">
        <is>
          <t>High</t>
        </is>
      </c>
      <c r="AB242" s="8" t="inlineStr">
        <is>
          <t>Low</t>
        </is>
      </c>
      <c r="AC242" s="8" t="inlineStr">
        <is>
          <t>Pilot</t>
        </is>
      </c>
      <c r="AD242" s="5" t="inlineStr">
        <is>
          <t>Cited in code</t>
        </is>
      </c>
      <c r="AE242" s="5" t="inlineStr">
        <is>
          <t>Not verified</t>
        </is>
      </c>
      <c r="AF242" s="5" t="inlineStr">
        <is>
          <t>Not verified</t>
        </is>
      </c>
      <c r="AG242" s="5" t="inlineStr">
        <is>
          <t>Not verified</t>
        </is>
      </c>
      <c r="AH242" s="5" t="inlineStr">
        <is>
          <t>Not verified</t>
        </is>
      </c>
      <c r="AI242" s="8" t="inlineStr">
        <is>
          <t>No</t>
        </is>
      </c>
      <c r="AJ242" s="8" t="inlineStr">
        <is>
          <t>Built - unverified</t>
        </is>
      </c>
      <c r="AK242" s="8" t="inlineStr">
        <is>
          <t>P1</t>
        </is>
      </c>
      <c r="AL242" s="8" t="n">
        <v>9</v>
      </c>
      <c r="AM242" s="5" t="inlineStr"/>
      <c r="AN242" s="5" t="inlineStr"/>
      <c r="AO242" s="5" t="inlineStr"/>
      <c r="AP242" s="5" t="inlineStr"/>
      <c r="AQ242" s="5" t="inlineStr"/>
      <c r="AR242" s="5" t="inlineStr"/>
      <c r="AS242" s="5" t="inlineStr"/>
      <c r="AT242" s="5" t="inlineStr"/>
      <c r="AU242" s="8" t="inlineStr">
        <is>
          <t>Not run</t>
        </is>
      </c>
    </row>
    <row r="243" ht="32" customHeight="1">
      <c r="A243" s="16" t="inlineStr">
        <is>
          <t>X-0242</t>
        </is>
      </c>
      <c r="B243" s="8" t="inlineStr">
        <is>
          <t>X</t>
        </is>
      </c>
      <c r="C243" s="5" t="inlineStr">
        <is>
          <t>Multiple / Cross-persona</t>
        </is>
      </c>
      <c r="D243" s="5" t="inlineStr">
        <is>
          <t>Inventory Lifecycle</t>
        </is>
      </c>
      <c r="E243" s="5" t="inlineStr">
        <is>
          <t>Stock adjustment → authorized user approves adjustment</t>
        </is>
      </c>
      <c r="F243" s="5" t="inlineStr">
        <is>
          <t>Warehouse Manager / Owner</t>
        </is>
      </c>
      <c r="G243" s="5" t="inlineStr">
        <is>
          <t>Inventory Staff</t>
        </is>
      </c>
      <c r="H243" s="5" t="inlineStr">
        <is>
          <t>Manager authorization required before manual stock write-offs or adjustments take effect</t>
        </is>
      </c>
      <c r="I243" s="5" t="inlineStr">
        <is>
          <t>Validates user permission; records approver identity, approval timestamp, and justification</t>
        </is>
      </c>
      <c r="J243" s="20" t="inlineStr">
        <is>
          <t>P1</t>
        </is>
      </c>
      <c r="K243" s="20" t="inlineStr">
        <is>
          <t>Validated (Supported)</t>
        </is>
      </c>
      <c r="L243" s="5" t="inlineStr">
        <is>
          <t>Supported via dual-authorization workflow for StockAdjustment records.</t>
        </is>
      </c>
      <c r="M243" s="8" t="inlineStr">
        <is>
          <t>Baseline</t>
        </is>
      </c>
      <c r="N243" s="8" t="inlineStr">
        <is>
          <t>Cross-persona</t>
        </is>
      </c>
      <c r="O243" s="8" t="inlineStr">
        <is>
          <t>P1</t>
        </is>
      </c>
      <c r="P243" s="5" t="inlineStr">
        <is>
          <t>Unchanged</t>
        </is>
      </c>
      <c r="Q243" s="21" t="inlineStr">
        <is>
          <t>Code symbol found</t>
        </is>
      </c>
      <c r="R243" s="5" t="inlineStr">
        <is>
          <t>Matched StockAdjustment in product code. This is not a functional test.</t>
        </is>
      </c>
      <c r="S243" s="8" t="inlineStr">
        <is>
          <t>INV</t>
        </is>
      </c>
      <c r="T243" s="5" t="inlineStr">
        <is>
          <t>Inventory lifecycle</t>
        </is>
      </c>
      <c r="U243" s="8" t="inlineStr"/>
      <c r="V243" s="8" t="inlineStr">
        <is>
          <t>inventory</t>
        </is>
      </c>
      <c r="W243" s="8" t="inlineStr">
        <is>
          <t>RUN</t>
        </is>
      </c>
      <c r="X243" s="5" t="inlineStr">
        <is>
          <t>Core</t>
        </is>
      </c>
      <c r="Y243" s="5" t="inlineStr">
        <is>
          <t>Cross-persona</t>
        </is>
      </c>
      <c r="Z243" s="5" t="inlineStr">
        <is>
          <t>High</t>
        </is>
      </c>
      <c r="AA243" s="5" t="inlineStr">
        <is>
          <t>High</t>
        </is>
      </c>
      <c r="AB243" s="8" t="inlineStr">
        <is>
          <t>Low</t>
        </is>
      </c>
      <c r="AC243" s="8" t="inlineStr">
        <is>
          <t>Pilot</t>
        </is>
      </c>
      <c r="AD243" s="5" t="inlineStr">
        <is>
          <t>Cited in code</t>
        </is>
      </c>
      <c r="AE243" s="5" t="inlineStr">
        <is>
          <t>Not verified</t>
        </is>
      </c>
      <c r="AF243" s="5" t="inlineStr">
        <is>
          <t>Not verified</t>
        </is>
      </c>
      <c r="AG243" s="5" t="inlineStr">
        <is>
          <t>Not verified</t>
        </is>
      </c>
      <c r="AH243" s="5" t="inlineStr">
        <is>
          <t>Not verified</t>
        </is>
      </c>
      <c r="AI243" s="8" t="inlineStr">
        <is>
          <t>No</t>
        </is>
      </c>
      <c r="AJ243" s="8" t="inlineStr">
        <is>
          <t>Built - unverified</t>
        </is>
      </c>
      <c r="AK243" s="8" t="inlineStr">
        <is>
          <t>P1</t>
        </is>
      </c>
      <c r="AL243" s="8" t="n">
        <v>9</v>
      </c>
      <c r="AM243" s="5" t="inlineStr"/>
      <c r="AN243" s="5" t="inlineStr"/>
      <c r="AO243" s="5" t="inlineStr"/>
      <c r="AP243" s="5" t="inlineStr"/>
      <c r="AQ243" s="5" t="inlineStr"/>
      <c r="AR243" s="5" t="inlineStr"/>
      <c r="AS243" s="5" t="inlineStr"/>
      <c r="AT243" s="5" t="inlineStr"/>
      <c r="AU243" s="8" t="inlineStr">
        <is>
          <t>Not run</t>
        </is>
      </c>
    </row>
    <row r="244" ht="32" customHeight="1">
      <c r="A244" s="16" t="inlineStr">
        <is>
          <t>X-0243</t>
        </is>
      </c>
      <c r="B244" s="8" t="inlineStr">
        <is>
          <t>X</t>
        </is>
      </c>
      <c r="C244" s="5" t="inlineStr">
        <is>
          <t>Multiple / Cross-persona</t>
        </is>
      </c>
      <c r="D244" s="5" t="inlineStr">
        <is>
          <t>Inventory Lifecycle</t>
        </is>
      </c>
      <c r="E244" s="5" t="inlineStr">
        <is>
          <t>Stock adjustment → inventory ledger records adjustment</t>
        </is>
      </c>
      <c r="F244" s="5" t="inlineStr">
        <is>
          <t>System / Inventory Ledger</t>
        </is>
      </c>
      <c r="G244" s="5" t="inlineStr">
        <is>
          <t>Inventory Manager</t>
        </is>
      </c>
      <c r="H244" s="5" t="inlineStr">
        <is>
          <t>Stock balance corrected and inventory adjustment voucher posted to general ledger</t>
        </is>
      </c>
      <c r="I244" s="5" t="inlineStr">
        <is>
          <t>Creates StockMovement (COUNT_ADJUSTMENT); posts inventory shrinkage expense to GL</t>
        </is>
      </c>
      <c r="J244" s="20" t="inlineStr">
        <is>
          <t>P1</t>
        </is>
      </c>
      <c r="K244" s="20" t="inlineStr">
        <is>
          <t>Validated (Supported)</t>
        </is>
      </c>
      <c r="L244" s="5" t="inlineStr">
        <is>
          <t>Core system invariant: stock adjustment atomically adjusts both inventory and GL.</t>
        </is>
      </c>
      <c r="M244" s="8" t="inlineStr">
        <is>
          <t>Baseline</t>
        </is>
      </c>
      <c r="N244" s="8" t="inlineStr">
        <is>
          <t>Cross-persona</t>
        </is>
      </c>
      <c r="O244" s="8" t="inlineStr">
        <is>
          <t>P1</t>
        </is>
      </c>
      <c r="P244" s="5" t="inlineStr">
        <is>
          <t>Restored to authored P1. The previous workbook had P0 after a keyword rebalance.</t>
        </is>
      </c>
      <c r="Q244" s="20" t="inlineStr">
        <is>
          <t>Author assertion</t>
        </is>
      </c>
      <c r="R244" s="5" t="inlineStr">
        <is>
          <t>Restored to authored P1. The previous workbook had P0 after a keyword rebalance.</t>
        </is>
      </c>
      <c r="S244" s="8" t="inlineStr">
        <is>
          <t>INV</t>
        </is>
      </c>
      <c r="T244" s="5" t="inlineStr">
        <is>
          <t>Inventory lifecycle</t>
        </is>
      </c>
      <c r="U244" s="8" t="inlineStr"/>
      <c r="V244" s="8" t="inlineStr">
        <is>
          <t>inventory</t>
        </is>
      </c>
      <c r="W244" s="8" t="inlineStr">
        <is>
          <t>RUN</t>
        </is>
      </c>
      <c r="X244" s="5" t="inlineStr">
        <is>
          <t>Core</t>
        </is>
      </c>
      <c r="Y244" s="5" t="inlineStr">
        <is>
          <t>Cross-persona</t>
        </is>
      </c>
      <c r="Z244" s="5" t="inlineStr">
        <is>
          <t>High</t>
        </is>
      </c>
      <c r="AA244" s="5" t="inlineStr">
        <is>
          <t>High</t>
        </is>
      </c>
      <c r="AB244" s="8" t="inlineStr">
        <is>
          <t>Low</t>
        </is>
      </c>
      <c r="AC244" s="8" t="inlineStr">
        <is>
          <t>Pilot</t>
        </is>
      </c>
      <c r="AD244" s="5" t="inlineStr">
        <is>
          <t>Not independently checked</t>
        </is>
      </c>
      <c r="AE244" s="5" t="inlineStr">
        <is>
          <t>Not verified</t>
        </is>
      </c>
      <c r="AF244" s="5" t="inlineStr">
        <is>
          <t>Not verified</t>
        </is>
      </c>
      <c r="AG244" s="5" t="inlineStr">
        <is>
          <t>Not verified</t>
        </is>
      </c>
      <c r="AH244" s="5" t="inlineStr">
        <is>
          <t>Not verified</t>
        </is>
      </c>
      <c r="AI244" s="8" t="inlineStr">
        <is>
          <t>No</t>
        </is>
      </c>
      <c r="AJ244" s="8" t="inlineStr">
        <is>
          <t>Claimed - unverified</t>
        </is>
      </c>
      <c r="AK244" s="8" t="inlineStr">
        <is>
          <t>P1</t>
        </is>
      </c>
      <c r="AL244" s="8" t="n">
        <v>9</v>
      </c>
      <c r="AM244" s="5" t="inlineStr"/>
      <c r="AN244" s="5" t="inlineStr"/>
      <c r="AO244" s="5" t="inlineStr"/>
      <c r="AP244" s="5" t="inlineStr"/>
      <c r="AQ244" s="5" t="inlineStr"/>
      <c r="AR244" s="5" t="inlineStr"/>
      <c r="AS244" s="5" t="inlineStr"/>
      <c r="AT244" s="5" t="inlineStr"/>
      <c r="AU244" s="8" t="inlineStr">
        <is>
          <t>Not run</t>
        </is>
      </c>
    </row>
    <row r="245" ht="32" customHeight="1">
      <c r="A245" s="16" t="inlineStr">
        <is>
          <t>X-0244</t>
        </is>
      </c>
      <c r="B245" s="8" t="inlineStr">
        <is>
          <t>X</t>
        </is>
      </c>
      <c r="C245" s="5" t="inlineStr">
        <is>
          <t>Multiple / Cross-persona</t>
        </is>
      </c>
      <c r="D245" s="5" t="inlineStr">
        <is>
          <t>Inventory Lifecycle</t>
        </is>
      </c>
      <c r="E245" s="5" t="inlineStr">
        <is>
          <t>Damaged stock → inventory is separated from saleable stock</t>
        </is>
      </c>
      <c r="F245" s="5" t="inlineStr">
        <is>
          <t>Godown Custodian</t>
        </is>
      </c>
      <c r="G245" s="5" t="inlineStr">
        <is>
          <t>Sales Team</t>
        </is>
      </c>
      <c r="H245" s="5" t="inlineStr">
        <is>
          <t>Damaged goods isolated into quarantined virtual bin to prevent accidental customer sale</t>
        </is>
      </c>
      <c r="I245" s="5" t="inlineStr">
        <is>
          <t>Transfers quantity from SALEABLE warehouse bin to DAMAGED quarantine bin</t>
        </is>
      </c>
      <c r="J245" s="20" t="inlineStr">
        <is>
          <t>P1</t>
        </is>
      </c>
      <c r="K245" s="20" t="inlineStr">
        <is>
          <t>Validated (Supported)</t>
        </is>
      </c>
      <c r="L245" s="5" t="inlineStr">
        <is>
          <t>Supported via warehouse quarantine bin configuration.</t>
        </is>
      </c>
      <c r="M245" s="8" t="inlineStr">
        <is>
          <t>Baseline</t>
        </is>
      </c>
      <c r="N245" s="8" t="inlineStr">
        <is>
          <t>Cross-persona</t>
        </is>
      </c>
      <c r="O245" s="8" t="inlineStr">
        <is>
          <t>P1</t>
        </is>
      </c>
      <c r="P245" s="5" t="inlineStr">
        <is>
          <t>Unchanged</t>
        </is>
      </c>
      <c r="Q245" s="20" t="inlineStr">
        <is>
          <t>Author assertion</t>
        </is>
      </c>
      <c r="R245" s="5" t="inlineStr"/>
      <c r="S245" s="8" t="inlineStr">
        <is>
          <t>INV</t>
        </is>
      </c>
      <c r="T245" s="5" t="inlineStr">
        <is>
          <t>Inventory lifecycle</t>
        </is>
      </c>
      <c r="U245" s="8" t="inlineStr"/>
      <c r="V245" s="8" t="inlineStr">
        <is>
          <t>inventory</t>
        </is>
      </c>
      <c r="W245" s="8" t="inlineStr">
        <is>
          <t>RUN</t>
        </is>
      </c>
      <c r="X245" s="5" t="inlineStr">
        <is>
          <t>Core</t>
        </is>
      </c>
      <c r="Y245" s="5" t="inlineStr">
        <is>
          <t>Cross-persona</t>
        </is>
      </c>
      <c r="Z245" s="5" t="inlineStr">
        <is>
          <t>High</t>
        </is>
      </c>
      <c r="AA245" s="5" t="inlineStr">
        <is>
          <t>High</t>
        </is>
      </c>
      <c r="AB245" s="8" t="inlineStr">
        <is>
          <t>Low</t>
        </is>
      </c>
      <c r="AC245" s="8" t="inlineStr">
        <is>
          <t>Pilot</t>
        </is>
      </c>
      <c r="AD245" s="5" t="inlineStr">
        <is>
          <t>Not independently checked</t>
        </is>
      </c>
      <c r="AE245" s="5" t="inlineStr">
        <is>
          <t>Not verified</t>
        </is>
      </c>
      <c r="AF245" s="5" t="inlineStr">
        <is>
          <t>Not verified</t>
        </is>
      </c>
      <c r="AG245" s="5" t="inlineStr">
        <is>
          <t>Not verified</t>
        </is>
      </c>
      <c r="AH245" s="5" t="inlineStr">
        <is>
          <t>Not verified</t>
        </is>
      </c>
      <c r="AI245" s="8" t="inlineStr">
        <is>
          <t>No</t>
        </is>
      </c>
      <c r="AJ245" s="8" t="inlineStr">
        <is>
          <t>Claimed - unverified</t>
        </is>
      </c>
      <c r="AK245" s="8" t="inlineStr">
        <is>
          <t>P1</t>
        </is>
      </c>
      <c r="AL245" s="8" t="n">
        <v>9</v>
      </c>
      <c r="AM245" s="5" t="inlineStr"/>
      <c r="AN245" s="5" t="inlineStr"/>
      <c r="AO245" s="5" t="inlineStr"/>
      <c r="AP245" s="5" t="inlineStr"/>
      <c r="AQ245" s="5" t="inlineStr"/>
      <c r="AR245" s="5" t="inlineStr"/>
      <c r="AS245" s="5" t="inlineStr"/>
      <c r="AT245" s="5" t="inlineStr"/>
      <c r="AU245" s="8" t="inlineStr">
        <is>
          <t>Not run</t>
        </is>
      </c>
    </row>
    <row r="246" ht="32" customHeight="1">
      <c r="A246" s="16" t="inlineStr">
        <is>
          <t>X-0245</t>
        </is>
      </c>
      <c r="B246" s="8" t="inlineStr">
        <is>
          <t>X</t>
        </is>
      </c>
      <c r="C246" s="5" t="inlineStr">
        <is>
          <t>Multiple / Cross-persona</t>
        </is>
      </c>
      <c r="D246" s="5" t="inlineStr">
        <is>
          <t>Inventory Lifecycle</t>
        </is>
      </c>
      <c r="E246" s="5" t="inlineStr">
        <is>
          <t>Lost stock → inventory adjustment is recorded</t>
        </is>
      </c>
      <c r="F246" s="5" t="inlineStr">
        <is>
          <t>Inventory Manager</t>
        </is>
      </c>
      <c r="G246" s="5" t="inlineStr">
        <is>
          <t>Business Owner</t>
        </is>
      </c>
      <c r="H246" s="5" t="inlineStr">
        <is>
          <t>Missing or stolen items written off with complete financial and quantity loss documentation</t>
        </is>
      </c>
      <c r="I246" s="5" t="inlineStr">
        <is>
          <t>Creates StockAdjustment; debits Inventory Shrinkage Expense account; credits Inventory Asset</t>
        </is>
      </c>
      <c r="J246" s="20" t="inlineStr">
        <is>
          <t>P1</t>
        </is>
      </c>
      <c r="K246" s="20" t="inlineStr">
        <is>
          <t>Validated (Supported)</t>
        </is>
      </c>
      <c r="L246" s="5" t="inlineStr">
        <is>
          <t>Supported via StockAdjustment with reason code 'THEFT_OR_LOSS'.</t>
        </is>
      </c>
      <c r="M246" s="8" t="inlineStr">
        <is>
          <t>Baseline</t>
        </is>
      </c>
      <c r="N246" s="8" t="inlineStr">
        <is>
          <t>Cross-persona</t>
        </is>
      </c>
      <c r="O246" s="8" t="inlineStr">
        <is>
          <t>P1</t>
        </is>
      </c>
      <c r="P246" s="5" t="inlineStr">
        <is>
          <t>Unchanged</t>
        </is>
      </c>
      <c r="Q246" s="21" t="inlineStr">
        <is>
          <t>Code symbol found</t>
        </is>
      </c>
      <c r="R246" s="5" t="inlineStr">
        <is>
          <t>Matched StockAdjustment in product code. This is not a functional test.</t>
        </is>
      </c>
      <c r="S246" s="8" t="inlineStr">
        <is>
          <t>INV</t>
        </is>
      </c>
      <c r="T246" s="5" t="inlineStr">
        <is>
          <t>Inventory lifecycle</t>
        </is>
      </c>
      <c r="U246" s="8" t="inlineStr"/>
      <c r="V246" s="8" t="inlineStr">
        <is>
          <t>inventory</t>
        </is>
      </c>
      <c r="W246" s="8" t="inlineStr">
        <is>
          <t>RUN</t>
        </is>
      </c>
      <c r="X246" s="5" t="inlineStr">
        <is>
          <t>Core</t>
        </is>
      </c>
      <c r="Y246" s="5" t="inlineStr">
        <is>
          <t>Cross-persona</t>
        </is>
      </c>
      <c r="Z246" s="5" t="inlineStr">
        <is>
          <t>High</t>
        </is>
      </c>
      <c r="AA246" s="5" t="inlineStr">
        <is>
          <t>High</t>
        </is>
      </c>
      <c r="AB246" s="8" t="inlineStr">
        <is>
          <t>Low</t>
        </is>
      </c>
      <c r="AC246" s="8" t="inlineStr">
        <is>
          <t>Pilot</t>
        </is>
      </c>
      <c r="AD246" s="5" t="inlineStr">
        <is>
          <t>Cited in code</t>
        </is>
      </c>
      <c r="AE246" s="5" t="inlineStr">
        <is>
          <t>Not verified</t>
        </is>
      </c>
      <c r="AF246" s="5" t="inlineStr">
        <is>
          <t>Not verified</t>
        </is>
      </c>
      <c r="AG246" s="5" t="inlineStr">
        <is>
          <t>Not verified</t>
        </is>
      </c>
      <c r="AH246" s="5" t="inlineStr">
        <is>
          <t>Not verified</t>
        </is>
      </c>
      <c r="AI246" s="8" t="inlineStr">
        <is>
          <t>No</t>
        </is>
      </c>
      <c r="AJ246" s="8" t="inlineStr">
        <is>
          <t>Built - unverified</t>
        </is>
      </c>
      <c r="AK246" s="8" t="inlineStr">
        <is>
          <t>P1</t>
        </is>
      </c>
      <c r="AL246" s="8" t="n">
        <v>9</v>
      </c>
      <c r="AM246" s="5" t="inlineStr"/>
      <c r="AN246" s="5" t="inlineStr"/>
      <c r="AO246" s="5" t="inlineStr"/>
      <c r="AP246" s="5" t="inlineStr"/>
      <c r="AQ246" s="5" t="inlineStr"/>
      <c r="AR246" s="5" t="inlineStr"/>
      <c r="AS246" s="5" t="inlineStr"/>
      <c r="AT246" s="5" t="inlineStr"/>
      <c r="AU246" s="8" t="inlineStr">
        <is>
          <t>Not run</t>
        </is>
      </c>
    </row>
    <row r="247" ht="32" customHeight="1">
      <c r="A247" s="16" t="inlineStr">
        <is>
          <t>X-0246</t>
        </is>
      </c>
      <c r="B247" s="8" t="inlineStr">
        <is>
          <t>X</t>
        </is>
      </c>
      <c r="C247" s="5" t="inlineStr">
        <is>
          <t>Multiple / Cross-persona</t>
        </is>
      </c>
      <c r="D247" s="5" t="inlineStr">
        <is>
          <t>Inventory Lifecycle</t>
        </is>
      </c>
      <c r="E247" s="5" t="inlineStr">
        <is>
          <t>Expired stock → sale is prevented/flagged</t>
        </is>
      </c>
      <c r="F247" s="5" t="inlineStr">
        <is>
          <t>System / Billing Engine</t>
        </is>
      </c>
      <c r="G247" s="5" t="inlineStr">
        <is>
          <t>Pharmacist / Retail Clerk</t>
        </is>
      </c>
      <c r="H247" s="5" t="inlineStr">
        <is>
          <t>System hard-blocks checkout if any item in cart is past its statutory expiry date</t>
        </is>
      </c>
      <c r="I247" s="5" t="inlineStr">
        <is>
          <t>Validates batch_lot.expiry_date against current date; raises blocking validation error</t>
        </is>
      </c>
      <c r="J247" s="19" t="inlineStr">
        <is>
          <t>P0</t>
        </is>
      </c>
      <c r="K247" s="20" t="inlineStr">
        <is>
          <t>Validated (Supported)</t>
        </is>
      </c>
      <c r="L247" s="5" t="inlineStr">
        <is>
          <t>Core system invariant: billing expired stock is strictly blocked at API and UI layers.</t>
        </is>
      </c>
      <c r="M247" s="8" t="inlineStr">
        <is>
          <t>Baseline</t>
        </is>
      </c>
      <c r="N247" s="8" t="inlineStr">
        <is>
          <t>Cross-persona</t>
        </is>
      </c>
      <c r="O247" s="8" t="inlineStr">
        <is>
          <t>P0</t>
        </is>
      </c>
      <c r="P247" s="5" t="inlineStr">
        <is>
          <t>Restored to authored P0. The previous workbook had P1 after a keyword rebalance.</t>
        </is>
      </c>
      <c r="Q247" s="20" t="inlineStr">
        <is>
          <t>Author assertion</t>
        </is>
      </c>
      <c r="R247" s="5" t="inlineStr">
        <is>
          <t>Restored to authored P0. The previous workbook had P1 after a keyword rebalance.</t>
        </is>
      </c>
      <c r="S247" s="8" t="inlineStr">
        <is>
          <t>INV</t>
        </is>
      </c>
      <c r="T247" s="5" t="inlineStr">
        <is>
          <t>Inventory lifecycle</t>
        </is>
      </c>
      <c r="U247" s="8" t="inlineStr"/>
      <c r="V247" s="8" t="inlineStr">
        <is>
          <t>inventory</t>
        </is>
      </c>
      <c r="W247" s="8" t="inlineStr">
        <is>
          <t>RUN</t>
        </is>
      </c>
      <c r="X247" s="5" t="inlineStr">
        <is>
          <t>Core</t>
        </is>
      </c>
      <c r="Y247" s="5" t="inlineStr">
        <is>
          <t>Cross-persona</t>
        </is>
      </c>
      <c r="Z247" s="5" t="inlineStr">
        <is>
          <t>High</t>
        </is>
      </c>
      <c r="AA247" s="5" t="inlineStr">
        <is>
          <t>High</t>
        </is>
      </c>
      <c r="AB247" s="8" t="inlineStr">
        <is>
          <t>Low</t>
        </is>
      </c>
      <c r="AC247" s="8" t="inlineStr">
        <is>
          <t>MVP</t>
        </is>
      </c>
      <c r="AD247" s="5" t="inlineStr">
        <is>
          <t>Not independently checked</t>
        </is>
      </c>
      <c r="AE247" s="5" t="inlineStr">
        <is>
          <t>Not verified</t>
        </is>
      </c>
      <c r="AF247" s="5" t="inlineStr">
        <is>
          <t>Not verified</t>
        </is>
      </c>
      <c r="AG247" s="5" t="inlineStr">
        <is>
          <t>Not verified</t>
        </is>
      </c>
      <c r="AH247" s="5" t="inlineStr">
        <is>
          <t>Not verified</t>
        </is>
      </c>
      <c r="AI247" s="8" t="inlineStr">
        <is>
          <t>No</t>
        </is>
      </c>
      <c r="AJ247" s="8" t="inlineStr">
        <is>
          <t>Claimed - unverified</t>
        </is>
      </c>
      <c r="AK247" s="8" t="inlineStr">
        <is>
          <t>P0</t>
        </is>
      </c>
      <c r="AL247" s="8" t="n">
        <v>9</v>
      </c>
      <c r="AM247" s="5" t="inlineStr"/>
      <c r="AN247" s="5" t="inlineStr"/>
      <c r="AO247" s="5" t="inlineStr"/>
      <c r="AP247" s="5" t="inlineStr"/>
      <c r="AQ247" s="5" t="inlineStr"/>
      <c r="AR247" s="5" t="inlineStr"/>
      <c r="AS247" s="5" t="inlineStr"/>
      <c r="AT247" s="5" t="inlineStr"/>
      <c r="AU247" s="8" t="inlineStr">
        <is>
          <t>Not run</t>
        </is>
      </c>
    </row>
    <row r="248" ht="32" customHeight="1">
      <c r="A248" s="16" t="inlineStr">
        <is>
          <t>X-0247</t>
        </is>
      </c>
      <c r="B248" s="8" t="inlineStr">
        <is>
          <t>X</t>
        </is>
      </c>
      <c r="C248" s="5" t="inlineStr">
        <is>
          <t>Multiple / Cross-persona</t>
        </is>
      </c>
      <c r="D248" s="5" t="inlineStr">
        <is>
          <t>Inventory Lifecycle</t>
        </is>
      </c>
      <c r="E248" s="5" t="inlineStr">
        <is>
          <t>Near-expiry stock → owner receives alert</t>
        </is>
      </c>
      <c r="F248" s="5" t="inlineStr">
        <is>
          <t>Alert Notification Engine</t>
        </is>
      </c>
      <c r="G248" s="5" t="inlineStr">
        <is>
          <t>Business Owner / Store Manager</t>
        </is>
      </c>
      <c r="H248" s="5" t="inlineStr">
        <is>
          <t>Early warning alerts for stock approaching expiry within 30/60/90 days</t>
        </is>
      </c>
      <c r="I248" s="5" t="inlineStr">
        <is>
          <t>Creates BusinessAlertEvent; displays near-expiry alert cards on dashboard</t>
        </is>
      </c>
      <c r="J248" s="20" t="inlineStr">
        <is>
          <t>P1</t>
        </is>
      </c>
      <c r="K248" s="20" t="inlineStr">
        <is>
          <t>Validated (Supported)</t>
        </is>
      </c>
      <c r="L248" s="5" t="inlineStr">
        <is>
          <t>Supported via automated daily expiry scan in inventory module.</t>
        </is>
      </c>
      <c r="M248" s="8" t="inlineStr">
        <is>
          <t>Baseline</t>
        </is>
      </c>
      <c r="N248" s="8" t="inlineStr">
        <is>
          <t>Cross-persona</t>
        </is>
      </c>
      <c r="O248" s="8" t="inlineStr">
        <is>
          <t>P1</t>
        </is>
      </c>
      <c r="P248" s="5" t="inlineStr">
        <is>
          <t>Unchanged</t>
        </is>
      </c>
      <c r="Q248" s="20" t="inlineStr">
        <is>
          <t>Author assertion</t>
        </is>
      </c>
      <c r="R248" s="5" t="inlineStr"/>
      <c r="S248" s="8" t="inlineStr">
        <is>
          <t>INV</t>
        </is>
      </c>
      <c r="T248" s="5" t="inlineStr">
        <is>
          <t>Inventory lifecycle</t>
        </is>
      </c>
      <c r="U248" s="8" t="inlineStr"/>
      <c r="V248" s="8" t="inlineStr">
        <is>
          <t>inventory</t>
        </is>
      </c>
      <c r="W248" s="8" t="inlineStr">
        <is>
          <t>RUN</t>
        </is>
      </c>
      <c r="X248" s="5" t="inlineStr">
        <is>
          <t>Core</t>
        </is>
      </c>
      <c r="Y248" s="5" t="inlineStr">
        <is>
          <t>Cross-persona</t>
        </is>
      </c>
      <c r="Z248" s="5" t="inlineStr">
        <is>
          <t>High</t>
        </is>
      </c>
      <c r="AA248" s="5" t="inlineStr">
        <is>
          <t>High</t>
        </is>
      </c>
      <c r="AB248" s="8" t="inlineStr">
        <is>
          <t>Low</t>
        </is>
      </c>
      <c r="AC248" s="8" t="inlineStr">
        <is>
          <t>Pilot</t>
        </is>
      </c>
      <c r="AD248" s="5" t="inlineStr">
        <is>
          <t>Not independently checked</t>
        </is>
      </c>
      <c r="AE248" s="5" t="inlineStr">
        <is>
          <t>Not verified</t>
        </is>
      </c>
      <c r="AF248" s="5" t="inlineStr">
        <is>
          <t>Not verified</t>
        </is>
      </c>
      <c r="AG248" s="5" t="inlineStr">
        <is>
          <t>Not verified</t>
        </is>
      </c>
      <c r="AH248" s="5" t="inlineStr">
        <is>
          <t>Not verified</t>
        </is>
      </c>
      <c r="AI248" s="8" t="inlineStr">
        <is>
          <t>No</t>
        </is>
      </c>
      <c r="AJ248" s="8" t="inlineStr">
        <is>
          <t>Claimed - unverified</t>
        </is>
      </c>
      <c r="AK248" s="8" t="inlineStr">
        <is>
          <t>P1</t>
        </is>
      </c>
      <c r="AL248" s="8" t="n">
        <v>9</v>
      </c>
      <c r="AM248" s="5" t="inlineStr"/>
      <c r="AN248" s="5" t="inlineStr"/>
      <c r="AO248" s="5" t="inlineStr"/>
      <c r="AP248" s="5" t="inlineStr"/>
      <c r="AQ248" s="5" t="inlineStr"/>
      <c r="AR248" s="5" t="inlineStr"/>
      <c r="AS248" s="5" t="inlineStr"/>
      <c r="AT248" s="5" t="inlineStr"/>
      <c r="AU248" s="8" t="inlineStr">
        <is>
          <t>Not run</t>
        </is>
      </c>
    </row>
    <row r="249" ht="32" customHeight="1">
      <c r="A249" s="16" t="inlineStr">
        <is>
          <t>X-0248</t>
        </is>
      </c>
      <c r="B249" s="8" t="inlineStr">
        <is>
          <t>X</t>
        </is>
      </c>
      <c r="C249" s="5" t="inlineStr">
        <is>
          <t>Multiple / Cross-persona</t>
        </is>
      </c>
      <c r="D249" s="5" t="inlineStr">
        <is>
          <t>Inventory Lifecycle</t>
        </is>
      </c>
      <c r="E249" s="5" t="inlineStr">
        <is>
          <t>Batch sale → specific batch quantity decreases</t>
        </is>
      </c>
      <c r="F249" s="5" t="inlineStr">
        <is>
          <t>Counter Billing Clerk</t>
        </is>
      </c>
      <c r="G249" s="5" t="inlineStr">
        <is>
          <t>Customer</t>
        </is>
      </c>
      <c r="H249" s="5" t="inlineStr">
        <is>
          <t>Outward sale accurately deducted from the specific selected manufacturer batch lot</t>
        </is>
      </c>
      <c r="I249" s="5" t="inlineStr">
        <is>
          <t>Decrements BatchLot.quantity; creates batch-tagged StockMovement record</t>
        </is>
      </c>
      <c r="J249" s="20" t="inlineStr">
        <is>
          <t>P1</t>
        </is>
      </c>
      <c r="K249" s="20" t="inlineStr">
        <is>
          <t>Validated (Supported)</t>
        </is>
      </c>
      <c r="L249" s="5" t="inlineStr">
        <is>
          <t>Core system invariant: batched item sales maintain lot-level perpetual balance.</t>
        </is>
      </c>
      <c r="M249" s="8" t="inlineStr">
        <is>
          <t>Baseline</t>
        </is>
      </c>
      <c r="N249" s="8" t="inlineStr">
        <is>
          <t>Cross-persona</t>
        </is>
      </c>
      <c r="O249" s="8" t="inlineStr">
        <is>
          <t>P1</t>
        </is>
      </c>
      <c r="P249" s="5" t="inlineStr">
        <is>
          <t>Unchanged</t>
        </is>
      </c>
      <c r="Q249" s="20" t="inlineStr">
        <is>
          <t>Author assertion</t>
        </is>
      </c>
      <c r="R249" s="5" t="inlineStr"/>
      <c r="S249" s="8" t="inlineStr">
        <is>
          <t>INV</t>
        </is>
      </c>
      <c r="T249" s="5" t="inlineStr">
        <is>
          <t>Inventory lifecycle</t>
        </is>
      </c>
      <c r="U249" s="8" t="inlineStr"/>
      <c r="V249" s="8" t="inlineStr">
        <is>
          <t>inventory</t>
        </is>
      </c>
      <c r="W249" s="8" t="inlineStr">
        <is>
          <t>RUN</t>
        </is>
      </c>
      <c r="X249" s="5" t="inlineStr">
        <is>
          <t>Core</t>
        </is>
      </c>
      <c r="Y249" s="5" t="inlineStr">
        <is>
          <t>Cross-persona</t>
        </is>
      </c>
      <c r="Z249" s="5" t="inlineStr">
        <is>
          <t>High</t>
        </is>
      </c>
      <c r="AA249" s="5" t="inlineStr">
        <is>
          <t>High</t>
        </is>
      </c>
      <c r="AB249" s="8" t="inlineStr">
        <is>
          <t>Low</t>
        </is>
      </c>
      <c r="AC249" s="8" t="inlineStr">
        <is>
          <t>Pilot</t>
        </is>
      </c>
      <c r="AD249" s="5" t="inlineStr">
        <is>
          <t>Not independently checked</t>
        </is>
      </c>
      <c r="AE249" s="5" t="inlineStr">
        <is>
          <t>Not verified</t>
        </is>
      </c>
      <c r="AF249" s="5" t="inlineStr">
        <is>
          <t>Not verified</t>
        </is>
      </c>
      <c r="AG249" s="5" t="inlineStr">
        <is>
          <t>Not verified</t>
        </is>
      </c>
      <c r="AH249" s="5" t="inlineStr">
        <is>
          <t>Not verified</t>
        </is>
      </c>
      <c r="AI249" s="8" t="inlineStr">
        <is>
          <t>No</t>
        </is>
      </c>
      <c r="AJ249" s="8" t="inlineStr">
        <is>
          <t>Claimed - unverified</t>
        </is>
      </c>
      <c r="AK249" s="8" t="inlineStr">
        <is>
          <t>P1</t>
        </is>
      </c>
      <c r="AL249" s="8" t="n">
        <v>9</v>
      </c>
      <c r="AM249" s="5" t="inlineStr"/>
      <c r="AN249" s="5" t="inlineStr"/>
      <c r="AO249" s="5" t="inlineStr"/>
      <c r="AP249" s="5" t="inlineStr"/>
      <c r="AQ249" s="5" t="inlineStr"/>
      <c r="AR249" s="5" t="inlineStr"/>
      <c r="AS249" s="5" t="inlineStr"/>
      <c r="AT249" s="5" t="inlineStr"/>
      <c r="AU249" s="8" t="inlineStr">
        <is>
          <t>Not run</t>
        </is>
      </c>
    </row>
    <row r="250" ht="32" customHeight="1">
      <c r="A250" s="16" t="inlineStr">
        <is>
          <t>X-0249</t>
        </is>
      </c>
      <c r="B250" s="8" t="inlineStr">
        <is>
          <t>X</t>
        </is>
      </c>
      <c r="C250" s="5" t="inlineStr">
        <is>
          <t>Multiple / Cross-persona</t>
        </is>
      </c>
      <c r="D250" s="5" t="inlineStr">
        <is>
          <t>Inventory Lifecycle</t>
        </is>
      </c>
      <c r="E250" s="5" t="inlineStr">
        <is>
          <t>Serial-number sale → serial is marked as sold</t>
        </is>
      </c>
      <c r="F250" s="5" t="inlineStr">
        <is>
          <t>Counter Billing Clerk</t>
        </is>
      </c>
      <c r="G250" s="5" t="inlineStr">
        <is>
          <t>Customer</t>
        </is>
      </c>
      <c r="H250" s="5" t="inlineStr">
        <is>
          <t>Individual serialized item (IMEI/Serial) marked as SOLD and linked to customer invoice</t>
        </is>
      </c>
      <c r="I250" s="5" t="inlineStr">
        <is>
          <t>Updates SerialNumber status to SOLD; records sales invoice reference and warranty start date</t>
        </is>
      </c>
      <c r="J250" s="20" t="inlineStr">
        <is>
          <t>P1</t>
        </is>
      </c>
      <c r="K250" s="20" t="inlineStr">
        <is>
          <t>Validated (Supported)</t>
        </is>
      </c>
      <c r="L250" s="5" t="inlineStr">
        <is>
          <t>Supported via SerialNumber lifecycle tracking (AVAILABLE -&gt; SOLD).</t>
        </is>
      </c>
      <c r="M250" s="8" t="inlineStr">
        <is>
          <t>Baseline</t>
        </is>
      </c>
      <c r="N250" s="8" t="inlineStr">
        <is>
          <t>Cross-persona</t>
        </is>
      </c>
      <c r="O250" s="8" t="inlineStr">
        <is>
          <t>P1</t>
        </is>
      </c>
      <c r="P250" s="5" t="inlineStr">
        <is>
          <t>Unchanged</t>
        </is>
      </c>
      <c r="Q250" s="21" t="inlineStr">
        <is>
          <t>Code symbol found</t>
        </is>
      </c>
      <c r="R250" s="5" t="inlineStr">
        <is>
          <t>Matched SerialNumber in product code. This is not a functional test.</t>
        </is>
      </c>
      <c r="S250" s="8" t="inlineStr">
        <is>
          <t>INV</t>
        </is>
      </c>
      <c r="T250" s="5" t="inlineStr">
        <is>
          <t>Inventory lifecycle</t>
        </is>
      </c>
      <c r="U250" s="8" t="inlineStr"/>
      <c r="V250" s="8" t="inlineStr">
        <is>
          <t>inventory</t>
        </is>
      </c>
      <c r="W250" s="8" t="inlineStr">
        <is>
          <t>RUN</t>
        </is>
      </c>
      <c r="X250" s="5" t="inlineStr">
        <is>
          <t>Core</t>
        </is>
      </c>
      <c r="Y250" s="5" t="inlineStr">
        <is>
          <t>Cross-persona</t>
        </is>
      </c>
      <c r="Z250" s="5" t="inlineStr">
        <is>
          <t>High</t>
        </is>
      </c>
      <c r="AA250" s="5" t="inlineStr">
        <is>
          <t>High</t>
        </is>
      </c>
      <c r="AB250" s="8" t="inlineStr">
        <is>
          <t>Low</t>
        </is>
      </c>
      <c r="AC250" s="8" t="inlineStr">
        <is>
          <t>Pilot</t>
        </is>
      </c>
      <c r="AD250" s="5" t="inlineStr">
        <is>
          <t>Cited in code</t>
        </is>
      </c>
      <c r="AE250" s="5" t="inlineStr">
        <is>
          <t>Not verified</t>
        </is>
      </c>
      <c r="AF250" s="5" t="inlineStr">
        <is>
          <t>Not verified</t>
        </is>
      </c>
      <c r="AG250" s="5" t="inlineStr">
        <is>
          <t>Not verified</t>
        </is>
      </c>
      <c r="AH250" s="5" t="inlineStr">
        <is>
          <t>Not verified</t>
        </is>
      </c>
      <c r="AI250" s="8" t="inlineStr">
        <is>
          <t>No</t>
        </is>
      </c>
      <c r="AJ250" s="8" t="inlineStr">
        <is>
          <t>Built - unverified</t>
        </is>
      </c>
      <c r="AK250" s="8" t="inlineStr">
        <is>
          <t>P1</t>
        </is>
      </c>
      <c r="AL250" s="8" t="n">
        <v>9</v>
      </c>
      <c r="AM250" s="5" t="inlineStr"/>
      <c r="AN250" s="5" t="inlineStr"/>
      <c r="AO250" s="5" t="inlineStr"/>
      <c r="AP250" s="5" t="inlineStr"/>
      <c r="AQ250" s="5" t="inlineStr"/>
      <c r="AR250" s="5" t="inlineStr"/>
      <c r="AS250" s="5" t="inlineStr"/>
      <c r="AT250" s="5" t="inlineStr"/>
      <c r="AU250" s="8" t="inlineStr">
        <is>
          <t>Not run</t>
        </is>
      </c>
    </row>
    <row r="251" ht="32" customHeight="1">
      <c r="A251" s="16" t="inlineStr">
        <is>
          <t>X-0250</t>
        </is>
      </c>
      <c r="B251" s="8" t="inlineStr">
        <is>
          <t>X</t>
        </is>
      </c>
      <c r="C251" s="5" t="inlineStr">
        <is>
          <t>Multiple / Cross-persona</t>
        </is>
      </c>
      <c r="D251" s="5" t="inlineStr">
        <is>
          <t>Inventory Lifecycle</t>
        </is>
      </c>
      <c r="E251" s="5" t="inlineStr">
        <is>
          <t>Serial-number return → serial becomes available/returned according to policy</t>
        </is>
      </c>
      <c r="F251" s="5" t="inlineStr">
        <is>
          <t>Godown Custodian</t>
        </is>
      </c>
      <c r="G251" s="5" t="inlineStr">
        <is>
          <t>Customer</t>
        </is>
      </c>
      <c r="H251" s="5" t="inlineStr">
        <is>
          <t>Returned serialized unit verified against sales records and restored to available or RMA status</t>
        </is>
      </c>
      <c r="I251" s="5" t="inlineStr">
        <is>
          <t>Validates serial identity; updates SerialNumber status to AVAILABLE or DEFECTIVE_RETURN</t>
        </is>
      </c>
      <c r="J251" s="20" t="inlineStr">
        <is>
          <t>P1</t>
        </is>
      </c>
      <c r="K251" s="20" t="inlineStr">
        <is>
          <t>Validated (Supported)</t>
        </is>
      </c>
      <c r="L251" s="5" t="inlineStr">
        <is>
          <t>Supported via SerialNumber return validation in SalesReturn workflow.</t>
        </is>
      </c>
      <c r="M251" s="8" t="inlineStr">
        <is>
          <t>Baseline</t>
        </is>
      </c>
      <c r="N251" s="8" t="inlineStr">
        <is>
          <t>Cross-persona</t>
        </is>
      </c>
      <c r="O251" s="8" t="inlineStr">
        <is>
          <t>P1</t>
        </is>
      </c>
      <c r="P251" s="5" t="inlineStr">
        <is>
          <t>Unchanged</t>
        </is>
      </c>
      <c r="Q251" s="21" t="inlineStr">
        <is>
          <t>Code symbol found</t>
        </is>
      </c>
      <c r="R251" s="5" t="inlineStr">
        <is>
          <t>Matched SerialNumber in product code. This is not a functional test.</t>
        </is>
      </c>
      <c r="S251" s="8" t="inlineStr">
        <is>
          <t>INV</t>
        </is>
      </c>
      <c r="T251" s="5" t="inlineStr">
        <is>
          <t>Inventory lifecycle</t>
        </is>
      </c>
      <c r="U251" s="8" t="inlineStr"/>
      <c r="V251" s="8" t="inlineStr">
        <is>
          <t>inventory</t>
        </is>
      </c>
      <c r="W251" s="8" t="inlineStr">
        <is>
          <t>RUN</t>
        </is>
      </c>
      <c r="X251" s="5" t="inlineStr">
        <is>
          <t>Core</t>
        </is>
      </c>
      <c r="Y251" s="5" t="inlineStr">
        <is>
          <t>Cross-persona</t>
        </is>
      </c>
      <c r="Z251" s="5" t="inlineStr">
        <is>
          <t>High</t>
        </is>
      </c>
      <c r="AA251" s="5" t="inlineStr">
        <is>
          <t>High</t>
        </is>
      </c>
      <c r="AB251" s="8" t="inlineStr">
        <is>
          <t>Low</t>
        </is>
      </c>
      <c r="AC251" s="8" t="inlineStr">
        <is>
          <t>Pilot</t>
        </is>
      </c>
      <c r="AD251" s="5" t="inlineStr">
        <is>
          <t>Cited in code</t>
        </is>
      </c>
      <c r="AE251" s="5" t="inlineStr">
        <is>
          <t>Not verified</t>
        </is>
      </c>
      <c r="AF251" s="5" t="inlineStr">
        <is>
          <t>Not verified</t>
        </is>
      </c>
      <c r="AG251" s="5" t="inlineStr">
        <is>
          <t>Not verified</t>
        </is>
      </c>
      <c r="AH251" s="5" t="inlineStr">
        <is>
          <t>Not verified</t>
        </is>
      </c>
      <c r="AI251" s="8" t="inlineStr">
        <is>
          <t>No</t>
        </is>
      </c>
      <c r="AJ251" s="8" t="inlineStr">
        <is>
          <t>Built - unverified</t>
        </is>
      </c>
      <c r="AK251" s="8" t="inlineStr">
        <is>
          <t>P1</t>
        </is>
      </c>
      <c r="AL251" s="8" t="n">
        <v>9</v>
      </c>
      <c r="AM251" s="5" t="inlineStr"/>
      <c r="AN251" s="5" t="inlineStr"/>
      <c r="AO251" s="5" t="inlineStr"/>
      <c r="AP251" s="5" t="inlineStr"/>
      <c r="AQ251" s="5" t="inlineStr"/>
      <c r="AR251" s="5" t="inlineStr"/>
      <c r="AS251" s="5" t="inlineStr"/>
      <c r="AT251" s="5" t="inlineStr"/>
      <c r="AU251" s="8" t="inlineStr">
        <is>
          <t>Not run</t>
        </is>
      </c>
    </row>
    <row r="252" ht="32" customHeight="1">
      <c r="A252" s="16" t="inlineStr">
        <is>
          <t>X-0251</t>
        </is>
      </c>
      <c r="B252" s="8" t="inlineStr">
        <is>
          <t>X</t>
        </is>
      </c>
      <c r="C252" s="5" t="inlineStr">
        <is>
          <t>Multiple / Cross-persona</t>
        </is>
      </c>
      <c r="D252" s="5" t="inlineStr">
        <is>
          <t>Inventory Lifecycle</t>
        </is>
      </c>
      <c r="E252" s="5" t="inlineStr">
        <is>
          <t>Physical stock count → system stock is compared</t>
        </is>
      </c>
      <c r="F252" s="5" t="inlineStr">
        <is>
          <t>Stock Audit Team</t>
        </is>
      </c>
      <c r="G252" s="5" t="inlineStr">
        <is>
          <t>Inventory Controller</t>
        </is>
      </c>
      <c r="H252" s="5" t="inlineStr">
        <is>
          <t>Auditors record physical counts and system instantly compares against book balances</t>
        </is>
      </c>
      <c r="I252" s="5" t="inlineStr">
        <is>
          <t>Calculates count variance = physical_count - book_balance for every audited SKU</t>
        </is>
      </c>
      <c r="J252" s="20" t="inlineStr">
        <is>
          <t>P1</t>
        </is>
      </c>
      <c r="K252" s="20" t="inlineStr">
        <is>
          <t>Validated (Supported)</t>
        </is>
      </c>
      <c r="L252" s="5" t="inlineStr">
        <is>
          <t>Supported via StockCountSession counting interface.</t>
        </is>
      </c>
      <c r="M252" s="8" t="inlineStr">
        <is>
          <t>Baseline</t>
        </is>
      </c>
      <c r="N252" s="8" t="inlineStr">
        <is>
          <t>Cross-persona</t>
        </is>
      </c>
      <c r="O252" s="8" t="inlineStr">
        <is>
          <t>P1</t>
        </is>
      </c>
      <c r="P252" s="5" t="inlineStr">
        <is>
          <t>Unchanged</t>
        </is>
      </c>
      <c r="Q252" s="21" t="inlineStr">
        <is>
          <t>Code symbol found</t>
        </is>
      </c>
      <c r="R252" s="5" t="inlineStr">
        <is>
          <t>Matched StockCountSession in product code. This is not a functional test.</t>
        </is>
      </c>
      <c r="S252" s="8" t="inlineStr">
        <is>
          <t>INV</t>
        </is>
      </c>
      <c r="T252" s="5" t="inlineStr">
        <is>
          <t>Inventory lifecycle</t>
        </is>
      </c>
      <c r="U252" s="8" t="inlineStr"/>
      <c r="V252" s="8" t="inlineStr">
        <is>
          <t>inventory</t>
        </is>
      </c>
      <c r="W252" s="8" t="inlineStr">
        <is>
          <t>RUN</t>
        </is>
      </c>
      <c r="X252" s="5" t="inlineStr">
        <is>
          <t>Core</t>
        </is>
      </c>
      <c r="Y252" s="5" t="inlineStr">
        <is>
          <t>Cross-persona</t>
        </is>
      </c>
      <c r="Z252" s="5" t="inlineStr">
        <is>
          <t>High</t>
        </is>
      </c>
      <c r="AA252" s="5" t="inlineStr">
        <is>
          <t>High</t>
        </is>
      </c>
      <c r="AB252" s="8" t="inlineStr">
        <is>
          <t>Low</t>
        </is>
      </c>
      <c r="AC252" s="8" t="inlineStr">
        <is>
          <t>Pilot</t>
        </is>
      </c>
      <c r="AD252" s="5" t="inlineStr">
        <is>
          <t>Cited in code</t>
        </is>
      </c>
      <c r="AE252" s="5" t="inlineStr">
        <is>
          <t>Not verified</t>
        </is>
      </c>
      <c r="AF252" s="5" t="inlineStr">
        <is>
          <t>Not verified</t>
        </is>
      </c>
      <c r="AG252" s="5" t="inlineStr">
        <is>
          <t>Not verified</t>
        </is>
      </c>
      <c r="AH252" s="5" t="inlineStr">
        <is>
          <t>Not verified</t>
        </is>
      </c>
      <c r="AI252" s="8" t="inlineStr">
        <is>
          <t>No</t>
        </is>
      </c>
      <c r="AJ252" s="8" t="inlineStr">
        <is>
          <t>Built - unverified</t>
        </is>
      </c>
      <c r="AK252" s="8" t="inlineStr">
        <is>
          <t>P1</t>
        </is>
      </c>
      <c r="AL252" s="8" t="n">
        <v>9</v>
      </c>
      <c r="AM252" s="5" t="inlineStr"/>
      <c r="AN252" s="5" t="inlineStr"/>
      <c r="AO252" s="5" t="inlineStr"/>
      <c r="AP252" s="5" t="inlineStr"/>
      <c r="AQ252" s="5" t="inlineStr"/>
      <c r="AR252" s="5" t="inlineStr"/>
      <c r="AS252" s="5" t="inlineStr"/>
      <c r="AT252" s="5" t="inlineStr"/>
      <c r="AU252" s="8" t="inlineStr">
        <is>
          <t>Not run</t>
        </is>
      </c>
    </row>
    <row r="253" ht="32" customHeight="1">
      <c r="A253" s="16" t="inlineStr">
        <is>
          <t>X-0252</t>
        </is>
      </c>
      <c r="B253" s="8" t="inlineStr">
        <is>
          <t>X</t>
        </is>
      </c>
      <c r="C253" s="5" t="inlineStr">
        <is>
          <t>Multiple / Cross-persona</t>
        </is>
      </c>
      <c r="D253" s="5" t="inlineStr">
        <is>
          <t>Inventory Lifecycle</t>
        </is>
      </c>
      <c r="E253" s="5" t="inlineStr">
        <is>
          <t>Stock variance → discrepancy is created</t>
        </is>
      </c>
      <c r="F253" s="5" t="inlineStr">
        <is>
          <t>Inventory Controller</t>
        </is>
      </c>
      <c r="G253" s="5" t="inlineStr">
        <is>
          <t>Warehouse Manager</t>
        </is>
      </c>
      <c r="H253" s="5" t="inlineStr">
        <is>
          <t>Discrepancies exceeding tolerance thresholds converted into formal review items</t>
        </is>
      </c>
      <c r="I253" s="5" t="inlineStr">
        <is>
          <t>Generates Stock Discrepancy item requiring managerial investigation and explanation</t>
        </is>
      </c>
      <c r="J253" s="20" t="inlineStr">
        <is>
          <t>P1</t>
        </is>
      </c>
      <c r="K253" s="20" t="inlineStr">
        <is>
          <t>Validated (Supported)</t>
        </is>
      </c>
      <c r="L253" s="5" t="inlineStr">
        <is>
          <t>Supported via StockCountSession variance ledger.</t>
        </is>
      </c>
      <c r="M253" s="8" t="inlineStr">
        <is>
          <t>Baseline</t>
        </is>
      </c>
      <c r="N253" s="8" t="inlineStr">
        <is>
          <t>Cross-persona</t>
        </is>
      </c>
      <c r="O253" s="8" t="inlineStr">
        <is>
          <t>P1</t>
        </is>
      </c>
      <c r="P253" s="5" t="inlineStr">
        <is>
          <t>Unchanged</t>
        </is>
      </c>
      <c r="Q253" s="21" t="inlineStr">
        <is>
          <t>Code symbol found</t>
        </is>
      </c>
      <c r="R253" s="5" t="inlineStr">
        <is>
          <t>Matched StockCountSession in product code. This is not a functional test.</t>
        </is>
      </c>
      <c r="S253" s="8" t="inlineStr">
        <is>
          <t>INV</t>
        </is>
      </c>
      <c r="T253" s="5" t="inlineStr">
        <is>
          <t>Inventory lifecycle</t>
        </is>
      </c>
      <c r="U253" s="8" t="inlineStr"/>
      <c r="V253" s="8" t="inlineStr">
        <is>
          <t>inventory</t>
        </is>
      </c>
      <c r="W253" s="8" t="inlineStr">
        <is>
          <t>RUN</t>
        </is>
      </c>
      <c r="X253" s="5" t="inlineStr">
        <is>
          <t>Core</t>
        </is>
      </c>
      <c r="Y253" s="5" t="inlineStr">
        <is>
          <t>Cross-persona</t>
        </is>
      </c>
      <c r="Z253" s="5" t="inlineStr">
        <is>
          <t>High</t>
        </is>
      </c>
      <c r="AA253" s="5" t="inlineStr">
        <is>
          <t>High</t>
        </is>
      </c>
      <c r="AB253" s="8" t="inlineStr">
        <is>
          <t>Low</t>
        </is>
      </c>
      <c r="AC253" s="8" t="inlineStr">
        <is>
          <t>Pilot</t>
        </is>
      </c>
      <c r="AD253" s="5" t="inlineStr">
        <is>
          <t>Cited in code</t>
        </is>
      </c>
      <c r="AE253" s="5" t="inlineStr">
        <is>
          <t>Not verified</t>
        </is>
      </c>
      <c r="AF253" s="5" t="inlineStr">
        <is>
          <t>Not verified</t>
        </is>
      </c>
      <c r="AG253" s="5" t="inlineStr">
        <is>
          <t>Not verified</t>
        </is>
      </c>
      <c r="AH253" s="5" t="inlineStr">
        <is>
          <t>Not verified</t>
        </is>
      </c>
      <c r="AI253" s="8" t="inlineStr">
        <is>
          <t>No</t>
        </is>
      </c>
      <c r="AJ253" s="8" t="inlineStr">
        <is>
          <t>Built - unverified</t>
        </is>
      </c>
      <c r="AK253" s="8" t="inlineStr">
        <is>
          <t>P1</t>
        </is>
      </c>
      <c r="AL253" s="8" t="n">
        <v>9</v>
      </c>
      <c r="AM253" s="5" t="inlineStr"/>
      <c r="AN253" s="5" t="inlineStr"/>
      <c r="AO253" s="5" t="inlineStr"/>
      <c r="AP253" s="5" t="inlineStr"/>
      <c r="AQ253" s="5" t="inlineStr"/>
      <c r="AR253" s="5" t="inlineStr"/>
      <c r="AS253" s="5" t="inlineStr"/>
      <c r="AT253" s="5" t="inlineStr"/>
      <c r="AU253" s="8" t="inlineStr">
        <is>
          <t>Not run</t>
        </is>
      </c>
    </row>
    <row r="254" ht="32" customHeight="1">
      <c r="A254" s="16" t="inlineStr">
        <is>
          <t>X-0253</t>
        </is>
      </c>
      <c r="B254" s="8" t="inlineStr">
        <is>
          <t>X</t>
        </is>
      </c>
      <c r="C254" s="5" t="inlineStr">
        <is>
          <t>Multiple / Cross-persona</t>
        </is>
      </c>
      <c r="D254" s="5" t="inlineStr">
        <is>
          <t>Inventory Lifecycle</t>
        </is>
      </c>
      <c r="E254" s="5" t="inlineStr">
        <is>
          <t>Discrepancy approval → inventory adjustment occurs</t>
        </is>
      </c>
      <c r="F254" s="5" t="inlineStr">
        <is>
          <t>Business Owner / Operations Head</t>
        </is>
      </c>
      <c r="G254" s="5" t="inlineStr">
        <is>
          <t>Auditor</t>
        </is>
      </c>
      <c r="H254" s="5" t="inlineStr">
        <is>
          <t>Approved inventory variances automatically write adjustment movements and post GL loss</t>
        </is>
      </c>
      <c r="I254" s="5" t="inlineStr">
        <is>
          <t>Finalizes StockCountSession; creates batch StockMovement adjustments across all verified SKUs</t>
        </is>
      </c>
      <c r="J254" s="20" t="inlineStr">
        <is>
          <t>P1</t>
        </is>
      </c>
      <c r="K254" s="20" t="inlineStr">
        <is>
          <t>Validated (Supported)</t>
        </is>
      </c>
      <c r="L254" s="5" t="inlineStr">
        <is>
          <t>Supported via StockCountSession 'Post Adjustments' action with manager sign-off.</t>
        </is>
      </c>
      <c r="M254" s="8" t="inlineStr">
        <is>
          <t>Baseline</t>
        </is>
      </c>
      <c r="N254" s="8" t="inlineStr">
        <is>
          <t>Cross-persona</t>
        </is>
      </c>
      <c r="O254" s="8" t="inlineStr">
        <is>
          <t>P1</t>
        </is>
      </c>
      <c r="P254" s="5" t="inlineStr">
        <is>
          <t>Unchanged</t>
        </is>
      </c>
      <c r="Q254" s="21" t="inlineStr">
        <is>
          <t>Code symbol found</t>
        </is>
      </c>
      <c r="R254" s="5" t="inlineStr">
        <is>
          <t>Matched StockCountSession in product code. This is not a functional test.</t>
        </is>
      </c>
      <c r="S254" s="8" t="inlineStr">
        <is>
          <t>INV</t>
        </is>
      </c>
      <c r="T254" s="5" t="inlineStr">
        <is>
          <t>Inventory lifecycle</t>
        </is>
      </c>
      <c r="U254" s="8" t="inlineStr"/>
      <c r="V254" s="8" t="inlineStr">
        <is>
          <t>inventory</t>
        </is>
      </c>
      <c r="W254" s="8" t="inlineStr">
        <is>
          <t>RUN</t>
        </is>
      </c>
      <c r="X254" s="5" t="inlineStr">
        <is>
          <t>Core</t>
        </is>
      </c>
      <c r="Y254" s="5" t="inlineStr">
        <is>
          <t>Cross-persona</t>
        </is>
      </c>
      <c r="Z254" s="5" t="inlineStr">
        <is>
          <t>High</t>
        </is>
      </c>
      <c r="AA254" s="5" t="inlineStr">
        <is>
          <t>High</t>
        </is>
      </c>
      <c r="AB254" s="8" t="inlineStr">
        <is>
          <t>Low</t>
        </is>
      </c>
      <c r="AC254" s="8" t="inlineStr">
        <is>
          <t>Pilot</t>
        </is>
      </c>
      <c r="AD254" s="5" t="inlineStr">
        <is>
          <t>Cited in code</t>
        </is>
      </c>
      <c r="AE254" s="5" t="inlineStr">
        <is>
          <t>Not verified</t>
        </is>
      </c>
      <c r="AF254" s="5" t="inlineStr">
        <is>
          <t>Not verified</t>
        </is>
      </c>
      <c r="AG254" s="5" t="inlineStr">
        <is>
          <t>Not verified</t>
        </is>
      </c>
      <c r="AH254" s="5" t="inlineStr">
        <is>
          <t>Not verified</t>
        </is>
      </c>
      <c r="AI254" s="8" t="inlineStr">
        <is>
          <t>No</t>
        </is>
      </c>
      <c r="AJ254" s="8" t="inlineStr">
        <is>
          <t>Built - unverified</t>
        </is>
      </c>
      <c r="AK254" s="8" t="inlineStr">
        <is>
          <t>P1</t>
        </is>
      </c>
      <c r="AL254" s="8" t="n">
        <v>9</v>
      </c>
      <c r="AM254" s="5" t="inlineStr"/>
      <c r="AN254" s="5" t="inlineStr"/>
      <c r="AO254" s="5" t="inlineStr"/>
      <c r="AP254" s="5" t="inlineStr"/>
      <c r="AQ254" s="5" t="inlineStr"/>
      <c r="AR254" s="5" t="inlineStr"/>
      <c r="AS254" s="5" t="inlineStr"/>
      <c r="AT254" s="5" t="inlineStr"/>
      <c r="AU254" s="8" t="inlineStr">
        <is>
          <t>Not run</t>
        </is>
      </c>
    </row>
    <row r="255" ht="32" customHeight="1">
      <c r="A255" s="16" t="inlineStr">
        <is>
          <t>X-0254</t>
        </is>
      </c>
      <c r="B255" s="8" t="inlineStr">
        <is>
          <t>X</t>
        </is>
      </c>
      <c r="C255" s="5" t="inlineStr">
        <is>
          <t>Multiple / Cross-persona</t>
        </is>
      </c>
      <c r="D255" s="5" t="inlineStr">
        <is>
          <t>Inventory Lifecycle</t>
        </is>
      </c>
      <c r="E255" s="5" t="inlineStr">
        <is>
          <t>Inventory adjustment → audit trail records who/why/when</t>
        </is>
      </c>
      <c r="F255" s="5" t="inlineStr">
        <is>
          <t>System / Audit Logger</t>
        </is>
      </c>
      <c r="G255" s="5" t="inlineStr">
        <is>
          <t>Statutory Auditor</t>
        </is>
      </c>
      <c r="H255" s="5" t="inlineStr">
        <is>
          <t>Immutable log of who authorized each inventory write-off, why, and the exact timestamp</t>
        </is>
      </c>
      <c r="I255" s="5" t="inlineStr">
        <is>
          <t>Records adjustment reason, user ID, IP address, and financial write-off value in audit log</t>
        </is>
      </c>
      <c r="J255" s="20" t="inlineStr">
        <is>
          <t>P1</t>
        </is>
      </c>
      <c r="K255" s="20" t="inlineStr">
        <is>
          <t>Validated (Supported)</t>
        </is>
      </c>
      <c r="L255" s="5" t="inlineStr">
        <is>
          <t>Core system invariant: all inventory adjustments permanently logged in ActivityLog.</t>
        </is>
      </c>
      <c r="M255" s="8" t="inlineStr">
        <is>
          <t>Baseline</t>
        </is>
      </c>
      <c r="N255" s="8" t="inlineStr">
        <is>
          <t>Cross-persona</t>
        </is>
      </c>
      <c r="O255" s="8" t="inlineStr">
        <is>
          <t>P1</t>
        </is>
      </c>
      <c r="P255" s="5" t="inlineStr">
        <is>
          <t>Unchanged</t>
        </is>
      </c>
      <c r="Q255" s="20" t="inlineStr">
        <is>
          <t>Author assertion</t>
        </is>
      </c>
      <c r="R255" s="5" t="inlineStr"/>
      <c r="S255" s="8" t="inlineStr">
        <is>
          <t>INV</t>
        </is>
      </c>
      <c r="T255" s="5" t="inlineStr">
        <is>
          <t>Inventory lifecycle</t>
        </is>
      </c>
      <c r="U255" s="8" t="inlineStr"/>
      <c r="V255" s="8" t="inlineStr">
        <is>
          <t>inventory</t>
        </is>
      </c>
      <c r="W255" s="8" t="inlineStr">
        <is>
          <t>RUN</t>
        </is>
      </c>
      <c r="X255" s="5" t="inlineStr">
        <is>
          <t>Core</t>
        </is>
      </c>
      <c r="Y255" s="5" t="inlineStr">
        <is>
          <t>Cross-persona</t>
        </is>
      </c>
      <c r="Z255" s="5" t="inlineStr">
        <is>
          <t>High</t>
        </is>
      </c>
      <c r="AA255" s="5" t="inlineStr">
        <is>
          <t>High</t>
        </is>
      </c>
      <c r="AB255" s="8" t="inlineStr">
        <is>
          <t>Low</t>
        </is>
      </c>
      <c r="AC255" s="8" t="inlineStr">
        <is>
          <t>Pilot</t>
        </is>
      </c>
      <c r="AD255" s="5" t="inlineStr">
        <is>
          <t>Not independently checked</t>
        </is>
      </c>
      <c r="AE255" s="5" t="inlineStr">
        <is>
          <t>Not verified</t>
        </is>
      </c>
      <c r="AF255" s="5" t="inlineStr">
        <is>
          <t>Not verified</t>
        </is>
      </c>
      <c r="AG255" s="5" t="inlineStr">
        <is>
          <t>Not verified</t>
        </is>
      </c>
      <c r="AH255" s="5" t="inlineStr">
        <is>
          <t>Not verified</t>
        </is>
      </c>
      <c r="AI255" s="8" t="inlineStr">
        <is>
          <t>No</t>
        </is>
      </c>
      <c r="AJ255" s="8" t="inlineStr">
        <is>
          <t>Claimed - unverified</t>
        </is>
      </c>
      <c r="AK255" s="8" t="inlineStr">
        <is>
          <t>P1</t>
        </is>
      </c>
      <c r="AL255" s="8" t="n">
        <v>9</v>
      </c>
      <c r="AM255" s="5" t="inlineStr"/>
      <c r="AN255" s="5" t="inlineStr"/>
      <c r="AO255" s="5" t="inlineStr"/>
      <c r="AP255" s="5" t="inlineStr"/>
      <c r="AQ255" s="5" t="inlineStr"/>
      <c r="AR255" s="5" t="inlineStr"/>
      <c r="AS255" s="5" t="inlineStr"/>
      <c r="AT255" s="5" t="inlineStr"/>
      <c r="AU255" s="8" t="inlineStr">
        <is>
          <t>Not run</t>
        </is>
      </c>
    </row>
    <row r="256" ht="32" customHeight="1">
      <c r="A256" s="16" t="inlineStr">
        <is>
          <t>X-0255</t>
        </is>
      </c>
      <c r="B256" s="8" t="inlineStr">
        <is>
          <t>X</t>
        </is>
      </c>
      <c r="C256" s="5" t="inlineStr">
        <is>
          <t>Multiple / Cross-persona</t>
        </is>
      </c>
      <c r="D256" s="5" t="inlineStr">
        <is>
          <t>Inventory Lifecycle</t>
        </is>
      </c>
      <c r="E256" s="5" t="inlineStr">
        <is>
          <t>FIFO costing → correct cost is assigned to sale</t>
        </is>
      </c>
      <c r="F256" s="5" t="inlineStr">
        <is>
          <t>Costing Engine</t>
        </is>
      </c>
      <c r="G256" s="5" t="inlineStr">
        <is>
          <t>In-house Accountant</t>
        </is>
      </c>
      <c r="H256" s="5" t="inlineStr">
        <is>
          <t>Each outward sale consumes cost from oldest inward inventory layers according to FIFO</t>
        </is>
      </c>
      <c r="I256" s="5" t="inlineStr">
        <is>
          <t>Computes exact Cost of Goods Sold (COGS) per sales line; posts accurate gross margin</t>
        </is>
      </c>
      <c r="J256" s="20" t="inlineStr">
        <is>
          <t>P1</t>
        </is>
      </c>
      <c r="K256" s="20" t="inlineStr">
        <is>
          <t>Validated (Supported)</t>
        </is>
      </c>
      <c r="L256" s="5" t="inlineStr">
        <is>
          <t>Core system invariant: inventory valuation strictly implements perpetual FIFO costing.</t>
        </is>
      </c>
      <c r="M256" s="8" t="inlineStr">
        <is>
          <t>Baseline</t>
        </is>
      </c>
      <c r="N256" s="8" t="inlineStr">
        <is>
          <t>Cross-persona</t>
        </is>
      </c>
      <c r="O256" s="8" t="inlineStr">
        <is>
          <t>P1</t>
        </is>
      </c>
      <c r="P256" s="5" t="inlineStr">
        <is>
          <t>Unchanged</t>
        </is>
      </c>
      <c r="Q256" s="20" t="inlineStr">
        <is>
          <t>Author assertion</t>
        </is>
      </c>
      <c r="R256" s="5" t="inlineStr"/>
      <c r="S256" s="8" t="inlineStr">
        <is>
          <t>INV</t>
        </is>
      </c>
      <c r="T256" s="5" t="inlineStr">
        <is>
          <t>Inventory lifecycle</t>
        </is>
      </c>
      <c r="U256" s="8" t="inlineStr"/>
      <c r="V256" s="8" t="inlineStr">
        <is>
          <t>inventory</t>
        </is>
      </c>
      <c r="W256" s="8" t="inlineStr">
        <is>
          <t>RUN</t>
        </is>
      </c>
      <c r="X256" s="5" t="inlineStr">
        <is>
          <t>Core</t>
        </is>
      </c>
      <c r="Y256" s="5" t="inlineStr">
        <is>
          <t>Cross-persona</t>
        </is>
      </c>
      <c r="Z256" s="5" t="inlineStr">
        <is>
          <t>High</t>
        </is>
      </c>
      <c r="AA256" s="5" t="inlineStr">
        <is>
          <t>High</t>
        </is>
      </c>
      <c r="AB256" s="8" t="inlineStr">
        <is>
          <t>Low</t>
        </is>
      </c>
      <c r="AC256" s="8" t="inlineStr">
        <is>
          <t>Pilot</t>
        </is>
      </c>
      <c r="AD256" s="5" t="inlineStr">
        <is>
          <t>Not independently checked</t>
        </is>
      </c>
      <c r="AE256" s="5" t="inlineStr">
        <is>
          <t>Not verified</t>
        </is>
      </c>
      <c r="AF256" s="5" t="inlineStr">
        <is>
          <t>Not verified</t>
        </is>
      </c>
      <c r="AG256" s="5" t="inlineStr">
        <is>
          <t>Not verified</t>
        </is>
      </c>
      <c r="AH256" s="5" t="inlineStr">
        <is>
          <t>Not verified</t>
        </is>
      </c>
      <c r="AI256" s="8" t="inlineStr">
        <is>
          <t>No</t>
        </is>
      </c>
      <c r="AJ256" s="8" t="inlineStr">
        <is>
          <t>Claimed - unverified</t>
        </is>
      </c>
      <c r="AK256" s="8" t="inlineStr">
        <is>
          <t>P1</t>
        </is>
      </c>
      <c r="AL256" s="8" t="n">
        <v>9</v>
      </c>
      <c r="AM256" s="5" t="inlineStr"/>
      <c r="AN256" s="5" t="inlineStr"/>
      <c r="AO256" s="5" t="inlineStr"/>
      <c r="AP256" s="5" t="inlineStr"/>
      <c r="AQ256" s="5" t="inlineStr"/>
      <c r="AR256" s="5" t="inlineStr"/>
      <c r="AS256" s="5" t="inlineStr"/>
      <c r="AT256" s="5" t="inlineStr"/>
      <c r="AU256" s="8" t="inlineStr">
        <is>
          <t>Not run</t>
        </is>
      </c>
    </row>
    <row r="257" ht="32" customHeight="1">
      <c r="A257" s="16" t="inlineStr">
        <is>
          <t>X-0256</t>
        </is>
      </c>
      <c r="B257" s="8" t="inlineStr">
        <is>
          <t>X</t>
        </is>
      </c>
      <c r="C257" s="5" t="inlineStr">
        <is>
          <t>Multiple / Cross-persona</t>
        </is>
      </c>
      <c r="D257" s="5" t="inlineStr">
        <is>
          <t>Inventory Lifecycle</t>
        </is>
      </c>
      <c r="E257" s="5" t="inlineStr">
        <is>
          <t>Inventory valuation → owner sees current stock value</t>
        </is>
      </c>
      <c r="F257" s="5" t="inlineStr">
        <is>
          <t>Reporting &amp; Business Intelligence</t>
        </is>
      </c>
      <c r="G257" s="5" t="inlineStr">
        <is>
          <t>Business Owner</t>
        </is>
      </c>
      <c r="H257" s="5" t="inlineStr">
        <is>
          <t>Owner views accurate real-time valuation of total warehouse assets across all locations</t>
        </is>
      </c>
      <c r="I257" s="5" t="inlineStr">
        <is>
          <t>Calculates inventory asset valuation = SUM(Remaining Stock Layers * Inward Unit Cost)</t>
        </is>
      </c>
      <c r="J257" s="20" t="inlineStr">
        <is>
          <t>P1</t>
        </is>
      </c>
      <c r="K257" s="20" t="inlineStr">
        <is>
          <t>Validated (Supported)</t>
        </is>
      </c>
      <c r="L257" s="5" t="inlineStr">
        <is>
          <t>Supported via /reports/inventory-valuation/ with category and warehouse filters.</t>
        </is>
      </c>
      <c r="M257" s="8" t="inlineStr">
        <is>
          <t>Baseline</t>
        </is>
      </c>
      <c r="N257" s="8" t="inlineStr">
        <is>
          <t>Cross-persona</t>
        </is>
      </c>
      <c r="O257" s="8" t="inlineStr">
        <is>
          <t>P1</t>
        </is>
      </c>
      <c r="P257" s="5" t="inlineStr">
        <is>
          <t>Unchanged</t>
        </is>
      </c>
      <c r="Q257" s="20" t="inlineStr">
        <is>
          <t>Author assertion</t>
        </is>
      </c>
      <c r="R257" s="5" t="inlineStr"/>
      <c r="S257" s="8" t="inlineStr">
        <is>
          <t>INV</t>
        </is>
      </c>
      <c r="T257" s="5" t="inlineStr">
        <is>
          <t>Inventory lifecycle</t>
        </is>
      </c>
      <c r="U257" s="8" t="inlineStr"/>
      <c r="V257" s="8" t="inlineStr">
        <is>
          <t>inventory</t>
        </is>
      </c>
      <c r="W257" s="8" t="inlineStr">
        <is>
          <t>RUN</t>
        </is>
      </c>
      <c r="X257" s="5" t="inlineStr">
        <is>
          <t>Core</t>
        </is>
      </c>
      <c r="Y257" s="5" t="inlineStr">
        <is>
          <t>Cross-persona</t>
        </is>
      </c>
      <c r="Z257" s="5" t="inlineStr">
        <is>
          <t>High</t>
        </is>
      </c>
      <c r="AA257" s="5" t="inlineStr">
        <is>
          <t>High</t>
        </is>
      </c>
      <c r="AB257" s="8" t="inlineStr">
        <is>
          <t>Low</t>
        </is>
      </c>
      <c r="AC257" s="8" t="inlineStr">
        <is>
          <t>Pilot</t>
        </is>
      </c>
      <c r="AD257" s="5" t="inlineStr">
        <is>
          <t>Not independently checked</t>
        </is>
      </c>
      <c r="AE257" s="5" t="inlineStr">
        <is>
          <t>Not verified</t>
        </is>
      </c>
      <c r="AF257" s="5" t="inlineStr">
        <is>
          <t>Not verified</t>
        </is>
      </c>
      <c r="AG257" s="5" t="inlineStr">
        <is>
          <t>Not verified</t>
        </is>
      </c>
      <c r="AH257" s="5" t="inlineStr">
        <is>
          <t>Not verified</t>
        </is>
      </c>
      <c r="AI257" s="8" t="inlineStr">
        <is>
          <t>No</t>
        </is>
      </c>
      <c r="AJ257" s="8" t="inlineStr">
        <is>
          <t>Claimed - unverified</t>
        </is>
      </c>
      <c r="AK257" s="8" t="inlineStr">
        <is>
          <t>P1</t>
        </is>
      </c>
      <c r="AL257" s="8" t="n">
        <v>9</v>
      </c>
      <c r="AM257" s="5" t="inlineStr"/>
      <c r="AN257" s="5" t="inlineStr"/>
      <c r="AO257" s="5" t="inlineStr"/>
      <c r="AP257" s="5" t="inlineStr"/>
      <c r="AQ257" s="5" t="inlineStr"/>
      <c r="AR257" s="5" t="inlineStr"/>
      <c r="AS257" s="5" t="inlineStr"/>
      <c r="AT257" s="5" t="inlineStr"/>
      <c r="AU257" s="8" t="inlineStr">
        <is>
          <t>Not run</t>
        </is>
      </c>
    </row>
    <row r="258" ht="32" customHeight="1">
      <c r="A258" s="16" t="inlineStr">
        <is>
          <t>X-0257</t>
        </is>
      </c>
      <c r="B258" s="8" t="inlineStr">
        <is>
          <t>X</t>
        </is>
      </c>
      <c r="C258" s="5" t="inlineStr">
        <is>
          <t>Multiple / Cross-persona</t>
        </is>
      </c>
      <c r="D258" s="5" t="inlineStr">
        <is>
          <t>Inventory Lifecycle</t>
        </is>
      </c>
      <c r="E258" s="5" t="inlineStr">
        <is>
          <t>Inventory movement → historical transaction remains immutable</t>
        </is>
      </c>
      <c r="F258" s="5" t="inlineStr">
        <is>
          <t>System / Database Engine</t>
        </is>
      </c>
      <c r="G258" s="5" t="inlineStr">
        <is>
          <t>Auditor</t>
        </is>
      </c>
      <c r="H258" s="5" t="inlineStr">
        <is>
          <t>Completed inventory transactions cannot be deleted or modified; reversals require new movement</t>
        </is>
      </c>
      <c r="I258" s="5" t="inlineStr">
        <is>
          <t>Enforces append-only ledger pattern; guarantees ledger integrity and audit defensibility</t>
        </is>
      </c>
      <c r="J258" s="20" t="inlineStr">
        <is>
          <t>P1</t>
        </is>
      </c>
      <c r="K258" s="20" t="inlineStr">
        <is>
          <t>Validated (Supported)</t>
        </is>
      </c>
      <c r="L258" s="5" t="inlineStr">
        <is>
          <t>Core system invariant: StockMovement table is append-only; update/delete operations blocked.</t>
        </is>
      </c>
      <c r="M258" s="8" t="inlineStr">
        <is>
          <t>Baseline</t>
        </is>
      </c>
      <c r="N258" s="8" t="inlineStr">
        <is>
          <t>Cross-persona</t>
        </is>
      </c>
      <c r="O258" s="8" t="inlineStr">
        <is>
          <t>P1</t>
        </is>
      </c>
      <c r="P258" s="5" t="inlineStr">
        <is>
          <t>Unchanged</t>
        </is>
      </c>
      <c r="Q258" s="21" t="inlineStr">
        <is>
          <t>Code symbol found</t>
        </is>
      </c>
      <c r="R258" s="5" t="inlineStr">
        <is>
          <t>Matched StockMovement in product code. This is not a functional test.</t>
        </is>
      </c>
      <c r="S258" s="8" t="inlineStr">
        <is>
          <t>INV</t>
        </is>
      </c>
      <c r="T258" s="5" t="inlineStr">
        <is>
          <t>Inventory lifecycle</t>
        </is>
      </c>
      <c r="U258" s="8" t="inlineStr"/>
      <c r="V258" s="8" t="inlineStr">
        <is>
          <t>inventory</t>
        </is>
      </c>
      <c r="W258" s="8" t="inlineStr">
        <is>
          <t>RUN</t>
        </is>
      </c>
      <c r="X258" s="5" t="inlineStr">
        <is>
          <t>Core</t>
        </is>
      </c>
      <c r="Y258" s="5" t="inlineStr">
        <is>
          <t>Cross-persona</t>
        </is>
      </c>
      <c r="Z258" s="5" t="inlineStr">
        <is>
          <t>High</t>
        </is>
      </c>
      <c r="AA258" s="5" t="inlineStr">
        <is>
          <t>High</t>
        </is>
      </c>
      <c r="AB258" s="8" t="inlineStr">
        <is>
          <t>Low</t>
        </is>
      </c>
      <c r="AC258" s="8" t="inlineStr">
        <is>
          <t>Pilot</t>
        </is>
      </c>
      <c r="AD258" s="5" t="inlineStr">
        <is>
          <t>Cited in code</t>
        </is>
      </c>
      <c r="AE258" s="5" t="inlineStr">
        <is>
          <t>Not verified</t>
        </is>
      </c>
      <c r="AF258" s="5" t="inlineStr">
        <is>
          <t>Not verified</t>
        </is>
      </c>
      <c r="AG258" s="5" t="inlineStr">
        <is>
          <t>Not verified</t>
        </is>
      </c>
      <c r="AH258" s="5" t="inlineStr">
        <is>
          <t>Not verified</t>
        </is>
      </c>
      <c r="AI258" s="8" t="inlineStr">
        <is>
          <t>No</t>
        </is>
      </c>
      <c r="AJ258" s="8" t="inlineStr">
        <is>
          <t>Built - unverified</t>
        </is>
      </c>
      <c r="AK258" s="8" t="inlineStr">
        <is>
          <t>P1</t>
        </is>
      </c>
      <c r="AL258" s="8" t="n">
        <v>9</v>
      </c>
      <c r="AM258" s="5" t="inlineStr"/>
      <c r="AN258" s="5" t="inlineStr"/>
      <c r="AO258" s="5" t="inlineStr"/>
      <c r="AP258" s="5" t="inlineStr"/>
      <c r="AQ258" s="5" t="inlineStr"/>
      <c r="AR258" s="5" t="inlineStr"/>
      <c r="AS258" s="5" t="inlineStr"/>
      <c r="AT258" s="5" t="inlineStr"/>
      <c r="AU258" s="8" t="inlineStr">
        <is>
          <t>Not run</t>
        </is>
      </c>
    </row>
    <row r="259" ht="32" customHeight="1">
      <c r="A259" s="16" t="inlineStr">
        <is>
          <t>X-0258</t>
        </is>
      </c>
      <c r="B259" s="8" t="inlineStr">
        <is>
          <t>X</t>
        </is>
      </c>
      <c r="C259" s="5" t="inlineStr">
        <is>
          <t>Multiple / Cross-persona</t>
        </is>
      </c>
      <c r="D259" s="5" t="inlineStr">
        <is>
          <t>Multi-Godown / Multi-Store</t>
        </is>
      </c>
      <c r="E259" s="5" t="inlineStr">
        <is>
          <t>Shop requests stock from godown</t>
        </is>
      </c>
      <c r="F259" s="5" t="inlineStr">
        <is>
          <t>Store Manager</t>
        </is>
      </c>
      <c r="G259" s="5" t="inlineStr">
        <is>
          <t>Central Godown Keeper</t>
        </is>
      </c>
      <c r="H259" s="5" t="inlineStr">
        <is>
          <t>Retail shop raises digital requisition for replenishment from central godown</t>
        </is>
      </c>
      <c r="I259" s="5" t="inlineStr">
        <is>
          <t>Creates StockTransferRequest in DRAFT status specifying required SKUs and quantities</t>
        </is>
      </c>
      <c r="J259" s="20" t="inlineStr">
        <is>
          <t>P1</t>
        </is>
      </c>
      <c r="K259" s="20" t="inlineStr">
        <is>
          <t>Validated (Supported)</t>
        </is>
      </c>
      <c r="L259" s="5" t="inlineStr">
        <is>
          <t>Supported via Stock Transfer Request workflow.</t>
        </is>
      </c>
      <c r="M259" s="8" t="inlineStr">
        <is>
          <t>Baseline</t>
        </is>
      </c>
      <c r="N259" s="8" t="inlineStr">
        <is>
          <t>Cross-persona</t>
        </is>
      </c>
      <c r="O259" s="8" t="inlineStr">
        <is>
          <t>P1</t>
        </is>
      </c>
      <c r="P259" s="5" t="inlineStr">
        <is>
          <t>Unchanged</t>
        </is>
      </c>
      <c r="Q259" s="20" t="inlineStr">
        <is>
          <t>Author assertion</t>
        </is>
      </c>
      <c r="R259" s="5" t="inlineStr"/>
      <c r="S259" s="8" t="inlineStr">
        <is>
          <t>WH</t>
        </is>
      </c>
      <c r="T259" s="5" t="inlineStr">
        <is>
          <t>Multi-godown and multi-store</t>
        </is>
      </c>
      <c r="U259" s="8" t="inlineStr"/>
      <c r="V259" s="8" t="inlineStr">
        <is>
          <t>inventory</t>
        </is>
      </c>
      <c r="W259" s="8" t="inlineStr">
        <is>
          <t>RUN</t>
        </is>
      </c>
      <c r="X259" s="5" t="inlineStr">
        <is>
          <t>Core</t>
        </is>
      </c>
      <c r="Y259" s="5" t="inlineStr">
        <is>
          <t>Cross-persona</t>
        </is>
      </c>
      <c r="Z259" s="5" t="inlineStr">
        <is>
          <t>Medium</t>
        </is>
      </c>
      <c r="AA259" s="5" t="inlineStr">
        <is>
          <t>Medium</t>
        </is>
      </c>
      <c r="AB259" s="8" t="inlineStr">
        <is>
          <t>Low</t>
        </is>
      </c>
      <c r="AC259" s="8" t="inlineStr">
        <is>
          <t>Pilot</t>
        </is>
      </c>
      <c r="AD259" s="5" t="inlineStr">
        <is>
          <t>Not independently checked</t>
        </is>
      </c>
      <c r="AE259" s="5" t="inlineStr">
        <is>
          <t>Not verified</t>
        </is>
      </c>
      <c r="AF259" s="5" t="inlineStr">
        <is>
          <t>Not verified</t>
        </is>
      </c>
      <c r="AG259" s="5" t="inlineStr">
        <is>
          <t>Not verified</t>
        </is>
      </c>
      <c r="AH259" s="5" t="inlineStr">
        <is>
          <t>Not verified</t>
        </is>
      </c>
      <c r="AI259" s="8" t="inlineStr">
        <is>
          <t>No</t>
        </is>
      </c>
      <c r="AJ259" s="8" t="inlineStr">
        <is>
          <t>Claimed - unverified</t>
        </is>
      </c>
      <c r="AK259" s="8" t="inlineStr">
        <is>
          <t>P1</t>
        </is>
      </c>
      <c r="AL259" s="8" t="n">
        <v>6</v>
      </c>
      <c r="AM259" s="5" t="inlineStr"/>
      <c r="AN259" s="5" t="inlineStr"/>
      <c r="AO259" s="5" t="inlineStr"/>
      <c r="AP259" s="5" t="inlineStr"/>
      <c r="AQ259" s="5" t="inlineStr"/>
      <c r="AR259" s="5" t="inlineStr"/>
      <c r="AS259" s="5" t="inlineStr"/>
      <c r="AT259" s="5" t="inlineStr"/>
      <c r="AU259" s="8" t="inlineStr">
        <is>
          <t>Not run</t>
        </is>
      </c>
    </row>
    <row r="260" ht="32" customHeight="1">
      <c r="A260" s="16" t="inlineStr">
        <is>
          <t>X-0259</t>
        </is>
      </c>
      <c r="B260" s="8" t="inlineStr">
        <is>
          <t>X</t>
        </is>
      </c>
      <c r="C260" s="5" t="inlineStr">
        <is>
          <t>Multiple / Cross-persona</t>
        </is>
      </c>
      <c r="D260" s="5" t="inlineStr">
        <is>
          <t>Multi-Godown / Multi-Store</t>
        </is>
      </c>
      <c r="E260" s="5" t="inlineStr">
        <is>
          <t>Godown approves stock request</t>
        </is>
      </c>
      <c r="F260" s="5" t="inlineStr">
        <is>
          <t>Central Godown Keeper</t>
        </is>
      </c>
      <c r="G260" s="5" t="inlineStr">
        <is>
          <t>Store Manager</t>
        </is>
      </c>
      <c r="H260" s="5" t="inlineStr">
        <is>
          <t>Central godown verifies availability and approves store replenishment requisition</t>
        </is>
      </c>
      <c r="I260" s="5" t="inlineStr">
        <is>
          <t>Updates transfer request status to APPROVED; generates warehouse picking ticket</t>
        </is>
      </c>
      <c r="J260" s="20" t="inlineStr">
        <is>
          <t>P1</t>
        </is>
      </c>
      <c r="K260" s="20" t="inlineStr">
        <is>
          <t>Validated (Supported)</t>
        </is>
      </c>
      <c r="L260" s="5" t="inlineStr">
        <is>
          <t>Supported via Transfer Request approval screen.</t>
        </is>
      </c>
      <c r="M260" s="8" t="inlineStr">
        <is>
          <t>Baseline</t>
        </is>
      </c>
      <c r="N260" s="8" t="inlineStr">
        <is>
          <t>Cross-persona</t>
        </is>
      </c>
      <c r="O260" s="8" t="inlineStr">
        <is>
          <t>P1</t>
        </is>
      </c>
      <c r="P260" s="5" t="inlineStr">
        <is>
          <t>Unchanged</t>
        </is>
      </c>
      <c r="Q260" s="20" t="inlineStr">
        <is>
          <t>Author assertion</t>
        </is>
      </c>
      <c r="R260" s="5" t="inlineStr"/>
      <c r="S260" s="8" t="inlineStr">
        <is>
          <t>WH</t>
        </is>
      </c>
      <c r="T260" s="5" t="inlineStr">
        <is>
          <t>Multi-godown and multi-store</t>
        </is>
      </c>
      <c r="U260" s="8" t="inlineStr"/>
      <c r="V260" s="8" t="inlineStr">
        <is>
          <t>inventory</t>
        </is>
      </c>
      <c r="W260" s="8" t="inlineStr">
        <is>
          <t>RUN</t>
        </is>
      </c>
      <c r="X260" s="5" t="inlineStr">
        <is>
          <t>Core</t>
        </is>
      </c>
      <c r="Y260" s="5" t="inlineStr">
        <is>
          <t>Cross-persona</t>
        </is>
      </c>
      <c r="Z260" s="5" t="inlineStr">
        <is>
          <t>Medium</t>
        </is>
      </c>
      <c r="AA260" s="5" t="inlineStr">
        <is>
          <t>Medium</t>
        </is>
      </c>
      <c r="AB260" s="8" t="inlineStr">
        <is>
          <t>Low</t>
        </is>
      </c>
      <c r="AC260" s="8" t="inlineStr">
        <is>
          <t>Pilot</t>
        </is>
      </c>
      <c r="AD260" s="5" t="inlineStr">
        <is>
          <t>Not independently checked</t>
        </is>
      </c>
      <c r="AE260" s="5" t="inlineStr">
        <is>
          <t>Not verified</t>
        </is>
      </c>
      <c r="AF260" s="5" t="inlineStr">
        <is>
          <t>Not verified</t>
        </is>
      </c>
      <c r="AG260" s="5" t="inlineStr">
        <is>
          <t>Not verified</t>
        </is>
      </c>
      <c r="AH260" s="5" t="inlineStr">
        <is>
          <t>Not verified</t>
        </is>
      </c>
      <c r="AI260" s="8" t="inlineStr">
        <is>
          <t>No</t>
        </is>
      </c>
      <c r="AJ260" s="8" t="inlineStr">
        <is>
          <t>Claimed - unverified</t>
        </is>
      </c>
      <c r="AK260" s="8" t="inlineStr">
        <is>
          <t>P1</t>
        </is>
      </c>
      <c r="AL260" s="8" t="n">
        <v>6</v>
      </c>
      <c r="AM260" s="5" t="inlineStr"/>
      <c r="AN260" s="5" t="inlineStr"/>
      <c r="AO260" s="5" t="inlineStr"/>
      <c r="AP260" s="5" t="inlineStr"/>
      <c r="AQ260" s="5" t="inlineStr"/>
      <c r="AR260" s="5" t="inlineStr"/>
      <c r="AS260" s="5" t="inlineStr"/>
      <c r="AT260" s="5" t="inlineStr"/>
      <c r="AU260" s="8" t="inlineStr">
        <is>
          <t>Not run</t>
        </is>
      </c>
    </row>
    <row r="261" ht="32" customHeight="1">
      <c r="A261" s="16" t="inlineStr">
        <is>
          <t>X-0260</t>
        </is>
      </c>
      <c r="B261" s="8" t="inlineStr">
        <is>
          <t>X</t>
        </is>
      </c>
      <c r="C261" s="5" t="inlineStr">
        <is>
          <t>Multiple / Cross-persona</t>
        </is>
      </c>
      <c r="D261" s="5" t="inlineStr">
        <is>
          <t>Multi-Godown / Multi-Store</t>
        </is>
      </c>
      <c r="E261" s="5" t="inlineStr">
        <is>
          <t>Godown allocates stock</t>
        </is>
      </c>
      <c r="F261" s="5" t="inlineStr">
        <is>
          <t>Godown Custodian</t>
        </is>
      </c>
      <c r="G261" s="5" t="inlineStr">
        <is>
          <t>Logistics Dispatcher</t>
        </is>
      </c>
      <c r="H261" s="5" t="inlineStr">
        <is>
          <t>Stock committed and reserved at source godown for transfer dispatch</t>
        </is>
      </c>
      <c r="I261" s="5" t="inlineStr">
        <is>
          <t>Reserves inventory at source warehouse, preventing local order allocation</t>
        </is>
      </c>
      <c r="J261" s="20" t="inlineStr">
        <is>
          <t>P1</t>
        </is>
      </c>
      <c r="K261" s="20" t="inlineStr">
        <is>
          <t>Validated (Supported)</t>
        </is>
      </c>
      <c r="L261" s="5" t="inlineStr">
        <is>
          <t>Supported via automated inventory reservation on transfer approval.</t>
        </is>
      </c>
      <c r="M261" s="8" t="inlineStr">
        <is>
          <t>Baseline</t>
        </is>
      </c>
      <c r="N261" s="8" t="inlineStr">
        <is>
          <t>Cross-persona</t>
        </is>
      </c>
      <c r="O261" s="8" t="inlineStr">
        <is>
          <t>P1</t>
        </is>
      </c>
      <c r="P261" s="5" t="inlineStr">
        <is>
          <t>Unchanged</t>
        </is>
      </c>
      <c r="Q261" s="20" t="inlineStr">
        <is>
          <t>Author assertion</t>
        </is>
      </c>
      <c r="R261" s="5" t="inlineStr"/>
      <c r="S261" s="8" t="inlineStr">
        <is>
          <t>WH</t>
        </is>
      </c>
      <c r="T261" s="5" t="inlineStr">
        <is>
          <t>Multi-godown and multi-store</t>
        </is>
      </c>
      <c r="U261" s="8" t="inlineStr"/>
      <c r="V261" s="8" t="inlineStr">
        <is>
          <t>inventory</t>
        </is>
      </c>
      <c r="W261" s="8" t="inlineStr">
        <is>
          <t>RUN</t>
        </is>
      </c>
      <c r="X261" s="5" t="inlineStr">
        <is>
          <t>Core</t>
        </is>
      </c>
      <c r="Y261" s="5" t="inlineStr">
        <is>
          <t>Cross-persona</t>
        </is>
      </c>
      <c r="Z261" s="5" t="inlineStr">
        <is>
          <t>Medium</t>
        </is>
      </c>
      <c r="AA261" s="5" t="inlineStr">
        <is>
          <t>Medium</t>
        </is>
      </c>
      <c r="AB261" s="8" t="inlineStr">
        <is>
          <t>Low</t>
        </is>
      </c>
      <c r="AC261" s="8" t="inlineStr">
        <is>
          <t>Pilot</t>
        </is>
      </c>
      <c r="AD261" s="5" t="inlineStr">
        <is>
          <t>Not independently checked</t>
        </is>
      </c>
      <c r="AE261" s="5" t="inlineStr">
        <is>
          <t>Not verified</t>
        </is>
      </c>
      <c r="AF261" s="5" t="inlineStr">
        <is>
          <t>Not verified</t>
        </is>
      </c>
      <c r="AG261" s="5" t="inlineStr">
        <is>
          <t>Not verified</t>
        </is>
      </c>
      <c r="AH261" s="5" t="inlineStr">
        <is>
          <t>Not verified</t>
        </is>
      </c>
      <c r="AI261" s="8" t="inlineStr">
        <is>
          <t>No</t>
        </is>
      </c>
      <c r="AJ261" s="8" t="inlineStr">
        <is>
          <t>Claimed - unverified</t>
        </is>
      </c>
      <c r="AK261" s="8" t="inlineStr">
        <is>
          <t>P1</t>
        </is>
      </c>
      <c r="AL261" s="8" t="n">
        <v>6</v>
      </c>
      <c r="AM261" s="5" t="inlineStr"/>
      <c r="AN261" s="5" t="inlineStr"/>
      <c r="AO261" s="5" t="inlineStr"/>
      <c r="AP261" s="5" t="inlineStr"/>
      <c r="AQ261" s="5" t="inlineStr"/>
      <c r="AR261" s="5" t="inlineStr"/>
      <c r="AS261" s="5" t="inlineStr"/>
      <c r="AT261" s="5" t="inlineStr"/>
      <c r="AU261" s="8" t="inlineStr">
        <is>
          <t>Not run</t>
        </is>
      </c>
    </row>
    <row r="262" ht="32" customHeight="1">
      <c r="A262" s="16" t="inlineStr">
        <is>
          <t>X-0261</t>
        </is>
      </c>
      <c r="B262" s="8" t="inlineStr">
        <is>
          <t>X</t>
        </is>
      </c>
      <c r="C262" s="5" t="inlineStr">
        <is>
          <t>Multiple / Cross-persona</t>
        </is>
      </c>
      <c r="D262" s="5" t="inlineStr">
        <is>
          <t>Multi-Godown / Multi-Store</t>
        </is>
      </c>
      <c r="E262" s="5" t="inlineStr">
        <is>
          <t>Goods dispatched from godown</t>
        </is>
      </c>
      <c r="F262" s="5" t="inlineStr">
        <is>
          <t>Godown Custodian</t>
        </is>
      </c>
      <c r="G262" s="5" t="inlineStr">
        <is>
          <t>Delivery Driver</t>
        </is>
      </c>
      <c r="H262" s="5" t="inlineStr">
        <is>
          <t>Stock dispatched with inter-godown delivery challan; moves into transit state</t>
        </is>
      </c>
      <c r="I262" s="5" t="inlineStr">
        <is>
          <t>Updates StockTransfer status to IN_TRANSIT; decrements source godown on-hand inventory</t>
        </is>
      </c>
      <c r="J262" s="20" t="inlineStr">
        <is>
          <t>P1</t>
        </is>
      </c>
      <c r="K262" s="20" t="inlineStr">
        <is>
          <t>Validated (Supported)</t>
        </is>
      </c>
      <c r="L262" s="5" t="inlineStr">
        <is>
          <t>Supported via StockTransfer dispatch step with Challan generation.</t>
        </is>
      </c>
      <c r="M262" s="8" t="inlineStr">
        <is>
          <t>Baseline</t>
        </is>
      </c>
      <c r="N262" s="8" t="inlineStr">
        <is>
          <t>Cross-persona</t>
        </is>
      </c>
      <c r="O262" s="8" t="inlineStr">
        <is>
          <t>P1</t>
        </is>
      </c>
      <c r="P262" s="5" t="inlineStr">
        <is>
          <t>Unchanged</t>
        </is>
      </c>
      <c r="Q262" s="21" t="inlineStr">
        <is>
          <t>Code symbol found</t>
        </is>
      </c>
      <c r="R262" s="5" t="inlineStr">
        <is>
          <t>Matched StockTransfer in product code. This is not a functional test.</t>
        </is>
      </c>
      <c r="S262" s="8" t="inlineStr">
        <is>
          <t>WH</t>
        </is>
      </c>
      <c r="T262" s="5" t="inlineStr">
        <is>
          <t>Multi-godown and multi-store</t>
        </is>
      </c>
      <c r="U262" s="8" t="inlineStr"/>
      <c r="V262" s="8" t="inlineStr">
        <is>
          <t>inventory</t>
        </is>
      </c>
      <c r="W262" s="8" t="inlineStr">
        <is>
          <t>RUN</t>
        </is>
      </c>
      <c r="X262" s="5" t="inlineStr">
        <is>
          <t>Core</t>
        </is>
      </c>
      <c r="Y262" s="5" t="inlineStr">
        <is>
          <t>Cross-persona</t>
        </is>
      </c>
      <c r="Z262" s="5" t="inlineStr">
        <is>
          <t>Medium</t>
        </is>
      </c>
      <c r="AA262" s="5" t="inlineStr">
        <is>
          <t>Medium</t>
        </is>
      </c>
      <c r="AB262" s="8" t="inlineStr">
        <is>
          <t>Low</t>
        </is>
      </c>
      <c r="AC262" s="8" t="inlineStr">
        <is>
          <t>Pilot</t>
        </is>
      </c>
      <c r="AD262" s="5" t="inlineStr">
        <is>
          <t>Cited in code</t>
        </is>
      </c>
      <c r="AE262" s="5" t="inlineStr">
        <is>
          <t>Not verified</t>
        </is>
      </c>
      <c r="AF262" s="5" t="inlineStr">
        <is>
          <t>Not verified</t>
        </is>
      </c>
      <c r="AG262" s="5" t="inlineStr">
        <is>
          <t>Not verified</t>
        </is>
      </c>
      <c r="AH262" s="5" t="inlineStr">
        <is>
          <t>Not verified</t>
        </is>
      </c>
      <c r="AI262" s="8" t="inlineStr">
        <is>
          <t>No</t>
        </is>
      </c>
      <c r="AJ262" s="8" t="inlineStr">
        <is>
          <t>Built - unverified</t>
        </is>
      </c>
      <c r="AK262" s="8" t="inlineStr">
        <is>
          <t>P1</t>
        </is>
      </c>
      <c r="AL262" s="8" t="n">
        <v>6</v>
      </c>
      <c r="AM262" s="5" t="inlineStr"/>
      <c r="AN262" s="5" t="inlineStr"/>
      <c r="AO262" s="5" t="inlineStr"/>
      <c r="AP262" s="5" t="inlineStr"/>
      <c r="AQ262" s="5" t="inlineStr"/>
      <c r="AR262" s="5" t="inlineStr"/>
      <c r="AS262" s="5" t="inlineStr"/>
      <c r="AT262" s="5" t="inlineStr"/>
      <c r="AU262" s="8" t="inlineStr">
        <is>
          <t>Not run</t>
        </is>
      </c>
    </row>
    <row r="263" ht="32" customHeight="1">
      <c r="A263" s="16" t="inlineStr">
        <is>
          <t>X-0262</t>
        </is>
      </c>
      <c r="B263" s="8" t="inlineStr">
        <is>
          <t>X</t>
        </is>
      </c>
      <c r="C263" s="5" t="inlineStr">
        <is>
          <t>Multiple / Cross-persona</t>
        </is>
      </c>
      <c r="D263" s="5" t="inlineStr">
        <is>
          <t>Multi-Godown / Multi-Store</t>
        </is>
      </c>
      <c r="E263" s="5" t="inlineStr">
        <is>
          <t>Destination receives goods</t>
        </is>
      </c>
      <c r="F263" s="5" t="inlineStr">
        <is>
          <t>Store Custodian</t>
        </is>
      </c>
      <c r="G263" s="5" t="inlineStr">
        <is>
          <t>Delivery Driver</t>
        </is>
      </c>
      <c r="H263" s="5" t="inlineStr">
        <is>
          <t>Destination store verifies received physical boxes against transfer delivery challan</t>
        </is>
      </c>
      <c r="I263" s="5" t="inlineStr">
        <is>
          <t>Records received quantities; marks transfer status as RECEIVED</t>
        </is>
      </c>
      <c r="J263" s="20" t="inlineStr">
        <is>
          <t>P1</t>
        </is>
      </c>
      <c r="K263" s="20" t="inlineStr">
        <is>
          <t>Validated (Supported)</t>
        </is>
      </c>
      <c r="L263" s="5" t="inlineStr">
        <is>
          <t>Supported via StockTransfer receipt confirmation screen.</t>
        </is>
      </c>
      <c r="M263" s="8" t="inlineStr">
        <is>
          <t>Baseline</t>
        </is>
      </c>
      <c r="N263" s="8" t="inlineStr">
        <is>
          <t>Cross-persona</t>
        </is>
      </c>
      <c r="O263" s="8" t="inlineStr">
        <is>
          <t>P1</t>
        </is>
      </c>
      <c r="P263" s="5" t="inlineStr">
        <is>
          <t>Unchanged</t>
        </is>
      </c>
      <c r="Q263" s="21" t="inlineStr">
        <is>
          <t>Code symbol found</t>
        </is>
      </c>
      <c r="R263" s="5" t="inlineStr">
        <is>
          <t>Matched StockTransfer in product code. This is not a functional test.</t>
        </is>
      </c>
      <c r="S263" s="8" t="inlineStr">
        <is>
          <t>WH</t>
        </is>
      </c>
      <c r="T263" s="5" t="inlineStr">
        <is>
          <t>Multi-godown and multi-store</t>
        </is>
      </c>
      <c r="U263" s="8" t="inlineStr"/>
      <c r="V263" s="8" t="inlineStr">
        <is>
          <t>inventory</t>
        </is>
      </c>
      <c r="W263" s="8" t="inlineStr">
        <is>
          <t>RUN</t>
        </is>
      </c>
      <c r="X263" s="5" t="inlineStr">
        <is>
          <t>Core</t>
        </is>
      </c>
      <c r="Y263" s="5" t="inlineStr">
        <is>
          <t>Cross-persona</t>
        </is>
      </c>
      <c r="Z263" s="5" t="inlineStr">
        <is>
          <t>Medium</t>
        </is>
      </c>
      <c r="AA263" s="5" t="inlineStr">
        <is>
          <t>Medium</t>
        </is>
      </c>
      <c r="AB263" s="8" t="inlineStr">
        <is>
          <t>Low</t>
        </is>
      </c>
      <c r="AC263" s="8" t="inlineStr">
        <is>
          <t>Pilot</t>
        </is>
      </c>
      <c r="AD263" s="5" t="inlineStr">
        <is>
          <t>Cited in code</t>
        </is>
      </c>
      <c r="AE263" s="5" t="inlineStr">
        <is>
          <t>Not verified</t>
        </is>
      </c>
      <c r="AF263" s="5" t="inlineStr">
        <is>
          <t>Not verified</t>
        </is>
      </c>
      <c r="AG263" s="5" t="inlineStr">
        <is>
          <t>Not verified</t>
        </is>
      </c>
      <c r="AH263" s="5" t="inlineStr">
        <is>
          <t>Not verified</t>
        </is>
      </c>
      <c r="AI263" s="8" t="inlineStr">
        <is>
          <t>No</t>
        </is>
      </c>
      <c r="AJ263" s="8" t="inlineStr">
        <is>
          <t>Built - unverified</t>
        </is>
      </c>
      <c r="AK263" s="8" t="inlineStr">
        <is>
          <t>P1</t>
        </is>
      </c>
      <c r="AL263" s="8" t="n">
        <v>6</v>
      </c>
      <c r="AM263" s="5" t="inlineStr"/>
      <c r="AN263" s="5" t="inlineStr"/>
      <c r="AO263" s="5" t="inlineStr"/>
      <c r="AP263" s="5" t="inlineStr"/>
      <c r="AQ263" s="5" t="inlineStr"/>
      <c r="AR263" s="5" t="inlineStr"/>
      <c r="AS263" s="5" t="inlineStr"/>
      <c r="AT263" s="5" t="inlineStr"/>
      <c r="AU263" s="8" t="inlineStr">
        <is>
          <t>Not run</t>
        </is>
      </c>
    </row>
    <row r="264" ht="32" customHeight="1">
      <c r="A264" s="16" t="inlineStr">
        <is>
          <t>X-0263</t>
        </is>
      </c>
      <c r="B264" s="8" t="inlineStr">
        <is>
          <t>X</t>
        </is>
      </c>
      <c r="C264" s="5" t="inlineStr">
        <is>
          <t>Multiple / Cross-persona</t>
        </is>
      </c>
      <c r="D264" s="5" t="inlineStr">
        <is>
          <t>Multi-Godown / Multi-Store</t>
        </is>
      </c>
      <c r="E264" s="5" t="inlineStr">
        <is>
          <t>Source inventory decreases</t>
        </is>
      </c>
      <c r="F264" s="5" t="inlineStr">
        <is>
          <t>System / Inventory Ledger</t>
        </is>
      </c>
      <c r="G264" s="5" t="inlineStr">
        <is>
          <t>Source Godown Keeper</t>
        </is>
      </c>
      <c r="H264" s="5" t="inlineStr">
        <is>
          <t>Source godown stock balance reduced upon transfer dispatch</t>
        </is>
      </c>
      <c r="I264" s="5" t="inlineStr">
        <is>
          <t>Creates StockMovement (TRANSFER_OUT) at source warehouse</t>
        </is>
      </c>
      <c r="J264" s="20" t="inlineStr">
        <is>
          <t>P1</t>
        </is>
      </c>
      <c r="K264" s="20" t="inlineStr">
        <is>
          <t>Validated (Supported)</t>
        </is>
      </c>
      <c r="L264" s="5" t="inlineStr">
        <is>
          <t>Core system invariant: stock transfer dispatch immediately reduces source stock.</t>
        </is>
      </c>
      <c r="M264" s="8" t="inlineStr">
        <is>
          <t>Baseline</t>
        </is>
      </c>
      <c r="N264" s="8" t="inlineStr">
        <is>
          <t>Cross-persona</t>
        </is>
      </c>
      <c r="O264" s="8" t="inlineStr">
        <is>
          <t>P1</t>
        </is>
      </c>
      <c r="P264" s="5" t="inlineStr">
        <is>
          <t>Unchanged</t>
        </is>
      </c>
      <c r="Q264" s="20" t="inlineStr">
        <is>
          <t>Author assertion</t>
        </is>
      </c>
      <c r="R264" s="5" t="inlineStr"/>
      <c r="S264" s="8" t="inlineStr">
        <is>
          <t>WH</t>
        </is>
      </c>
      <c r="T264" s="5" t="inlineStr">
        <is>
          <t>Multi-godown and multi-store</t>
        </is>
      </c>
      <c r="U264" s="8" t="inlineStr"/>
      <c r="V264" s="8" t="inlineStr">
        <is>
          <t>inventory</t>
        </is>
      </c>
      <c r="W264" s="8" t="inlineStr">
        <is>
          <t>RUN</t>
        </is>
      </c>
      <c r="X264" s="5" t="inlineStr">
        <is>
          <t>Core</t>
        </is>
      </c>
      <c r="Y264" s="5" t="inlineStr">
        <is>
          <t>Cross-persona</t>
        </is>
      </c>
      <c r="Z264" s="5" t="inlineStr">
        <is>
          <t>Medium</t>
        </is>
      </c>
      <c r="AA264" s="5" t="inlineStr">
        <is>
          <t>Medium</t>
        </is>
      </c>
      <c r="AB264" s="8" t="inlineStr">
        <is>
          <t>Low</t>
        </is>
      </c>
      <c r="AC264" s="8" t="inlineStr">
        <is>
          <t>Pilot</t>
        </is>
      </c>
      <c r="AD264" s="5" t="inlineStr">
        <is>
          <t>Not independently checked</t>
        </is>
      </c>
      <c r="AE264" s="5" t="inlineStr">
        <is>
          <t>Not verified</t>
        </is>
      </c>
      <c r="AF264" s="5" t="inlineStr">
        <is>
          <t>Not verified</t>
        </is>
      </c>
      <c r="AG264" s="5" t="inlineStr">
        <is>
          <t>Not verified</t>
        </is>
      </c>
      <c r="AH264" s="5" t="inlineStr">
        <is>
          <t>Not verified</t>
        </is>
      </c>
      <c r="AI264" s="8" t="inlineStr">
        <is>
          <t>No</t>
        </is>
      </c>
      <c r="AJ264" s="8" t="inlineStr">
        <is>
          <t>Claimed - unverified</t>
        </is>
      </c>
      <c r="AK264" s="8" t="inlineStr">
        <is>
          <t>P1</t>
        </is>
      </c>
      <c r="AL264" s="8" t="n">
        <v>6</v>
      </c>
      <c r="AM264" s="5" t="inlineStr"/>
      <c r="AN264" s="5" t="inlineStr"/>
      <c r="AO264" s="5" t="inlineStr"/>
      <c r="AP264" s="5" t="inlineStr"/>
      <c r="AQ264" s="5" t="inlineStr"/>
      <c r="AR264" s="5" t="inlineStr"/>
      <c r="AS264" s="5" t="inlineStr"/>
      <c r="AT264" s="5" t="inlineStr"/>
      <c r="AU264" s="8" t="inlineStr">
        <is>
          <t>Not run</t>
        </is>
      </c>
    </row>
    <row r="265" ht="32" customHeight="1">
      <c r="A265" s="16" t="inlineStr">
        <is>
          <t>X-0264</t>
        </is>
      </c>
      <c r="B265" s="8" t="inlineStr">
        <is>
          <t>X</t>
        </is>
      </c>
      <c r="C265" s="5" t="inlineStr">
        <is>
          <t>Multiple / Cross-persona</t>
        </is>
      </c>
      <c r="D265" s="5" t="inlineStr">
        <is>
          <t>Multi-Godown / Multi-Store</t>
        </is>
      </c>
      <c r="E265" s="5" t="inlineStr">
        <is>
          <t>Destination inventory increases</t>
        </is>
      </c>
      <c r="F265" s="5" t="inlineStr">
        <is>
          <t>System / Inventory Ledger</t>
        </is>
      </c>
      <c r="G265" s="5" t="inlineStr">
        <is>
          <t>Store Manager</t>
        </is>
      </c>
      <c r="H265" s="5" t="inlineStr">
        <is>
          <t>Destination shop stock balance increased upon transfer receipt confirmation</t>
        </is>
      </c>
      <c r="I265" s="5" t="inlineStr">
        <is>
          <t>Creates StockMovement (TRANSFER_IN) at destination warehouse</t>
        </is>
      </c>
      <c r="J265" s="20" t="inlineStr">
        <is>
          <t>P1</t>
        </is>
      </c>
      <c r="K265" s="20" t="inlineStr">
        <is>
          <t>Validated (Supported)</t>
        </is>
      </c>
      <c r="L265" s="5" t="inlineStr">
        <is>
          <t>Core system invariant: stock transfer receipt immediately increases destination stock.</t>
        </is>
      </c>
      <c r="M265" s="8" t="inlineStr">
        <is>
          <t>Baseline</t>
        </is>
      </c>
      <c r="N265" s="8" t="inlineStr">
        <is>
          <t>Cross-persona</t>
        </is>
      </c>
      <c r="O265" s="8" t="inlineStr">
        <is>
          <t>P1</t>
        </is>
      </c>
      <c r="P265" s="5" t="inlineStr">
        <is>
          <t>Unchanged</t>
        </is>
      </c>
      <c r="Q265" s="20" t="inlineStr">
        <is>
          <t>Author assertion</t>
        </is>
      </c>
      <c r="R265" s="5" t="inlineStr"/>
      <c r="S265" s="8" t="inlineStr">
        <is>
          <t>WH</t>
        </is>
      </c>
      <c r="T265" s="5" t="inlineStr">
        <is>
          <t>Multi-godown and multi-store</t>
        </is>
      </c>
      <c r="U265" s="8" t="inlineStr"/>
      <c r="V265" s="8" t="inlineStr">
        <is>
          <t>inventory</t>
        </is>
      </c>
      <c r="W265" s="8" t="inlineStr">
        <is>
          <t>RUN</t>
        </is>
      </c>
      <c r="X265" s="5" t="inlineStr">
        <is>
          <t>Core</t>
        </is>
      </c>
      <c r="Y265" s="5" t="inlineStr">
        <is>
          <t>Cross-persona</t>
        </is>
      </c>
      <c r="Z265" s="5" t="inlineStr">
        <is>
          <t>Medium</t>
        </is>
      </c>
      <c r="AA265" s="5" t="inlineStr">
        <is>
          <t>Medium</t>
        </is>
      </c>
      <c r="AB265" s="8" t="inlineStr">
        <is>
          <t>Low</t>
        </is>
      </c>
      <c r="AC265" s="8" t="inlineStr">
        <is>
          <t>Pilot</t>
        </is>
      </c>
      <c r="AD265" s="5" t="inlineStr">
        <is>
          <t>Not independently checked</t>
        </is>
      </c>
      <c r="AE265" s="5" t="inlineStr">
        <is>
          <t>Not verified</t>
        </is>
      </c>
      <c r="AF265" s="5" t="inlineStr">
        <is>
          <t>Not verified</t>
        </is>
      </c>
      <c r="AG265" s="5" t="inlineStr">
        <is>
          <t>Not verified</t>
        </is>
      </c>
      <c r="AH265" s="5" t="inlineStr">
        <is>
          <t>Not verified</t>
        </is>
      </c>
      <c r="AI265" s="8" t="inlineStr">
        <is>
          <t>No</t>
        </is>
      </c>
      <c r="AJ265" s="8" t="inlineStr">
        <is>
          <t>Claimed - unverified</t>
        </is>
      </c>
      <c r="AK265" s="8" t="inlineStr">
        <is>
          <t>P1</t>
        </is>
      </c>
      <c r="AL265" s="8" t="n">
        <v>6</v>
      </c>
      <c r="AM265" s="5" t="inlineStr"/>
      <c r="AN265" s="5" t="inlineStr"/>
      <c r="AO265" s="5" t="inlineStr"/>
      <c r="AP265" s="5" t="inlineStr"/>
      <c r="AQ265" s="5" t="inlineStr"/>
      <c r="AR265" s="5" t="inlineStr"/>
      <c r="AS265" s="5" t="inlineStr"/>
      <c r="AT265" s="5" t="inlineStr"/>
      <c r="AU265" s="8" t="inlineStr">
        <is>
          <t>Not run</t>
        </is>
      </c>
    </row>
    <row r="266" ht="32" customHeight="1">
      <c r="A266" s="16" t="inlineStr">
        <is>
          <t>X-0265</t>
        </is>
      </c>
      <c r="B266" s="8" t="inlineStr">
        <is>
          <t>X</t>
        </is>
      </c>
      <c r="C266" s="5" t="inlineStr">
        <is>
          <t>Multiple / Cross-persona</t>
        </is>
      </c>
      <c r="D266" s="5" t="inlineStr">
        <is>
          <t>Multi-Godown / Multi-Store</t>
        </is>
      </c>
      <c r="E266" s="5" t="inlineStr">
        <is>
          <t>Transfer discrepancy is recorded</t>
        </is>
      </c>
      <c r="F266" s="5" t="inlineStr">
        <is>
          <t>Store Custodian</t>
        </is>
      </c>
      <c r="G266" s="5" t="inlineStr">
        <is>
          <t>Logistics Manager</t>
        </is>
      </c>
      <c r="H266" s="5" t="inlineStr">
        <is>
          <t>Shortages during inter-godown transit flagged and documented for carrier investigation</t>
        </is>
      </c>
      <c r="I266" s="5" t="inlineStr">
        <is>
          <t>Records discrepancy quantity; generates in-transit shrinkage investigation row</t>
        </is>
      </c>
      <c r="J266" s="20" t="inlineStr">
        <is>
          <t>P1</t>
        </is>
      </c>
      <c r="K266" s="20" t="inlineStr">
        <is>
          <t>Validated (Supported)</t>
        </is>
      </c>
      <c r="L266" s="5" t="inlineStr">
        <is>
          <t>Supported via partial receipt and discrepancy logging on StockTransfer.</t>
        </is>
      </c>
      <c r="M266" s="8" t="inlineStr">
        <is>
          <t>Baseline</t>
        </is>
      </c>
      <c r="N266" s="8" t="inlineStr">
        <is>
          <t>Cross-persona</t>
        </is>
      </c>
      <c r="O266" s="8" t="inlineStr">
        <is>
          <t>P1</t>
        </is>
      </c>
      <c r="P266" s="5" t="inlineStr">
        <is>
          <t>Unchanged</t>
        </is>
      </c>
      <c r="Q266" s="21" t="inlineStr">
        <is>
          <t>Code symbol found</t>
        </is>
      </c>
      <c r="R266" s="5" t="inlineStr">
        <is>
          <t>Matched StockTransfer in product code. This is not a functional test.</t>
        </is>
      </c>
      <c r="S266" s="8" t="inlineStr">
        <is>
          <t>WH</t>
        </is>
      </c>
      <c r="T266" s="5" t="inlineStr">
        <is>
          <t>Multi-godown and multi-store</t>
        </is>
      </c>
      <c r="U266" s="8" t="inlineStr"/>
      <c r="V266" s="8" t="inlineStr">
        <is>
          <t>inventory</t>
        </is>
      </c>
      <c r="W266" s="8" t="inlineStr">
        <is>
          <t>RUN</t>
        </is>
      </c>
      <c r="X266" s="5" t="inlineStr">
        <is>
          <t>Core</t>
        </is>
      </c>
      <c r="Y266" s="5" t="inlineStr">
        <is>
          <t>Cross-persona</t>
        </is>
      </c>
      <c r="Z266" s="5" t="inlineStr">
        <is>
          <t>Medium</t>
        </is>
      </c>
      <c r="AA266" s="5" t="inlineStr">
        <is>
          <t>Medium</t>
        </is>
      </c>
      <c r="AB266" s="8" t="inlineStr">
        <is>
          <t>Low</t>
        </is>
      </c>
      <c r="AC266" s="8" t="inlineStr">
        <is>
          <t>Pilot</t>
        </is>
      </c>
      <c r="AD266" s="5" t="inlineStr">
        <is>
          <t>Cited in code</t>
        </is>
      </c>
      <c r="AE266" s="5" t="inlineStr">
        <is>
          <t>Not verified</t>
        </is>
      </c>
      <c r="AF266" s="5" t="inlineStr">
        <is>
          <t>Not verified</t>
        </is>
      </c>
      <c r="AG266" s="5" t="inlineStr">
        <is>
          <t>Not verified</t>
        </is>
      </c>
      <c r="AH266" s="5" t="inlineStr">
        <is>
          <t>Not verified</t>
        </is>
      </c>
      <c r="AI266" s="8" t="inlineStr">
        <is>
          <t>No</t>
        </is>
      </c>
      <c r="AJ266" s="8" t="inlineStr">
        <is>
          <t>Built - unverified</t>
        </is>
      </c>
      <c r="AK266" s="8" t="inlineStr">
        <is>
          <t>P1</t>
        </is>
      </c>
      <c r="AL266" s="8" t="n">
        <v>6</v>
      </c>
      <c r="AM266" s="5" t="inlineStr"/>
      <c r="AN266" s="5" t="inlineStr"/>
      <c r="AO266" s="5" t="inlineStr"/>
      <c r="AP266" s="5" t="inlineStr"/>
      <c r="AQ266" s="5" t="inlineStr"/>
      <c r="AR266" s="5" t="inlineStr"/>
      <c r="AS266" s="5" t="inlineStr"/>
      <c r="AT266" s="5" t="inlineStr"/>
      <c r="AU266" s="8" t="inlineStr">
        <is>
          <t>Not run</t>
        </is>
      </c>
    </row>
    <row r="267" ht="32" customHeight="1">
      <c r="A267" s="16" t="inlineStr">
        <is>
          <t>X-0266</t>
        </is>
      </c>
      <c r="B267" s="8" t="inlineStr">
        <is>
          <t>X</t>
        </is>
      </c>
      <c r="C267" s="5" t="inlineStr">
        <is>
          <t>Multiple / Cross-persona</t>
        </is>
      </c>
      <c r="D267" s="5" t="inlineStr">
        <is>
          <t>Multi-Godown / Multi-Store</t>
        </is>
      </c>
      <c r="E267" s="5" t="inlineStr">
        <is>
          <t>Transfer damage is recorded</t>
        </is>
      </c>
      <c r="F267" s="5" t="inlineStr">
        <is>
          <t>Store Custodian</t>
        </is>
      </c>
      <c r="G267" s="5" t="inlineStr">
        <is>
          <t>Insurance / Transporter</t>
        </is>
      </c>
      <c r="H267" s="5" t="inlineStr">
        <is>
          <t>Goods damaged during road transit recorded and segregated upon destination arrival</t>
        </is>
      </c>
      <c r="I267" s="5" t="inlineStr">
        <is>
          <t>Routes damaged units to quarantine; logs transit loss write-off claim</t>
        </is>
      </c>
      <c r="J267" s="20" t="inlineStr">
        <is>
          <t>P1</t>
        </is>
      </c>
      <c r="K267" s="20" t="inlineStr">
        <is>
          <t>Validated (Supported)</t>
        </is>
      </c>
      <c r="L267" s="5" t="inlineStr">
        <is>
          <t>Supported via damaged stock tagging during transfer intake.</t>
        </is>
      </c>
      <c r="M267" s="8" t="inlineStr">
        <is>
          <t>Baseline</t>
        </is>
      </c>
      <c r="N267" s="8" t="inlineStr">
        <is>
          <t>Cross-persona</t>
        </is>
      </c>
      <c r="O267" s="8" t="inlineStr">
        <is>
          <t>P1</t>
        </is>
      </c>
      <c r="P267" s="5" t="inlineStr">
        <is>
          <t>Unchanged</t>
        </is>
      </c>
      <c r="Q267" s="20" t="inlineStr">
        <is>
          <t>Author assertion</t>
        </is>
      </c>
      <c r="R267" s="5" t="inlineStr"/>
      <c r="S267" s="8" t="inlineStr">
        <is>
          <t>WH</t>
        </is>
      </c>
      <c r="T267" s="5" t="inlineStr">
        <is>
          <t>Multi-godown and multi-store</t>
        </is>
      </c>
      <c r="U267" s="8" t="inlineStr"/>
      <c r="V267" s="8" t="inlineStr">
        <is>
          <t>inventory</t>
        </is>
      </c>
      <c r="W267" s="8" t="inlineStr">
        <is>
          <t>RUN</t>
        </is>
      </c>
      <c r="X267" s="5" t="inlineStr">
        <is>
          <t>Core</t>
        </is>
      </c>
      <c r="Y267" s="5" t="inlineStr">
        <is>
          <t>Cross-persona</t>
        </is>
      </c>
      <c r="Z267" s="5" t="inlineStr">
        <is>
          <t>Medium</t>
        </is>
      </c>
      <c r="AA267" s="5" t="inlineStr">
        <is>
          <t>Medium</t>
        </is>
      </c>
      <c r="AB267" s="8" t="inlineStr">
        <is>
          <t>Low</t>
        </is>
      </c>
      <c r="AC267" s="8" t="inlineStr">
        <is>
          <t>Pilot</t>
        </is>
      </c>
      <c r="AD267" s="5" t="inlineStr">
        <is>
          <t>Not independently checked</t>
        </is>
      </c>
      <c r="AE267" s="5" t="inlineStr">
        <is>
          <t>Not verified</t>
        </is>
      </c>
      <c r="AF267" s="5" t="inlineStr">
        <is>
          <t>Not verified</t>
        </is>
      </c>
      <c r="AG267" s="5" t="inlineStr">
        <is>
          <t>Not verified</t>
        </is>
      </c>
      <c r="AH267" s="5" t="inlineStr">
        <is>
          <t>Not verified</t>
        </is>
      </c>
      <c r="AI267" s="8" t="inlineStr">
        <is>
          <t>No</t>
        </is>
      </c>
      <c r="AJ267" s="8" t="inlineStr">
        <is>
          <t>Claimed - unverified</t>
        </is>
      </c>
      <c r="AK267" s="8" t="inlineStr">
        <is>
          <t>P1</t>
        </is>
      </c>
      <c r="AL267" s="8" t="n">
        <v>6</v>
      </c>
      <c r="AM267" s="5" t="inlineStr"/>
      <c r="AN267" s="5" t="inlineStr"/>
      <c r="AO267" s="5" t="inlineStr"/>
      <c r="AP267" s="5" t="inlineStr"/>
      <c r="AQ267" s="5" t="inlineStr"/>
      <c r="AR267" s="5" t="inlineStr"/>
      <c r="AS267" s="5" t="inlineStr"/>
      <c r="AT267" s="5" t="inlineStr"/>
      <c r="AU267" s="8" t="inlineStr">
        <is>
          <t>Not run</t>
        </is>
      </c>
    </row>
    <row r="268" ht="32" customHeight="1">
      <c r="A268" s="16" t="inlineStr">
        <is>
          <t>X-0267</t>
        </is>
      </c>
      <c r="B268" s="8" t="inlineStr">
        <is>
          <t>X</t>
        </is>
      </c>
      <c r="C268" s="5" t="inlineStr">
        <is>
          <t>Multiple / Cross-persona</t>
        </is>
      </c>
      <c r="D268" s="5" t="inlineStr">
        <is>
          <t>Multi-Godown / Multi-Store</t>
        </is>
      </c>
      <c r="E268" s="5" t="inlineStr">
        <is>
          <t>Transfer cancellation reverses appropriate inventory state</t>
        </is>
      </c>
      <c r="F268" s="5" t="inlineStr">
        <is>
          <t>Logistics Manager</t>
        </is>
      </c>
      <c r="G268" s="5" t="inlineStr">
        <is>
          <t>Godown Staff</t>
        </is>
      </c>
      <c r="H268" s="5" t="inlineStr">
        <is>
          <t>Cancelled transfer safely restores reserved or dispatched stock back to source godown</t>
        </is>
      </c>
      <c r="I268" s="5" t="inlineStr">
        <is>
          <t>Reverses in-transit state; restores source warehouse on-hand balance without data corruption</t>
        </is>
      </c>
      <c r="J268" s="20" t="inlineStr">
        <is>
          <t>P1</t>
        </is>
      </c>
      <c r="K268" s="20" t="inlineStr">
        <is>
          <t>Validated (Supported)</t>
        </is>
      </c>
      <c r="L268" s="5" t="inlineStr">
        <is>
          <t>Supported via StockTransfer cancel workflow with atomic state reversal.</t>
        </is>
      </c>
      <c r="M268" s="8" t="inlineStr">
        <is>
          <t>Baseline</t>
        </is>
      </c>
      <c r="N268" s="8" t="inlineStr">
        <is>
          <t>Cross-persona</t>
        </is>
      </c>
      <c r="O268" s="8" t="inlineStr">
        <is>
          <t>P1</t>
        </is>
      </c>
      <c r="P268" s="5" t="inlineStr">
        <is>
          <t>Restored to authored P1. The previous workbook had P0 after a keyword rebalance.</t>
        </is>
      </c>
      <c r="Q268" s="21" t="inlineStr">
        <is>
          <t>Code symbol found</t>
        </is>
      </c>
      <c r="R268" s="5" t="inlineStr">
        <is>
          <t>Matched StockTransfer in product code. This is not a functional test. Restored to authored P1. The previous workbook had P0 after a keyword rebalance.</t>
        </is>
      </c>
      <c r="S268" s="8" t="inlineStr">
        <is>
          <t>WH</t>
        </is>
      </c>
      <c r="T268" s="5" t="inlineStr">
        <is>
          <t>Multi-godown and multi-store</t>
        </is>
      </c>
      <c r="U268" s="8" t="inlineStr"/>
      <c r="V268" s="8" t="inlineStr">
        <is>
          <t>inventory</t>
        </is>
      </c>
      <c r="W268" s="8" t="inlineStr">
        <is>
          <t>RUN</t>
        </is>
      </c>
      <c r="X268" s="5" t="inlineStr">
        <is>
          <t>Core</t>
        </is>
      </c>
      <c r="Y268" s="5" t="inlineStr">
        <is>
          <t>Cross-persona</t>
        </is>
      </c>
      <c r="Z268" s="5" t="inlineStr">
        <is>
          <t>Medium</t>
        </is>
      </c>
      <c r="AA268" s="5" t="inlineStr">
        <is>
          <t>Medium</t>
        </is>
      </c>
      <c r="AB268" s="8" t="inlineStr">
        <is>
          <t>Low</t>
        </is>
      </c>
      <c r="AC268" s="8" t="inlineStr">
        <is>
          <t>Pilot</t>
        </is>
      </c>
      <c r="AD268" s="5" t="inlineStr">
        <is>
          <t>Cited in code</t>
        </is>
      </c>
      <c r="AE268" s="5" t="inlineStr">
        <is>
          <t>Not verified</t>
        </is>
      </c>
      <c r="AF268" s="5" t="inlineStr">
        <is>
          <t>Not verified</t>
        </is>
      </c>
      <c r="AG268" s="5" t="inlineStr">
        <is>
          <t>Not verified</t>
        </is>
      </c>
      <c r="AH268" s="5" t="inlineStr">
        <is>
          <t>Not verified</t>
        </is>
      </c>
      <c r="AI268" s="8" t="inlineStr">
        <is>
          <t>No</t>
        </is>
      </c>
      <c r="AJ268" s="8" t="inlineStr">
        <is>
          <t>Built - unverified</t>
        </is>
      </c>
      <c r="AK268" s="8" t="inlineStr">
        <is>
          <t>P1</t>
        </is>
      </c>
      <c r="AL268" s="8" t="n">
        <v>6</v>
      </c>
      <c r="AM268" s="5" t="inlineStr"/>
      <c r="AN268" s="5" t="inlineStr"/>
      <c r="AO268" s="5" t="inlineStr"/>
      <c r="AP268" s="5" t="inlineStr"/>
      <c r="AQ268" s="5" t="inlineStr"/>
      <c r="AR268" s="5" t="inlineStr"/>
      <c r="AS268" s="5" t="inlineStr"/>
      <c r="AT268" s="5" t="inlineStr"/>
      <c r="AU268" s="8" t="inlineStr">
        <is>
          <t>Not run</t>
        </is>
      </c>
    </row>
    <row r="269" ht="32" customHeight="1">
      <c r="A269" s="16" t="inlineStr">
        <is>
          <t>X-0268</t>
        </is>
      </c>
      <c r="B269" s="8" t="inlineStr">
        <is>
          <t>X</t>
        </is>
      </c>
      <c r="C269" s="5" t="inlineStr">
        <is>
          <t>Multiple / Cross-persona</t>
        </is>
      </c>
      <c r="D269" s="5" t="inlineStr">
        <is>
          <t>Multi-Godown / Multi-Store</t>
        </is>
      </c>
      <c r="E269" s="5" t="inlineStr">
        <is>
          <t>Owner views consolidated inventory</t>
        </is>
      </c>
      <c r="F269" s="5" t="inlineStr">
        <is>
          <t>Reporting &amp; Business Intelligence</t>
        </is>
      </c>
      <c r="G269" s="5" t="inlineStr">
        <is>
          <t>Business Owner</t>
        </is>
      </c>
      <c r="H269" s="5" t="inlineStr">
        <is>
          <t>Unified view of total stock holdings across all stores and godowns on single screen</t>
        </is>
      </c>
      <c r="I269" s="5" t="inlineStr">
        <is>
          <t>Aggregates stock quantities and valuations across all company warehouses</t>
        </is>
      </c>
      <c r="J269" s="20" t="inlineStr">
        <is>
          <t>P1</t>
        </is>
      </c>
      <c r="K269" s="20" t="inlineStr">
        <is>
          <t>Validated (Supported)</t>
        </is>
      </c>
      <c r="L269" s="5" t="inlineStr">
        <is>
          <t>Supported via /inventory/ with All-Warehouses view.</t>
        </is>
      </c>
      <c r="M269" s="8" t="inlineStr">
        <is>
          <t>Baseline</t>
        </is>
      </c>
      <c r="N269" s="8" t="inlineStr">
        <is>
          <t>Cross-persona</t>
        </is>
      </c>
      <c r="O269" s="8" t="inlineStr">
        <is>
          <t>P1</t>
        </is>
      </c>
      <c r="P269" s="5" t="inlineStr">
        <is>
          <t>Unchanged</t>
        </is>
      </c>
      <c r="Q269" s="20" t="inlineStr">
        <is>
          <t>Author assertion</t>
        </is>
      </c>
      <c r="R269" s="5" t="inlineStr"/>
      <c r="S269" s="8" t="inlineStr">
        <is>
          <t>WH</t>
        </is>
      </c>
      <c r="T269" s="5" t="inlineStr">
        <is>
          <t>Multi-godown and multi-store</t>
        </is>
      </c>
      <c r="U269" s="8" t="inlineStr"/>
      <c r="V269" s="8" t="inlineStr">
        <is>
          <t>inventory</t>
        </is>
      </c>
      <c r="W269" s="8" t="inlineStr">
        <is>
          <t>RUN</t>
        </is>
      </c>
      <c r="X269" s="5" t="inlineStr">
        <is>
          <t>Core</t>
        </is>
      </c>
      <c r="Y269" s="5" t="inlineStr">
        <is>
          <t>Cross-persona</t>
        </is>
      </c>
      <c r="Z269" s="5" t="inlineStr">
        <is>
          <t>Medium</t>
        </is>
      </c>
      <c r="AA269" s="5" t="inlineStr">
        <is>
          <t>Medium</t>
        </is>
      </c>
      <c r="AB269" s="8" t="inlineStr">
        <is>
          <t>Low</t>
        </is>
      </c>
      <c r="AC269" s="8" t="inlineStr">
        <is>
          <t>Pilot</t>
        </is>
      </c>
      <c r="AD269" s="5" t="inlineStr">
        <is>
          <t>Not independently checked</t>
        </is>
      </c>
      <c r="AE269" s="5" t="inlineStr">
        <is>
          <t>Not verified</t>
        </is>
      </c>
      <c r="AF269" s="5" t="inlineStr">
        <is>
          <t>Not verified</t>
        </is>
      </c>
      <c r="AG269" s="5" t="inlineStr">
        <is>
          <t>Not verified</t>
        </is>
      </c>
      <c r="AH269" s="5" t="inlineStr">
        <is>
          <t>Not verified</t>
        </is>
      </c>
      <c r="AI269" s="8" t="inlineStr">
        <is>
          <t>No</t>
        </is>
      </c>
      <c r="AJ269" s="8" t="inlineStr">
        <is>
          <t>Claimed - unverified</t>
        </is>
      </c>
      <c r="AK269" s="8" t="inlineStr">
        <is>
          <t>P1</t>
        </is>
      </c>
      <c r="AL269" s="8" t="n">
        <v>6</v>
      </c>
      <c r="AM269" s="5" t="inlineStr"/>
      <c r="AN269" s="5" t="inlineStr"/>
      <c r="AO269" s="5" t="inlineStr"/>
      <c r="AP269" s="5" t="inlineStr"/>
      <c r="AQ269" s="5" t="inlineStr"/>
      <c r="AR269" s="5" t="inlineStr"/>
      <c r="AS269" s="5" t="inlineStr"/>
      <c r="AT269" s="5" t="inlineStr"/>
      <c r="AU269" s="8" t="inlineStr">
        <is>
          <t>Not run</t>
        </is>
      </c>
    </row>
    <row r="270" ht="32" customHeight="1">
      <c r="A270" s="16" t="inlineStr">
        <is>
          <t>X-0269</t>
        </is>
      </c>
      <c r="B270" s="8" t="inlineStr">
        <is>
          <t>X</t>
        </is>
      </c>
      <c r="C270" s="5" t="inlineStr">
        <is>
          <t>Multiple / Cross-persona</t>
        </is>
      </c>
      <c r="D270" s="5" t="inlineStr">
        <is>
          <t>Multi-Godown / Multi-Store</t>
        </is>
      </c>
      <c r="E270" s="5" t="inlineStr">
        <is>
          <t>Owner drills from consolidated stock to location</t>
        </is>
      </c>
      <c r="F270" s="5" t="inlineStr">
        <is>
          <t>Reporting &amp; Business Intelligence</t>
        </is>
      </c>
      <c r="G270" s="5" t="inlineStr">
        <is>
          <t>Business Owner</t>
        </is>
      </c>
      <c r="H270" s="5" t="inlineStr">
        <is>
          <t>Drill down from company-wide product stock to see exact quantity held at each godown</t>
        </is>
      </c>
      <c r="I270" s="5" t="inlineStr">
        <is>
          <t>Displays location breakdown popup showing individual warehouse balances for the SKU</t>
        </is>
      </c>
      <c r="J270" s="20" t="inlineStr">
        <is>
          <t>P1</t>
        </is>
      </c>
      <c r="K270" s="20" t="inlineStr">
        <is>
          <t>Validated (Supported)</t>
        </is>
      </c>
      <c r="L270" s="5" t="inlineStr">
        <is>
          <t>Supported via SKU detail drawer with location breakdown table.</t>
        </is>
      </c>
      <c r="M270" s="8" t="inlineStr">
        <is>
          <t>Baseline</t>
        </is>
      </c>
      <c r="N270" s="8" t="inlineStr">
        <is>
          <t>Cross-persona</t>
        </is>
      </c>
      <c r="O270" s="8" t="inlineStr">
        <is>
          <t>P1</t>
        </is>
      </c>
      <c r="P270" s="5" t="inlineStr">
        <is>
          <t>Unchanged</t>
        </is>
      </c>
      <c r="Q270" s="20" t="inlineStr">
        <is>
          <t>Author assertion</t>
        </is>
      </c>
      <c r="R270" s="5" t="inlineStr"/>
      <c r="S270" s="8" t="inlineStr">
        <is>
          <t>WH</t>
        </is>
      </c>
      <c r="T270" s="5" t="inlineStr">
        <is>
          <t>Multi-godown and multi-store</t>
        </is>
      </c>
      <c r="U270" s="8" t="inlineStr"/>
      <c r="V270" s="8" t="inlineStr">
        <is>
          <t>inventory</t>
        </is>
      </c>
      <c r="W270" s="8" t="inlineStr">
        <is>
          <t>RUN</t>
        </is>
      </c>
      <c r="X270" s="5" t="inlineStr">
        <is>
          <t>Core</t>
        </is>
      </c>
      <c r="Y270" s="5" t="inlineStr">
        <is>
          <t>Cross-persona</t>
        </is>
      </c>
      <c r="Z270" s="5" t="inlineStr">
        <is>
          <t>Medium</t>
        </is>
      </c>
      <c r="AA270" s="5" t="inlineStr">
        <is>
          <t>Medium</t>
        </is>
      </c>
      <c r="AB270" s="8" t="inlineStr">
        <is>
          <t>Low</t>
        </is>
      </c>
      <c r="AC270" s="8" t="inlineStr">
        <is>
          <t>Pilot</t>
        </is>
      </c>
      <c r="AD270" s="5" t="inlineStr">
        <is>
          <t>Not independently checked</t>
        </is>
      </c>
      <c r="AE270" s="5" t="inlineStr">
        <is>
          <t>Not verified</t>
        </is>
      </c>
      <c r="AF270" s="5" t="inlineStr">
        <is>
          <t>Not verified</t>
        </is>
      </c>
      <c r="AG270" s="5" t="inlineStr">
        <is>
          <t>Not verified</t>
        </is>
      </c>
      <c r="AH270" s="5" t="inlineStr">
        <is>
          <t>Not verified</t>
        </is>
      </c>
      <c r="AI270" s="8" t="inlineStr">
        <is>
          <t>No</t>
        </is>
      </c>
      <c r="AJ270" s="8" t="inlineStr">
        <is>
          <t>Claimed - unverified</t>
        </is>
      </c>
      <c r="AK270" s="8" t="inlineStr">
        <is>
          <t>P1</t>
        </is>
      </c>
      <c r="AL270" s="8" t="n">
        <v>6</v>
      </c>
      <c r="AM270" s="5" t="inlineStr"/>
      <c r="AN270" s="5" t="inlineStr"/>
      <c r="AO270" s="5" t="inlineStr"/>
      <c r="AP270" s="5" t="inlineStr"/>
      <c r="AQ270" s="5" t="inlineStr"/>
      <c r="AR270" s="5" t="inlineStr"/>
      <c r="AS270" s="5" t="inlineStr"/>
      <c r="AT270" s="5" t="inlineStr"/>
      <c r="AU270" s="8" t="inlineStr">
        <is>
          <t>Not run</t>
        </is>
      </c>
    </row>
    <row r="271" ht="32" customHeight="1">
      <c r="A271" s="16" t="inlineStr">
        <is>
          <t>X-0270</t>
        </is>
      </c>
      <c r="B271" s="8" t="inlineStr">
        <is>
          <t>X</t>
        </is>
      </c>
      <c r="C271" s="5" t="inlineStr">
        <is>
          <t>Multiple / Cross-persona</t>
        </is>
      </c>
      <c r="D271" s="5" t="inlineStr">
        <is>
          <t>Multi-Godown / Multi-Store</t>
        </is>
      </c>
      <c r="E271" s="5" t="inlineStr">
        <is>
          <t>Owner compares location-wise sales</t>
        </is>
      </c>
      <c r="F271" s="5" t="inlineStr">
        <is>
          <t>Reporting &amp; Business Intelligence</t>
        </is>
      </c>
      <c r="G271" s="5" t="inlineStr">
        <is>
          <t>Business Owner</t>
        </is>
      </c>
      <c r="H271" s="5" t="inlineStr">
        <is>
          <t>Compare sales revenue and volume across different retail branches and warehouses</t>
        </is>
      </c>
      <c r="I271" s="5" t="inlineStr">
        <is>
          <t>Generates comparative sales reports broken down by originating location</t>
        </is>
      </c>
      <c r="J271" s="20" t="inlineStr">
        <is>
          <t>P1</t>
        </is>
      </c>
      <c r="K271" s="20" t="inlineStr">
        <is>
          <t>Validated (Supported)</t>
        </is>
      </c>
      <c r="L271" s="5" t="inlineStr">
        <is>
          <t>Supported via /reports/warehouse-sales/ comparative report.</t>
        </is>
      </c>
      <c r="M271" s="8" t="inlineStr">
        <is>
          <t>Baseline</t>
        </is>
      </c>
      <c r="N271" s="8" t="inlineStr">
        <is>
          <t>Cross-persona</t>
        </is>
      </c>
      <c r="O271" s="8" t="inlineStr">
        <is>
          <t>P1</t>
        </is>
      </c>
      <c r="P271" s="5" t="inlineStr">
        <is>
          <t>Unchanged</t>
        </is>
      </c>
      <c r="Q271" s="20" t="inlineStr">
        <is>
          <t>Author assertion</t>
        </is>
      </c>
      <c r="R271" s="5" t="inlineStr"/>
      <c r="S271" s="8" t="inlineStr">
        <is>
          <t>WH</t>
        </is>
      </c>
      <c r="T271" s="5" t="inlineStr">
        <is>
          <t>Multi-godown and multi-store</t>
        </is>
      </c>
      <c r="U271" s="8" t="inlineStr"/>
      <c r="V271" s="8" t="inlineStr">
        <is>
          <t>inventory</t>
        </is>
      </c>
      <c r="W271" s="8" t="inlineStr">
        <is>
          <t>RUN</t>
        </is>
      </c>
      <c r="X271" s="5" t="inlineStr">
        <is>
          <t>Core</t>
        </is>
      </c>
      <c r="Y271" s="5" t="inlineStr">
        <is>
          <t>Cross-persona</t>
        </is>
      </c>
      <c r="Z271" s="5" t="inlineStr">
        <is>
          <t>Medium</t>
        </is>
      </c>
      <c r="AA271" s="5" t="inlineStr">
        <is>
          <t>Medium</t>
        </is>
      </c>
      <c r="AB271" s="8" t="inlineStr">
        <is>
          <t>Low</t>
        </is>
      </c>
      <c r="AC271" s="8" t="inlineStr">
        <is>
          <t>Pilot</t>
        </is>
      </c>
      <c r="AD271" s="5" t="inlineStr">
        <is>
          <t>Not independently checked</t>
        </is>
      </c>
      <c r="AE271" s="5" t="inlineStr">
        <is>
          <t>Not verified</t>
        </is>
      </c>
      <c r="AF271" s="5" t="inlineStr">
        <is>
          <t>Not verified</t>
        </is>
      </c>
      <c r="AG271" s="5" t="inlineStr">
        <is>
          <t>Not verified</t>
        </is>
      </c>
      <c r="AH271" s="5" t="inlineStr">
        <is>
          <t>Not verified</t>
        </is>
      </c>
      <c r="AI271" s="8" t="inlineStr">
        <is>
          <t>No</t>
        </is>
      </c>
      <c r="AJ271" s="8" t="inlineStr">
        <is>
          <t>Claimed - unverified</t>
        </is>
      </c>
      <c r="AK271" s="8" t="inlineStr">
        <is>
          <t>P1</t>
        </is>
      </c>
      <c r="AL271" s="8" t="n">
        <v>6</v>
      </c>
      <c r="AM271" s="5" t="inlineStr"/>
      <c r="AN271" s="5" t="inlineStr"/>
      <c r="AO271" s="5" t="inlineStr"/>
      <c r="AP271" s="5" t="inlineStr"/>
      <c r="AQ271" s="5" t="inlineStr"/>
      <c r="AR271" s="5" t="inlineStr"/>
      <c r="AS271" s="5" t="inlineStr"/>
      <c r="AT271" s="5" t="inlineStr"/>
      <c r="AU271" s="8" t="inlineStr">
        <is>
          <t>Not run</t>
        </is>
      </c>
    </row>
    <row r="272" ht="32" customHeight="1">
      <c r="A272" s="16" t="inlineStr">
        <is>
          <t>X-0271</t>
        </is>
      </c>
      <c r="B272" s="8" t="inlineStr">
        <is>
          <t>X</t>
        </is>
      </c>
      <c r="C272" s="5" t="inlineStr">
        <is>
          <t>Multiple / Cross-persona</t>
        </is>
      </c>
      <c r="D272" s="5" t="inlineStr">
        <is>
          <t>Multi-Godown / Multi-Store</t>
        </is>
      </c>
      <c r="E272" s="5" t="inlineStr">
        <is>
          <t>Owner compares location-wise inventory</t>
        </is>
      </c>
      <c r="F272" s="5" t="inlineStr">
        <is>
          <t>Reporting &amp; Business Intelligence</t>
        </is>
      </c>
      <c r="G272" s="5" t="inlineStr">
        <is>
          <t>Business Owner</t>
        </is>
      </c>
      <c r="H272" s="5" t="inlineStr">
        <is>
          <t>Evaluate inventory turnover and stock-to-sales ratios across different locations</t>
        </is>
      </c>
      <c r="I272" s="5" t="inlineStr">
        <is>
          <t>Compares stock holding values and inventory velocity between branches</t>
        </is>
      </c>
      <c r="J272" s="20" t="inlineStr">
        <is>
          <t>P1</t>
        </is>
      </c>
      <c r="K272" s="20" t="inlineStr">
        <is>
          <t>Validated (Supported)</t>
        </is>
      </c>
      <c r="L272" s="5" t="inlineStr">
        <is>
          <t>Supported via Location Inventory Comparison dashboard.</t>
        </is>
      </c>
      <c r="M272" s="8" t="inlineStr">
        <is>
          <t>Baseline</t>
        </is>
      </c>
      <c r="N272" s="8" t="inlineStr">
        <is>
          <t>Cross-persona</t>
        </is>
      </c>
      <c r="O272" s="8" t="inlineStr">
        <is>
          <t>P1</t>
        </is>
      </c>
      <c r="P272" s="5" t="inlineStr">
        <is>
          <t>Unchanged</t>
        </is>
      </c>
      <c r="Q272" s="20" t="inlineStr">
        <is>
          <t>Author assertion</t>
        </is>
      </c>
      <c r="R272" s="5" t="inlineStr"/>
      <c r="S272" s="8" t="inlineStr">
        <is>
          <t>WH</t>
        </is>
      </c>
      <c r="T272" s="5" t="inlineStr">
        <is>
          <t>Multi-godown and multi-store</t>
        </is>
      </c>
      <c r="U272" s="8" t="inlineStr"/>
      <c r="V272" s="8" t="inlineStr">
        <is>
          <t>inventory</t>
        </is>
      </c>
      <c r="W272" s="8" t="inlineStr">
        <is>
          <t>RUN</t>
        </is>
      </c>
      <c r="X272" s="5" t="inlineStr">
        <is>
          <t>Core</t>
        </is>
      </c>
      <c r="Y272" s="5" t="inlineStr">
        <is>
          <t>Cross-persona</t>
        </is>
      </c>
      <c r="Z272" s="5" t="inlineStr">
        <is>
          <t>Medium</t>
        </is>
      </c>
      <c r="AA272" s="5" t="inlineStr">
        <is>
          <t>Medium</t>
        </is>
      </c>
      <c r="AB272" s="8" t="inlineStr">
        <is>
          <t>Low</t>
        </is>
      </c>
      <c r="AC272" s="8" t="inlineStr">
        <is>
          <t>Pilot</t>
        </is>
      </c>
      <c r="AD272" s="5" t="inlineStr">
        <is>
          <t>Not independently checked</t>
        </is>
      </c>
      <c r="AE272" s="5" t="inlineStr">
        <is>
          <t>Not verified</t>
        </is>
      </c>
      <c r="AF272" s="5" t="inlineStr">
        <is>
          <t>Not verified</t>
        </is>
      </c>
      <c r="AG272" s="5" t="inlineStr">
        <is>
          <t>Not verified</t>
        </is>
      </c>
      <c r="AH272" s="5" t="inlineStr">
        <is>
          <t>Not verified</t>
        </is>
      </c>
      <c r="AI272" s="8" t="inlineStr">
        <is>
          <t>No</t>
        </is>
      </c>
      <c r="AJ272" s="8" t="inlineStr">
        <is>
          <t>Claimed - unverified</t>
        </is>
      </c>
      <c r="AK272" s="8" t="inlineStr">
        <is>
          <t>P1</t>
        </is>
      </c>
      <c r="AL272" s="8" t="n">
        <v>6</v>
      </c>
      <c r="AM272" s="5" t="inlineStr"/>
      <c r="AN272" s="5" t="inlineStr"/>
      <c r="AO272" s="5" t="inlineStr"/>
      <c r="AP272" s="5" t="inlineStr"/>
      <c r="AQ272" s="5" t="inlineStr"/>
      <c r="AR272" s="5" t="inlineStr"/>
      <c r="AS272" s="5" t="inlineStr"/>
      <c r="AT272" s="5" t="inlineStr"/>
      <c r="AU272" s="8" t="inlineStr">
        <is>
          <t>Not run</t>
        </is>
      </c>
    </row>
    <row r="273" ht="32" customHeight="1">
      <c r="A273" s="16" t="inlineStr">
        <is>
          <t>X-0272</t>
        </is>
      </c>
      <c r="B273" s="8" t="inlineStr">
        <is>
          <t>X</t>
        </is>
      </c>
      <c r="C273" s="5" t="inlineStr">
        <is>
          <t>Multiple / Cross-persona</t>
        </is>
      </c>
      <c r="D273" s="5" t="inlineStr">
        <is>
          <t>Multi-Godown / Multi-Store</t>
        </is>
      </c>
      <c r="E273" s="5" t="inlineStr">
        <is>
          <t>Owner compares location-wise profitability</t>
        </is>
      </c>
      <c r="F273" s="5" t="inlineStr">
        <is>
          <t>Reporting &amp; Business Intelligence</t>
        </is>
      </c>
      <c r="G273" s="5" t="inlineStr">
        <is>
          <t>Business Owner</t>
        </is>
      </c>
      <c r="H273" s="5" t="inlineStr">
        <is>
          <t>Analyze gross margin and net profit delivered by each individual store and godown</t>
        </is>
      </c>
      <c r="I273" s="5" t="inlineStr">
        <is>
          <t>Generates location P&amp;L allocating revenues, COGS, and localized operating expenses</t>
        </is>
      </c>
      <c r="J273" s="20" t="inlineStr">
        <is>
          <t>P1</t>
        </is>
      </c>
      <c r="K273" s="20" t="inlineStr">
        <is>
          <t>Validated (Supported)</t>
        </is>
      </c>
      <c r="L273" s="5" t="inlineStr">
        <is>
          <t>Supported via Cost Center / Store P&amp;L reports.</t>
        </is>
      </c>
      <c r="M273" s="8" t="inlineStr">
        <is>
          <t>Baseline</t>
        </is>
      </c>
      <c r="N273" s="8" t="inlineStr">
        <is>
          <t>Cross-persona</t>
        </is>
      </c>
      <c r="O273" s="8" t="inlineStr">
        <is>
          <t>P1</t>
        </is>
      </c>
      <c r="P273" s="5" t="inlineStr">
        <is>
          <t>Unchanged</t>
        </is>
      </c>
      <c r="Q273" s="20" t="inlineStr">
        <is>
          <t>Author assertion</t>
        </is>
      </c>
      <c r="R273" s="5" t="inlineStr"/>
      <c r="S273" s="8" t="inlineStr">
        <is>
          <t>WH</t>
        </is>
      </c>
      <c r="T273" s="5" t="inlineStr">
        <is>
          <t>Multi-godown and multi-store</t>
        </is>
      </c>
      <c r="U273" s="8" t="inlineStr"/>
      <c r="V273" s="8" t="inlineStr">
        <is>
          <t>inventory</t>
        </is>
      </c>
      <c r="W273" s="8" t="inlineStr">
        <is>
          <t>RUN</t>
        </is>
      </c>
      <c r="X273" s="5" t="inlineStr">
        <is>
          <t>Core</t>
        </is>
      </c>
      <c r="Y273" s="5" t="inlineStr">
        <is>
          <t>Cross-persona</t>
        </is>
      </c>
      <c r="Z273" s="5" t="inlineStr">
        <is>
          <t>Medium</t>
        </is>
      </c>
      <c r="AA273" s="5" t="inlineStr">
        <is>
          <t>Medium</t>
        </is>
      </c>
      <c r="AB273" s="8" t="inlineStr">
        <is>
          <t>Low</t>
        </is>
      </c>
      <c r="AC273" s="8" t="inlineStr">
        <is>
          <t>Pilot</t>
        </is>
      </c>
      <c r="AD273" s="5" t="inlineStr">
        <is>
          <t>Not independently checked</t>
        </is>
      </c>
      <c r="AE273" s="5" t="inlineStr">
        <is>
          <t>Not verified</t>
        </is>
      </c>
      <c r="AF273" s="5" t="inlineStr">
        <is>
          <t>Not verified</t>
        </is>
      </c>
      <c r="AG273" s="5" t="inlineStr">
        <is>
          <t>Not verified</t>
        </is>
      </c>
      <c r="AH273" s="5" t="inlineStr">
        <is>
          <t>Not verified</t>
        </is>
      </c>
      <c r="AI273" s="8" t="inlineStr">
        <is>
          <t>No</t>
        </is>
      </c>
      <c r="AJ273" s="8" t="inlineStr">
        <is>
          <t>Claimed - unverified</t>
        </is>
      </c>
      <c r="AK273" s="8" t="inlineStr">
        <is>
          <t>P1</t>
        </is>
      </c>
      <c r="AL273" s="8" t="n">
        <v>6</v>
      </c>
      <c r="AM273" s="5" t="inlineStr"/>
      <c r="AN273" s="5" t="inlineStr"/>
      <c r="AO273" s="5" t="inlineStr"/>
      <c r="AP273" s="5" t="inlineStr"/>
      <c r="AQ273" s="5" t="inlineStr"/>
      <c r="AR273" s="5" t="inlineStr"/>
      <c r="AS273" s="5" t="inlineStr"/>
      <c r="AT273" s="5" t="inlineStr"/>
      <c r="AU273" s="8" t="inlineStr">
        <is>
          <t>Not run</t>
        </is>
      </c>
    </row>
    <row r="274" ht="32" customHeight="1">
      <c r="A274" s="16" t="inlineStr">
        <is>
          <t>X-0273</t>
        </is>
      </c>
      <c r="B274" s="8" t="inlineStr">
        <is>
          <t>X</t>
        </is>
      </c>
      <c r="C274" s="5" t="inlineStr">
        <is>
          <t>Multiple / Cross-persona</t>
        </is>
      </c>
      <c r="D274" s="5" t="inlineStr">
        <is>
          <t>Multi-Godown / Multi-Store</t>
        </is>
      </c>
      <c r="E274" s="5" t="inlineStr">
        <is>
          <t>One store requests stock from another store</t>
        </is>
      </c>
      <c r="F274" s="5" t="inlineStr">
        <is>
          <t>Store Manager (Requesting)</t>
        </is>
      </c>
      <c r="G274" s="5" t="inlineStr">
        <is>
          <t>Store Manager (Fulfilling)</t>
        </is>
      </c>
      <c r="H274" s="5" t="inlineStr">
        <is>
          <t>Peer-to-peer stock transfer request between retail stores to meet immediate customer demand</t>
        </is>
      </c>
      <c r="I274" s="5" t="inlineStr">
        <is>
          <t>Creates store-to-store requisition; notifies fulfilling store manager for approval</t>
        </is>
      </c>
      <c r="J274" s="20" t="inlineStr">
        <is>
          <t>P1</t>
        </is>
      </c>
      <c r="K274" s="20" t="inlineStr">
        <is>
          <t>Validated (Supported)</t>
        </is>
      </c>
      <c r="L274" s="5" t="inlineStr">
        <is>
          <t>Supported via peer-to-peer StockTransfer workflow.</t>
        </is>
      </c>
      <c r="M274" s="8" t="inlineStr">
        <is>
          <t>Baseline</t>
        </is>
      </c>
      <c r="N274" s="8" t="inlineStr">
        <is>
          <t>Cross-persona</t>
        </is>
      </c>
      <c r="O274" s="8" t="inlineStr">
        <is>
          <t>P1</t>
        </is>
      </c>
      <c r="P274" s="5" t="inlineStr">
        <is>
          <t>Unchanged</t>
        </is>
      </c>
      <c r="Q274" s="21" t="inlineStr">
        <is>
          <t>Code symbol found</t>
        </is>
      </c>
      <c r="R274" s="5" t="inlineStr">
        <is>
          <t>Matched StockTransfer in product code. This is not a functional test.</t>
        </is>
      </c>
      <c r="S274" s="8" t="inlineStr">
        <is>
          <t>WH</t>
        </is>
      </c>
      <c r="T274" s="5" t="inlineStr">
        <is>
          <t>Multi-godown and multi-store</t>
        </is>
      </c>
      <c r="U274" s="8" t="inlineStr"/>
      <c r="V274" s="8" t="inlineStr">
        <is>
          <t>inventory</t>
        </is>
      </c>
      <c r="W274" s="8" t="inlineStr">
        <is>
          <t>RUN</t>
        </is>
      </c>
      <c r="X274" s="5" t="inlineStr">
        <is>
          <t>Core</t>
        </is>
      </c>
      <c r="Y274" s="5" t="inlineStr">
        <is>
          <t>Cross-persona</t>
        </is>
      </c>
      <c r="Z274" s="5" t="inlineStr">
        <is>
          <t>Medium</t>
        </is>
      </c>
      <c r="AA274" s="5" t="inlineStr">
        <is>
          <t>Medium</t>
        </is>
      </c>
      <c r="AB274" s="8" t="inlineStr">
        <is>
          <t>Low</t>
        </is>
      </c>
      <c r="AC274" s="8" t="inlineStr">
        <is>
          <t>Pilot</t>
        </is>
      </c>
      <c r="AD274" s="5" t="inlineStr">
        <is>
          <t>Cited in code</t>
        </is>
      </c>
      <c r="AE274" s="5" t="inlineStr">
        <is>
          <t>Not verified</t>
        </is>
      </c>
      <c r="AF274" s="5" t="inlineStr">
        <is>
          <t>Not verified</t>
        </is>
      </c>
      <c r="AG274" s="5" t="inlineStr">
        <is>
          <t>Not verified</t>
        </is>
      </c>
      <c r="AH274" s="5" t="inlineStr">
        <is>
          <t>Not verified</t>
        </is>
      </c>
      <c r="AI274" s="8" t="inlineStr">
        <is>
          <t>No</t>
        </is>
      </c>
      <c r="AJ274" s="8" t="inlineStr">
        <is>
          <t>Built - unverified</t>
        </is>
      </c>
      <c r="AK274" s="8" t="inlineStr">
        <is>
          <t>P1</t>
        </is>
      </c>
      <c r="AL274" s="8" t="n">
        <v>6</v>
      </c>
      <c r="AM274" s="5" t="inlineStr"/>
      <c r="AN274" s="5" t="inlineStr"/>
      <c r="AO274" s="5" t="inlineStr"/>
      <c r="AP274" s="5" t="inlineStr"/>
      <c r="AQ274" s="5" t="inlineStr"/>
      <c r="AR274" s="5" t="inlineStr"/>
      <c r="AS274" s="5" t="inlineStr"/>
      <c r="AT274" s="5" t="inlineStr"/>
      <c r="AU274" s="8" t="inlineStr">
        <is>
          <t>Not run</t>
        </is>
      </c>
    </row>
    <row r="275" ht="32" customHeight="1">
      <c r="A275" s="16" t="inlineStr">
        <is>
          <t>X-0274</t>
        </is>
      </c>
      <c r="B275" s="8" t="inlineStr">
        <is>
          <t>X</t>
        </is>
      </c>
      <c r="C275" s="5" t="inlineStr">
        <is>
          <t>Multiple / Cross-persona</t>
        </is>
      </c>
      <c r="D275" s="5" t="inlineStr">
        <is>
          <t>Multi-Godown / Multi-Store</t>
        </is>
      </c>
      <c r="E275" s="5" t="inlineStr">
        <is>
          <t>Inter-store transfer is authorized</t>
        </is>
      </c>
      <c r="F275" s="5" t="inlineStr">
        <is>
          <t>Store Manager (Fulfilling)</t>
        </is>
      </c>
      <c r="G275" s="5" t="inlineStr">
        <is>
          <t>Requesting Store</t>
        </is>
      </c>
      <c r="H275" s="5" t="inlineStr">
        <is>
          <t>Fulfilling store authorizes transfer of stock to sister outlet</t>
        </is>
      </c>
      <c r="I275" s="5" t="inlineStr">
        <is>
          <t>Approves transfer; initiates stock dispatch and challan generation</t>
        </is>
      </c>
      <c r="J275" s="20" t="inlineStr">
        <is>
          <t>P1</t>
        </is>
      </c>
      <c r="K275" s="20" t="inlineStr">
        <is>
          <t>Validated (Supported)</t>
        </is>
      </c>
      <c r="L275" s="5" t="inlineStr">
        <is>
          <t>Supported via Transfer authorization screen.</t>
        </is>
      </c>
      <c r="M275" s="8" t="inlineStr">
        <is>
          <t>Baseline</t>
        </is>
      </c>
      <c r="N275" s="8" t="inlineStr">
        <is>
          <t>Cross-persona</t>
        </is>
      </c>
      <c r="O275" s="8" t="inlineStr">
        <is>
          <t>P1</t>
        </is>
      </c>
      <c r="P275" s="5" t="inlineStr">
        <is>
          <t>Unchanged</t>
        </is>
      </c>
      <c r="Q275" s="20" t="inlineStr">
        <is>
          <t>Author assertion</t>
        </is>
      </c>
      <c r="R275" s="5" t="inlineStr"/>
      <c r="S275" s="8" t="inlineStr">
        <is>
          <t>WH</t>
        </is>
      </c>
      <c r="T275" s="5" t="inlineStr">
        <is>
          <t>Multi-godown and multi-store</t>
        </is>
      </c>
      <c r="U275" s="8" t="inlineStr"/>
      <c r="V275" s="8" t="inlineStr">
        <is>
          <t>inventory</t>
        </is>
      </c>
      <c r="W275" s="8" t="inlineStr">
        <is>
          <t>RUN</t>
        </is>
      </c>
      <c r="X275" s="5" t="inlineStr">
        <is>
          <t>Core</t>
        </is>
      </c>
      <c r="Y275" s="5" t="inlineStr">
        <is>
          <t>Cross-persona</t>
        </is>
      </c>
      <c r="Z275" s="5" t="inlineStr">
        <is>
          <t>Medium</t>
        </is>
      </c>
      <c r="AA275" s="5" t="inlineStr">
        <is>
          <t>Medium</t>
        </is>
      </c>
      <c r="AB275" s="8" t="inlineStr">
        <is>
          <t>Low</t>
        </is>
      </c>
      <c r="AC275" s="8" t="inlineStr">
        <is>
          <t>Pilot</t>
        </is>
      </c>
      <c r="AD275" s="5" t="inlineStr">
        <is>
          <t>Not independently checked</t>
        </is>
      </c>
      <c r="AE275" s="5" t="inlineStr">
        <is>
          <t>Not verified</t>
        </is>
      </c>
      <c r="AF275" s="5" t="inlineStr">
        <is>
          <t>Not verified</t>
        </is>
      </c>
      <c r="AG275" s="5" t="inlineStr">
        <is>
          <t>Not verified</t>
        </is>
      </c>
      <c r="AH275" s="5" t="inlineStr">
        <is>
          <t>Not verified</t>
        </is>
      </c>
      <c r="AI275" s="8" t="inlineStr">
        <is>
          <t>No</t>
        </is>
      </c>
      <c r="AJ275" s="8" t="inlineStr">
        <is>
          <t>Claimed - unverified</t>
        </is>
      </c>
      <c r="AK275" s="8" t="inlineStr">
        <is>
          <t>P1</t>
        </is>
      </c>
      <c r="AL275" s="8" t="n">
        <v>6</v>
      </c>
      <c r="AM275" s="5" t="inlineStr"/>
      <c r="AN275" s="5" t="inlineStr"/>
      <c r="AO275" s="5" t="inlineStr"/>
      <c r="AP275" s="5" t="inlineStr"/>
      <c r="AQ275" s="5" t="inlineStr"/>
      <c r="AR275" s="5" t="inlineStr"/>
      <c r="AS275" s="5" t="inlineStr"/>
      <c r="AT275" s="5" t="inlineStr"/>
      <c r="AU275" s="8" t="inlineStr">
        <is>
          <t>Not run</t>
        </is>
      </c>
    </row>
    <row r="276" ht="32" customHeight="1">
      <c r="A276" s="16" t="inlineStr">
        <is>
          <t>X-0275</t>
        </is>
      </c>
      <c r="B276" s="8" t="inlineStr">
        <is>
          <t>X</t>
        </is>
      </c>
      <c r="C276" s="5" t="inlineStr">
        <is>
          <t>Multiple / Cross-persona</t>
        </is>
      </c>
      <c r="D276" s="5" t="inlineStr">
        <is>
          <t>Multi-Godown / Multi-Store</t>
        </is>
      </c>
      <c r="E276" s="5" t="inlineStr">
        <is>
          <t>Stock is moved between stores</t>
        </is>
      </c>
      <c r="F276" s="5" t="inlineStr">
        <is>
          <t>Store Staff / Driver</t>
        </is>
      </c>
      <c r="G276" s="5" t="inlineStr">
        <is>
          <t>Both Store Managers</t>
        </is>
      </c>
      <c r="H276" s="5" t="inlineStr">
        <is>
          <t>Physical transportation and receipt of stock between retail outlets completed</t>
        </is>
      </c>
      <c r="I276" s="5" t="inlineStr">
        <is>
          <t>Executes TRANSFER_OUT at source store and TRANSFER_IN at destination store</t>
        </is>
      </c>
      <c r="J276" s="20" t="inlineStr">
        <is>
          <t>P1</t>
        </is>
      </c>
      <c r="K276" s="20" t="inlineStr">
        <is>
          <t>Validated (Supported)</t>
        </is>
      </c>
      <c r="L276" s="5" t="inlineStr">
        <is>
          <t>Supported via completed StockTransfer state transition.</t>
        </is>
      </c>
      <c r="M276" s="8" t="inlineStr">
        <is>
          <t>Baseline</t>
        </is>
      </c>
      <c r="N276" s="8" t="inlineStr">
        <is>
          <t>Cross-persona</t>
        </is>
      </c>
      <c r="O276" s="8" t="inlineStr">
        <is>
          <t>P1</t>
        </is>
      </c>
      <c r="P276" s="5" t="inlineStr">
        <is>
          <t>Unchanged</t>
        </is>
      </c>
      <c r="Q276" s="21" t="inlineStr">
        <is>
          <t>Code symbol found</t>
        </is>
      </c>
      <c r="R276" s="5" t="inlineStr">
        <is>
          <t>Matched StockTransfer in product code. This is not a functional test.</t>
        </is>
      </c>
      <c r="S276" s="8" t="inlineStr">
        <is>
          <t>WH</t>
        </is>
      </c>
      <c r="T276" s="5" t="inlineStr">
        <is>
          <t>Multi-godown and multi-store</t>
        </is>
      </c>
      <c r="U276" s="8" t="inlineStr"/>
      <c r="V276" s="8" t="inlineStr">
        <is>
          <t>inventory</t>
        </is>
      </c>
      <c r="W276" s="8" t="inlineStr">
        <is>
          <t>RUN</t>
        </is>
      </c>
      <c r="X276" s="5" t="inlineStr">
        <is>
          <t>Core</t>
        </is>
      </c>
      <c r="Y276" s="5" t="inlineStr">
        <is>
          <t>Cross-persona</t>
        </is>
      </c>
      <c r="Z276" s="5" t="inlineStr">
        <is>
          <t>Medium</t>
        </is>
      </c>
      <c r="AA276" s="5" t="inlineStr">
        <is>
          <t>Medium</t>
        </is>
      </c>
      <c r="AB276" s="8" t="inlineStr">
        <is>
          <t>Low</t>
        </is>
      </c>
      <c r="AC276" s="8" t="inlineStr">
        <is>
          <t>Pilot</t>
        </is>
      </c>
      <c r="AD276" s="5" t="inlineStr">
        <is>
          <t>Cited in code</t>
        </is>
      </c>
      <c r="AE276" s="5" t="inlineStr">
        <is>
          <t>Not verified</t>
        </is>
      </c>
      <c r="AF276" s="5" t="inlineStr">
        <is>
          <t>Not verified</t>
        </is>
      </c>
      <c r="AG276" s="5" t="inlineStr">
        <is>
          <t>Not verified</t>
        </is>
      </c>
      <c r="AH276" s="5" t="inlineStr">
        <is>
          <t>Not verified</t>
        </is>
      </c>
      <c r="AI276" s="8" t="inlineStr">
        <is>
          <t>No</t>
        </is>
      </c>
      <c r="AJ276" s="8" t="inlineStr">
        <is>
          <t>Built - unverified</t>
        </is>
      </c>
      <c r="AK276" s="8" t="inlineStr">
        <is>
          <t>P1</t>
        </is>
      </c>
      <c r="AL276" s="8" t="n">
        <v>6</v>
      </c>
      <c r="AM276" s="5" t="inlineStr"/>
      <c r="AN276" s="5" t="inlineStr"/>
      <c r="AO276" s="5" t="inlineStr"/>
      <c r="AP276" s="5" t="inlineStr"/>
      <c r="AQ276" s="5" t="inlineStr"/>
      <c r="AR276" s="5" t="inlineStr"/>
      <c r="AS276" s="5" t="inlineStr"/>
      <c r="AT276" s="5" t="inlineStr"/>
      <c r="AU276" s="8" t="inlineStr">
        <is>
          <t>Not run</t>
        </is>
      </c>
    </row>
    <row r="277" ht="32" customHeight="1">
      <c r="A277" s="16" t="inlineStr">
        <is>
          <t>X-0276</t>
        </is>
      </c>
      <c r="B277" s="8" t="inlineStr">
        <is>
          <t>X</t>
        </is>
      </c>
      <c r="C277" s="5" t="inlineStr">
        <is>
          <t>Multiple / Cross-persona</t>
        </is>
      </c>
      <c r="D277" s="5" t="inlineStr">
        <is>
          <t>Multi-Godown / Multi-Store</t>
        </is>
      </c>
      <c r="E277" s="5" t="inlineStr">
        <is>
          <t>Location-specific user sees only authorized inventory</t>
        </is>
      </c>
      <c r="F277" s="5" t="inlineStr">
        <is>
          <t>Security / Exception / Recovery</t>
        </is>
      </c>
      <c r="G277" s="5" t="inlineStr">
        <is>
          <t>System Administrator</t>
        </is>
      </c>
      <c r="H277" s="5" t="inlineStr">
        <is>
          <t>Staff members restricted to viewing and billing only their assigned location's stock</t>
        </is>
      </c>
      <c r="I277" s="5" t="inlineStr">
        <is>
          <t>Applies warehouse filter in ORM queries based on user's assigned warehouse permissions</t>
        </is>
      </c>
      <c r="J277" s="20" t="inlineStr">
        <is>
          <t>P1</t>
        </is>
      </c>
      <c r="K277" s="20" t="inlineStr">
        <is>
          <t>Validated (Supported)</t>
        </is>
      </c>
      <c r="L277" s="5" t="inlineStr">
        <is>
          <t>Core security invariant: location-scoped RBAC strictly isolates store staff access.</t>
        </is>
      </c>
      <c r="M277" s="8" t="inlineStr">
        <is>
          <t>Baseline</t>
        </is>
      </c>
      <c r="N277" s="8" t="inlineStr">
        <is>
          <t>Cross-persona</t>
        </is>
      </c>
      <c r="O277" s="8" t="inlineStr">
        <is>
          <t>P1</t>
        </is>
      </c>
      <c r="P277" s="5" t="inlineStr">
        <is>
          <t>Unchanged</t>
        </is>
      </c>
      <c r="Q277" s="20" t="inlineStr">
        <is>
          <t>Author assertion</t>
        </is>
      </c>
      <c r="R277" s="5" t="inlineStr"/>
      <c r="S277" s="8" t="inlineStr">
        <is>
          <t>WH</t>
        </is>
      </c>
      <c r="T277" s="5" t="inlineStr">
        <is>
          <t>Multi-godown and multi-store</t>
        </is>
      </c>
      <c r="U277" s="8" t="inlineStr"/>
      <c r="V277" s="8" t="inlineStr">
        <is>
          <t>inventory</t>
        </is>
      </c>
      <c r="W277" s="8" t="inlineStr">
        <is>
          <t>RUN</t>
        </is>
      </c>
      <c r="X277" s="5" t="inlineStr">
        <is>
          <t>Core</t>
        </is>
      </c>
      <c r="Y277" s="5" t="inlineStr">
        <is>
          <t>Cross-persona</t>
        </is>
      </c>
      <c r="Z277" s="5" t="inlineStr">
        <is>
          <t>Medium</t>
        </is>
      </c>
      <c r="AA277" s="5" t="inlineStr">
        <is>
          <t>Medium</t>
        </is>
      </c>
      <c r="AB277" s="8" t="inlineStr">
        <is>
          <t>Low</t>
        </is>
      </c>
      <c r="AC277" s="8" t="inlineStr">
        <is>
          <t>Pilot</t>
        </is>
      </c>
      <c r="AD277" s="5" t="inlineStr">
        <is>
          <t>Not independently checked</t>
        </is>
      </c>
      <c r="AE277" s="5" t="inlineStr">
        <is>
          <t>Not verified</t>
        </is>
      </c>
      <c r="AF277" s="5" t="inlineStr">
        <is>
          <t>Not verified</t>
        </is>
      </c>
      <c r="AG277" s="5" t="inlineStr">
        <is>
          <t>Not verified</t>
        </is>
      </c>
      <c r="AH277" s="5" t="inlineStr">
        <is>
          <t>Not verified</t>
        </is>
      </c>
      <c r="AI277" s="8" t="inlineStr">
        <is>
          <t>No</t>
        </is>
      </c>
      <c r="AJ277" s="8" t="inlineStr">
        <is>
          <t>Claimed - unverified</t>
        </is>
      </c>
      <c r="AK277" s="8" t="inlineStr">
        <is>
          <t>P1</t>
        </is>
      </c>
      <c r="AL277" s="8" t="n">
        <v>6</v>
      </c>
      <c r="AM277" s="5" t="inlineStr"/>
      <c r="AN277" s="5" t="inlineStr"/>
      <c r="AO277" s="5" t="inlineStr"/>
      <c r="AP277" s="5" t="inlineStr"/>
      <c r="AQ277" s="5" t="inlineStr"/>
      <c r="AR277" s="5" t="inlineStr"/>
      <c r="AS277" s="5" t="inlineStr"/>
      <c r="AT277" s="5" t="inlineStr"/>
      <c r="AU277" s="8" t="inlineStr">
        <is>
          <t>Not run</t>
        </is>
      </c>
    </row>
    <row r="278" ht="32" customHeight="1">
      <c r="A278" s="16" t="inlineStr">
        <is>
          <t>X-0277</t>
        </is>
      </c>
      <c r="B278" s="8" t="inlineStr">
        <is>
          <t>X</t>
        </is>
      </c>
      <c r="C278" s="5" t="inlineStr">
        <is>
          <t>Multiple / Cross-persona</t>
        </is>
      </c>
      <c r="D278" s="5" t="inlineStr">
        <is>
          <t>Multi-Godown / Multi-Store</t>
        </is>
      </c>
      <c r="E278" s="5" t="inlineStr">
        <is>
          <t>Central accountant sees consolidated accounting</t>
        </is>
      </c>
      <c r="F278" s="5" t="inlineStr">
        <is>
          <t>Reporting &amp; Business Intelligence</t>
        </is>
      </c>
      <c r="G278" s="5" t="inlineStr">
        <is>
          <t>Central Accountant</t>
        </is>
      </c>
      <c r="H278" s="5" t="inlineStr">
        <is>
          <t>Head-office accountant accesses unified general ledger combining all branch operations</t>
        </is>
      </c>
      <c r="I278" s="5" t="inlineStr">
        <is>
          <t>Aggregates all store transactions into centralized Trial Balance, P&amp;L, and Balance Sheet</t>
        </is>
      </c>
      <c r="J278" s="20" t="inlineStr">
        <is>
          <t>P1</t>
        </is>
      </c>
      <c r="K278" s="20" t="inlineStr">
        <is>
          <t>Validated (Supported)</t>
        </is>
      </c>
      <c r="L278" s="5" t="inlineStr">
        <is>
          <t>Supported via consolidated accounting reports with store dimension slicing.</t>
        </is>
      </c>
      <c r="M278" s="8" t="inlineStr">
        <is>
          <t>Baseline</t>
        </is>
      </c>
      <c r="N278" s="8" t="inlineStr">
        <is>
          <t>Cross-persona</t>
        </is>
      </c>
      <c r="O278" s="8" t="inlineStr">
        <is>
          <t>P1</t>
        </is>
      </c>
      <c r="P278" s="5" t="inlineStr">
        <is>
          <t>Unchanged</t>
        </is>
      </c>
      <c r="Q278" s="20" t="inlineStr">
        <is>
          <t>Author assertion</t>
        </is>
      </c>
      <c r="R278" s="5" t="inlineStr"/>
      <c r="S278" s="8" t="inlineStr">
        <is>
          <t>WH</t>
        </is>
      </c>
      <c r="T278" s="5" t="inlineStr">
        <is>
          <t>Multi-godown and multi-store</t>
        </is>
      </c>
      <c r="U278" s="8" t="inlineStr"/>
      <c r="V278" s="8" t="inlineStr">
        <is>
          <t>inventory</t>
        </is>
      </c>
      <c r="W278" s="8" t="inlineStr">
        <is>
          <t>RUN</t>
        </is>
      </c>
      <c r="X278" s="5" t="inlineStr">
        <is>
          <t>Core</t>
        </is>
      </c>
      <c r="Y278" s="5" t="inlineStr">
        <is>
          <t>Cross-persona</t>
        </is>
      </c>
      <c r="Z278" s="5" t="inlineStr">
        <is>
          <t>Medium</t>
        </is>
      </c>
      <c r="AA278" s="5" t="inlineStr">
        <is>
          <t>Medium</t>
        </is>
      </c>
      <c r="AB278" s="8" t="inlineStr">
        <is>
          <t>Low</t>
        </is>
      </c>
      <c r="AC278" s="8" t="inlineStr">
        <is>
          <t>Pilot</t>
        </is>
      </c>
      <c r="AD278" s="5" t="inlineStr">
        <is>
          <t>Not independently checked</t>
        </is>
      </c>
      <c r="AE278" s="5" t="inlineStr">
        <is>
          <t>Not verified</t>
        </is>
      </c>
      <c r="AF278" s="5" t="inlineStr">
        <is>
          <t>Not verified</t>
        </is>
      </c>
      <c r="AG278" s="5" t="inlineStr">
        <is>
          <t>Not verified</t>
        </is>
      </c>
      <c r="AH278" s="5" t="inlineStr">
        <is>
          <t>Not verified</t>
        </is>
      </c>
      <c r="AI278" s="8" t="inlineStr">
        <is>
          <t>No</t>
        </is>
      </c>
      <c r="AJ278" s="8" t="inlineStr">
        <is>
          <t>Claimed - unverified</t>
        </is>
      </c>
      <c r="AK278" s="8" t="inlineStr">
        <is>
          <t>P1</t>
        </is>
      </c>
      <c r="AL278" s="8" t="n">
        <v>6</v>
      </c>
      <c r="AM278" s="5" t="inlineStr"/>
      <c r="AN278" s="5" t="inlineStr"/>
      <c r="AO278" s="5" t="inlineStr"/>
      <c r="AP278" s="5" t="inlineStr"/>
      <c r="AQ278" s="5" t="inlineStr"/>
      <c r="AR278" s="5" t="inlineStr"/>
      <c r="AS278" s="5" t="inlineStr"/>
      <c r="AT278" s="5" t="inlineStr"/>
      <c r="AU278" s="8" t="inlineStr">
        <is>
          <t>Not run</t>
        </is>
      </c>
    </row>
    <row r="279" ht="32" customHeight="1">
      <c r="A279" s="16" t="inlineStr">
        <is>
          <t>X-0278</t>
        </is>
      </c>
      <c r="B279" s="8" t="inlineStr">
        <is>
          <t>X</t>
        </is>
      </c>
      <c r="C279" s="5" t="inlineStr">
        <is>
          <t>Multiple / Cross-persona</t>
        </is>
      </c>
      <c r="D279" s="5" t="inlineStr">
        <is>
          <t>GST / Tax / Compliance</t>
        </is>
      </c>
      <c r="E279" s="5" t="inlineStr">
        <is>
          <t>Sales invoice → GST calculation</t>
        </is>
      </c>
      <c r="F279" s="5" t="inlineStr">
        <is>
          <t>Tax Calculation Engine</t>
        </is>
      </c>
      <c r="G279" s="5" t="inlineStr">
        <is>
          <t>Billing Clerk</t>
        </is>
      </c>
      <c r="H279" s="5" t="inlineStr">
        <is>
          <t>Automated GST calculation on sales invoices conforming to Place of Supply rules</t>
        </is>
      </c>
      <c r="I279" s="5" t="inlineStr">
        <is>
          <t>Computes taxable value, CGST/SGST (intra-state) or IGST (inter-state), and cess per line</t>
        </is>
      </c>
      <c r="J279" s="20" t="inlineStr">
        <is>
          <t>P1</t>
        </is>
      </c>
      <c r="K279" s="20" t="inlineStr">
        <is>
          <t>Validated (Supported)</t>
        </is>
      </c>
      <c r="L279" s="5" t="inlineStr">
        <is>
          <t>Supported via core TaxEngine; validates tax round-off against statutory Rule 46.</t>
        </is>
      </c>
      <c r="M279" s="8" t="inlineStr">
        <is>
          <t>Baseline</t>
        </is>
      </c>
      <c r="N279" s="8" t="inlineStr">
        <is>
          <t>Cross-persona</t>
        </is>
      </c>
      <c r="O279" s="8" t="inlineStr">
        <is>
          <t>P1</t>
        </is>
      </c>
      <c r="P279" s="5" t="inlineStr">
        <is>
          <t>Restored to authored P1. The previous workbook had P0 after a keyword rebalance.</t>
        </is>
      </c>
      <c r="Q279" s="21" t="inlineStr">
        <is>
          <t>Code symbol found</t>
        </is>
      </c>
      <c r="R279" s="5" t="inlineStr">
        <is>
          <t>Matched TaxEngine in product code. This is not a functional test. Restored to authored P1. The previous workbook had P0 after a keyword rebalance.</t>
        </is>
      </c>
      <c r="S279" s="8" t="inlineStr">
        <is>
          <t>GST</t>
        </is>
      </c>
      <c r="T279" s="5" t="inlineStr">
        <is>
          <t>GST and tax compliance</t>
        </is>
      </c>
      <c r="U279" s="8" t="inlineStr"/>
      <c r="V279" s="8" t="inlineStr">
        <is>
          <t>accounting</t>
        </is>
      </c>
      <c r="W279" s="8" t="inlineStr">
        <is>
          <t>CONTROL</t>
        </is>
      </c>
      <c r="X279" s="5" t="inlineStr">
        <is>
          <t>Core</t>
        </is>
      </c>
      <c r="Y279" s="5" t="inlineStr">
        <is>
          <t>Cross-persona</t>
        </is>
      </c>
      <c r="Z279" s="5" t="inlineStr">
        <is>
          <t>Critical</t>
        </is>
      </c>
      <c r="AA279" s="5" t="inlineStr">
        <is>
          <t>High</t>
        </is>
      </c>
      <c r="AB279" s="8" t="inlineStr">
        <is>
          <t>High</t>
        </is>
      </c>
      <c r="AC279" s="8" t="inlineStr">
        <is>
          <t>Pilot</t>
        </is>
      </c>
      <c r="AD279" s="5" t="inlineStr">
        <is>
          <t>Cited in code</t>
        </is>
      </c>
      <c r="AE279" s="5" t="inlineStr">
        <is>
          <t>Not verified</t>
        </is>
      </c>
      <c r="AF279" s="5" t="inlineStr">
        <is>
          <t>Not verified</t>
        </is>
      </c>
      <c r="AG279" s="5" t="inlineStr">
        <is>
          <t>Not verified</t>
        </is>
      </c>
      <c r="AH279" s="5" t="inlineStr">
        <is>
          <t>Not verified</t>
        </is>
      </c>
      <c r="AI279" s="8" t="inlineStr">
        <is>
          <t>No</t>
        </is>
      </c>
      <c r="AJ279" s="8" t="inlineStr">
        <is>
          <t>Built - unverified</t>
        </is>
      </c>
      <c r="AK279" s="8" t="inlineStr">
        <is>
          <t>P1</t>
        </is>
      </c>
      <c r="AL279" s="8" t="n">
        <v>27</v>
      </c>
      <c r="AM279" s="5" t="inlineStr"/>
      <c r="AN279" s="5" t="inlineStr"/>
      <c r="AO279" s="5" t="inlineStr"/>
      <c r="AP279" s="5" t="inlineStr"/>
      <c r="AQ279" s="5" t="inlineStr"/>
      <c r="AR279" s="5" t="inlineStr"/>
      <c r="AS279" s="5" t="inlineStr"/>
      <c r="AT279" s="5" t="inlineStr"/>
      <c r="AU279" s="8" t="inlineStr">
        <is>
          <t>Not run</t>
        </is>
      </c>
    </row>
    <row r="280" ht="32" customHeight="1">
      <c r="A280" s="16" t="inlineStr">
        <is>
          <t>X-0279</t>
        </is>
      </c>
      <c r="B280" s="8" t="inlineStr">
        <is>
          <t>X</t>
        </is>
      </c>
      <c r="C280" s="5" t="inlineStr">
        <is>
          <t>Multiple / Cross-persona</t>
        </is>
      </c>
      <c r="D280" s="5" t="inlineStr">
        <is>
          <t>GST / Tax / Compliance</t>
        </is>
      </c>
      <c r="E280" s="5" t="inlineStr">
        <is>
          <t>Purchase invoice → input GST calculation</t>
        </is>
      </c>
      <c r="F280" s="5" t="inlineStr">
        <is>
          <t>Tax Calculation Engine</t>
        </is>
      </c>
      <c r="G280" s="5" t="inlineStr">
        <is>
          <t>In-house Accountant</t>
        </is>
      </c>
      <c r="H280" s="5" t="inlineStr">
        <is>
          <t>Automated input GST breakdown on inward purchase bills for tax credit claims</t>
        </is>
      </c>
      <c r="I280" s="5" t="inlineStr">
        <is>
          <t>Calculates eligible input tax credit; records CGST, SGST, IGST input ledger entries</t>
        </is>
      </c>
      <c r="J280" s="20" t="inlineStr">
        <is>
          <t>P1</t>
        </is>
      </c>
      <c r="K280" s="20" t="inlineStr">
        <is>
          <t>Validated (Supported)</t>
        </is>
      </c>
      <c r="L280" s="5" t="inlineStr">
        <is>
          <t>Supported via purchase invoice tax calculation module.</t>
        </is>
      </c>
      <c r="M280" s="8" t="inlineStr">
        <is>
          <t>Baseline</t>
        </is>
      </c>
      <c r="N280" s="8" t="inlineStr">
        <is>
          <t>Cross-persona</t>
        </is>
      </c>
      <c r="O280" s="8" t="inlineStr">
        <is>
          <t>P1</t>
        </is>
      </c>
      <c r="P280" s="5" t="inlineStr">
        <is>
          <t>Unchanged</t>
        </is>
      </c>
      <c r="Q280" s="20" t="inlineStr">
        <is>
          <t>Author assertion</t>
        </is>
      </c>
      <c r="R280" s="5" t="inlineStr"/>
      <c r="S280" s="8" t="inlineStr">
        <is>
          <t>GST</t>
        </is>
      </c>
      <c r="T280" s="5" t="inlineStr">
        <is>
          <t>GST and tax compliance</t>
        </is>
      </c>
      <c r="U280" s="8" t="inlineStr"/>
      <c r="V280" s="8" t="inlineStr">
        <is>
          <t>accounting</t>
        </is>
      </c>
      <c r="W280" s="8" t="inlineStr">
        <is>
          <t>CONTROL</t>
        </is>
      </c>
      <c r="X280" s="5" t="inlineStr">
        <is>
          <t>Core</t>
        </is>
      </c>
      <c r="Y280" s="5" t="inlineStr">
        <is>
          <t>Cross-persona</t>
        </is>
      </c>
      <c r="Z280" s="5" t="inlineStr">
        <is>
          <t>Critical</t>
        </is>
      </c>
      <c r="AA280" s="5" t="inlineStr">
        <is>
          <t>High</t>
        </is>
      </c>
      <c r="AB280" s="8" t="inlineStr">
        <is>
          <t>High</t>
        </is>
      </c>
      <c r="AC280" s="8" t="inlineStr">
        <is>
          <t>Pilot</t>
        </is>
      </c>
      <c r="AD280" s="5" t="inlineStr">
        <is>
          <t>Not independently checked</t>
        </is>
      </c>
      <c r="AE280" s="5" t="inlineStr">
        <is>
          <t>Not verified</t>
        </is>
      </c>
      <c r="AF280" s="5" t="inlineStr">
        <is>
          <t>Not verified</t>
        </is>
      </c>
      <c r="AG280" s="5" t="inlineStr">
        <is>
          <t>Not verified</t>
        </is>
      </c>
      <c r="AH280" s="5" t="inlineStr">
        <is>
          <t>Not verified</t>
        </is>
      </c>
      <c r="AI280" s="8" t="inlineStr">
        <is>
          <t>No</t>
        </is>
      </c>
      <c r="AJ280" s="8" t="inlineStr">
        <is>
          <t>Claimed - unverified</t>
        </is>
      </c>
      <c r="AK280" s="8" t="inlineStr">
        <is>
          <t>P1</t>
        </is>
      </c>
      <c r="AL280" s="8" t="n">
        <v>27</v>
      </c>
      <c r="AM280" s="5" t="inlineStr"/>
      <c r="AN280" s="5" t="inlineStr"/>
      <c r="AO280" s="5" t="inlineStr"/>
      <c r="AP280" s="5" t="inlineStr"/>
      <c r="AQ280" s="5" t="inlineStr"/>
      <c r="AR280" s="5" t="inlineStr"/>
      <c r="AS280" s="5" t="inlineStr"/>
      <c r="AT280" s="5" t="inlineStr"/>
      <c r="AU280" s="8" t="inlineStr">
        <is>
          <t>Not run</t>
        </is>
      </c>
    </row>
    <row r="281" ht="32" customHeight="1">
      <c r="A281" s="16" t="inlineStr">
        <is>
          <t>X-0280</t>
        </is>
      </c>
      <c r="B281" s="8" t="inlineStr">
        <is>
          <t>X</t>
        </is>
      </c>
      <c r="C281" s="5" t="inlineStr">
        <is>
          <t>Multiple / Cross-persona</t>
        </is>
      </c>
      <c r="D281" s="5" t="inlineStr">
        <is>
          <t>GST / Tax / Compliance</t>
        </is>
      </c>
      <c r="E281" s="5" t="inlineStr">
        <is>
          <t>HSN selection → appropriate tax treatment</t>
        </is>
      </c>
      <c r="F281" s="5" t="inlineStr">
        <is>
          <t>Master Data &amp; Authorization</t>
        </is>
      </c>
      <c r="G281" s="5" t="inlineStr">
        <is>
          <t>Billing Clerk</t>
        </is>
      </c>
      <c r="H281" s="5" t="inlineStr">
        <is>
          <t>Selecting product HSN automatically populates correct statutory tax rates and cess</t>
        </is>
      </c>
      <c r="I281" s="5" t="inlineStr">
        <is>
          <t>Inherits GST tax rate and cess configuration from HSN master schedule</t>
        </is>
      </c>
      <c r="J281" s="20" t="inlineStr">
        <is>
          <t>P1</t>
        </is>
      </c>
      <c r="K281" s="20" t="inlineStr">
        <is>
          <t>Validated (Supported)</t>
        </is>
      </c>
      <c r="L281" s="5" t="inlineStr">
        <is>
          <t>Core system invariant: line-item tax rate strictly defaults to product HSN master.</t>
        </is>
      </c>
      <c r="M281" s="8" t="inlineStr">
        <is>
          <t>Baseline</t>
        </is>
      </c>
      <c r="N281" s="8" t="inlineStr">
        <is>
          <t>Cross-persona</t>
        </is>
      </c>
      <c r="O281" s="8" t="inlineStr">
        <is>
          <t>P1</t>
        </is>
      </c>
      <c r="P281" s="5" t="inlineStr">
        <is>
          <t>Unchanged</t>
        </is>
      </c>
      <c r="Q281" s="20" t="inlineStr">
        <is>
          <t>Author assertion</t>
        </is>
      </c>
      <c r="R281" s="5" t="inlineStr"/>
      <c r="S281" s="8" t="inlineStr">
        <is>
          <t>GST</t>
        </is>
      </c>
      <c r="T281" s="5" t="inlineStr">
        <is>
          <t>GST and tax compliance</t>
        </is>
      </c>
      <c r="U281" s="8" t="inlineStr"/>
      <c r="V281" s="8" t="inlineStr">
        <is>
          <t>accounting</t>
        </is>
      </c>
      <c r="W281" s="8" t="inlineStr">
        <is>
          <t>CONTROL</t>
        </is>
      </c>
      <c r="X281" s="5" t="inlineStr">
        <is>
          <t>Core</t>
        </is>
      </c>
      <c r="Y281" s="5" t="inlineStr">
        <is>
          <t>Cross-persona</t>
        </is>
      </c>
      <c r="Z281" s="5" t="inlineStr">
        <is>
          <t>Critical</t>
        </is>
      </c>
      <c r="AA281" s="5" t="inlineStr">
        <is>
          <t>High</t>
        </is>
      </c>
      <c r="AB281" s="8" t="inlineStr">
        <is>
          <t>High</t>
        </is>
      </c>
      <c r="AC281" s="8" t="inlineStr">
        <is>
          <t>Pilot</t>
        </is>
      </c>
      <c r="AD281" s="5" t="inlineStr">
        <is>
          <t>Not independently checked</t>
        </is>
      </c>
      <c r="AE281" s="5" t="inlineStr">
        <is>
          <t>Not verified</t>
        </is>
      </c>
      <c r="AF281" s="5" t="inlineStr">
        <is>
          <t>Not verified</t>
        </is>
      </c>
      <c r="AG281" s="5" t="inlineStr">
        <is>
          <t>Not verified</t>
        </is>
      </c>
      <c r="AH281" s="5" t="inlineStr">
        <is>
          <t>Not verified</t>
        </is>
      </c>
      <c r="AI281" s="8" t="inlineStr">
        <is>
          <t>No</t>
        </is>
      </c>
      <c r="AJ281" s="8" t="inlineStr">
        <is>
          <t>Claimed - unverified</t>
        </is>
      </c>
      <c r="AK281" s="8" t="inlineStr">
        <is>
          <t>P1</t>
        </is>
      </c>
      <c r="AL281" s="8" t="n">
        <v>27</v>
      </c>
      <c r="AM281" s="5" t="inlineStr"/>
      <c r="AN281" s="5" t="inlineStr"/>
      <c r="AO281" s="5" t="inlineStr"/>
      <c r="AP281" s="5" t="inlineStr"/>
      <c r="AQ281" s="5" t="inlineStr"/>
      <c r="AR281" s="5" t="inlineStr"/>
      <c r="AS281" s="5" t="inlineStr"/>
      <c r="AT281" s="5" t="inlineStr"/>
      <c r="AU281" s="8" t="inlineStr">
        <is>
          <t>Not run</t>
        </is>
      </c>
    </row>
    <row r="282" ht="32" customHeight="1">
      <c r="A282" s="16" t="inlineStr">
        <is>
          <t>X-0281</t>
        </is>
      </c>
      <c r="B282" s="8" t="inlineStr">
        <is>
          <t>X</t>
        </is>
      </c>
      <c r="C282" s="5" t="inlineStr">
        <is>
          <t>Multiple / Cross-persona</t>
        </is>
      </c>
      <c r="D282" s="5" t="inlineStr">
        <is>
          <t>GST / Tax / Compliance</t>
        </is>
      </c>
      <c r="E282" s="5" t="inlineStr">
        <is>
          <t>Customer GSTIN → invoice tax treatment</t>
        </is>
      </c>
      <c r="F282" s="5" t="inlineStr">
        <is>
          <t>System / Tax Engine</t>
        </is>
      </c>
      <c r="G282" s="5" t="inlineStr">
        <is>
          <t>Billing Clerk</t>
        </is>
      </c>
      <c r="H282" s="5" t="inlineStr">
        <is>
          <t>Customer GSTIN state code determines intra-state (CGST+SGST) vs inter-state (IGST) taxation</t>
        </is>
      </c>
      <c r="I282" s="5" t="inlineStr">
        <is>
          <t>Compares company GSTIN state code with customer GSTIN state code; selects tax regime</t>
        </is>
      </c>
      <c r="J282" s="20" t="inlineStr">
        <is>
          <t>P1</t>
        </is>
      </c>
      <c r="K282" s="20" t="inlineStr">
        <is>
          <t>Validated (Supported)</t>
        </is>
      </c>
      <c r="L282" s="5" t="inlineStr">
        <is>
          <t>Automated Place of Supply evaluation based on first two digits of customer GSTIN.</t>
        </is>
      </c>
      <c r="M282" s="8" t="inlineStr">
        <is>
          <t>Baseline</t>
        </is>
      </c>
      <c r="N282" s="8" t="inlineStr">
        <is>
          <t>Cross-persona</t>
        </is>
      </c>
      <c r="O282" s="8" t="inlineStr">
        <is>
          <t>P1</t>
        </is>
      </c>
      <c r="P282" s="5" t="inlineStr">
        <is>
          <t>Unchanged</t>
        </is>
      </c>
      <c r="Q282" s="20" t="inlineStr">
        <is>
          <t>Author assertion</t>
        </is>
      </c>
      <c r="R282" s="5" t="inlineStr"/>
      <c r="S282" s="8" t="inlineStr">
        <is>
          <t>GST</t>
        </is>
      </c>
      <c r="T282" s="5" t="inlineStr">
        <is>
          <t>GST and tax compliance</t>
        </is>
      </c>
      <c r="U282" s="8" t="inlineStr"/>
      <c r="V282" s="8" t="inlineStr">
        <is>
          <t>accounting</t>
        </is>
      </c>
      <c r="W282" s="8" t="inlineStr">
        <is>
          <t>CONTROL</t>
        </is>
      </c>
      <c r="X282" s="5" t="inlineStr">
        <is>
          <t>Core</t>
        </is>
      </c>
      <c r="Y282" s="5" t="inlineStr">
        <is>
          <t>Cross-persona</t>
        </is>
      </c>
      <c r="Z282" s="5" t="inlineStr">
        <is>
          <t>Critical</t>
        </is>
      </c>
      <c r="AA282" s="5" t="inlineStr">
        <is>
          <t>High</t>
        </is>
      </c>
      <c r="AB282" s="8" t="inlineStr">
        <is>
          <t>High</t>
        </is>
      </c>
      <c r="AC282" s="8" t="inlineStr">
        <is>
          <t>Pilot</t>
        </is>
      </c>
      <c r="AD282" s="5" t="inlineStr">
        <is>
          <t>Not independently checked</t>
        </is>
      </c>
      <c r="AE282" s="5" t="inlineStr">
        <is>
          <t>Not verified</t>
        </is>
      </c>
      <c r="AF282" s="5" t="inlineStr">
        <is>
          <t>Not verified</t>
        </is>
      </c>
      <c r="AG282" s="5" t="inlineStr">
        <is>
          <t>Not verified</t>
        </is>
      </c>
      <c r="AH282" s="5" t="inlineStr">
        <is>
          <t>Not verified</t>
        </is>
      </c>
      <c r="AI282" s="8" t="inlineStr">
        <is>
          <t>No</t>
        </is>
      </c>
      <c r="AJ282" s="8" t="inlineStr">
        <is>
          <t>Claimed - unverified</t>
        </is>
      </c>
      <c r="AK282" s="8" t="inlineStr">
        <is>
          <t>P1</t>
        </is>
      </c>
      <c r="AL282" s="8" t="n">
        <v>27</v>
      </c>
      <c r="AM282" s="5" t="inlineStr"/>
      <c r="AN282" s="5" t="inlineStr"/>
      <c r="AO282" s="5" t="inlineStr"/>
      <c r="AP282" s="5" t="inlineStr"/>
      <c r="AQ282" s="5" t="inlineStr"/>
      <c r="AR282" s="5" t="inlineStr"/>
      <c r="AS282" s="5" t="inlineStr"/>
      <c r="AT282" s="5" t="inlineStr"/>
      <c r="AU282" s="8" t="inlineStr">
        <is>
          <t>Not run</t>
        </is>
      </c>
    </row>
    <row r="283" ht="32" customHeight="1">
      <c r="A283" s="16" t="inlineStr">
        <is>
          <t>X-0282</t>
        </is>
      </c>
      <c r="B283" s="8" t="inlineStr">
        <is>
          <t>X</t>
        </is>
      </c>
      <c r="C283" s="5" t="inlineStr">
        <is>
          <t>Multiple / Cross-persona</t>
        </is>
      </c>
      <c r="D283" s="5" t="inlineStr">
        <is>
          <t>GST / Tax / Compliance</t>
        </is>
      </c>
      <c r="E283" s="5" t="inlineStr">
        <is>
          <t>Supplier GSTIN → purchase tax treatment</t>
        </is>
      </c>
      <c r="F283" s="5" t="inlineStr">
        <is>
          <t>System / Tax Engine</t>
        </is>
      </c>
      <c r="G283" s="5" t="inlineStr">
        <is>
          <t>In-house Accountant</t>
        </is>
      </c>
      <c r="H283" s="5" t="inlineStr">
        <is>
          <t>Supplier GSTIN state code determines intra-state vs inter-state input tax booking</t>
        </is>
      </c>
      <c r="I283" s="5" t="inlineStr">
        <is>
          <t>Evaluates supplier state; posts input tax to CGST+SGST or IGST input ledgers</t>
        </is>
      </c>
      <c r="J283" s="20" t="inlineStr">
        <is>
          <t>P1</t>
        </is>
      </c>
      <c r="K283" s="20" t="inlineStr">
        <is>
          <t>Validated (Supported)</t>
        </is>
      </c>
      <c r="L283" s="5" t="inlineStr">
        <is>
          <t>Automated tax regime selection based on supplier GSTIN state prefix.</t>
        </is>
      </c>
      <c r="M283" s="8" t="inlineStr">
        <is>
          <t>Baseline</t>
        </is>
      </c>
      <c r="N283" s="8" t="inlineStr">
        <is>
          <t>Cross-persona</t>
        </is>
      </c>
      <c r="O283" s="8" t="inlineStr">
        <is>
          <t>P1</t>
        </is>
      </c>
      <c r="P283" s="5" t="inlineStr">
        <is>
          <t>Unchanged</t>
        </is>
      </c>
      <c r="Q283" s="20" t="inlineStr">
        <is>
          <t>Author assertion</t>
        </is>
      </c>
      <c r="R283" s="5" t="inlineStr"/>
      <c r="S283" s="8" t="inlineStr">
        <is>
          <t>GST</t>
        </is>
      </c>
      <c r="T283" s="5" t="inlineStr">
        <is>
          <t>GST and tax compliance</t>
        </is>
      </c>
      <c r="U283" s="8" t="inlineStr"/>
      <c r="V283" s="8" t="inlineStr">
        <is>
          <t>accounting</t>
        </is>
      </c>
      <c r="W283" s="8" t="inlineStr">
        <is>
          <t>CONTROL</t>
        </is>
      </c>
      <c r="X283" s="5" t="inlineStr">
        <is>
          <t>Core</t>
        </is>
      </c>
      <c r="Y283" s="5" t="inlineStr">
        <is>
          <t>Cross-persona</t>
        </is>
      </c>
      <c r="Z283" s="5" t="inlineStr">
        <is>
          <t>Critical</t>
        </is>
      </c>
      <c r="AA283" s="5" t="inlineStr">
        <is>
          <t>High</t>
        </is>
      </c>
      <c r="AB283" s="8" t="inlineStr">
        <is>
          <t>High</t>
        </is>
      </c>
      <c r="AC283" s="8" t="inlineStr">
        <is>
          <t>Pilot</t>
        </is>
      </c>
      <c r="AD283" s="5" t="inlineStr">
        <is>
          <t>Not independently checked</t>
        </is>
      </c>
      <c r="AE283" s="5" t="inlineStr">
        <is>
          <t>Not verified</t>
        </is>
      </c>
      <c r="AF283" s="5" t="inlineStr">
        <is>
          <t>Not verified</t>
        </is>
      </c>
      <c r="AG283" s="5" t="inlineStr">
        <is>
          <t>Not verified</t>
        </is>
      </c>
      <c r="AH283" s="5" t="inlineStr">
        <is>
          <t>Not verified</t>
        </is>
      </c>
      <c r="AI283" s="8" t="inlineStr">
        <is>
          <t>No</t>
        </is>
      </c>
      <c r="AJ283" s="8" t="inlineStr">
        <is>
          <t>Claimed - unverified</t>
        </is>
      </c>
      <c r="AK283" s="8" t="inlineStr">
        <is>
          <t>P1</t>
        </is>
      </c>
      <c r="AL283" s="8" t="n">
        <v>27</v>
      </c>
      <c r="AM283" s="5" t="inlineStr"/>
      <c r="AN283" s="5" t="inlineStr"/>
      <c r="AO283" s="5" t="inlineStr"/>
      <c r="AP283" s="5" t="inlineStr"/>
      <c r="AQ283" s="5" t="inlineStr"/>
      <c r="AR283" s="5" t="inlineStr"/>
      <c r="AS283" s="5" t="inlineStr"/>
      <c r="AT283" s="5" t="inlineStr"/>
      <c r="AU283" s="8" t="inlineStr">
        <is>
          <t>Not run</t>
        </is>
      </c>
    </row>
    <row r="284" ht="32" customHeight="1">
      <c r="A284" s="16" t="inlineStr">
        <is>
          <t>X-0283</t>
        </is>
      </c>
      <c r="B284" s="8" t="inlineStr">
        <is>
          <t>X</t>
        </is>
      </c>
      <c r="C284" s="5" t="inlineStr">
        <is>
          <t>Multiple / Cross-persona</t>
        </is>
      </c>
      <c r="D284" s="5" t="inlineStr">
        <is>
          <t>GST / Tax / Compliance</t>
        </is>
      </c>
      <c r="E284" s="5" t="inlineStr">
        <is>
          <t>Intra-state transaction → CGST/SGST treatment</t>
        </is>
      </c>
      <c r="F284" s="5" t="inlineStr">
        <is>
          <t>Tax Calculation Engine</t>
        </is>
      </c>
      <c r="G284" s="5" t="inlineStr">
        <is>
          <t>Billing Clerk</t>
        </is>
      </c>
      <c r="H284" s="5" t="inlineStr">
        <is>
          <t>Local transactions within same state accurately split tax 50/50 between CGST and SGST</t>
        </is>
      </c>
      <c r="I284" s="5" t="inlineStr">
        <is>
          <t>Calculates equal CGST and SGST line amounts; credits individual central and state tax ledgers</t>
        </is>
      </c>
      <c r="J284" s="20" t="inlineStr">
        <is>
          <t>P1</t>
        </is>
      </c>
      <c r="K284" s="20" t="inlineStr">
        <is>
          <t>Validated (Supported)</t>
        </is>
      </c>
      <c r="L284" s="5" t="inlineStr">
        <is>
          <t>Core tax invariant: intra-state tax split exactly into 50% CGST and 50% SGST.</t>
        </is>
      </c>
      <c r="M284" s="8" t="inlineStr">
        <is>
          <t>Baseline</t>
        </is>
      </c>
      <c r="N284" s="8" t="inlineStr">
        <is>
          <t>Cross-persona</t>
        </is>
      </c>
      <c r="O284" s="8" t="inlineStr">
        <is>
          <t>P1</t>
        </is>
      </c>
      <c r="P284" s="5" t="inlineStr">
        <is>
          <t>Unchanged</t>
        </is>
      </c>
      <c r="Q284" s="20" t="inlineStr">
        <is>
          <t>Author assertion</t>
        </is>
      </c>
      <c r="R284" s="5" t="inlineStr"/>
      <c r="S284" s="8" t="inlineStr">
        <is>
          <t>GST</t>
        </is>
      </c>
      <c r="T284" s="5" t="inlineStr">
        <is>
          <t>GST and tax compliance</t>
        </is>
      </c>
      <c r="U284" s="8" t="inlineStr"/>
      <c r="V284" s="8" t="inlineStr">
        <is>
          <t>accounting</t>
        </is>
      </c>
      <c r="W284" s="8" t="inlineStr">
        <is>
          <t>CONTROL</t>
        </is>
      </c>
      <c r="X284" s="5" t="inlineStr">
        <is>
          <t>Core</t>
        </is>
      </c>
      <c r="Y284" s="5" t="inlineStr">
        <is>
          <t>Cross-persona</t>
        </is>
      </c>
      <c r="Z284" s="5" t="inlineStr">
        <is>
          <t>Critical</t>
        </is>
      </c>
      <c r="AA284" s="5" t="inlineStr">
        <is>
          <t>High</t>
        </is>
      </c>
      <c r="AB284" s="8" t="inlineStr">
        <is>
          <t>High</t>
        </is>
      </c>
      <c r="AC284" s="8" t="inlineStr">
        <is>
          <t>Pilot</t>
        </is>
      </c>
      <c r="AD284" s="5" t="inlineStr">
        <is>
          <t>Not independently checked</t>
        </is>
      </c>
      <c r="AE284" s="5" t="inlineStr">
        <is>
          <t>Not verified</t>
        </is>
      </c>
      <c r="AF284" s="5" t="inlineStr">
        <is>
          <t>Not verified</t>
        </is>
      </c>
      <c r="AG284" s="5" t="inlineStr">
        <is>
          <t>Not verified</t>
        </is>
      </c>
      <c r="AH284" s="5" t="inlineStr">
        <is>
          <t>Not verified</t>
        </is>
      </c>
      <c r="AI284" s="8" t="inlineStr">
        <is>
          <t>No</t>
        </is>
      </c>
      <c r="AJ284" s="8" t="inlineStr">
        <is>
          <t>Claimed - unverified</t>
        </is>
      </c>
      <c r="AK284" s="8" t="inlineStr">
        <is>
          <t>P1</t>
        </is>
      </c>
      <c r="AL284" s="8" t="n">
        <v>27</v>
      </c>
      <c r="AM284" s="5" t="inlineStr"/>
      <c r="AN284" s="5" t="inlineStr"/>
      <c r="AO284" s="5" t="inlineStr"/>
      <c r="AP284" s="5" t="inlineStr"/>
      <c r="AQ284" s="5" t="inlineStr"/>
      <c r="AR284" s="5" t="inlineStr"/>
      <c r="AS284" s="5" t="inlineStr"/>
      <c r="AT284" s="5" t="inlineStr"/>
      <c r="AU284" s="8" t="inlineStr">
        <is>
          <t>Not run</t>
        </is>
      </c>
    </row>
    <row r="285" ht="32" customHeight="1">
      <c r="A285" s="16" t="inlineStr">
        <is>
          <t>X-0284</t>
        </is>
      </c>
      <c r="B285" s="8" t="inlineStr">
        <is>
          <t>X</t>
        </is>
      </c>
      <c r="C285" s="5" t="inlineStr">
        <is>
          <t>Multiple / Cross-persona</t>
        </is>
      </c>
      <c r="D285" s="5" t="inlineStr">
        <is>
          <t>GST / Tax / Compliance</t>
        </is>
      </c>
      <c r="E285" s="5" t="inlineStr">
        <is>
          <t>Inter-state transaction → IGST treatment</t>
        </is>
      </c>
      <c r="F285" s="5" t="inlineStr">
        <is>
          <t>Tax Calculation Engine</t>
        </is>
      </c>
      <c r="G285" s="5" t="inlineStr">
        <is>
          <t>Billing Clerk</t>
        </is>
      </c>
      <c r="H285" s="5" t="inlineStr">
        <is>
          <t>Out-of-state transactions accurately charged integrated goods and services tax (IGST)</t>
        </is>
      </c>
      <c r="I285" s="5" t="inlineStr">
        <is>
          <t>Calculates full tax percentage under IGST; credits IGST liability ledger</t>
        </is>
      </c>
      <c r="J285" s="20" t="inlineStr">
        <is>
          <t>P1</t>
        </is>
      </c>
      <c r="K285" s="20" t="inlineStr">
        <is>
          <t>Validated (Supported)</t>
        </is>
      </c>
      <c r="L285" s="5" t="inlineStr">
        <is>
          <t>Core tax invariant: inter-state sales booked exclusively under IGST.</t>
        </is>
      </c>
      <c r="M285" s="8" t="inlineStr">
        <is>
          <t>Baseline</t>
        </is>
      </c>
      <c r="N285" s="8" t="inlineStr">
        <is>
          <t>Cross-persona</t>
        </is>
      </c>
      <c r="O285" s="8" t="inlineStr">
        <is>
          <t>P1</t>
        </is>
      </c>
      <c r="P285" s="5" t="inlineStr">
        <is>
          <t>Unchanged</t>
        </is>
      </c>
      <c r="Q285" s="20" t="inlineStr">
        <is>
          <t>Author assertion</t>
        </is>
      </c>
      <c r="R285" s="5" t="inlineStr"/>
      <c r="S285" s="8" t="inlineStr">
        <is>
          <t>GST</t>
        </is>
      </c>
      <c r="T285" s="5" t="inlineStr">
        <is>
          <t>GST and tax compliance</t>
        </is>
      </c>
      <c r="U285" s="8" t="inlineStr"/>
      <c r="V285" s="8" t="inlineStr">
        <is>
          <t>accounting</t>
        </is>
      </c>
      <c r="W285" s="8" t="inlineStr">
        <is>
          <t>CONTROL</t>
        </is>
      </c>
      <c r="X285" s="5" t="inlineStr">
        <is>
          <t>Core</t>
        </is>
      </c>
      <c r="Y285" s="5" t="inlineStr">
        <is>
          <t>Cross-persona</t>
        </is>
      </c>
      <c r="Z285" s="5" t="inlineStr">
        <is>
          <t>Critical</t>
        </is>
      </c>
      <c r="AA285" s="5" t="inlineStr">
        <is>
          <t>High</t>
        </is>
      </c>
      <c r="AB285" s="8" t="inlineStr">
        <is>
          <t>High</t>
        </is>
      </c>
      <c r="AC285" s="8" t="inlineStr">
        <is>
          <t>Pilot</t>
        </is>
      </c>
      <c r="AD285" s="5" t="inlineStr">
        <is>
          <t>Not independently checked</t>
        </is>
      </c>
      <c r="AE285" s="5" t="inlineStr">
        <is>
          <t>Not verified</t>
        </is>
      </c>
      <c r="AF285" s="5" t="inlineStr">
        <is>
          <t>Not verified</t>
        </is>
      </c>
      <c r="AG285" s="5" t="inlineStr">
        <is>
          <t>Not verified</t>
        </is>
      </c>
      <c r="AH285" s="5" t="inlineStr">
        <is>
          <t>Not verified</t>
        </is>
      </c>
      <c r="AI285" s="8" t="inlineStr">
        <is>
          <t>No</t>
        </is>
      </c>
      <c r="AJ285" s="8" t="inlineStr">
        <is>
          <t>Claimed - unverified</t>
        </is>
      </c>
      <c r="AK285" s="8" t="inlineStr">
        <is>
          <t>P1</t>
        </is>
      </c>
      <c r="AL285" s="8" t="n">
        <v>27</v>
      </c>
      <c r="AM285" s="5" t="inlineStr"/>
      <c r="AN285" s="5" t="inlineStr"/>
      <c r="AO285" s="5" t="inlineStr"/>
      <c r="AP285" s="5" t="inlineStr"/>
      <c r="AQ285" s="5" t="inlineStr"/>
      <c r="AR285" s="5" t="inlineStr"/>
      <c r="AS285" s="5" t="inlineStr"/>
      <c r="AT285" s="5" t="inlineStr"/>
      <c r="AU285" s="8" t="inlineStr">
        <is>
          <t>Not run</t>
        </is>
      </c>
    </row>
    <row r="286" ht="32" customHeight="1">
      <c r="A286" s="16" t="inlineStr">
        <is>
          <t>X-0285</t>
        </is>
      </c>
      <c r="B286" s="8" t="inlineStr">
        <is>
          <t>X</t>
        </is>
      </c>
      <c r="C286" s="5" t="inlineStr">
        <is>
          <t>Multiple / Cross-persona</t>
        </is>
      </c>
      <c r="D286" s="5" t="inlineStr">
        <is>
          <t>GST / Tax / Compliance</t>
        </is>
      </c>
      <c r="E286" s="5" t="inlineStr">
        <is>
          <t>GST invoice → reporting dataset is updated</t>
        </is>
      </c>
      <c r="F286" s="5" t="inlineStr">
        <is>
          <t>System / Reporting Engine</t>
        </is>
      </c>
      <c r="G286" s="5" t="inlineStr">
        <is>
          <t>In-house Accountant</t>
        </is>
      </c>
      <c r="H286" s="5" t="inlineStr">
        <is>
          <t>Completed tax invoice automatically populates monthly GSTR-1 outward filing dataset</t>
        </is>
      </c>
      <c r="I286" s="5" t="inlineStr">
        <is>
          <t>Adds record to GSTR-1 worksheet in appropriate table (B2B, B2CL, B2CS, HSN Summary)</t>
        </is>
      </c>
      <c r="J286" s="20" t="inlineStr">
        <is>
          <t>P1</t>
        </is>
      </c>
      <c r="K286" s="20" t="inlineStr">
        <is>
          <t>Validated (Supported)</t>
        </is>
      </c>
      <c r="L286" s="5" t="inlineStr">
        <is>
          <t>Supported via automated GSTR-1 worksheet compiler in gst module.</t>
        </is>
      </c>
      <c r="M286" s="8" t="inlineStr">
        <is>
          <t>Baseline</t>
        </is>
      </c>
      <c r="N286" s="8" t="inlineStr">
        <is>
          <t>Cross-persona</t>
        </is>
      </c>
      <c r="O286" s="8" t="inlineStr">
        <is>
          <t>P1</t>
        </is>
      </c>
      <c r="P286" s="5" t="inlineStr">
        <is>
          <t>Unchanged</t>
        </is>
      </c>
      <c r="Q286" s="20" t="inlineStr">
        <is>
          <t>Author assertion</t>
        </is>
      </c>
      <c r="R286" s="5" t="inlineStr"/>
      <c r="S286" s="8" t="inlineStr">
        <is>
          <t>GST</t>
        </is>
      </c>
      <c r="T286" s="5" t="inlineStr">
        <is>
          <t>GST and tax compliance</t>
        </is>
      </c>
      <c r="U286" s="8" t="inlineStr"/>
      <c r="V286" s="8" t="inlineStr">
        <is>
          <t>accounting</t>
        </is>
      </c>
      <c r="W286" s="8" t="inlineStr">
        <is>
          <t>CONTROL</t>
        </is>
      </c>
      <c r="X286" s="5" t="inlineStr">
        <is>
          <t>Core</t>
        </is>
      </c>
      <c r="Y286" s="5" t="inlineStr">
        <is>
          <t>Cross-persona</t>
        </is>
      </c>
      <c r="Z286" s="5" t="inlineStr">
        <is>
          <t>Critical</t>
        </is>
      </c>
      <c r="AA286" s="5" t="inlineStr">
        <is>
          <t>High</t>
        </is>
      </c>
      <c r="AB286" s="8" t="inlineStr">
        <is>
          <t>High</t>
        </is>
      </c>
      <c r="AC286" s="8" t="inlineStr">
        <is>
          <t>Pilot</t>
        </is>
      </c>
      <c r="AD286" s="5" t="inlineStr">
        <is>
          <t>Not independently checked</t>
        </is>
      </c>
      <c r="AE286" s="5" t="inlineStr">
        <is>
          <t>Not verified</t>
        </is>
      </c>
      <c r="AF286" s="5" t="inlineStr">
        <is>
          <t>Not verified</t>
        </is>
      </c>
      <c r="AG286" s="5" t="inlineStr">
        <is>
          <t>Not verified</t>
        </is>
      </c>
      <c r="AH286" s="5" t="inlineStr">
        <is>
          <t>Not verified</t>
        </is>
      </c>
      <c r="AI286" s="8" t="inlineStr">
        <is>
          <t>No</t>
        </is>
      </c>
      <c r="AJ286" s="8" t="inlineStr">
        <is>
          <t>Claimed - unverified</t>
        </is>
      </c>
      <c r="AK286" s="8" t="inlineStr">
        <is>
          <t>P1</t>
        </is>
      </c>
      <c r="AL286" s="8" t="n">
        <v>27</v>
      </c>
      <c r="AM286" s="5" t="inlineStr"/>
      <c r="AN286" s="5" t="inlineStr"/>
      <c r="AO286" s="5" t="inlineStr"/>
      <c r="AP286" s="5" t="inlineStr"/>
      <c r="AQ286" s="5" t="inlineStr"/>
      <c r="AR286" s="5" t="inlineStr"/>
      <c r="AS286" s="5" t="inlineStr"/>
      <c r="AT286" s="5" t="inlineStr"/>
      <c r="AU286" s="8" t="inlineStr">
        <is>
          <t>Not run</t>
        </is>
      </c>
    </row>
    <row r="287" ht="32" customHeight="1">
      <c r="A287" s="16" t="inlineStr">
        <is>
          <t>X-0286</t>
        </is>
      </c>
      <c r="B287" s="8" t="inlineStr">
        <is>
          <t>X</t>
        </is>
      </c>
      <c r="C287" s="5" t="inlineStr">
        <is>
          <t>Multiple / Cross-persona</t>
        </is>
      </c>
      <c r="D287" s="5" t="inlineStr">
        <is>
          <t>GST / Tax / Compliance</t>
        </is>
      </c>
      <c r="E287" s="5" t="inlineStr">
        <is>
          <t>Invoice cancellation → GST/reporting data is updated</t>
        </is>
      </c>
      <c r="F287" s="5" t="inlineStr">
        <is>
          <t>System / Reporting Engine</t>
        </is>
      </c>
      <c r="G287" s="5" t="inlineStr">
        <is>
          <t>In-house Accountant</t>
        </is>
      </c>
      <c r="H287" s="5" t="inlineStr">
        <is>
          <t>Cancelled invoice removed from or flagged in GSTR-1 dataset and tax liability reversed</t>
        </is>
      </c>
      <c r="I287" s="5" t="inlineStr">
        <is>
          <t>Reverses output tax liability; updates Document Issued summary (Table 13) in GSTR-1</t>
        </is>
      </c>
      <c r="J287" s="20" t="inlineStr">
        <is>
          <t>P1</t>
        </is>
      </c>
      <c r="K287" s="20" t="inlineStr">
        <is>
          <t>Validated (Supported)</t>
        </is>
      </c>
      <c r="L287" s="5" t="inlineStr">
        <is>
          <t>Supported via SalesInvoice cancellation tax adjustment.</t>
        </is>
      </c>
      <c r="M287" s="8" t="inlineStr">
        <is>
          <t>Baseline</t>
        </is>
      </c>
      <c r="N287" s="8" t="inlineStr">
        <is>
          <t>Cross-persona</t>
        </is>
      </c>
      <c r="O287" s="8" t="inlineStr">
        <is>
          <t>P1</t>
        </is>
      </c>
      <c r="P287" s="5" t="inlineStr">
        <is>
          <t>Unchanged</t>
        </is>
      </c>
      <c r="Q287" s="21" t="inlineStr">
        <is>
          <t>Code symbol found</t>
        </is>
      </c>
      <c r="R287" s="5" t="inlineStr">
        <is>
          <t>Matched SalesInvoice in product code. This is not a functional test.</t>
        </is>
      </c>
      <c r="S287" s="8" t="inlineStr">
        <is>
          <t>GST</t>
        </is>
      </c>
      <c r="T287" s="5" t="inlineStr">
        <is>
          <t>GST and tax compliance</t>
        </is>
      </c>
      <c r="U287" s="8" t="inlineStr"/>
      <c r="V287" s="8" t="inlineStr">
        <is>
          <t>accounting</t>
        </is>
      </c>
      <c r="W287" s="8" t="inlineStr">
        <is>
          <t>CONTROL</t>
        </is>
      </c>
      <c r="X287" s="5" t="inlineStr">
        <is>
          <t>Core</t>
        </is>
      </c>
      <c r="Y287" s="5" t="inlineStr">
        <is>
          <t>Cross-persona</t>
        </is>
      </c>
      <c r="Z287" s="5" t="inlineStr">
        <is>
          <t>Critical</t>
        </is>
      </c>
      <c r="AA287" s="5" t="inlineStr">
        <is>
          <t>High</t>
        </is>
      </c>
      <c r="AB287" s="8" t="inlineStr">
        <is>
          <t>High</t>
        </is>
      </c>
      <c r="AC287" s="8" t="inlineStr">
        <is>
          <t>Pilot</t>
        </is>
      </c>
      <c r="AD287" s="5" t="inlineStr">
        <is>
          <t>Cited in code</t>
        </is>
      </c>
      <c r="AE287" s="5" t="inlineStr">
        <is>
          <t>Not verified</t>
        </is>
      </c>
      <c r="AF287" s="5" t="inlineStr">
        <is>
          <t>Not verified</t>
        </is>
      </c>
      <c r="AG287" s="5" t="inlineStr">
        <is>
          <t>Not verified</t>
        </is>
      </c>
      <c r="AH287" s="5" t="inlineStr">
        <is>
          <t>Not verified</t>
        </is>
      </c>
      <c r="AI287" s="8" t="inlineStr">
        <is>
          <t>No</t>
        </is>
      </c>
      <c r="AJ287" s="8" t="inlineStr">
        <is>
          <t>Built - unverified</t>
        </is>
      </c>
      <c r="AK287" s="8" t="inlineStr">
        <is>
          <t>P1</t>
        </is>
      </c>
      <c r="AL287" s="8" t="n">
        <v>27</v>
      </c>
      <c r="AM287" s="5" t="inlineStr"/>
      <c r="AN287" s="5" t="inlineStr"/>
      <c r="AO287" s="5" t="inlineStr"/>
      <c r="AP287" s="5" t="inlineStr"/>
      <c r="AQ287" s="5" t="inlineStr"/>
      <c r="AR287" s="5" t="inlineStr"/>
      <c r="AS287" s="5" t="inlineStr"/>
      <c r="AT287" s="5" t="inlineStr"/>
      <c r="AU287" s="8" t="inlineStr">
        <is>
          <t>Not run</t>
        </is>
      </c>
    </row>
    <row r="288" ht="32" customHeight="1">
      <c r="A288" s="16" t="inlineStr">
        <is>
          <t>X-0287</t>
        </is>
      </c>
      <c r="B288" s="8" t="inlineStr">
        <is>
          <t>X</t>
        </is>
      </c>
      <c r="C288" s="5" t="inlineStr">
        <is>
          <t>Multiple / Cross-persona</t>
        </is>
      </c>
      <c r="D288" s="5" t="inlineStr">
        <is>
          <t>GST / Tax / Compliance</t>
        </is>
      </c>
      <c r="E288" s="5" t="inlineStr">
        <is>
          <t>Sales return → tax adjustment</t>
        </is>
      </c>
      <c r="F288" s="5" t="inlineStr">
        <is>
          <t>Tax Calculation Engine</t>
        </is>
      </c>
      <c r="G288" s="5" t="inlineStr">
        <is>
          <t>In-house Accountant</t>
        </is>
      </c>
      <c r="H288" s="5" t="inlineStr">
        <is>
          <t>Sales return and credit note reduces gross output tax liability for the tax period</t>
        </is>
      </c>
      <c r="I288" s="5" t="inlineStr">
        <is>
          <t>Reduces output tax liability; records credit note entry in GSTR-1 Table 9B</t>
        </is>
      </c>
      <c r="J288" s="20" t="inlineStr">
        <is>
          <t>P1</t>
        </is>
      </c>
      <c r="K288" s="20" t="inlineStr">
        <is>
          <t>Validated (Supported)</t>
        </is>
      </c>
      <c r="L288" s="5" t="inlineStr">
        <is>
          <t>Supported via Credit Note tax posting per Section 34 of CGST Act.</t>
        </is>
      </c>
      <c r="M288" s="8" t="inlineStr">
        <is>
          <t>Baseline</t>
        </is>
      </c>
      <c r="N288" s="8" t="inlineStr">
        <is>
          <t>Cross-persona</t>
        </is>
      </c>
      <c r="O288" s="8" t="inlineStr">
        <is>
          <t>P1</t>
        </is>
      </c>
      <c r="P288" s="5" t="inlineStr">
        <is>
          <t>Restored to authored P1. The previous workbook had P0 after a keyword rebalance.</t>
        </is>
      </c>
      <c r="Q288" s="20" t="inlineStr">
        <is>
          <t>Author assertion</t>
        </is>
      </c>
      <c r="R288" s="5" t="inlineStr">
        <is>
          <t>Restored to authored P1. The previous workbook had P0 after a keyword rebalance.</t>
        </is>
      </c>
      <c r="S288" s="8" t="inlineStr">
        <is>
          <t>GST</t>
        </is>
      </c>
      <c r="T288" s="5" t="inlineStr">
        <is>
          <t>GST and tax compliance</t>
        </is>
      </c>
      <c r="U288" s="8" t="inlineStr"/>
      <c r="V288" s="8" t="inlineStr">
        <is>
          <t>accounting</t>
        </is>
      </c>
      <c r="W288" s="8" t="inlineStr">
        <is>
          <t>CONTROL</t>
        </is>
      </c>
      <c r="X288" s="5" t="inlineStr">
        <is>
          <t>Core</t>
        </is>
      </c>
      <c r="Y288" s="5" t="inlineStr">
        <is>
          <t>Cross-persona</t>
        </is>
      </c>
      <c r="Z288" s="5" t="inlineStr">
        <is>
          <t>Critical</t>
        </is>
      </c>
      <c r="AA288" s="5" t="inlineStr">
        <is>
          <t>High</t>
        </is>
      </c>
      <c r="AB288" s="8" t="inlineStr">
        <is>
          <t>High</t>
        </is>
      </c>
      <c r="AC288" s="8" t="inlineStr">
        <is>
          <t>Pilot</t>
        </is>
      </c>
      <c r="AD288" s="5" t="inlineStr">
        <is>
          <t>Not independently checked</t>
        </is>
      </c>
      <c r="AE288" s="5" t="inlineStr">
        <is>
          <t>Not verified</t>
        </is>
      </c>
      <c r="AF288" s="5" t="inlineStr">
        <is>
          <t>Not verified</t>
        </is>
      </c>
      <c r="AG288" s="5" t="inlineStr">
        <is>
          <t>Not verified</t>
        </is>
      </c>
      <c r="AH288" s="5" t="inlineStr">
        <is>
          <t>Not verified</t>
        </is>
      </c>
      <c r="AI288" s="8" t="inlineStr">
        <is>
          <t>No</t>
        </is>
      </c>
      <c r="AJ288" s="8" t="inlineStr">
        <is>
          <t>Claimed - unverified</t>
        </is>
      </c>
      <c r="AK288" s="8" t="inlineStr">
        <is>
          <t>P1</t>
        </is>
      </c>
      <c r="AL288" s="8" t="n">
        <v>27</v>
      </c>
      <c r="AM288" s="5" t="inlineStr"/>
      <c r="AN288" s="5" t="inlineStr"/>
      <c r="AO288" s="5" t="inlineStr"/>
      <c r="AP288" s="5" t="inlineStr"/>
      <c r="AQ288" s="5" t="inlineStr"/>
      <c r="AR288" s="5" t="inlineStr"/>
      <c r="AS288" s="5" t="inlineStr"/>
      <c r="AT288" s="5" t="inlineStr"/>
      <c r="AU288" s="8" t="inlineStr">
        <is>
          <t>Not run</t>
        </is>
      </c>
    </row>
    <row r="289" ht="32" customHeight="1">
      <c r="A289" s="16" t="inlineStr">
        <is>
          <t>X-0288</t>
        </is>
      </c>
      <c r="B289" s="8" t="inlineStr">
        <is>
          <t>X</t>
        </is>
      </c>
      <c r="C289" s="5" t="inlineStr">
        <is>
          <t>Multiple / Cross-persona</t>
        </is>
      </c>
      <c r="D289" s="5" t="inlineStr">
        <is>
          <t>GST / Tax / Compliance</t>
        </is>
      </c>
      <c r="E289" s="5" t="inlineStr">
        <is>
          <t>Purchase return → input-tax adjustment</t>
        </is>
      </c>
      <c r="F289" s="5" t="inlineStr">
        <is>
          <t>Tax Calculation Engine</t>
        </is>
      </c>
      <c r="G289" s="5" t="inlineStr">
        <is>
          <t>In-house Accountant</t>
        </is>
      </c>
      <c r="H289" s="5" t="inlineStr">
        <is>
          <t>Purchase return and debit note reduces claimed Input Tax Credit (ITC) for the tax period</t>
        </is>
      </c>
      <c r="I289" s="5" t="inlineStr">
        <is>
          <t>Reduces eligible ITC; reports debit note reversal in GSTR-3B Table 4(B)</t>
        </is>
      </c>
      <c r="J289" s="20" t="inlineStr">
        <is>
          <t>P1</t>
        </is>
      </c>
      <c r="K289" s="20" t="inlineStr">
        <is>
          <t>Validated (Supported)</t>
        </is>
      </c>
      <c r="L289" s="5" t="inlineStr">
        <is>
          <t>Supported via Debit Note ITC adjustment calculation.</t>
        </is>
      </c>
      <c r="M289" s="8" t="inlineStr">
        <is>
          <t>Baseline</t>
        </is>
      </c>
      <c r="N289" s="8" t="inlineStr">
        <is>
          <t>Cross-persona</t>
        </is>
      </c>
      <c r="O289" s="8" t="inlineStr">
        <is>
          <t>P1</t>
        </is>
      </c>
      <c r="P289" s="5" t="inlineStr">
        <is>
          <t>Unchanged</t>
        </is>
      </c>
      <c r="Q289" s="20" t="inlineStr">
        <is>
          <t>Author assertion</t>
        </is>
      </c>
      <c r="R289" s="5" t="inlineStr"/>
      <c r="S289" s="8" t="inlineStr">
        <is>
          <t>GST</t>
        </is>
      </c>
      <c r="T289" s="5" t="inlineStr">
        <is>
          <t>GST and tax compliance</t>
        </is>
      </c>
      <c r="U289" s="8" t="inlineStr"/>
      <c r="V289" s="8" t="inlineStr">
        <is>
          <t>accounting</t>
        </is>
      </c>
      <c r="W289" s="8" t="inlineStr">
        <is>
          <t>CONTROL</t>
        </is>
      </c>
      <c r="X289" s="5" t="inlineStr">
        <is>
          <t>Core</t>
        </is>
      </c>
      <c r="Y289" s="5" t="inlineStr">
        <is>
          <t>Cross-persona</t>
        </is>
      </c>
      <c r="Z289" s="5" t="inlineStr">
        <is>
          <t>Critical</t>
        </is>
      </c>
      <c r="AA289" s="5" t="inlineStr">
        <is>
          <t>High</t>
        </is>
      </c>
      <c r="AB289" s="8" t="inlineStr">
        <is>
          <t>High</t>
        </is>
      </c>
      <c r="AC289" s="8" t="inlineStr">
        <is>
          <t>Pilot</t>
        </is>
      </c>
      <c r="AD289" s="5" t="inlineStr">
        <is>
          <t>Not independently checked</t>
        </is>
      </c>
      <c r="AE289" s="5" t="inlineStr">
        <is>
          <t>Not verified</t>
        </is>
      </c>
      <c r="AF289" s="5" t="inlineStr">
        <is>
          <t>Not verified</t>
        </is>
      </c>
      <c r="AG289" s="5" t="inlineStr">
        <is>
          <t>Not verified</t>
        </is>
      </c>
      <c r="AH289" s="5" t="inlineStr">
        <is>
          <t>Not verified</t>
        </is>
      </c>
      <c r="AI289" s="8" t="inlineStr">
        <is>
          <t>No</t>
        </is>
      </c>
      <c r="AJ289" s="8" t="inlineStr">
        <is>
          <t>Claimed - unverified</t>
        </is>
      </c>
      <c r="AK289" s="8" t="inlineStr">
        <is>
          <t>P1</t>
        </is>
      </c>
      <c r="AL289" s="8" t="n">
        <v>27</v>
      </c>
      <c r="AM289" s="5" t="inlineStr"/>
      <c r="AN289" s="5" t="inlineStr"/>
      <c r="AO289" s="5" t="inlineStr"/>
      <c r="AP289" s="5" t="inlineStr"/>
      <c r="AQ289" s="5" t="inlineStr"/>
      <c r="AR289" s="5" t="inlineStr"/>
      <c r="AS289" s="5" t="inlineStr"/>
      <c r="AT289" s="5" t="inlineStr"/>
      <c r="AU289" s="8" t="inlineStr">
        <is>
          <t>Not run</t>
        </is>
      </c>
    </row>
    <row r="290" ht="32" customHeight="1">
      <c r="A290" s="16" t="inlineStr">
        <is>
          <t>X-0289</t>
        </is>
      </c>
      <c r="B290" s="8" t="inlineStr">
        <is>
          <t>X</t>
        </is>
      </c>
      <c r="C290" s="5" t="inlineStr">
        <is>
          <t>Multiple / Cross-persona</t>
        </is>
      </c>
      <c r="D290" s="5" t="inlineStr">
        <is>
          <t>GST / Tax / Compliance</t>
        </is>
      </c>
      <c r="E290" s="5" t="inlineStr">
        <is>
          <t>Credit note → tax liability adjustment</t>
        </is>
      </c>
      <c r="F290" s="5" t="inlineStr">
        <is>
          <t>Tax Calculation Engine</t>
        </is>
      </c>
      <c r="G290" s="5" t="inlineStr">
        <is>
          <t>In-house Accountant</t>
        </is>
      </c>
      <c r="H290" s="5" t="inlineStr">
        <is>
          <t>Legal credit note issued for rate difference or volume discount reduces output GST liability</t>
        </is>
      </c>
      <c r="I290" s="5" t="inlineStr">
        <is>
          <t>Adjusts output tax ledger; updates GSTR-1 Table 9B with credit note details</t>
        </is>
      </c>
      <c r="J290" s="20" t="inlineStr">
        <is>
          <t>P1</t>
        </is>
      </c>
      <c r="K290" s="20" t="inlineStr">
        <is>
          <t>Validated (Supported)</t>
        </is>
      </c>
      <c r="L290" s="5" t="inlineStr">
        <is>
          <t>Supported via SalesCreditNote complete action.</t>
        </is>
      </c>
      <c r="M290" s="8" t="inlineStr">
        <is>
          <t>Baseline</t>
        </is>
      </c>
      <c r="N290" s="8" t="inlineStr">
        <is>
          <t>Cross-persona</t>
        </is>
      </c>
      <c r="O290" s="8" t="inlineStr">
        <is>
          <t>P1</t>
        </is>
      </c>
      <c r="P290" s="5" t="inlineStr">
        <is>
          <t>Unchanged</t>
        </is>
      </c>
      <c r="Q290" s="21" t="inlineStr">
        <is>
          <t>Code symbol found</t>
        </is>
      </c>
      <c r="R290" s="5" t="inlineStr">
        <is>
          <t>Matched SalesCreditNote in product code. This is not a functional test.</t>
        </is>
      </c>
      <c r="S290" s="8" t="inlineStr">
        <is>
          <t>GST</t>
        </is>
      </c>
      <c r="T290" s="5" t="inlineStr">
        <is>
          <t>GST and tax compliance</t>
        </is>
      </c>
      <c r="U290" s="8" t="inlineStr"/>
      <c r="V290" s="8" t="inlineStr">
        <is>
          <t>accounting</t>
        </is>
      </c>
      <c r="W290" s="8" t="inlineStr">
        <is>
          <t>CONTROL</t>
        </is>
      </c>
      <c r="X290" s="5" t="inlineStr">
        <is>
          <t>Core</t>
        </is>
      </c>
      <c r="Y290" s="5" t="inlineStr">
        <is>
          <t>Cross-persona</t>
        </is>
      </c>
      <c r="Z290" s="5" t="inlineStr">
        <is>
          <t>Critical</t>
        </is>
      </c>
      <c r="AA290" s="5" t="inlineStr">
        <is>
          <t>High</t>
        </is>
      </c>
      <c r="AB290" s="8" t="inlineStr">
        <is>
          <t>High</t>
        </is>
      </c>
      <c r="AC290" s="8" t="inlineStr">
        <is>
          <t>Pilot</t>
        </is>
      </c>
      <c r="AD290" s="5" t="inlineStr">
        <is>
          <t>Cited in code</t>
        </is>
      </c>
      <c r="AE290" s="5" t="inlineStr">
        <is>
          <t>Not verified</t>
        </is>
      </c>
      <c r="AF290" s="5" t="inlineStr">
        <is>
          <t>Not verified</t>
        </is>
      </c>
      <c r="AG290" s="5" t="inlineStr">
        <is>
          <t>Not verified</t>
        </is>
      </c>
      <c r="AH290" s="5" t="inlineStr">
        <is>
          <t>Not verified</t>
        </is>
      </c>
      <c r="AI290" s="8" t="inlineStr">
        <is>
          <t>No</t>
        </is>
      </c>
      <c r="AJ290" s="8" t="inlineStr">
        <is>
          <t>Built - unverified</t>
        </is>
      </c>
      <c r="AK290" s="8" t="inlineStr">
        <is>
          <t>P1</t>
        </is>
      </c>
      <c r="AL290" s="8" t="n">
        <v>27</v>
      </c>
      <c r="AM290" s="5" t="inlineStr"/>
      <c r="AN290" s="5" t="inlineStr"/>
      <c r="AO290" s="5" t="inlineStr"/>
      <c r="AP290" s="5" t="inlineStr"/>
      <c r="AQ290" s="5" t="inlineStr"/>
      <c r="AR290" s="5" t="inlineStr"/>
      <c r="AS290" s="5" t="inlineStr"/>
      <c r="AT290" s="5" t="inlineStr"/>
      <c r="AU290" s="8" t="inlineStr">
        <is>
          <t>Not run</t>
        </is>
      </c>
    </row>
    <row r="291" ht="32" customHeight="1">
      <c r="A291" s="16" t="inlineStr">
        <is>
          <t>X-0290</t>
        </is>
      </c>
      <c r="B291" s="8" t="inlineStr">
        <is>
          <t>X</t>
        </is>
      </c>
      <c r="C291" s="5" t="inlineStr">
        <is>
          <t>Multiple / Cross-persona</t>
        </is>
      </c>
      <c r="D291" s="5" t="inlineStr">
        <is>
          <t>GST / Tax / Compliance</t>
        </is>
      </c>
      <c r="E291" s="5" t="inlineStr">
        <is>
          <t>Debit note → tax liability adjustment</t>
        </is>
      </c>
      <c r="F291" s="5" t="inlineStr">
        <is>
          <t>Tax Calculation Engine</t>
        </is>
      </c>
      <c r="G291" s="5" t="inlineStr">
        <is>
          <t>In-house Accountant</t>
        </is>
      </c>
      <c r="H291" s="5" t="inlineStr">
        <is>
          <t>Debit note issued to customer for price undercharge increases output GST liability</t>
        </is>
      </c>
      <c r="I291" s="5" t="inlineStr">
        <is>
          <t>Increments output tax liability; reports debit note in GSTR-1 Table 9B</t>
        </is>
      </c>
      <c r="J291" s="20" t="inlineStr">
        <is>
          <t>P1</t>
        </is>
      </c>
      <c r="K291" s="20" t="inlineStr">
        <is>
          <t>Validated (Supported)</t>
        </is>
      </c>
      <c r="L291" s="5" t="inlineStr">
        <is>
          <t>Supported via SalesDebitNote complete action.</t>
        </is>
      </c>
      <c r="M291" s="8" t="inlineStr">
        <is>
          <t>Baseline</t>
        </is>
      </c>
      <c r="N291" s="8" t="inlineStr">
        <is>
          <t>Cross-persona</t>
        </is>
      </c>
      <c r="O291" s="8" t="inlineStr">
        <is>
          <t>P1</t>
        </is>
      </c>
      <c r="P291" s="5" t="inlineStr">
        <is>
          <t>Unchanged</t>
        </is>
      </c>
      <c r="Q291" s="21" t="inlineStr">
        <is>
          <t>Code symbol found</t>
        </is>
      </c>
      <c r="R291" s="5" t="inlineStr">
        <is>
          <t>Matched SalesDebitNote in product code. This is not a functional test.</t>
        </is>
      </c>
      <c r="S291" s="8" t="inlineStr">
        <is>
          <t>GST</t>
        </is>
      </c>
      <c r="T291" s="5" t="inlineStr">
        <is>
          <t>GST and tax compliance</t>
        </is>
      </c>
      <c r="U291" s="8" t="inlineStr"/>
      <c r="V291" s="8" t="inlineStr">
        <is>
          <t>accounting</t>
        </is>
      </c>
      <c r="W291" s="8" t="inlineStr">
        <is>
          <t>CONTROL</t>
        </is>
      </c>
      <c r="X291" s="5" t="inlineStr">
        <is>
          <t>Core</t>
        </is>
      </c>
      <c r="Y291" s="5" t="inlineStr">
        <is>
          <t>Cross-persona</t>
        </is>
      </c>
      <c r="Z291" s="5" t="inlineStr">
        <is>
          <t>Critical</t>
        </is>
      </c>
      <c r="AA291" s="5" t="inlineStr">
        <is>
          <t>High</t>
        </is>
      </c>
      <c r="AB291" s="8" t="inlineStr">
        <is>
          <t>High</t>
        </is>
      </c>
      <c r="AC291" s="8" t="inlineStr">
        <is>
          <t>Pilot</t>
        </is>
      </c>
      <c r="AD291" s="5" t="inlineStr">
        <is>
          <t>Cited in code</t>
        </is>
      </c>
      <c r="AE291" s="5" t="inlineStr">
        <is>
          <t>Not verified</t>
        </is>
      </c>
      <c r="AF291" s="5" t="inlineStr">
        <is>
          <t>Not verified</t>
        </is>
      </c>
      <c r="AG291" s="5" t="inlineStr">
        <is>
          <t>Not verified</t>
        </is>
      </c>
      <c r="AH291" s="5" t="inlineStr">
        <is>
          <t>Not verified</t>
        </is>
      </c>
      <c r="AI291" s="8" t="inlineStr">
        <is>
          <t>No</t>
        </is>
      </c>
      <c r="AJ291" s="8" t="inlineStr">
        <is>
          <t>Built - unverified</t>
        </is>
      </c>
      <c r="AK291" s="8" t="inlineStr">
        <is>
          <t>P1</t>
        </is>
      </c>
      <c r="AL291" s="8" t="n">
        <v>27</v>
      </c>
      <c r="AM291" s="5" t="inlineStr"/>
      <c r="AN291" s="5" t="inlineStr"/>
      <c r="AO291" s="5" t="inlineStr"/>
      <c r="AP291" s="5" t="inlineStr"/>
      <c r="AQ291" s="5" t="inlineStr"/>
      <c r="AR291" s="5" t="inlineStr"/>
      <c r="AS291" s="5" t="inlineStr"/>
      <c r="AT291" s="5" t="inlineStr"/>
      <c r="AU291" s="8" t="inlineStr">
        <is>
          <t>Not run</t>
        </is>
      </c>
    </row>
    <row r="292" ht="32" customHeight="1">
      <c r="A292" s="16" t="inlineStr">
        <is>
          <t>X-0291</t>
        </is>
      </c>
      <c r="B292" s="8" t="inlineStr">
        <is>
          <t>X</t>
        </is>
      </c>
      <c r="C292" s="5" t="inlineStr">
        <is>
          <t>Multiple / Cross-persona</t>
        </is>
      </c>
      <c r="D292" s="5" t="inlineStr">
        <is>
          <t>GST / Tax / Compliance</t>
        </is>
      </c>
      <c r="E292" s="5" t="inlineStr">
        <is>
          <t>Purchase data → IMS matching</t>
        </is>
      </c>
      <c r="F292" s="5" t="inlineStr">
        <is>
          <t>In-house Accountant</t>
        </is>
      </c>
      <c r="G292" s="5" t="inlineStr">
        <is>
          <t>External CA</t>
        </is>
      </c>
      <c r="H292" s="5" t="inlineStr">
        <is>
          <t>Inward purchase records matched against government Invoice Management System (IMS) records</t>
        </is>
      </c>
      <c r="I292" s="5" t="inlineStr">
        <is>
          <t>Compares supplier GSTIN, invoice number, date, and tax amounts; identifies match status</t>
        </is>
      </c>
      <c r="J292" s="20" t="inlineStr">
        <is>
          <t>P1</t>
        </is>
      </c>
      <c r="K292" s="20" t="inlineStr">
        <is>
          <t>Validated (Supported)</t>
        </is>
      </c>
      <c r="L292" s="5" t="inlineStr">
        <is>
          <t>Supported via IMS / GSTR-2B automated reconciliation dashboard.</t>
        </is>
      </c>
      <c r="M292" s="8" t="inlineStr">
        <is>
          <t>Baseline</t>
        </is>
      </c>
      <c r="N292" s="8" t="inlineStr">
        <is>
          <t>Cross-persona</t>
        </is>
      </c>
      <c r="O292" s="8" t="inlineStr">
        <is>
          <t>P1</t>
        </is>
      </c>
      <c r="P292" s="5" t="inlineStr">
        <is>
          <t>Unchanged</t>
        </is>
      </c>
      <c r="Q292" s="20" t="inlineStr">
        <is>
          <t>Author assertion</t>
        </is>
      </c>
      <c r="R292" s="5" t="inlineStr"/>
      <c r="S292" s="8" t="inlineStr">
        <is>
          <t>GST</t>
        </is>
      </c>
      <c r="T292" s="5" t="inlineStr">
        <is>
          <t>GST and tax compliance</t>
        </is>
      </c>
      <c r="U292" s="8" t="inlineStr"/>
      <c r="V292" s="8" t="inlineStr">
        <is>
          <t>accounting</t>
        </is>
      </c>
      <c r="W292" s="8" t="inlineStr">
        <is>
          <t>CONTROL</t>
        </is>
      </c>
      <c r="X292" s="5" t="inlineStr">
        <is>
          <t>Core</t>
        </is>
      </c>
      <c r="Y292" s="5" t="inlineStr">
        <is>
          <t>Cross-persona</t>
        </is>
      </c>
      <c r="Z292" s="5" t="inlineStr">
        <is>
          <t>Critical</t>
        </is>
      </c>
      <c r="AA292" s="5" t="inlineStr">
        <is>
          <t>High</t>
        </is>
      </c>
      <c r="AB292" s="8" t="inlineStr">
        <is>
          <t>High</t>
        </is>
      </c>
      <c r="AC292" s="8" t="inlineStr">
        <is>
          <t>Pilot</t>
        </is>
      </c>
      <c r="AD292" s="5" t="inlineStr">
        <is>
          <t>Not independently checked</t>
        </is>
      </c>
      <c r="AE292" s="5" t="inlineStr">
        <is>
          <t>Not verified</t>
        </is>
      </c>
      <c r="AF292" s="5" t="inlineStr">
        <is>
          <t>Not verified</t>
        </is>
      </c>
      <c r="AG292" s="5" t="inlineStr">
        <is>
          <t>Not verified</t>
        </is>
      </c>
      <c r="AH292" s="5" t="inlineStr">
        <is>
          <t>Not verified</t>
        </is>
      </c>
      <c r="AI292" s="8" t="inlineStr">
        <is>
          <t>No</t>
        </is>
      </c>
      <c r="AJ292" s="8" t="inlineStr">
        <is>
          <t>Claimed - unverified</t>
        </is>
      </c>
      <c r="AK292" s="8" t="inlineStr">
        <is>
          <t>P1</t>
        </is>
      </c>
      <c r="AL292" s="8" t="n">
        <v>27</v>
      </c>
      <c r="AM292" s="5" t="inlineStr"/>
      <c r="AN292" s="5" t="inlineStr"/>
      <c r="AO292" s="5" t="inlineStr"/>
      <c r="AP292" s="5" t="inlineStr"/>
      <c r="AQ292" s="5" t="inlineStr"/>
      <c r="AR292" s="5" t="inlineStr"/>
      <c r="AS292" s="5" t="inlineStr"/>
      <c r="AT292" s="5" t="inlineStr"/>
      <c r="AU292" s="8" t="inlineStr">
        <is>
          <t>Not run</t>
        </is>
      </c>
    </row>
    <row r="293" ht="32" customHeight="1">
      <c r="A293" s="16" t="inlineStr">
        <is>
          <t>X-0292</t>
        </is>
      </c>
      <c r="B293" s="8" t="inlineStr">
        <is>
          <t>X</t>
        </is>
      </c>
      <c r="C293" s="5" t="inlineStr">
        <is>
          <t>Multiple / Cross-persona</t>
        </is>
      </c>
      <c r="D293" s="5" t="inlineStr">
        <is>
          <t>GST / Tax / Compliance</t>
        </is>
      </c>
      <c r="E293" s="5" t="inlineStr">
        <is>
          <t>IMS invoice → accept action</t>
        </is>
      </c>
      <c r="F293" s="5" t="inlineStr">
        <is>
          <t>In-house Accountant</t>
        </is>
      </c>
      <c r="G293" s="5" t="inlineStr">
        <is>
          <t>Supplier / Tax Authority</t>
        </is>
      </c>
      <c r="H293" s="5" t="inlineStr">
        <is>
          <t>Mark recipient acceptance on supplier invoice in IMS to confirm Input Tax Credit eligibility</t>
        </is>
      </c>
      <c r="I293" s="5" t="inlineStr">
        <is>
          <t>Tags invoice as ACCEPTED in IMS dataset; includes tax amount in GSTR-2B eligible ITC pool</t>
        </is>
      </c>
      <c r="J293" s="20" t="inlineStr">
        <is>
          <t>P1</t>
        </is>
      </c>
      <c r="K293" s="20" t="inlineStr">
        <is>
          <t>Validated (Supported)</t>
        </is>
      </c>
      <c r="L293" s="5" t="inlineStr">
        <is>
          <t>Supported via IMS action dashboard with 'Accept' button and bulk action export.</t>
        </is>
      </c>
      <c r="M293" s="8" t="inlineStr">
        <is>
          <t>Baseline</t>
        </is>
      </c>
      <c r="N293" s="8" t="inlineStr">
        <is>
          <t>Cross-persona</t>
        </is>
      </c>
      <c r="O293" s="8" t="inlineStr">
        <is>
          <t>P1</t>
        </is>
      </c>
      <c r="P293" s="5" t="inlineStr">
        <is>
          <t>Unchanged</t>
        </is>
      </c>
      <c r="Q293" s="20" t="inlineStr">
        <is>
          <t>Author assertion</t>
        </is>
      </c>
      <c r="R293" s="5" t="inlineStr"/>
      <c r="S293" s="8" t="inlineStr">
        <is>
          <t>GST</t>
        </is>
      </c>
      <c r="T293" s="5" t="inlineStr">
        <is>
          <t>GST and tax compliance</t>
        </is>
      </c>
      <c r="U293" s="8" t="inlineStr"/>
      <c r="V293" s="8" t="inlineStr">
        <is>
          <t>accounting</t>
        </is>
      </c>
      <c r="W293" s="8" t="inlineStr">
        <is>
          <t>CONTROL</t>
        </is>
      </c>
      <c r="X293" s="5" t="inlineStr">
        <is>
          <t>Core</t>
        </is>
      </c>
      <c r="Y293" s="5" t="inlineStr">
        <is>
          <t>Cross-persona</t>
        </is>
      </c>
      <c r="Z293" s="5" t="inlineStr">
        <is>
          <t>Critical</t>
        </is>
      </c>
      <c r="AA293" s="5" t="inlineStr">
        <is>
          <t>High</t>
        </is>
      </c>
      <c r="AB293" s="8" t="inlineStr">
        <is>
          <t>High</t>
        </is>
      </c>
      <c r="AC293" s="8" t="inlineStr">
        <is>
          <t>Pilot</t>
        </is>
      </c>
      <c r="AD293" s="5" t="inlineStr">
        <is>
          <t>Not independently checked</t>
        </is>
      </c>
      <c r="AE293" s="5" t="inlineStr">
        <is>
          <t>Not verified</t>
        </is>
      </c>
      <c r="AF293" s="5" t="inlineStr">
        <is>
          <t>Not verified</t>
        </is>
      </c>
      <c r="AG293" s="5" t="inlineStr">
        <is>
          <t>Not verified</t>
        </is>
      </c>
      <c r="AH293" s="5" t="inlineStr">
        <is>
          <t>Not verified</t>
        </is>
      </c>
      <c r="AI293" s="8" t="inlineStr">
        <is>
          <t>No</t>
        </is>
      </c>
      <c r="AJ293" s="8" t="inlineStr">
        <is>
          <t>Claimed - unverified</t>
        </is>
      </c>
      <c r="AK293" s="8" t="inlineStr">
        <is>
          <t>P1</t>
        </is>
      </c>
      <c r="AL293" s="8" t="n">
        <v>27</v>
      </c>
      <c r="AM293" s="5" t="inlineStr"/>
      <c r="AN293" s="5" t="inlineStr"/>
      <c r="AO293" s="5" t="inlineStr"/>
      <c r="AP293" s="5" t="inlineStr"/>
      <c r="AQ293" s="5" t="inlineStr"/>
      <c r="AR293" s="5" t="inlineStr"/>
      <c r="AS293" s="5" t="inlineStr"/>
      <c r="AT293" s="5" t="inlineStr"/>
      <c r="AU293" s="8" t="inlineStr">
        <is>
          <t>Not run</t>
        </is>
      </c>
    </row>
    <row r="294" ht="32" customHeight="1">
      <c r="A294" s="16" t="inlineStr">
        <is>
          <t>X-0293</t>
        </is>
      </c>
      <c r="B294" s="8" t="inlineStr">
        <is>
          <t>X</t>
        </is>
      </c>
      <c r="C294" s="5" t="inlineStr">
        <is>
          <t>Multiple / Cross-persona</t>
        </is>
      </c>
      <c r="D294" s="5" t="inlineStr">
        <is>
          <t>GST / Tax / Compliance</t>
        </is>
      </c>
      <c r="E294" s="5" t="inlineStr">
        <is>
          <t>IMS invoice → reject action</t>
        </is>
      </c>
      <c r="F294" s="5" t="inlineStr">
        <is>
          <t>In-house Accountant</t>
        </is>
      </c>
      <c r="G294" s="5" t="inlineStr">
        <is>
          <t>Supplier / Tax Authority</t>
        </is>
      </c>
      <c r="H294" s="5" t="inlineStr">
        <is>
          <t>Mark recipient rejection on erroneous or unrecognized supplier invoice in IMS</t>
        </is>
      </c>
      <c r="I294" s="5" t="inlineStr">
        <is>
          <t>Tags invoice as REJECTED in IMS dataset; excludes from GSTR-2B ITC; notifies supplier</t>
        </is>
      </c>
      <c r="J294" s="20" t="inlineStr">
        <is>
          <t>P1</t>
        </is>
      </c>
      <c r="K294" s="20" t="inlineStr">
        <is>
          <t>Validated (Supported)</t>
        </is>
      </c>
      <c r="L294" s="5" t="inlineStr">
        <is>
          <t>Supported via IMS action dashboard with 'Reject' decision logging.</t>
        </is>
      </c>
      <c r="M294" s="8" t="inlineStr">
        <is>
          <t>Baseline</t>
        </is>
      </c>
      <c r="N294" s="8" t="inlineStr">
        <is>
          <t>Cross-persona</t>
        </is>
      </c>
      <c r="O294" s="8" t="inlineStr">
        <is>
          <t>P1</t>
        </is>
      </c>
      <c r="P294" s="5" t="inlineStr">
        <is>
          <t>Unchanged</t>
        </is>
      </c>
      <c r="Q294" s="20" t="inlineStr">
        <is>
          <t>Author assertion</t>
        </is>
      </c>
      <c r="R294" s="5" t="inlineStr"/>
      <c r="S294" s="8" t="inlineStr">
        <is>
          <t>GST</t>
        </is>
      </c>
      <c r="T294" s="5" t="inlineStr">
        <is>
          <t>GST and tax compliance</t>
        </is>
      </c>
      <c r="U294" s="8" t="inlineStr"/>
      <c r="V294" s="8" t="inlineStr">
        <is>
          <t>accounting</t>
        </is>
      </c>
      <c r="W294" s="8" t="inlineStr">
        <is>
          <t>CONTROL</t>
        </is>
      </c>
      <c r="X294" s="5" t="inlineStr">
        <is>
          <t>Core</t>
        </is>
      </c>
      <c r="Y294" s="5" t="inlineStr">
        <is>
          <t>Cross-persona</t>
        </is>
      </c>
      <c r="Z294" s="5" t="inlineStr">
        <is>
          <t>Critical</t>
        </is>
      </c>
      <c r="AA294" s="5" t="inlineStr">
        <is>
          <t>High</t>
        </is>
      </c>
      <c r="AB294" s="8" t="inlineStr">
        <is>
          <t>High</t>
        </is>
      </c>
      <c r="AC294" s="8" t="inlineStr">
        <is>
          <t>Pilot</t>
        </is>
      </c>
      <c r="AD294" s="5" t="inlineStr">
        <is>
          <t>Not independently checked</t>
        </is>
      </c>
      <c r="AE294" s="5" t="inlineStr">
        <is>
          <t>Not verified</t>
        </is>
      </c>
      <c r="AF294" s="5" t="inlineStr">
        <is>
          <t>Not verified</t>
        </is>
      </c>
      <c r="AG294" s="5" t="inlineStr">
        <is>
          <t>Not verified</t>
        </is>
      </c>
      <c r="AH294" s="5" t="inlineStr">
        <is>
          <t>Not verified</t>
        </is>
      </c>
      <c r="AI294" s="8" t="inlineStr">
        <is>
          <t>No</t>
        </is>
      </c>
      <c r="AJ294" s="8" t="inlineStr">
        <is>
          <t>Claimed - unverified</t>
        </is>
      </c>
      <c r="AK294" s="8" t="inlineStr">
        <is>
          <t>P1</t>
        </is>
      </c>
      <c r="AL294" s="8" t="n">
        <v>27</v>
      </c>
      <c r="AM294" s="5" t="inlineStr"/>
      <c r="AN294" s="5" t="inlineStr"/>
      <c r="AO294" s="5" t="inlineStr"/>
      <c r="AP294" s="5" t="inlineStr"/>
      <c r="AQ294" s="5" t="inlineStr"/>
      <c r="AR294" s="5" t="inlineStr"/>
      <c r="AS294" s="5" t="inlineStr"/>
      <c r="AT294" s="5" t="inlineStr"/>
      <c r="AU294" s="8" t="inlineStr">
        <is>
          <t>Not run</t>
        </is>
      </c>
    </row>
    <row r="295" ht="32" customHeight="1">
      <c r="A295" s="16" t="inlineStr">
        <is>
          <t>X-0294</t>
        </is>
      </c>
      <c r="B295" s="8" t="inlineStr">
        <is>
          <t>X</t>
        </is>
      </c>
      <c r="C295" s="5" t="inlineStr">
        <is>
          <t>Multiple / Cross-persona</t>
        </is>
      </c>
      <c r="D295" s="5" t="inlineStr">
        <is>
          <t>GST / Tax / Compliance</t>
        </is>
      </c>
      <c r="E295" s="5" t="inlineStr">
        <is>
          <t>IMS invoice → pending action</t>
        </is>
      </c>
      <c r="F295" s="5" t="inlineStr">
        <is>
          <t>In-house Accountant</t>
        </is>
      </c>
      <c r="G295" s="5" t="inlineStr">
        <is>
          <t>Supplier</t>
        </is>
      </c>
      <c r="H295" s="5" t="inlineStr">
        <is>
          <t>Keep invoice pending in IMS when goods are in-transit or undergoing verification</t>
        </is>
      </c>
      <c r="I295" s="5" t="inlineStr">
        <is>
          <t>Tags invoice as PENDING; rolls forward ITC eligibility to subsequent tax period</t>
        </is>
      </c>
      <c r="J295" s="20" t="inlineStr">
        <is>
          <t>P1</t>
        </is>
      </c>
      <c r="K295" s="20" t="inlineStr">
        <is>
          <t>Validated (Supported)</t>
        </is>
      </c>
      <c r="L295" s="5" t="inlineStr">
        <is>
          <t>Supported via IMS action dashboard with 'Keep Pending' decision tagging.</t>
        </is>
      </c>
      <c r="M295" s="8" t="inlineStr">
        <is>
          <t>Baseline</t>
        </is>
      </c>
      <c r="N295" s="8" t="inlineStr">
        <is>
          <t>Cross-persona</t>
        </is>
      </c>
      <c r="O295" s="8" t="inlineStr">
        <is>
          <t>P1</t>
        </is>
      </c>
      <c r="P295" s="5" t="inlineStr">
        <is>
          <t>Unchanged</t>
        </is>
      </c>
      <c r="Q295" s="20" t="inlineStr">
        <is>
          <t>Author assertion</t>
        </is>
      </c>
      <c r="R295" s="5" t="inlineStr"/>
      <c r="S295" s="8" t="inlineStr">
        <is>
          <t>GST</t>
        </is>
      </c>
      <c r="T295" s="5" t="inlineStr">
        <is>
          <t>GST and tax compliance</t>
        </is>
      </c>
      <c r="U295" s="8" t="inlineStr"/>
      <c r="V295" s="8" t="inlineStr">
        <is>
          <t>accounting</t>
        </is>
      </c>
      <c r="W295" s="8" t="inlineStr">
        <is>
          <t>CONTROL</t>
        </is>
      </c>
      <c r="X295" s="5" t="inlineStr">
        <is>
          <t>Core</t>
        </is>
      </c>
      <c r="Y295" s="5" t="inlineStr">
        <is>
          <t>Cross-persona</t>
        </is>
      </c>
      <c r="Z295" s="5" t="inlineStr">
        <is>
          <t>Critical</t>
        </is>
      </c>
      <c r="AA295" s="5" t="inlineStr">
        <is>
          <t>High</t>
        </is>
      </c>
      <c r="AB295" s="8" t="inlineStr">
        <is>
          <t>High</t>
        </is>
      </c>
      <c r="AC295" s="8" t="inlineStr">
        <is>
          <t>Pilot</t>
        </is>
      </c>
      <c r="AD295" s="5" t="inlineStr">
        <is>
          <t>Not independently checked</t>
        </is>
      </c>
      <c r="AE295" s="5" t="inlineStr">
        <is>
          <t>Not verified</t>
        </is>
      </c>
      <c r="AF295" s="5" t="inlineStr">
        <is>
          <t>Not verified</t>
        </is>
      </c>
      <c r="AG295" s="5" t="inlineStr">
        <is>
          <t>Not verified</t>
        </is>
      </c>
      <c r="AH295" s="5" t="inlineStr">
        <is>
          <t>Not verified</t>
        </is>
      </c>
      <c r="AI295" s="8" t="inlineStr">
        <is>
          <t>No</t>
        </is>
      </c>
      <c r="AJ295" s="8" t="inlineStr">
        <is>
          <t>Claimed - unverified</t>
        </is>
      </c>
      <c r="AK295" s="8" t="inlineStr">
        <is>
          <t>P1</t>
        </is>
      </c>
      <c r="AL295" s="8" t="n">
        <v>27</v>
      </c>
      <c r="AM295" s="5" t="inlineStr"/>
      <c r="AN295" s="5" t="inlineStr"/>
      <c r="AO295" s="5" t="inlineStr"/>
      <c r="AP295" s="5" t="inlineStr"/>
      <c r="AQ295" s="5" t="inlineStr"/>
      <c r="AR295" s="5" t="inlineStr"/>
      <c r="AS295" s="5" t="inlineStr"/>
      <c r="AT295" s="5" t="inlineStr"/>
      <c r="AU295" s="8" t="inlineStr">
        <is>
          <t>Not run</t>
        </is>
      </c>
    </row>
    <row r="296" ht="32" customHeight="1">
      <c r="A296" s="16" t="inlineStr">
        <is>
          <t>X-0295</t>
        </is>
      </c>
      <c r="B296" s="8" t="inlineStr">
        <is>
          <t>X</t>
        </is>
      </c>
      <c r="C296" s="5" t="inlineStr">
        <is>
          <t>Multiple / Cross-persona</t>
        </is>
      </c>
      <c r="D296" s="5" t="inlineStr">
        <is>
          <t>GST / Tax / Compliance</t>
        </is>
      </c>
      <c r="E296" s="5" t="inlineStr">
        <is>
          <t>Accepted invoice → ITC eligibility calculation</t>
        </is>
      </c>
      <c r="F296" s="5" t="inlineStr">
        <is>
          <t>Tax Calculation Engine</t>
        </is>
      </c>
      <c r="G296" s="5" t="inlineStr">
        <is>
          <t>In-house Accountant</t>
        </is>
      </c>
      <c r="H296" s="5" t="inlineStr">
        <is>
          <t>Accepted IMS invoices automatically included in total eligible Input Tax Credit for GSTR-3B</t>
        </is>
      </c>
      <c r="I296" s="5" t="inlineStr">
        <is>
          <t>Computes total verified ITC available for set-off against monthly output tax liabilities</t>
        </is>
      </c>
      <c r="J296" s="20" t="inlineStr">
        <is>
          <t>P1</t>
        </is>
      </c>
      <c r="K296" s="20" t="inlineStr">
        <is>
          <t>Validated (Supported)</t>
        </is>
      </c>
      <c r="L296" s="5" t="inlineStr">
        <is>
          <t>Supported via automated GSTR-3B Table 4 computation from accepted invoices.</t>
        </is>
      </c>
      <c r="M296" s="8" t="inlineStr">
        <is>
          <t>Baseline</t>
        </is>
      </c>
      <c r="N296" s="8" t="inlineStr">
        <is>
          <t>Cross-persona</t>
        </is>
      </c>
      <c r="O296" s="8" t="inlineStr">
        <is>
          <t>P1</t>
        </is>
      </c>
      <c r="P296" s="5" t="inlineStr">
        <is>
          <t>Unchanged</t>
        </is>
      </c>
      <c r="Q296" s="20" t="inlineStr">
        <is>
          <t>Author assertion</t>
        </is>
      </c>
      <c r="R296" s="5" t="inlineStr"/>
      <c r="S296" s="8" t="inlineStr">
        <is>
          <t>GST</t>
        </is>
      </c>
      <c r="T296" s="5" t="inlineStr">
        <is>
          <t>GST and tax compliance</t>
        </is>
      </c>
      <c r="U296" s="8" t="inlineStr"/>
      <c r="V296" s="8" t="inlineStr">
        <is>
          <t>accounting</t>
        </is>
      </c>
      <c r="W296" s="8" t="inlineStr">
        <is>
          <t>CONTROL</t>
        </is>
      </c>
      <c r="X296" s="5" t="inlineStr">
        <is>
          <t>Core</t>
        </is>
      </c>
      <c r="Y296" s="5" t="inlineStr">
        <is>
          <t>Cross-persona</t>
        </is>
      </c>
      <c r="Z296" s="5" t="inlineStr">
        <is>
          <t>Critical</t>
        </is>
      </c>
      <c r="AA296" s="5" t="inlineStr">
        <is>
          <t>High</t>
        </is>
      </c>
      <c r="AB296" s="8" t="inlineStr">
        <is>
          <t>High</t>
        </is>
      </c>
      <c r="AC296" s="8" t="inlineStr">
        <is>
          <t>Pilot</t>
        </is>
      </c>
      <c r="AD296" s="5" t="inlineStr">
        <is>
          <t>Not independently checked</t>
        </is>
      </c>
      <c r="AE296" s="5" t="inlineStr">
        <is>
          <t>Not verified</t>
        </is>
      </c>
      <c r="AF296" s="5" t="inlineStr">
        <is>
          <t>Not verified</t>
        </is>
      </c>
      <c r="AG296" s="5" t="inlineStr">
        <is>
          <t>Not verified</t>
        </is>
      </c>
      <c r="AH296" s="5" t="inlineStr">
        <is>
          <t>Not verified</t>
        </is>
      </c>
      <c r="AI296" s="8" t="inlineStr">
        <is>
          <t>No</t>
        </is>
      </c>
      <c r="AJ296" s="8" t="inlineStr">
        <is>
          <t>Claimed - unverified</t>
        </is>
      </c>
      <c r="AK296" s="8" t="inlineStr">
        <is>
          <t>P1</t>
        </is>
      </c>
      <c r="AL296" s="8" t="n">
        <v>27</v>
      </c>
      <c r="AM296" s="5" t="inlineStr"/>
      <c r="AN296" s="5" t="inlineStr"/>
      <c r="AO296" s="5" t="inlineStr"/>
      <c r="AP296" s="5" t="inlineStr"/>
      <c r="AQ296" s="5" t="inlineStr"/>
      <c r="AR296" s="5" t="inlineStr"/>
      <c r="AS296" s="5" t="inlineStr"/>
      <c r="AT296" s="5" t="inlineStr"/>
      <c r="AU296" s="8" t="inlineStr">
        <is>
          <t>Not run</t>
        </is>
      </c>
    </row>
    <row r="297" ht="32" customHeight="1">
      <c r="A297" s="16" t="inlineStr">
        <is>
          <t>X-0296</t>
        </is>
      </c>
      <c r="B297" s="8" t="inlineStr">
        <is>
          <t>X</t>
        </is>
      </c>
      <c r="C297" s="5" t="inlineStr">
        <is>
          <t>Multiple / Cross-persona</t>
        </is>
      </c>
      <c r="D297" s="5" t="inlineStr">
        <is>
          <t>GST / Tax / Compliance</t>
        </is>
      </c>
      <c r="E297" s="5" t="inlineStr">
        <is>
          <t>Rejected invoice → ITC exclusion</t>
        </is>
      </c>
      <c r="F297" s="5" t="inlineStr">
        <is>
          <t>Tax Calculation Engine</t>
        </is>
      </c>
      <c r="G297" s="5" t="inlineStr">
        <is>
          <t>In-house Accountant</t>
        </is>
      </c>
      <c r="H297" s="5" t="inlineStr">
        <is>
          <t>Rejected IMS invoices automatically excluded from ITC claims to prevent tax audit notices</t>
        </is>
      </c>
      <c r="I297" s="5" t="inlineStr">
        <is>
          <t>Excludes rejected invoice tax from eligible ITC pool; prevents irregular credit claims</t>
        </is>
      </c>
      <c r="J297" s="20" t="inlineStr">
        <is>
          <t>P1</t>
        </is>
      </c>
      <c r="K297" s="20" t="inlineStr">
        <is>
          <t>Validated (Supported)</t>
        </is>
      </c>
      <c r="L297" s="5" t="inlineStr">
        <is>
          <t>Core compliance invariant: rejected supplier invoices strictly blocked from GSTR-3B ITC.</t>
        </is>
      </c>
      <c r="M297" s="8" t="inlineStr">
        <is>
          <t>Baseline</t>
        </is>
      </c>
      <c r="N297" s="8" t="inlineStr">
        <is>
          <t>Cross-persona</t>
        </is>
      </c>
      <c r="O297" s="8" t="inlineStr">
        <is>
          <t>P1</t>
        </is>
      </c>
      <c r="P297" s="5" t="inlineStr">
        <is>
          <t>Unchanged</t>
        </is>
      </c>
      <c r="Q297" s="20" t="inlineStr">
        <is>
          <t>Author assertion</t>
        </is>
      </c>
      <c r="R297" s="5" t="inlineStr"/>
      <c r="S297" s="8" t="inlineStr">
        <is>
          <t>GST</t>
        </is>
      </c>
      <c r="T297" s="5" t="inlineStr">
        <is>
          <t>GST and tax compliance</t>
        </is>
      </c>
      <c r="U297" s="8" t="inlineStr"/>
      <c r="V297" s="8" t="inlineStr">
        <is>
          <t>accounting</t>
        </is>
      </c>
      <c r="W297" s="8" t="inlineStr">
        <is>
          <t>CONTROL</t>
        </is>
      </c>
      <c r="X297" s="5" t="inlineStr">
        <is>
          <t>Core</t>
        </is>
      </c>
      <c r="Y297" s="5" t="inlineStr">
        <is>
          <t>Cross-persona</t>
        </is>
      </c>
      <c r="Z297" s="5" t="inlineStr">
        <is>
          <t>Critical</t>
        </is>
      </c>
      <c r="AA297" s="5" t="inlineStr">
        <is>
          <t>High</t>
        </is>
      </c>
      <c r="AB297" s="8" t="inlineStr">
        <is>
          <t>High</t>
        </is>
      </c>
      <c r="AC297" s="8" t="inlineStr">
        <is>
          <t>Pilot</t>
        </is>
      </c>
      <c r="AD297" s="5" t="inlineStr">
        <is>
          <t>Not independently checked</t>
        </is>
      </c>
      <c r="AE297" s="5" t="inlineStr">
        <is>
          <t>Not verified</t>
        </is>
      </c>
      <c r="AF297" s="5" t="inlineStr">
        <is>
          <t>Not verified</t>
        </is>
      </c>
      <c r="AG297" s="5" t="inlineStr">
        <is>
          <t>Not verified</t>
        </is>
      </c>
      <c r="AH297" s="5" t="inlineStr">
        <is>
          <t>Not verified</t>
        </is>
      </c>
      <c r="AI297" s="8" t="inlineStr">
        <is>
          <t>No</t>
        </is>
      </c>
      <c r="AJ297" s="8" t="inlineStr">
        <is>
          <t>Claimed - unverified</t>
        </is>
      </c>
      <c r="AK297" s="8" t="inlineStr">
        <is>
          <t>P1</t>
        </is>
      </c>
      <c r="AL297" s="8" t="n">
        <v>27</v>
      </c>
      <c r="AM297" s="5" t="inlineStr"/>
      <c r="AN297" s="5" t="inlineStr"/>
      <c r="AO297" s="5" t="inlineStr"/>
      <c r="AP297" s="5" t="inlineStr"/>
      <c r="AQ297" s="5" t="inlineStr"/>
      <c r="AR297" s="5" t="inlineStr"/>
      <c r="AS297" s="5" t="inlineStr"/>
      <c r="AT297" s="5" t="inlineStr"/>
      <c r="AU297" s="8" t="inlineStr">
        <is>
          <t>Not run</t>
        </is>
      </c>
    </row>
    <row r="298" ht="32" customHeight="1">
      <c r="A298" s="16" t="inlineStr">
        <is>
          <t>X-0297</t>
        </is>
      </c>
      <c r="B298" s="8" t="inlineStr">
        <is>
          <t>X</t>
        </is>
      </c>
      <c r="C298" s="5" t="inlineStr">
        <is>
          <t>Multiple / Cross-persona</t>
        </is>
      </c>
      <c r="D298" s="5" t="inlineStr">
        <is>
          <t>GST / Tax / Compliance</t>
        </is>
      </c>
      <c r="E298" s="5" t="inlineStr">
        <is>
          <t>Missing supplier invoice → exception</t>
        </is>
      </c>
      <c r="F298" s="5" t="inlineStr">
        <is>
          <t>In-house Accountant</t>
        </is>
      </c>
      <c r="G298" s="5" t="inlineStr">
        <is>
          <t>Purchase Manager / Supplier</t>
        </is>
      </c>
      <c r="H298" s="5" t="inlineStr">
        <is>
          <t>Purchases recorded in books but missing in supplier's GSTR-1/2B flagged as missing invoice</t>
        </is>
      </c>
      <c r="I298" s="5" t="inlineStr">
        <is>
          <t>Generates Missing Document exception; alerts purchase team to chase supplier for GSTR-1 filing</t>
        </is>
      </c>
      <c r="J298" s="20" t="inlineStr">
        <is>
          <t>P1</t>
        </is>
      </c>
      <c r="K298" s="20" t="inlineStr">
        <is>
          <t>Validated (Supported)</t>
        </is>
      </c>
      <c r="L298" s="5" t="inlineStr">
        <is>
          <t>Supported via GSTR-2B reconciliation missing invoice report.</t>
        </is>
      </c>
      <c r="M298" s="8" t="inlineStr">
        <is>
          <t>Baseline</t>
        </is>
      </c>
      <c r="N298" s="8" t="inlineStr">
        <is>
          <t>Cross-persona</t>
        </is>
      </c>
      <c r="O298" s="8" t="inlineStr">
        <is>
          <t>P1</t>
        </is>
      </c>
      <c r="P298" s="5" t="inlineStr">
        <is>
          <t>Unchanged</t>
        </is>
      </c>
      <c r="Q298" s="20" t="inlineStr">
        <is>
          <t>Author assertion</t>
        </is>
      </c>
      <c r="R298" s="5" t="inlineStr"/>
      <c r="S298" s="8" t="inlineStr">
        <is>
          <t>GST</t>
        </is>
      </c>
      <c r="T298" s="5" t="inlineStr">
        <is>
          <t>GST and tax compliance</t>
        </is>
      </c>
      <c r="U298" s="8" t="inlineStr"/>
      <c r="V298" s="8" t="inlineStr">
        <is>
          <t>accounting</t>
        </is>
      </c>
      <c r="W298" s="8" t="inlineStr">
        <is>
          <t>CONTROL</t>
        </is>
      </c>
      <c r="X298" s="5" t="inlineStr">
        <is>
          <t>Core</t>
        </is>
      </c>
      <c r="Y298" s="5" t="inlineStr">
        <is>
          <t>Cross-persona</t>
        </is>
      </c>
      <c r="Z298" s="5" t="inlineStr">
        <is>
          <t>Critical</t>
        </is>
      </c>
      <c r="AA298" s="5" t="inlineStr">
        <is>
          <t>High</t>
        </is>
      </c>
      <c r="AB298" s="8" t="inlineStr">
        <is>
          <t>High</t>
        </is>
      </c>
      <c r="AC298" s="8" t="inlineStr">
        <is>
          <t>Pilot</t>
        </is>
      </c>
      <c r="AD298" s="5" t="inlineStr">
        <is>
          <t>Not independently checked</t>
        </is>
      </c>
      <c r="AE298" s="5" t="inlineStr">
        <is>
          <t>Not verified</t>
        </is>
      </c>
      <c r="AF298" s="5" t="inlineStr">
        <is>
          <t>Not verified</t>
        </is>
      </c>
      <c r="AG298" s="5" t="inlineStr">
        <is>
          <t>Not verified</t>
        </is>
      </c>
      <c r="AH298" s="5" t="inlineStr">
        <is>
          <t>Not verified</t>
        </is>
      </c>
      <c r="AI298" s="8" t="inlineStr">
        <is>
          <t>No</t>
        </is>
      </c>
      <c r="AJ298" s="8" t="inlineStr">
        <is>
          <t>Claimed - unverified</t>
        </is>
      </c>
      <c r="AK298" s="8" t="inlineStr">
        <is>
          <t>P1</t>
        </is>
      </c>
      <c r="AL298" s="8" t="n">
        <v>27</v>
      </c>
      <c r="AM298" s="5" t="inlineStr"/>
      <c r="AN298" s="5" t="inlineStr"/>
      <c r="AO298" s="5" t="inlineStr"/>
      <c r="AP298" s="5" t="inlineStr"/>
      <c r="AQ298" s="5" t="inlineStr"/>
      <c r="AR298" s="5" t="inlineStr"/>
      <c r="AS298" s="5" t="inlineStr"/>
      <c r="AT298" s="5" t="inlineStr"/>
      <c r="AU298" s="8" t="inlineStr">
        <is>
          <t>Not run</t>
        </is>
      </c>
    </row>
    <row r="299" ht="32" customHeight="1">
      <c r="A299" s="16" t="inlineStr">
        <is>
          <t>X-0298</t>
        </is>
      </c>
      <c r="B299" s="8" t="inlineStr">
        <is>
          <t>X</t>
        </is>
      </c>
      <c r="C299" s="5" t="inlineStr">
        <is>
          <t>Multiple / Cross-persona</t>
        </is>
      </c>
      <c r="D299" s="5" t="inlineStr">
        <is>
          <t>GST / Tax / Compliance</t>
        </is>
      </c>
      <c r="E299" s="5" t="inlineStr">
        <is>
          <t>Invoice mismatch → exception</t>
        </is>
      </c>
      <c r="F299" s="5" t="inlineStr">
        <is>
          <t>In-house Accountant</t>
        </is>
      </c>
      <c r="G299" s="5" t="inlineStr">
        <is>
          <t>Supplier</t>
        </is>
      </c>
      <c r="H299" s="5" t="inlineStr">
        <is>
          <t>Discrepancies in taxable value or tax amounts between books and GSTR-2B flagged as mismatch</t>
        </is>
      </c>
      <c r="I299" s="5" t="inlineStr">
        <is>
          <t>Generates Tax Mismatch exception detailing value difference; initiates dispute resolution</t>
        </is>
      </c>
      <c r="J299" s="20" t="inlineStr">
        <is>
          <t>P1</t>
        </is>
      </c>
      <c r="K299" s="20" t="inlineStr">
        <is>
          <t>Validated (Supported)</t>
        </is>
      </c>
      <c r="L299" s="5" t="inlineStr">
        <is>
          <t>Supported via GSTR-2B discrepancy drill-down with line-item comparison.</t>
        </is>
      </c>
      <c r="M299" s="8" t="inlineStr">
        <is>
          <t>Baseline</t>
        </is>
      </c>
      <c r="N299" s="8" t="inlineStr">
        <is>
          <t>Cross-persona</t>
        </is>
      </c>
      <c r="O299" s="8" t="inlineStr">
        <is>
          <t>P1</t>
        </is>
      </c>
      <c r="P299" s="5" t="inlineStr">
        <is>
          <t>Unchanged</t>
        </is>
      </c>
      <c r="Q299" s="20" t="inlineStr">
        <is>
          <t>Author assertion</t>
        </is>
      </c>
      <c r="R299" s="5" t="inlineStr"/>
      <c r="S299" s="8" t="inlineStr">
        <is>
          <t>GST</t>
        </is>
      </c>
      <c r="T299" s="5" t="inlineStr">
        <is>
          <t>GST and tax compliance</t>
        </is>
      </c>
      <c r="U299" s="8" t="inlineStr"/>
      <c r="V299" s="8" t="inlineStr">
        <is>
          <t>accounting</t>
        </is>
      </c>
      <c r="W299" s="8" t="inlineStr">
        <is>
          <t>CONTROL</t>
        </is>
      </c>
      <c r="X299" s="5" t="inlineStr">
        <is>
          <t>Core</t>
        </is>
      </c>
      <c r="Y299" s="5" t="inlineStr">
        <is>
          <t>Cross-persona</t>
        </is>
      </c>
      <c r="Z299" s="5" t="inlineStr">
        <is>
          <t>Critical</t>
        </is>
      </c>
      <c r="AA299" s="5" t="inlineStr">
        <is>
          <t>High</t>
        </is>
      </c>
      <c r="AB299" s="8" t="inlineStr">
        <is>
          <t>High</t>
        </is>
      </c>
      <c r="AC299" s="8" t="inlineStr">
        <is>
          <t>Pilot</t>
        </is>
      </c>
      <c r="AD299" s="5" t="inlineStr">
        <is>
          <t>Not independently checked</t>
        </is>
      </c>
      <c r="AE299" s="5" t="inlineStr">
        <is>
          <t>Not verified</t>
        </is>
      </c>
      <c r="AF299" s="5" t="inlineStr">
        <is>
          <t>Not verified</t>
        </is>
      </c>
      <c r="AG299" s="5" t="inlineStr">
        <is>
          <t>Not verified</t>
        </is>
      </c>
      <c r="AH299" s="5" t="inlineStr">
        <is>
          <t>Not verified</t>
        </is>
      </c>
      <c r="AI299" s="8" t="inlineStr">
        <is>
          <t>No</t>
        </is>
      </c>
      <c r="AJ299" s="8" t="inlineStr">
        <is>
          <t>Claimed - unverified</t>
        </is>
      </c>
      <c r="AK299" s="8" t="inlineStr">
        <is>
          <t>P1</t>
        </is>
      </c>
      <c r="AL299" s="8" t="n">
        <v>27</v>
      </c>
      <c r="AM299" s="5" t="inlineStr"/>
      <c r="AN299" s="5" t="inlineStr"/>
      <c r="AO299" s="5" t="inlineStr"/>
      <c r="AP299" s="5" t="inlineStr"/>
      <c r="AQ299" s="5" t="inlineStr"/>
      <c r="AR299" s="5" t="inlineStr"/>
      <c r="AS299" s="5" t="inlineStr"/>
      <c r="AT299" s="5" t="inlineStr"/>
      <c r="AU299" s="8" t="inlineStr">
        <is>
          <t>Not run</t>
        </is>
      </c>
    </row>
    <row r="300" ht="32" customHeight="1">
      <c r="A300" s="16" t="inlineStr">
        <is>
          <t>X-0299</t>
        </is>
      </c>
      <c r="B300" s="8" t="inlineStr">
        <is>
          <t>X</t>
        </is>
      </c>
      <c r="C300" s="5" t="inlineStr">
        <is>
          <t>Multiple / Cross-persona</t>
        </is>
      </c>
      <c r="D300" s="5" t="inlineStr">
        <is>
          <t>GST / Tax / Compliance</t>
        </is>
      </c>
      <c r="E300" s="5" t="inlineStr">
        <is>
          <t>Duplicate invoice → duplicate detection</t>
        </is>
      </c>
      <c r="F300" s="5" t="inlineStr">
        <is>
          <t>System / Validation Engine</t>
        </is>
      </c>
      <c r="G300" s="5" t="inlineStr">
        <is>
          <t>In-house Accountant</t>
        </is>
      </c>
      <c r="H300" s="5" t="inlineStr">
        <is>
          <t>Duplicate supplier invoice numbers detected automatically upon entry or GSTR-2B import</t>
        </is>
      </c>
      <c r="I300" s="5" t="inlineStr">
        <is>
          <t>Blocks duplicate entry; alerts user that invoice was already recorded in previous period</t>
        </is>
      </c>
      <c r="J300" s="20" t="inlineStr">
        <is>
          <t>P1</t>
        </is>
      </c>
      <c r="K300" s="20" t="inlineStr">
        <is>
          <t>Validated (Supported)</t>
        </is>
      </c>
      <c r="L300" s="5" t="inlineStr">
        <is>
          <t>Enforced via unique database constraint (company_id, supplier_id, invoice_number).</t>
        </is>
      </c>
      <c r="M300" s="8" t="inlineStr">
        <is>
          <t>Baseline</t>
        </is>
      </c>
      <c r="N300" s="8" t="inlineStr">
        <is>
          <t>Cross-persona</t>
        </is>
      </c>
      <c r="O300" s="8" t="inlineStr">
        <is>
          <t>P1</t>
        </is>
      </c>
      <c r="P300" s="5" t="inlineStr">
        <is>
          <t>Unchanged</t>
        </is>
      </c>
      <c r="Q300" s="21" t="inlineStr">
        <is>
          <t>Code symbol found</t>
        </is>
      </c>
      <c r="R300" s="5" t="inlineStr">
        <is>
          <t>Matched invoice_number in product code. This is not a functional test.</t>
        </is>
      </c>
      <c r="S300" s="8" t="inlineStr">
        <is>
          <t>GST</t>
        </is>
      </c>
      <c r="T300" s="5" t="inlineStr">
        <is>
          <t>GST and tax compliance</t>
        </is>
      </c>
      <c r="U300" s="8" t="inlineStr"/>
      <c r="V300" s="8" t="inlineStr">
        <is>
          <t>accounting</t>
        </is>
      </c>
      <c r="W300" s="8" t="inlineStr">
        <is>
          <t>CONTROL</t>
        </is>
      </c>
      <c r="X300" s="5" t="inlineStr">
        <is>
          <t>Core</t>
        </is>
      </c>
      <c r="Y300" s="5" t="inlineStr">
        <is>
          <t>Cross-persona</t>
        </is>
      </c>
      <c r="Z300" s="5" t="inlineStr">
        <is>
          <t>Critical</t>
        </is>
      </c>
      <c r="AA300" s="5" t="inlineStr">
        <is>
          <t>High</t>
        </is>
      </c>
      <c r="AB300" s="8" t="inlineStr">
        <is>
          <t>High</t>
        </is>
      </c>
      <c r="AC300" s="8" t="inlineStr">
        <is>
          <t>Pilot</t>
        </is>
      </c>
      <c r="AD300" s="5" t="inlineStr">
        <is>
          <t>Cited in code</t>
        </is>
      </c>
      <c r="AE300" s="5" t="inlineStr">
        <is>
          <t>Not verified</t>
        </is>
      </c>
      <c r="AF300" s="5" t="inlineStr">
        <is>
          <t>Not verified</t>
        </is>
      </c>
      <c r="AG300" s="5" t="inlineStr">
        <is>
          <t>Not verified</t>
        </is>
      </c>
      <c r="AH300" s="5" t="inlineStr">
        <is>
          <t>Not verified</t>
        </is>
      </c>
      <c r="AI300" s="8" t="inlineStr">
        <is>
          <t>No</t>
        </is>
      </c>
      <c r="AJ300" s="8" t="inlineStr">
        <is>
          <t>Built - unverified</t>
        </is>
      </c>
      <c r="AK300" s="8" t="inlineStr">
        <is>
          <t>P1</t>
        </is>
      </c>
      <c r="AL300" s="8" t="n">
        <v>27</v>
      </c>
      <c r="AM300" s="5" t="inlineStr"/>
      <c r="AN300" s="5" t="inlineStr"/>
      <c r="AO300" s="5" t="inlineStr"/>
      <c r="AP300" s="5" t="inlineStr"/>
      <c r="AQ300" s="5" t="inlineStr"/>
      <c r="AR300" s="5" t="inlineStr"/>
      <c r="AS300" s="5" t="inlineStr"/>
      <c r="AT300" s="5" t="inlineStr"/>
      <c r="AU300" s="8" t="inlineStr">
        <is>
          <t>Not run</t>
        </is>
      </c>
    </row>
    <row r="301" ht="32" customHeight="1">
      <c r="A301" s="16" t="inlineStr">
        <is>
          <t>X-0300</t>
        </is>
      </c>
      <c r="B301" s="8" t="inlineStr">
        <is>
          <t>X</t>
        </is>
      </c>
      <c r="C301" s="5" t="inlineStr">
        <is>
          <t>Multiple / Cross-persona</t>
        </is>
      </c>
      <c r="D301" s="5" t="inlineStr">
        <is>
          <t>GST / Tax / Compliance</t>
        </is>
      </c>
      <c r="E301" s="5" t="inlineStr">
        <is>
          <t>Supplier defect → supplier defect score updates</t>
        </is>
      </c>
      <c r="F301" s="5" t="inlineStr">
        <is>
          <t>System / Vendor Scoring</t>
        </is>
      </c>
      <c r="G301" s="5" t="inlineStr">
        <is>
          <t>Purchase Manager</t>
        </is>
      </c>
      <c r="H301" s="5" t="inlineStr">
        <is>
          <t>Suppliers with missing invoices, tax errors, or delayed filings penalized in compliance score</t>
        </is>
      </c>
      <c r="I301" s="5" t="inlineStr">
        <is>
          <t>Updates supplier compliance score; displays risk badge on future purchase orders</t>
        </is>
      </c>
      <c r="J301" s="20" t="inlineStr">
        <is>
          <t>P1</t>
        </is>
      </c>
      <c r="K301" s="20" t="inlineStr">
        <is>
          <t>Validated (Supported)</t>
        </is>
      </c>
      <c r="L301" s="5" t="inlineStr">
        <is>
          <t>Supported via Supplier Compliance Scorecard in purchases module.</t>
        </is>
      </c>
      <c r="M301" s="8" t="inlineStr">
        <is>
          <t>Baseline</t>
        </is>
      </c>
      <c r="N301" s="8" t="inlineStr">
        <is>
          <t>Cross-persona</t>
        </is>
      </c>
      <c r="O301" s="8" t="inlineStr">
        <is>
          <t>P1</t>
        </is>
      </c>
      <c r="P301" s="5" t="inlineStr">
        <is>
          <t>Unchanged</t>
        </is>
      </c>
      <c r="Q301" s="20" t="inlineStr">
        <is>
          <t>Author assertion</t>
        </is>
      </c>
      <c r="R301" s="5" t="inlineStr"/>
      <c r="S301" s="8" t="inlineStr">
        <is>
          <t>GST</t>
        </is>
      </c>
      <c r="T301" s="5" t="inlineStr">
        <is>
          <t>GST and tax compliance</t>
        </is>
      </c>
      <c r="U301" s="8" t="inlineStr"/>
      <c r="V301" s="8" t="inlineStr">
        <is>
          <t>accounting</t>
        </is>
      </c>
      <c r="W301" s="8" t="inlineStr">
        <is>
          <t>CONTROL</t>
        </is>
      </c>
      <c r="X301" s="5" t="inlineStr">
        <is>
          <t>Core</t>
        </is>
      </c>
      <c r="Y301" s="5" t="inlineStr">
        <is>
          <t>Cross-persona</t>
        </is>
      </c>
      <c r="Z301" s="5" t="inlineStr">
        <is>
          <t>Critical</t>
        </is>
      </c>
      <c r="AA301" s="5" t="inlineStr">
        <is>
          <t>High</t>
        </is>
      </c>
      <c r="AB301" s="8" t="inlineStr">
        <is>
          <t>High</t>
        </is>
      </c>
      <c r="AC301" s="8" t="inlineStr">
        <is>
          <t>Pilot</t>
        </is>
      </c>
      <c r="AD301" s="5" t="inlineStr">
        <is>
          <t>Not independently checked</t>
        </is>
      </c>
      <c r="AE301" s="5" t="inlineStr">
        <is>
          <t>Not verified</t>
        </is>
      </c>
      <c r="AF301" s="5" t="inlineStr">
        <is>
          <t>Not verified</t>
        </is>
      </c>
      <c r="AG301" s="5" t="inlineStr">
        <is>
          <t>Not verified</t>
        </is>
      </c>
      <c r="AH301" s="5" t="inlineStr">
        <is>
          <t>Not verified</t>
        </is>
      </c>
      <c r="AI301" s="8" t="inlineStr">
        <is>
          <t>No</t>
        </is>
      </c>
      <c r="AJ301" s="8" t="inlineStr">
        <is>
          <t>Claimed - unverified</t>
        </is>
      </c>
      <c r="AK301" s="8" t="inlineStr">
        <is>
          <t>P1</t>
        </is>
      </c>
      <c r="AL301" s="8" t="n">
        <v>27</v>
      </c>
      <c r="AM301" s="5" t="inlineStr"/>
      <c r="AN301" s="5" t="inlineStr"/>
      <c r="AO301" s="5" t="inlineStr"/>
      <c r="AP301" s="5" t="inlineStr"/>
      <c r="AQ301" s="5" t="inlineStr"/>
      <c r="AR301" s="5" t="inlineStr"/>
      <c r="AS301" s="5" t="inlineStr"/>
      <c r="AT301" s="5" t="inlineStr"/>
      <c r="AU301" s="8" t="inlineStr">
        <is>
          <t>Not run</t>
        </is>
      </c>
    </row>
    <row r="302" ht="32" customHeight="1">
      <c r="A302" s="16" t="inlineStr">
        <is>
          <t>X-0301</t>
        </is>
      </c>
      <c r="B302" s="8" t="inlineStr">
        <is>
          <t>X</t>
        </is>
      </c>
      <c r="C302" s="5" t="inlineStr">
        <is>
          <t>Multiple / Cross-persona</t>
        </is>
      </c>
      <c r="D302" s="5" t="inlineStr">
        <is>
          <t>GST / Tax / Compliance</t>
        </is>
      </c>
      <c r="E302" s="5" t="inlineStr">
        <is>
          <t>ITC deadline approaching → alert</t>
        </is>
      </c>
      <c r="F302" s="5" t="inlineStr">
        <is>
          <t>Alert Notification Engine</t>
        </is>
      </c>
      <c r="G302" s="5" t="inlineStr">
        <is>
          <t>In-house Accountant / Owner</t>
        </is>
      </c>
      <c r="H302" s="5" t="inlineStr">
        <is>
          <t>Proactive alert warning of approaching Section 16(4) statutory deadline for claiming open ITC</t>
        </is>
      </c>
      <c r="I302" s="5" t="inlineStr">
        <is>
          <t>Surfaces high-priority warning for unclaimed purchase invoices older than 180 days</t>
        </is>
      </c>
      <c r="J302" s="20" t="inlineStr">
        <is>
          <t>P1</t>
        </is>
      </c>
      <c r="K302" s="20" t="inlineStr">
        <is>
          <t>Validated (Supported)</t>
        </is>
      </c>
      <c r="L302" s="5" t="inlineStr">
        <is>
          <t>Supported via statutory deadline alert trigger in GST module.</t>
        </is>
      </c>
      <c r="M302" s="8" t="inlineStr">
        <is>
          <t>Baseline</t>
        </is>
      </c>
      <c r="N302" s="8" t="inlineStr">
        <is>
          <t>Cross-persona</t>
        </is>
      </c>
      <c r="O302" s="8" t="inlineStr">
        <is>
          <t>P1</t>
        </is>
      </c>
      <c r="P302" s="5" t="inlineStr">
        <is>
          <t>Restored to authored P1. The previous workbook had P0 after a keyword rebalance.</t>
        </is>
      </c>
      <c r="Q302" s="20" t="inlineStr">
        <is>
          <t>Author assertion</t>
        </is>
      </c>
      <c r="R302" s="5" t="inlineStr">
        <is>
          <t>Restored to authored P1. The previous workbook had P0 after a keyword rebalance.</t>
        </is>
      </c>
      <c r="S302" s="8" t="inlineStr">
        <is>
          <t>GST</t>
        </is>
      </c>
      <c r="T302" s="5" t="inlineStr">
        <is>
          <t>GST and tax compliance</t>
        </is>
      </c>
      <c r="U302" s="8" t="inlineStr"/>
      <c r="V302" s="8" t="inlineStr">
        <is>
          <t>accounting</t>
        </is>
      </c>
      <c r="W302" s="8" t="inlineStr">
        <is>
          <t>CONTROL</t>
        </is>
      </c>
      <c r="X302" s="5" t="inlineStr">
        <is>
          <t>Core</t>
        </is>
      </c>
      <c r="Y302" s="5" t="inlineStr">
        <is>
          <t>Cross-persona</t>
        </is>
      </c>
      <c r="Z302" s="5" t="inlineStr">
        <is>
          <t>Critical</t>
        </is>
      </c>
      <c r="AA302" s="5" t="inlineStr">
        <is>
          <t>High</t>
        </is>
      </c>
      <c r="AB302" s="8" t="inlineStr">
        <is>
          <t>High</t>
        </is>
      </c>
      <c r="AC302" s="8" t="inlineStr">
        <is>
          <t>Pilot</t>
        </is>
      </c>
      <c r="AD302" s="5" t="inlineStr">
        <is>
          <t>Not independently checked</t>
        </is>
      </c>
      <c r="AE302" s="5" t="inlineStr">
        <is>
          <t>Not verified</t>
        </is>
      </c>
      <c r="AF302" s="5" t="inlineStr">
        <is>
          <t>Not verified</t>
        </is>
      </c>
      <c r="AG302" s="5" t="inlineStr">
        <is>
          <t>Not verified</t>
        </is>
      </c>
      <c r="AH302" s="5" t="inlineStr">
        <is>
          <t>Not verified</t>
        </is>
      </c>
      <c r="AI302" s="8" t="inlineStr">
        <is>
          <t>No</t>
        </is>
      </c>
      <c r="AJ302" s="8" t="inlineStr">
        <is>
          <t>Claimed - unverified</t>
        </is>
      </c>
      <c r="AK302" s="8" t="inlineStr">
        <is>
          <t>P1</t>
        </is>
      </c>
      <c r="AL302" s="8" t="n">
        <v>27</v>
      </c>
      <c r="AM302" s="5" t="inlineStr"/>
      <c r="AN302" s="5" t="inlineStr"/>
      <c r="AO302" s="5" t="inlineStr"/>
      <c r="AP302" s="5" t="inlineStr"/>
      <c r="AQ302" s="5" t="inlineStr"/>
      <c r="AR302" s="5" t="inlineStr"/>
      <c r="AS302" s="5" t="inlineStr"/>
      <c r="AT302" s="5" t="inlineStr"/>
      <c r="AU302" s="8" t="inlineStr">
        <is>
          <t>Not run</t>
        </is>
      </c>
    </row>
    <row r="303" ht="32" customHeight="1">
      <c r="A303" s="16" t="inlineStr">
        <is>
          <t>X-0302</t>
        </is>
      </c>
      <c r="B303" s="8" t="inlineStr">
        <is>
          <t>X</t>
        </is>
      </c>
      <c r="C303" s="5" t="inlineStr">
        <is>
          <t>Multiple / Cross-persona</t>
        </is>
      </c>
      <c r="D303" s="5" t="inlineStr">
        <is>
          <t>GST / Tax / Compliance</t>
        </is>
      </c>
      <c r="E303" s="5" t="inlineStr">
        <is>
          <t>ITC-at-risk invoice → credit-at-risk dashboard updates</t>
        </is>
      </c>
      <c r="F303" s="5" t="inlineStr">
        <is>
          <t>Reporting &amp; Business Intelligence</t>
        </is>
      </c>
      <c r="G303" s="5" t="inlineStr">
        <is>
          <t>In-house Accountant / Owner</t>
        </is>
      </c>
      <c r="H303" s="5" t="inlineStr">
        <is>
          <t>Dashboard tracking total monetary value of Input Tax Credit currently at risk of lapsing</t>
        </is>
      </c>
      <c r="I303" s="5" t="inlineStr">
        <is>
          <t>Aggregates total disputed or unfiled ITC; updates Credit-at-Risk KPI card on home screen</t>
        </is>
      </c>
      <c r="J303" s="20" t="inlineStr">
        <is>
          <t>P1</t>
        </is>
      </c>
      <c r="K303" s="20" t="inlineStr">
        <is>
          <t>Validated (Supported)</t>
        </is>
      </c>
      <c r="L303" s="5" t="inlineStr">
        <is>
          <t>Supported via Credit-at-Risk Dashboard (/gst/itc-risk/).</t>
        </is>
      </c>
      <c r="M303" s="8" t="inlineStr">
        <is>
          <t>Baseline</t>
        </is>
      </c>
      <c r="N303" s="8" t="inlineStr">
        <is>
          <t>Cross-persona</t>
        </is>
      </c>
      <c r="O303" s="8" t="inlineStr">
        <is>
          <t>P1</t>
        </is>
      </c>
      <c r="P303" s="5" t="inlineStr">
        <is>
          <t>Unchanged</t>
        </is>
      </c>
      <c r="Q303" s="20" t="inlineStr">
        <is>
          <t>Author assertion</t>
        </is>
      </c>
      <c r="R303" s="5" t="inlineStr"/>
      <c r="S303" s="8" t="inlineStr">
        <is>
          <t>GST</t>
        </is>
      </c>
      <c r="T303" s="5" t="inlineStr">
        <is>
          <t>GST and tax compliance</t>
        </is>
      </c>
      <c r="U303" s="8" t="inlineStr"/>
      <c r="V303" s="8" t="inlineStr">
        <is>
          <t>accounting</t>
        </is>
      </c>
      <c r="W303" s="8" t="inlineStr">
        <is>
          <t>CONTROL</t>
        </is>
      </c>
      <c r="X303" s="5" t="inlineStr">
        <is>
          <t>Core</t>
        </is>
      </c>
      <c r="Y303" s="5" t="inlineStr">
        <is>
          <t>Cross-persona</t>
        </is>
      </c>
      <c r="Z303" s="5" t="inlineStr">
        <is>
          <t>Critical</t>
        </is>
      </c>
      <c r="AA303" s="5" t="inlineStr">
        <is>
          <t>High</t>
        </is>
      </c>
      <c r="AB303" s="8" t="inlineStr">
        <is>
          <t>High</t>
        </is>
      </c>
      <c r="AC303" s="8" t="inlineStr">
        <is>
          <t>Pilot</t>
        </is>
      </c>
      <c r="AD303" s="5" t="inlineStr">
        <is>
          <t>Not independently checked</t>
        </is>
      </c>
      <c r="AE303" s="5" t="inlineStr">
        <is>
          <t>Not verified</t>
        </is>
      </c>
      <c r="AF303" s="5" t="inlineStr">
        <is>
          <t>Not verified</t>
        </is>
      </c>
      <c r="AG303" s="5" t="inlineStr">
        <is>
          <t>Not verified</t>
        </is>
      </c>
      <c r="AH303" s="5" t="inlineStr">
        <is>
          <t>Not verified</t>
        </is>
      </c>
      <c r="AI303" s="8" t="inlineStr">
        <is>
          <t>No</t>
        </is>
      </c>
      <c r="AJ303" s="8" t="inlineStr">
        <is>
          <t>Claimed - unverified</t>
        </is>
      </c>
      <c r="AK303" s="8" t="inlineStr">
        <is>
          <t>P1</t>
        </is>
      </c>
      <c r="AL303" s="8" t="n">
        <v>27</v>
      </c>
      <c r="AM303" s="5" t="inlineStr"/>
      <c r="AN303" s="5" t="inlineStr"/>
      <c r="AO303" s="5" t="inlineStr"/>
      <c r="AP303" s="5" t="inlineStr"/>
      <c r="AQ303" s="5" t="inlineStr"/>
      <c r="AR303" s="5" t="inlineStr"/>
      <c r="AS303" s="5" t="inlineStr"/>
      <c r="AT303" s="5" t="inlineStr"/>
      <c r="AU303" s="8" t="inlineStr">
        <is>
          <t>Not run</t>
        </is>
      </c>
    </row>
    <row r="304" ht="32" customHeight="1">
      <c r="A304" s="16" t="inlineStr">
        <is>
          <t>X-0303</t>
        </is>
      </c>
      <c r="B304" s="8" t="inlineStr">
        <is>
          <t>X</t>
        </is>
      </c>
      <c r="C304" s="5" t="inlineStr">
        <is>
          <t>Multiple / Cross-persona</t>
        </is>
      </c>
      <c r="D304" s="5" t="inlineStr">
        <is>
          <t>GST / Tax / Compliance</t>
        </is>
      </c>
      <c r="E304" s="5" t="inlineStr">
        <is>
          <t>GST data correction → audit trail maintained</t>
        </is>
      </c>
      <c r="F304" s="5" t="inlineStr">
        <is>
          <t>Security / Exception / Recovery</t>
        </is>
      </c>
      <c r="G304" s="5" t="inlineStr">
        <is>
          <t>Statutory Auditor</t>
        </is>
      </c>
      <c r="H304" s="5" t="inlineStr">
        <is>
          <t>Any adjustments or corrections made to statutory tax data preserve complete audit trail</t>
        </is>
      </c>
      <c r="I304" s="5" t="inlineStr">
        <is>
          <t>Records user ID, previous tax values, new values, timestamp, and justification reason</t>
        </is>
      </c>
      <c r="J304" s="20" t="inlineStr">
        <is>
          <t>P1</t>
        </is>
      </c>
      <c r="K304" s="20" t="inlineStr">
        <is>
          <t>Validated (Supported)</t>
        </is>
      </c>
      <c r="L304" s="5" t="inlineStr">
        <is>
          <t>Core system invariant: immutable audit logging for all statutory tax modifications.</t>
        </is>
      </c>
      <c r="M304" s="8" t="inlineStr">
        <is>
          <t>Baseline</t>
        </is>
      </c>
      <c r="N304" s="8" t="inlineStr">
        <is>
          <t>Cross-persona</t>
        </is>
      </c>
      <c r="O304" s="8" t="inlineStr">
        <is>
          <t>P1</t>
        </is>
      </c>
      <c r="P304" s="5" t="inlineStr">
        <is>
          <t>Unchanged</t>
        </is>
      </c>
      <c r="Q304" s="20" t="inlineStr">
        <is>
          <t>Author assertion</t>
        </is>
      </c>
      <c r="R304" s="5" t="inlineStr"/>
      <c r="S304" s="8" t="inlineStr">
        <is>
          <t>GST</t>
        </is>
      </c>
      <c r="T304" s="5" t="inlineStr">
        <is>
          <t>GST and tax compliance</t>
        </is>
      </c>
      <c r="U304" s="8" t="inlineStr"/>
      <c r="V304" s="8" t="inlineStr">
        <is>
          <t>accounting</t>
        </is>
      </c>
      <c r="W304" s="8" t="inlineStr">
        <is>
          <t>CONTROL</t>
        </is>
      </c>
      <c r="X304" s="5" t="inlineStr">
        <is>
          <t>Core</t>
        </is>
      </c>
      <c r="Y304" s="5" t="inlineStr">
        <is>
          <t>Cross-persona</t>
        </is>
      </c>
      <c r="Z304" s="5" t="inlineStr">
        <is>
          <t>Critical</t>
        </is>
      </c>
      <c r="AA304" s="5" t="inlineStr">
        <is>
          <t>High</t>
        </is>
      </c>
      <c r="AB304" s="8" t="inlineStr">
        <is>
          <t>High</t>
        </is>
      </c>
      <c r="AC304" s="8" t="inlineStr">
        <is>
          <t>Pilot</t>
        </is>
      </c>
      <c r="AD304" s="5" t="inlineStr">
        <is>
          <t>Not independently checked</t>
        </is>
      </c>
      <c r="AE304" s="5" t="inlineStr">
        <is>
          <t>Not verified</t>
        </is>
      </c>
      <c r="AF304" s="5" t="inlineStr">
        <is>
          <t>Not verified</t>
        </is>
      </c>
      <c r="AG304" s="5" t="inlineStr">
        <is>
          <t>Not verified</t>
        </is>
      </c>
      <c r="AH304" s="5" t="inlineStr">
        <is>
          <t>Not verified</t>
        </is>
      </c>
      <c r="AI304" s="8" t="inlineStr">
        <is>
          <t>No</t>
        </is>
      </c>
      <c r="AJ304" s="8" t="inlineStr">
        <is>
          <t>Claimed - unverified</t>
        </is>
      </c>
      <c r="AK304" s="8" t="inlineStr">
        <is>
          <t>P1</t>
        </is>
      </c>
      <c r="AL304" s="8" t="n">
        <v>27</v>
      </c>
      <c r="AM304" s="5" t="inlineStr"/>
      <c r="AN304" s="5" t="inlineStr"/>
      <c r="AO304" s="5" t="inlineStr"/>
      <c r="AP304" s="5" t="inlineStr"/>
      <c r="AQ304" s="5" t="inlineStr"/>
      <c r="AR304" s="5" t="inlineStr"/>
      <c r="AS304" s="5" t="inlineStr"/>
      <c r="AT304" s="5" t="inlineStr"/>
      <c r="AU304" s="8" t="inlineStr">
        <is>
          <t>Not run</t>
        </is>
      </c>
    </row>
    <row r="305" ht="32" customHeight="1">
      <c r="A305" s="16" t="inlineStr">
        <is>
          <t>X-0304</t>
        </is>
      </c>
      <c r="B305" s="8" t="inlineStr">
        <is>
          <t>X</t>
        </is>
      </c>
      <c r="C305" s="5" t="inlineStr">
        <is>
          <t>Multiple / Cross-persona</t>
        </is>
      </c>
      <c r="D305" s="5" t="inlineStr">
        <is>
          <t>GST / Tax / Compliance</t>
        </is>
      </c>
      <c r="E305" s="5" t="inlineStr">
        <is>
          <t>GST return preparation → source transactions remain traceable</t>
        </is>
      </c>
      <c r="F305" s="5" t="inlineStr">
        <is>
          <t>In-house Accountant</t>
        </is>
      </c>
      <c r="G305" s="5" t="inlineStr">
        <is>
          <t>Statutory Auditor</t>
        </is>
      </c>
      <c r="H305" s="5" t="inlineStr">
        <is>
          <t>Every aggregate number on GSTR-1, GSTR-3B, or CMP-08 drillable to underlying source invoices</t>
        </is>
      </c>
      <c r="I305" s="5" t="inlineStr">
        <is>
          <t>Provides bidirectional audit linkage between return line items and individual vouchers</t>
        </is>
      </c>
      <c r="J305" s="20" t="inlineStr">
        <is>
          <t>P1</t>
        </is>
      </c>
      <c r="K305" s="20" t="inlineStr">
        <is>
          <t>Validated (Supported)</t>
        </is>
      </c>
      <c r="L305" s="5" t="inlineStr">
        <is>
          <t>Supported via full drill-down from return summary tables to underlying transaction ledgers.</t>
        </is>
      </c>
      <c r="M305" s="8" t="inlineStr">
        <is>
          <t>Baseline</t>
        </is>
      </c>
      <c r="N305" s="8" t="inlineStr">
        <is>
          <t>Cross-persona</t>
        </is>
      </c>
      <c r="O305" s="8" t="inlineStr">
        <is>
          <t>P1</t>
        </is>
      </c>
      <c r="P305" s="5" t="inlineStr">
        <is>
          <t>Unchanged</t>
        </is>
      </c>
      <c r="Q305" s="20" t="inlineStr">
        <is>
          <t>Author assertion</t>
        </is>
      </c>
      <c r="R305" s="5" t="inlineStr"/>
      <c r="S305" s="8" t="inlineStr">
        <is>
          <t>GST</t>
        </is>
      </c>
      <c r="T305" s="5" t="inlineStr">
        <is>
          <t>GST and tax compliance</t>
        </is>
      </c>
      <c r="U305" s="8" t="inlineStr"/>
      <c r="V305" s="8" t="inlineStr">
        <is>
          <t>accounting</t>
        </is>
      </c>
      <c r="W305" s="8" t="inlineStr">
        <is>
          <t>CONTROL</t>
        </is>
      </c>
      <c r="X305" s="5" t="inlineStr">
        <is>
          <t>Core</t>
        </is>
      </c>
      <c r="Y305" s="5" t="inlineStr">
        <is>
          <t>Cross-persona</t>
        </is>
      </c>
      <c r="Z305" s="5" t="inlineStr">
        <is>
          <t>Critical</t>
        </is>
      </c>
      <c r="AA305" s="5" t="inlineStr">
        <is>
          <t>High</t>
        </is>
      </c>
      <c r="AB305" s="8" t="inlineStr">
        <is>
          <t>High</t>
        </is>
      </c>
      <c r="AC305" s="8" t="inlineStr">
        <is>
          <t>Pilot</t>
        </is>
      </c>
      <c r="AD305" s="5" t="inlineStr">
        <is>
          <t>Not independently checked</t>
        </is>
      </c>
      <c r="AE305" s="5" t="inlineStr">
        <is>
          <t>Not verified</t>
        </is>
      </c>
      <c r="AF305" s="5" t="inlineStr">
        <is>
          <t>Not verified</t>
        </is>
      </c>
      <c r="AG305" s="5" t="inlineStr">
        <is>
          <t>Not verified</t>
        </is>
      </c>
      <c r="AH305" s="5" t="inlineStr">
        <is>
          <t>Not verified</t>
        </is>
      </c>
      <c r="AI305" s="8" t="inlineStr">
        <is>
          <t>No</t>
        </is>
      </c>
      <c r="AJ305" s="8" t="inlineStr">
        <is>
          <t>Claimed - unverified</t>
        </is>
      </c>
      <c r="AK305" s="8" t="inlineStr">
        <is>
          <t>P1</t>
        </is>
      </c>
      <c r="AL305" s="8" t="n">
        <v>27</v>
      </c>
      <c r="AM305" s="5" t="inlineStr"/>
      <c r="AN305" s="5" t="inlineStr"/>
      <c r="AO305" s="5" t="inlineStr"/>
      <c r="AP305" s="5" t="inlineStr"/>
      <c r="AQ305" s="5" t="inlineStr"/>
      <c r="AR305" s="5" t="inlineStr"/>
      <c r="AS305" s="5" t="inlineStr"/>
      <c r="AT305" s="5" t="inlineStr"/>
      <c r="AU305" s="8" t="inlineStr">
        <is>
          <t>Not run</t>
        </is>
      </c>
    </row>
    <row r="306" ht="32" customHeight="1">
      <c r="A306" s="16" t="inlineStr">
        <is>
          <t>X-0305</t>
        </is>
      </c>
      <c r="B306" s="8" t="inlineStr">
        <is>
          <t>X</t>
        </is>
      </c>
      <c r="C306" s="5" t="inlineStr">
        <is>
          <t>Multiple / Cross-persona</t>
        </is>
      </c>
      <c r="D306" s="5" t="inlineStr">
        <is>
          <t>GST / Tax / Compliance</t>
        </is>
      </c>
      <c r="E306" s="5" t="inlineStr">
        <is>
          <t>Accountant reviews GST exception → exception resolved</t>
        </is>
      </c>
      <c r="F306" s="5" t="inlineStr">
        <is>
          <t>In-house Accountant</t>
        </is>
      </c>
      <c r="G306" s="5" t="inlineStr">
        <is>
          <t>Billing Clerk / Supplier</t>
        </is>
      </c>
      <c r="H306" s="5" t="inlineStr">
        <is>
          <t>Accountant investigates flagged tax exception, updates data, and marks exception resolved</t>
        </is>
      </c>
      <c r="I306" s="5" t="inlineStr">
        <is>
          <t>Updates exception status to RESOLVED; re-runs validation checks; includes in return pool</t>
        </is>
      </c>
      <c r="J306" s="20" t="inlineStr">
        <is>
          <t>P1</t>
        </is>
      </c>
      <c r="K306" s="20" t="inlineStr">
        <is>
          <t>Validated (Supported)</t>
        </is>
      </c>
      <c r="L306" s="5" t="inlineStr">
        <is>
          <t>Supported via Attention Row exception management interface.</t>
        </is>
      </c>
      <c r="M306" s="8" t="inlineStr">
        <is>
          <t>Baseline</t>
        </is>
      </c>
      <c r="N306" s="8" t="inlineStr">
        <is>
          <t>Cross-persona</t>
        </is>
      </c>
      <c r="O306" s="8" t="inlineStr">
        <is>
          <t>P1</t>
        </is>
      </c>
      <c r="P306" s="5" t="inlineStr">
        <is>
          <t>Unchanged</t>
        </is>
      </c>
      <c r="Q306" s="20" t="inlineStr">
        <is>
          <t>Author assertion</t>
        </is>
      </c>
      <c r="R306" s="5" t="inlineStr"/>
      <c r="S306" s="8" t="inlineStr">
        <is>
          <t>GST</t>
        </is>
      </c>
      <c r="T306" s="5" t="inlineStr">
        <is>
          <t>GST and tax compliance</t>
        </is>
      </c>
      <c r="U306" s="8" t="inlineStr"/>
      <c r="V306" s="8" t="inlineStr">
        <is>
          <t>accounting</t>
        </is>
      </c>
      <c r="W306" s="8" t="inlineStr">
        <is>
          <t>CONTROL</t>
        </is>
      </c>
      <c r="X306" s="5" t="inlineStr">
        <is>
          <t>Core</t>
        </is>
      </c>
      <c r="Y306" s="5" t="inlineStr">
        <is>
          <t>Cross-persona</t>
        </is>
      </c>
      <c r="Z306" s="5" t="inlineStr">
        <is>
          <t>Critical</t>
        </is>
      </c>
      <c r="AA306" s="5" t="inlineStr">
        <is>
          <t>High</t>
        </is>
      </c>
      <c r="AB306" s="8" t="inlineStr">
        <is>
          <t>High</t>
        </is>
      </c>
      <c r="AC306" s="8" t="inlineStr">
        <is>
          <t>Pilot</t>
        </is>
      </c>
      <c r="AD306" s="5" t="inlineStr">
        <is>
          <t>Not independently checked</t>
        </is>
      </c>
      <c r="AE306" s="5" t="inlineStr">
        <is>
          <t>Not verified</t>
        </is>
      </c>
      <c r="AF306" s="5" t="inlineStr">
        <is>
          <t>Not verified</t>
        </is>
      </c>
      <c r="AG306" s="5" t="inlineStr">
        <is>
          <t>Not verified</t>
        </is>
      </c>
      <c r="AH306" s="5" t="inlineStr">
        <is>
          <t>Not verified</t>
        </is>
      </c>
      <c r="AI306" s="8" t="inlineStr">
        <is>
          <t>No</t>
        </is>
      </c>
      <c r="AJ306" s="8" t="inlineStr">
        <is>
          <t>Claimed - unverified</t>
        </is>
      </c>
      <c r="AK306" s="8" t="inlineStr">
        <is>
          <t>P1</t>
        </is>
      </c>
      <c r="AL306" s="8" t="n">
        <v>27</v>
      </c>
      <c r="AM306" s="5" t="inlineStr"/>
      <c r="AN306" s="5" t="inlineStr"/>
      <c r="AO306" s="5" t="inlineStr"/>
      <c r="AP306" s="5" t="inlineStr"/>
      <c r="AQ306" s="5" t="inlineStr"/>
      <c r="AR306" s="5" t="inlineStr"/>
      <c r="AS306" s="5" t="inlineStr"/>
      <c r="AT306" s="5" t="inlineStr"/>
      <c r="AU306" s="8" t="inlineStr">
        <is>
          <t>Not run</t>
        </is>
      </c>
    </row>
    <row r="307" ht="32" customHeight="1">
      <c r="A307" s="16" t="inlineStr">
        <is>
          <t>X-0306</t>
        </is>
      </c>
      <c r="B307" s="8" t="inlineStr">
        <is>
          <t>X</t>
        </is>
      </c>
      <c r="C307" s="5" t="inlineStr">
        <is>
          <t>Multiple / Cross-persona</t>
        </is>
      </c>
      <c r="D307" s="5" t="inlineStr">
        <is>
          <t>GST / Tax / Compliance</t>
        </is>
      </c>
      <c r="E307" s="5" t="inlineStr">
        <is>
          <t>GST export → exported data reconciles with system</t>
        </is>
      </c>
      <c r="F307" s="5" t="inlineStr">
        <is>
          <t>In-house Accountant</t>
        </is>
      </c>
      <c r="G307" s="5" t="inlineStr">
        <is>
          <t>External CA</t>
        </is>
      </c>
      <c r="H307" s="5" t="inlineStr">
        <is>
          <t>Exported GSTR-1 JSON or Excel reconciles to the last rupee with system general ledger balances</t>
        </is>
      </c>
      <c r="I307" s="5" t="inlineStr">
        <is>
          <t>Performs automated cross-checksum validation between exported JSON and GL tax accounts</t>
        </is>
      </c>
      <c r="J307" s="20" t="inlineStr">
        <is>
          <t>P1</t>
        </is>
      </c>
      <c r="K307" s="20" t="inlineStr">
        <is>
          <t>Validated (Supported)</t>
        </is>
      </c>
      <c r="L307" s="5" t="inlineStr">
        <is>
          <t>Core compliance invariant: exported return data matches general ledger balances exactly.</t>
        </is>
      </c>
      <c r="M307" s="8" t="inlineStr">
        <is>
          <t>Baseline</t>
        </is>
      </c>
      <c r="N307" s="8" t="inlineStr">
        <is>
          <t>Cross-persona</t>
        </is>
      </c>
      <c r="O307" s="8" t="inlineStr">
        <is>
          <t>P1</t>
        </is>
      </c>
      <c r="P307" s="5" t="inlineStr">
        <is>
          <t>Unchanged</t>
        </is>
      </c>
      <c r="Q307" s="20" t="inlineStr">
        <is>
          <t>Author assertion</t>
        </is>
      </c>
      <c r="R307" s="5" t="inlineStr"/>
      <c r="S307" s="8" t="inlineStr">
        <is>
          <t>GST</t>
        </is>
      </c>
      <c r="T307" s="5" t="inlineStr">
        <is>
          <t>GST and tax compliance</t>
        </is>
      </c>
      <c r="U307" s="8" t="inlineStr"/>
      <c r="V307" s="8" t="inlineStr">
        <is>
          <t>accounting</t>
        </is>
      </c>
      <c r="W307" s="8" t="inlineStr">
        <is>
          <t>CONTROL</t>
        </is>
      </c>
      <c r="X307" s="5" t="inlineStr">
        <is>
          <t>Core</t>
        </is>
      </c>
      <c r="Y307" s="5" t="inlineStr">
        <is>
          <t>Cross-persona</t>
        </is>
      </c>
      <c r="Z307" s="5" t="inlineStr">
        <is>
          <t>Critical</t>
        </is>
      </c>
      <c r="AA307" s="5" t="inlineStr">
        <is>
          <t>High</t>
        </is>
      </c>
      <c r="AB307" s="8" t="inlineStr">
        <is>
          <t>High</t>
        </is>
      </c>
      <c r="AC307" s="8" t="inlineStr">
        <is>
          <t>Pilot</t>
        </is>
      </c>
      <c r="AD307" s="5" t="inlineStr">
        <is>
          <t>Not independently checked</t>
        </is>
      </c>
      <c r="AE307" s="5" t="inlineStr">
        <is>
          <t>Not verified</t>
        </is>
      </c>
      <c r="AF307" s="5" t="inlineStr">
        <is>
          <t>Not verified</t>
        </is>
      </c>
      <c r="AG307" s="5" t="inlineStr">
        <is>
          <t>Not verified</t>
        </is>
      </c>
      <c r="AH307" s="5" t="inlineStr">
        <is>
          <t>Not verified</t>
        </is>
      </c>
      <c r="AI307" s="8" t="inlineStr">
        <is>
          <t>No</t>
        </is>
      </c>
      <c r="AJ307" s="8" t="inlineStr">
        <is>
          <t>Claimed - unverified</t>
        </is>
      </c>
      <c r="AK307" s="8" t="inlineStr">
        <is>
          <t>P1</t>
        </is>
      </c>
      <c r="AL307" s="8" t="n">
        <v>27</v>
      </c>
      <c r="AM307" s="5" t="inlineStr"/>
      <c r="AN307" s="5" t="inlineStr"/>
      <c r="AO307" s="5" t="inlineStr"/>
      <c r="AP307" s="5" t="inlineStr"/>
      <c r="AQ307" s="5" t="inlineStr"/>
      <c r="AR307" s="5" t="inlineStr"/>
      <c r="AS307" s="5" t="inlineStr"/>
      <c r="AT307" s="5" t="inlineStr"/>
      <c r="AU307" s="8" t="inlineStr">
        <is>
          <t>Not run</t>
        </is>
      </c>
    </row>
    <row r="308" ht="32" customHeight="1">
      <c r="A308" s="16" t="inlineStr">
        <is>
          <t>X-0307</t>
        </is>
      </c>
      <c r="B308" s="8" t="inlineStr">
        <is>
          <t>X</t>
        </is>
      </c>
      <c r="C308" s="5" t="inlineStr">
        <is>
          <t>Multiple / Cross-persona</t>
        </is>
      </c>
      <c r="D308" s="5" t="inlineStr">
        <is>
          <t>Receivables &amp; Payables</t>
        </is>
      </c>
      <c r="E308" s="5" t="inlineStr">
        <is>
          <t>Customer purchases on credit</t>
        </is>
      </c>
      <c r="F308" s="5" t="inlineStr">
        <is>
          <t>Billing Clerk / Salesperson</t>
        </is>
      </c>
      <c r="G308" s="5" t="inlineStr">
        <is>
          <t>Customer</t>
        </is>
      </c>
      <c r="H308" s="5" t="inlineStr">
        <is>
          <t>Customer buys goods with agreed credit terms (e.g. 15, 30 days) instead of immediate cash</t>
        </is>
      </c>
      <c r="I308" s="5" t="inlineStr">
        <is>
          <t>Completes invoice with payment_status='UNPAID'; sets due_date; debits Customer AR ledger</t>
        </is>
      </c>
      <c r="J308" s="20" t="inlineStr">
        <is>
          <t>P1</t>
        </is>
      </c>
      <c r="K308" s="20" t="inlineStr">
        <is>
          <t>Validated (Supported)</t>
        </is>
      </c>
      <c r="L308" s="5" t="inlineStr">
        <is>
          <t>Supported on sales checkout with credit payment terms selection.</t>
        </is>
      </c>
      <c r="M308" s="8" t="inlineStr">
        <is>
          <t>Baseline</t>
        </is>
      </c>
      <c r="N308" s="8" t="inlineStr">
        <is>
          <t>Cross-persona</t>
        </is>
      </c>
      <c r="O308" s="8" t="inlineStr">
        <is>
          <t>P1</t>
        </is>
      </c>
      <c r="P308" s="5" t="inlineStr">
        <is>
          <t>Unchanged</t>
        </is>
      </c>
      <c r="Q308" s="20" t="inlineStr">
        <is>
          <t>Author assertion</t>
        </is>
      </c>
      <c r="R308" s="5" t="inlineStr"/>
      <c r="S308" s="8" t="inlineStr">
        <is>
          <t>ARAP</t>
        </is>
      </c>
      <c r="T308" s="5" t="inlineStr">
        <is>
          <t>Receivables and payables</t>
        </is>
      </c>
      <c r="U308" s="8" t="inlineStr"/>
      <c r="V308" s="8" t="inlineStr">
        <is>
          <t>ledgers</t>
        </is>
      </c>
      <c r="W308" s="8" t="inlineStr">
        <is>
          <t>CONTROL</t>
        </is>
      </c>
      <c r="X308" s="5" t="inlineStr">
        <is>
          <t>Core</t>
        </is>
      </c>
      <c r="Y308" s="5" t="inlineStr">
        <is>
          <t>Cross-persona</t>
        </is>
      </c>
      <c r="Z308" s="5" t="inlineStr">
        <is>
          <t>Critical</t>
        </is>
      </c>
      <c r="AA308" s="5" t="inlineStr">
        <is>
          <t>High</t>
        </is>
      </c>
      <c r="AB308" s="8" t="inlineStr">
        <is>
          <t>Medium</t>
        </is>
      </c>
      <c r="AC308" s="8" t="inlineStr">
        <is>
          <t>Pilot</t>
        </is>
      </c>
      <c r="AD308" s="5" t="inlineStr">
        <is>
          <t>Not independently checked</t>
        </is>
      </c>
      <c r="AE308" s="5" t="inlineStr">
        <is>
          <t>Not verified</t>
        </is>
      </c>
      <c r="AF308" s="5" t="inlineStr">
        <is>
          <t>Not verified</t>
        </is>
      </c>
      <c r="AG308" s="5" t="inlineStr">
        <is>
          <t>Not verified</t>
        </is>
      </c>
      <c r="AH308" s="5" t="inlineStr">
        <is>
          <t>Not verified</t>
        </is>
      </c>
      <c r="AI308" s="8" t="inlineStr">
        <is>
          <t>No</t>
        </is>
      </c>
      <c r="AJ308" s="8" t="inlineStr">
        <is>
          <t>Claimed - unverified</t>
        </is>
      </c>
      <c r="AK308" s="8" t="inlineStr">
        <is>
          <t>P1</t>
        </is>
      </c>
      <c r="AL308" s="8" t="n">
        <v>18</v>
      </c>
      <c r="AM308" s="5" t="inlineStr"/>
      <c r="AN308" s="5" t="inlineStr"/>
      <c r="AO308" s="5" t="inlineStr"/>
      <c r="AP308" s="5" t="inlineStr"/>
      <c r="AQ308" s="5" t="inlineStr"/>
      <c r="AR308" s="5" t="inlineStr"/>
      <c r="AS308" s="5" t="inlineStr"/>
      <c r="AT308" s="5" t="inlineStr"/>
      <c r="AU308" s="8" t="inlineStr">
        <is>
          <t>Not run</t>
        </is>
      </c>
    </row>
    <row r="309" ht="32" customHeight="1">
      <c r="A309" s="16" t="inlineStr">
        <is>
          <t>X-0308</t>
        </is>
      </c>
      <c r="B309" s="8" t="inlineStr">
        <is>
          <t>X</t>
        </is>
      </c>
      <c r="C309" s="5" t="inlineStr">
        <is>
          <t>Multiple / Cross-persona</t>
        </is>
      </c>
      <c r="D309" s="5" t="inlineStr">
        <is>
          <t>Receivables &amp; Payables</t>
        </is>
      </c>
      <c r="E309" s="5" t="inlineStr">
        <is>
          <t>Credit sale → customer ledger updated</t>
        </is>
      </c>
      <c r="F309" s="5" t="inlineStr">
        <is>
          <t>System / Ledger Engine</t>
        </is>
      </c>
      <c r="G309" s="5" t="inlineStr">
        <is>
          <t>In-house Accountant</t>
        </is>
      </c>
      <c r="H309" s="5" t="inlineStr">
        <is>
          <t>Customer account debited with invoice amount; running balance increased</t>
        </is>
      </c>
      <c r="I309" s="5" t="inlineStr">
        <is>
          <t>Posts debit voucher to Customer AR ledger; increases customer's outstanding balance</t>
        </is>
      </c>
      <c r="J309" s="20" t="inlineStr">
        <is>
          <t>P1</t>
        </is>
      </c>
      <c r="K309" s="20" t="inlineStr">
        <is>
          <t>Validated (Supported)</t>
        </is>
      </c>
      <c r="L309" s="5" t="inlineStr">
        <is>
          <t>Core system invariant: completing credit invoice atomically updates customer ledger balance.</t>
        </is>
      </c>
      <c r="M309" s="8" t="inlineStr">
        <is>
          <t>Baseline</t>
        </is>
      </c>
      <c r="N309" s="8" t="inlineStr">
        <is>
          <t>Cross-persona</t>
        </is>
      </c>
      <c r="O309" s="8" t="inlineStr">
        <is>
          <t>P1</t>
        </is>
      </c>
      <c r="P309" s="5" t="inlineStr">
        <is>
          <t>Restored to authored P1. The previous workbook had P0 after a keyword rebalance.</t>
        </is>
      </c>
      <c r="Q309" s="20" t="inlineStr">
        <is>
          <t>Author assertion</t>
        </is>
      </c>
      <c r="R309" s="5" t="inlineStr">
        <is>
          <t>Restored to authored P1. The previous workbook had P0 after a keyword rebalance.</t>
        </is>
      </c>
      <c r="S309" s="8" t="inlineStr">
        <is>
          <t>ARAP</t>
        </is>
      </c>
      <c r="T309" s="5" t="inlineStr">
        <is>
          <t>Receivables and payables</t>
        </is>
      </c>
      <c r="U309" s="8" t="inlineStr"/>
      <c r="V309" s="8" t="inlineStr">
        <is>
          <t>ledgers</t>
        </is>
      </c>
      <c r="W309" s="8" t="inlineStr">
        <is>
          <t>CONTROL</t>
        </is>
      </c>
      <c r="X309" s="5" t="inlineStr">
        <is>
          <t>Core</t>
        </is>
      </c>
      <c r="Y309" s="5" t="inlineStr">
        <is>
          <t>Cross-persona</t>
        </is>
      </c>
      <c r="Z309" s="5" t="inlineStr">
        <is>
          <t>Critical</t>
        </is>
      </c>
      <c r="AA309" s="5" t="inlineStr">
        <is>
          <t>High</t>
        </is>
      </c>
      <c r="AB309" s="8" t="inlineStr">
        <is>
          <t>Medium</t>
        </is>
      </c>
      <c r="AC309" s="8" t="inlineStr">
        <is>
          <t>Pilot</t>
        </is>
      </c>
      <c r="AD309" s="5" t="inlineStr">
        <is>
          <t>Not independently checked</t>
        </is>
      </c>
      <c r="AE309" s="5" t="inlineStr">
        <is>
          <t>Not verified</t>
        </is>
      </c>
      <c r="AF309" s="5" t="inlineStr">
        <is>
          <t>Not verified</t>
        </is>
      </c>
      <c r="AG309" s="5" t="inlineStr">
        <is>
          <t>Not verified</t>
        </is>
      </c>
      <c r="AH309" s="5" t="inlineStr">
        <is>
          <t>Not verified</t>
        </is>
      </c>
      <c r="AI309" s="8" t="inlineStr">
        <is>
          <t>No</t>
        </is>
      </c>
      <c r="AJ309" s="8" t="inlineStr">
        <is>
          <t>Claimed - unverified</t>
        </is>
      </c>
      <c r="AK309" s="8" t="inlineStr">
        <is>
          <t>P1</t>
        </is>
      </c>
      <c r="AL309" s="8" t="n">
        <v>18</v>
      </c>
      <c r="AM309" s="5" t="inlineStr"/>
      <c r="AN309" s="5" t="inlineStr"/>
      <c r="AO309" s="5" t="inlineStr"/>
      <c r="AP309" s="5" t="inlineStr"/>
      <c r="AQ309" s="5" t="inlineStr"/>
      <c r="AR309" s="5" t="inlineStr"/>
      <c r="AS309" s="5" t="inlineStr"/>
      <c r="AT309" s="5" t="inlineStr"/>
      <c r="AU309" s="8" t="inlineStr">
        <is>
          <t>Not run</t>
        </is>
      </c>
    </row>
    <row r="310" ht="32" customHeight="1">
      <c r="A310" s="16" t="inlineStr">
        <is>
          <t>X-0309</t>
        </is>
      </c>
      <c r="B310" s="8" t="inlineStr">
        <is>
          <t>X</t>
        </is>
      </c>
      <c r="C310" s="5" t="inlineStr">
        <is>
          <t>Multiple / Cross-persona</t>
        </is>
      </c>
      <c r="D310" s="5" t="inlineStr">
        <is>
          <t>Receivables &amp; Payables</t>
        </is>
      </c>
      <c r="E310" s="5" t="inlineStr">
        <is>
          <t>Customer payment → ledger updated</t>
        </is>
      </c>
      <c r="F310" s="5" t="inlineStr">
        <is>
          <t>Cashier / Accountant</t>
        </is>
      </c>
      <c r="G310" s="5" t="inlineStr">
        <is>
          <t>Customer</t>
        </is>
      </c>
      <c r="H310" s="5" t="inlineStr">
        <is>
          <t>Payment received from customer credited to customer account; running balance decreased</t>
        </is>
      </c>
      <c r="I310" s="5" t="inlineStr">
        <is>
          <t>Posts credit voucher to Customer AR ledger; debits Cash/Bank account in general ledger</t>
        </is>
      </c>
      <c r="J310" s="20" t="inlineStr">
        <is>
          <t>P1</t>
        </is>
      </c>
      <c r="K310" s="20" t="inlineStr">
        <is>
          <t>Validated (Supported)</t>
        </is>
      </c>
      <c r="L310" s="5" t="inlineStr">
        <is>
          <t>Supported via Payment entry screen with automated customer ledger posting.</t>
        </is>
      </c>
      <c r="M310" s="8" t="inlineStr">
        <is>
          <t>Baseline</t>
        </is>
      </c>
      <c r="N310" s="8" t="inlineStr">
        <is>
          <t>Cross-persona</t>
        </is>
      </c>
      <c r="O310" s="8" t="inlineStr">
        <is>
          <t>P1</t>
        </is>
      </c>
      <c r="P310" s="5" t="inlineStr">
        <is>
          <t>Unchanged</t>
        </is>
      </c>
      <c r="Q310" s="20" t="inlineStr">
        <is>
          <t>Author assertion</t>
        </is>
      </c>
      <c r="R310" s="5" t="inlineStr"/>
      <c r="S310" s="8" t="inlineStr">
        <is>
          <t>ARAP</t>
        </is>
      </c>
      <c r="T310" s="5" t="inlineStr">
        <is>
          <t>Receivables and payables</t>
        </is>
      </c>
      <c r="U310" s="8" t="inlineStr"/>
      <c r="V310" s="8" t="inlineStr">
        <is>
          <t>ledgers</t>
        </is>
      </c>
      <c r="W310" s="8" t="inlineStr">
        <is>
          <t>CONTROL</t>
        </is>
      </c>
      <c r="X310" s="5" t="inlineStr">
        <is>
          <t>Core</t>
        </is>
      </c>
      <c r="Y310" s="5" t="inlineStr">
        <is>
          <t>Cross-persona</t>
        </is>
      </c>
      <c r="Z310" s="5" t="inlineStr">
        <is>
          <t>Critical</t>
        </is>
      </c>
      <c r="AA310" s="5" t="inlineStr">
        <is>
          <t>High</t>
        </is>
      </c>
      <c r="AB310" s="8" t="inlineStr">
        <is>
          <t>Medium</t>
        </is>
      </c>
      <c r="AC310" s="8" t="inlineStr">
        <is>
          <t>Pilot</t>
        </is>
      </c>
      <c r="AD310" s="5" t="inlineStr">
        <is>
          <t>Not independently checked</t>
        </is>
      </c>
      <c r="AE310" s="5" t="inlineStr">
        <is>
          <t>Not verified</t>
        </is>
      </c>
      <c r="AF310" s="5" t="inlineStr">
        <is>
          <t>Not verified</t>
        </is>
      </c>
      <c r="AG310" s="5" t="inlineStr">
        <is>
          <t>Not verified</t>
        </is>
      </c>
      <c r="AH310" s="5" t="inlineStr">
        <is>
          <t>Not verified</t>
        </is>
      </c>
      <c r="AI310" s="8" t="inlineStr">
        <is>
          <t>No</t>
        </is>
      </c>
      <c r="AJ310" s="8" t="inlineStr">
        <is>
          <t>Claimed - unverified</t>
        </is>
      </c>
      <c r="AK310" s="8" t="inlineStr">
        <is>
          <t>P1</t>
        </is>
      </c>
      <c r="AL310" s="8" t="n">
        <v>18</v>
      </c>
      <c r="AM310" s="5" t="inlineStr"/>
      <c r="AN310" s="5" t="inlineStr"/>
      <c r="AO310" s="5" t="inlineStr"/>
      <c r="AP310" s="5" t="inlineStr"/>
      <c r="AQ310" s="5" t="inlineStr"/>
      <c r="AR310" s="5" t="inlineStr"/>
      <c r="AS310" s="5" t="inlineStr"/>
      <c r="AT310" s="5" t="inlineStr"/>
      <c r="AU310" s="8" t="inlineStr">
        <is>
          <t>Not run</t>
        </is>
      </c>
    </row>
    <row r="311" ht="32" customHeight="1">
      <c r="A311" s="16" t="inlineStr">
        <is>
          <t>X-0310</t>
        </is>
      </c>
      <c r="B311" s="8" t="inlineStr">
        <is>
          <t>X</t>
        </is>
      </c>
      <c r="C311" s="5" t="inlineStr">
        <is>
          <t>Multiple / Cross-persona</t>
        </is>
      </c>
      <c r="D311" s="5" t="inlineStr">
        <is>
          <t>Receivables &amp; Payables</t>
        </is>
      </c>
      <c r="E311" s="5" t="inlineStr">
        <is>
          <t>Partial payment → balance maintained</t>
        </is>
      </c>
      <c r="F311" s="5" t="inlineStr">
        <is>
          <t>Cashier / Accountant</t>
        </is>
      </c>
      <c r="G311" s="5" t="inlineStr">
        <is>
          <t>Customer</t>
        </is>
      </c>
      <c r="H311" s="5" t="inlineStr">
        <is>
          <t>Partial settlement recorded accurately, maintaining remaining unpaid balance</t>
        </is>
      </c>
      <c r="I311" s="5" t="inlineStr">
        <is>
          <t>Allocates partial amount; decrements customer net balance; tracks unallocated remainder</t>
        </is>
      </c>
      <c r="J311" s="20" t="inlineStr">
        <is>
          <t>P1</t>
        </is>
      </c>
      <c r="K311" s="20" t="inlineStr">
        <is>
          <t>Validated (Supported)</t>
        </is>
      </c>
      <c r="L311" s="5" t="inlineStr">
        <is>
          <t>Supported via PaymentAllocation engine with partial invoice matching.</t>
        </is>
      </c>
      <c r="M311" s="8" t="inlineStr">
        <is>
          <t>Baseline</t>
        </is>
      </c>
      <c r="N311" s="8" t="inlineStr">
        <is>
          <t>Cross-persona</t>
        </is>
      </c>
      <c r="O311" s="8" t="inlineStr">
        <is>
          <t>P1</t>
        </is>
      </c>
      <c r="P311" s="5" t="inlineStr">
        <is>
          <t>Unchanged</t>
        </is>
      </c>
      <c r="Q311" s="21" t="inlineStr">
        <is>
          <t>Code symbol found</t>
        </is>
      </c>
      <c r="R311" s="5" t="inlineStr">
        <is>
          <t>Matched PaymentAllocation in product code. This is not a functional test.</t>
        </is>
      </c>
      <c r="S311" s="8" t="inlineStr">
        <is>
          <t>ARAP</t>
        </is>
      </c>
      <c r="T311" s="5" t="inlineStr">
        <is>
          <t>Receivables and payables</t>
        </is>
      </c>
      <c r="U311" s="8" t="inlineStr"/>
      <c r="V311" s="8" t="inlineStr">
        <is>
          <t>ledgers</t>
        </is>
      </c>
      <c r="W311" s="8" t="inlineStr">
        <is>
          <t>CONTROL</t>
        </is>
      </c>
      <c r="X311" s="5" t="inlineStr">
        <is>
          <t>Core</t>
        </is>
      </c>
      <c r="Y311" s="5" t="inlineStr">
        <is>
          <t>Cross-persona</t>
        </is>
      </c>
      <c r="Z311" s="5" t="inlineStr">
        <is>
          <t>Critical</t>
        </is>
      </c>
      <c r="AA311" s="5" t="inlineStr">
        <is>
          <t>High</t>
        </is>
      </c>
      <c r="AB311" s="8" t="inlineStr">
        <is>
          <t>Medium</t>
        </is>
      </c>
      <c r="AC311" s="8" t="inlineStr">
        <is>
          <t>Pilot</t>
        </is>
      </c>
      <c r="AD311" s="5" t="inlineStr">
        <is>
          <t>Cited in code</t>
        </is>
      </c>
      <c r="AE311" s="5" t="inlineStr">
        <is>
          <t>Not verified</t>
        </is>
      </c>
      <c r="AF311" s="5" t="inlineStr">
        <is>
          <t>Not verified</t>
        </is>
      </c>
      <c r="AG311" s="5" t="inlineStr">
        <is>
          <t>Not verified</t>
        </is>
      </c>
      <c r="AH311" s="5" t="inlineStr">
        <is>
          <t>Not verified</t>
        </is>
      </c>
      <c r="AI311" s="8" t="inlineStr">
        <is>
          <t>No</t>
        </is>
      </c>
      <c r="AJ311" s="8" t="inlineStr">
        <is>
          <t>Built - unverified</t>
        </is>
      </c>
      <c r="AK311" s="8" t="inlineStr">
        <is>
          <t>P1</t>
        </is>
      </c>
      <c r="AL311" s="8" t="n">
        <v>18</v>
      </c>
      <c r="AM311" s="5" t="inlineStr"/>
      <c r="AN311" s="5" t="inlineStr"/>
      <c r="AO311" s="5" t="inlineStr"/>
      <c r="AP311" s="5" t="inlineStr"/>
      <c r="AQ311" s="5" t="inlineStr"/>
      <c r="AR311" s="5" t="inlineStr"/>
      <c r="AS311" s="5" t="inlineStr"/>
      <c r="AT311" s="5" t="inlineStr"/>
      <c r="AU311" s="8" t="inlineStr">
        <is>
          <t>Not run</t>
        </is>
      </c>
    </row>
    <row r="312" ht="32" customHeight="1">
      <c r="A312" s="16" t="inlineStr">
        <is>
          <t>X-0311</t>
        </is>
      </c>
      <c r="B312" s="8" t="inlineStr">
        <is>
          <t>X</t>
        </is>
      </c>
      <c r="C312" s="5" t="inlineStr">
        <is>
          <t>Multiple / Cross-persona</t>
        </is>
      </c>
      <c r="D312" s="5" t="inlineStr">
        <is>
          <t>Receivables &amp; Payables</t>
        </is>
      </c>
      <c r="E312" s="5" t="inlineStr">
        <is>
          <t>Advance payment → advance ledger maintained</t>
        </is>
      </c>
      <c r="F312" s="5" t="inlineStr">
        <is>
          <t>Cashier / Accountant</t>
        </is>
      </c>
      <c r="G312" s="5" t="inlineStr">
        <is>
          <t>Customer</t>
        </is>
      </c>
      <c r="H312" s="5" t="inlineStr">
        <is>
          <t>Advance payment received from customer before order delivery tracked in advance account</t>
        </is>
      </c>
      <c r="I312" s="5" t="inlineStr">
        <is>
          <t>Credits Customer Advance Liability ledger account; debits Bank/Cash account</t>
        </is>
      </c>
      <c r="J312" s="20" t="inlineStr">
        <is>
          <t>P1</t>
        </is>
      </c>
      <c r="K312" s="20" t="inlineStr">
        <is>
          <t>Validated (Supported)</t>
        </is>
      </c>
      <c r="L312" s="5" t="inlineStr">
        <is>
          <t>Supported via Customer Advance receipt workflow with future invoice adjustment.</t>
        </is>
      </c>
      <c r="M312" s="8" t="inlineStr">
        <is>
          <t>Baseline</t>
        </is>
      </c>
      <c r="N312" s="8" t="inlineStr">
        <is>
          <t>Cross-persona</t>
        </is>
      </c>
      <c r="O312" s="8" t="inlineStr">
        <is>
          <t>P1</t>
        </is>
      </c>
      <c r="P312" s="5" t="inlineStr">
        <is>
          <t>Unchanged</t>
        </is>
      </c>
      <c r="Q312" s="20" t="inlineStr">
        <is>
          <t>Author assertion</t>
        </is>
      </c>
      <c r="R312" s="5" t="inlineStr"/>
      <c r="S312" s="8" t="inlineStr">
        <is>
          <t>ARAP</t>
        </is>
      </c>
      <c r="T312" s="5" t="inlineStr">
        <is>
          <t>Receivables and payables</t>
        </is>
      </c>
      <c r="U312" s="8" t="inlineStr"/>
      <c r="V312" s="8" t="inlineStr">
        <is>
          <t>ledgers</t>
        </is>
      </c>
      <c r="W312" s="8" t="inlineStr">
        <is>
          <t>CONTROL</t>
        </is>
      </c>
      <c r="X312" s="5" t="inlineStr">
        <is>
          <t>Core</t>
        </is>
      </c>
      <c r="Y312" s="5" t="inlineStr">
        <is>
          <t>Cross-persona</t>
        </is>
      </c>
      <c r="Z312" s="5" t="inlineStr">
        <is>
          <t>Critical</t>
        </is>
      </c>
      <c r="AA312" s="5" t="inlineStr">
        <is>
          <t>High</t>
        </is>
      </c>
      <c r="AB312" s="8" t="inlineStr">
        <is>
          <t>Medium</t>
        </is>
      </c>
      <c r="AC312" s="8" t="inlineStr">
        <is>
          <t>Pilot</t>
        </is>
      </c>
      <c r="AD312" s="5" t="inlineStr">
        <is>
          <t>Not independently checked</t>
        </is>
      </c>
      <c r="AE312" s="5" t="inlineStr">
        <is>
          <t>Not verified</t>
        </is>
      </c>
      <c r="AF312" s="5" t="inlineStr">
        <is>
          <t>Not verified</t>
        </is>
      </c>
      <c r="AG312" s="5" t="inlineStr">
        <is>
          <t>Not verified</t>
        </is>
      </c>
      <c r="AH312" s="5" t="inlineStr">
        <is>
          <t>Not verified</t>
        </is>
      </c>
      <c r="AI312" s="8" t="inlineStr">
        <is>
          <t>No</t>
        </is>
      </c>
      <c r="AJ312" s="8" t="inlineStr">
        <is>
          <t>Claimed - unverified</t>
        </is>
      </c>
      <c r="AK312" s="8" t="inlineStr">
        <is>
          <t>P1</t>
        </is>
      </c>
      <c r="AL312" s="8" t="n">
        <v>18</v>
      </c>
      <c r="AM312" s="5" t="inlineStr"/>
      <c r="AN312" s="5" t="inlineStr"/>
      <c r="AO312" s="5" t="inlineStr"/>
      <c r="AP312" s="5" t="inlineStr"/>
      <c r="AQ312" s="5" t="inlineStr"/>
      <c r="AR312" s="5" t="inlineStr"/>
      <c r="AS312" s="5" t="inlineStr"/>
      <c r="AT312" s="5" t="inlineStr"/>
      <c r="AU312" s="8" t="inlineStr">
        <is>
          <t>Not run</t>
        </is>
      </c>
    </row>
    <row r="313" ht="32" customHeight="1">
      <c r="A313" s="16" t="inlineStr">
        <is>
          <t>X-0312</t>
        </is>
      </c>
      <c r="B313" s="8" t="inlineStr">
        <is>
          <t>X</t>
        </is>
      </c>
      <c r="C313" s="5" t="inlineStr">
        <is>
          <t>Multiple / Cross-persona</t>
        </is>
      </c>
      <c r="D313" s="5" t="inlineStr">
        <is>
          <t>Receivables &amp; Payables</t>
        </is>
      </c>
      <c r="E313" s="5" t="inlineStr">
        <is>
          <t>Payment allocation → payment applied to selected invoices</t>
        </is>
      </c>
      <c r="F313" s="5" t="inlineStr">
        <is>
          <t>In-house Accountant</t>
        </is>
      </c>
      <c r="G313" s="5" t="inlineStr">
        <is>
          <t>Customer</t>
        </is>
      </c>
      <c r="H313" s="5" t="inlineStr">
        <is>
          <t>Lump-sum payment allocated across specific open invoices (FIFO or manual selection)</t>
        </is>
      </c>
      <c r="I313" s="5" t="inlineStr">
        <is>
          <t>Creates PaymentAllocation links between payment and invoices; updates invoice statuses</t>
        </is>
      </c>
      <c r="J313" s="20" t="inlineStr">
        <is>
          <t>P1</t>
        </is>
      </c>
      <c r="K313" s="20" t="inlineStr">
        <is>
          <t>Validated (Supported)</t>
        </is>
      </c>
      <c r="L313" s="5" t="inlineStr">
        <is>
          <t>Supported via multi-invoice allocation modal in payments app.</t>
        </is>
      </c>
      <c r="M313" s="8" t="inlineStr">
        <is>
          <t>Baseline</t>
        </is>
      </c>
      <c r="N313" s="8" t="inlineStr">
        <is>
          <t>Cross-persona</t>
        </is>
      </c>
      <c r="O313" s="8" t="inlineStr">
        <is>
          <t>P1</t>
        </is>
      </c>
      <c r="P313" s="5" t="inlineStr">
        <is>
          <t>Unchanged</t>
        </is>
      </c>
      <c r="Q313" s="20" t="inlineStr">
        <is>
          <t>Author assertion</t>
        </is>
      </c>
      <c r="R313" s="5" t="inlineStr"/>
      <c r="S313" s="8" t="inlineStr">
        <is>
          <t>ARAP</t>
        </is>
      </c>
      <c r="T313" s="5" t="inlineStr">
        <is>
          <t>Receivables and payables</t>
        </is>
      </c>
      <c r="U313" s="8" t="inlineStr"/>
      <c r="V313" s="8" t="inlineStr">
        <is>
          <t>ledgers</t>
        </is>
      </c>
      <c r="W313" s="8" t="inlineStr">
        <is>
          <t>CONTROL</t>
        </is>
      </c>
      <c r="X313" s="5" t="inlineStr">
        <is>
          <t>Core</t>
        </is>
      </c>
      <c r="Y313" s="5" t="inlineStr">
        <is>
          <t>Cross-persona</t>
        </is>
      </c>
      <c r="Z313" s="5" t="inlineStr">
        <is>
          <t>Critical</t>
        </is>
      </c>
      <c r="AA313" s="5" t="inlineStr">
        <is>
          <t>High</t>
        </is>
      </c>
      <c r="AB313" s="8" t="inlineStr">
        <is>
          <t>Medium</t>
        </is>
      </c>
      <c r="AC313" s="8" t="inlineStr">
        <is>
          <t>Pilot</t>
        </is>
      </c>
      <c r="AD313" s="5" t="inlineStr">
        <is>
          <t>Not independently checked</t>
        </is>
      </c>
      <c r="AE313" s="5" t="inlineStr">
        <is>
          <t>Not verified</t>
        </is>
      </c>
      <c r="AF313" s="5" t="inlineStr">
        <is>
          <t>Not verified</t>
        </is>
      </c>
      <c r="AG313" s="5" t="inlineStr">
        <is>
          <t>Not verified</t>
        </is>
      </c>
      <c r="AH313" s="5" t="inlineStr">
        <is>
          <t>Not verified</t>
        </is>
      </c>
      <c r="AI313" s="8" t="inlineStr">
        <is>
          <t>No</t>
        </is>
      </c>
      <c r="AJ313" s="8" t="inlineStr">
        <is>
          <t>Claimed - unverified</t>
        </is>
      </c>
      <c r="AK313" s="8" t="inlineStr">
        <is>
          <t>P1</t>
        </is>
      </c>
      <c r="AL313" s="8" t="n">
        <v>18</v>
      </c>
      <c r="AM313" s="5" t="inlineStr"/>
      <c r="AN313" s="5" t="inlineStr"/>
      <c r="AO313" s="5" t="inlineStr"/>
      <c r="AP313" s="5" t="inlineStr"/>
      <c r="AQ313" s="5" t="inlineStr"/>
      <c r="AR313" s="5" t="inlineStr"/>
      <c r="AS313" s="5" t="inlineStr"/>
      <c r="AT313" s="5" t="inlineStr"/>
      <c r="AU313" s="8" t="inlineStr">
        <is>
          <t>Not run</t>
        </is>
      </c>
    </row>
    <row r="314" ht="32" customHeight="1">
      <c r="A314" s="16" t="inlineStr">
        <is>
          <t>X-0313</t>
        </is>
      </c>
      <c r="B314" s="8" t="inlineStr">
        <is>
          <t>X</t>
        </is>
      </c>
      <c r="C314" s="5" t="inlineStr">
        <is>
          <t>Multiple / Cross-persona</t>
        </is>
      </c>
      <c r="D314" s="5" t="inlineStr">
        <is>
          <t>Receivables &amp; Payables</t>
        </is>
      </c>
      <c r="E314" s="5" t="inlineStr">
        <is>
          <t>Payment received → invoice status changes</t>
        </is>
      </c>
      <c r="F314" s="5" t="inlineStr">
        <is>
          <t>System / Payment Engine</t>
        </is>
      </c>
      <c r="G314" s="5" t="inlineStr">
        <is>
          <t>Billing Clerk</t>
        </is>
      </c>
      <c r="H314" s="5" t="inlineStr">
        <is>
          <t>Invoice status advances from UNPAID to PARTIALLY_PAID or PAID upon payment matching</t>
        </is>
      </c>
      <c r="I314" s="5" t="inlineStr">
        <is>
          <t>Updates SalesInvoice.payment_status; unlocks customer credit limit buffer</t>
        </is>
      </c>
      <c r="J314" s="20" t="inlineStr">
        <is>
          <t>P1</t>
        </is>
      </c>
      <c r="K314" s="20" t="inlineStr">
        <is>
          <t>Validated (Supported)</t>
        </is>
      </c>
      <c r="L314" s="5" t="inlineStr">
        <is>
          <t>Core system invariant: invoice payment status dynamically derived from payment allocations.</t>
        </is>
      </c>
      <c r="M314" s="8" t="inlineStr">
        <is>
          <t>Baseline</t>
        </is>
      </c>
      <c r="N314" s="8" t="inlineStr">
        <is>
          <t>Cross-persona</t>
        </is>
      </c>
      <c r="O314" s="8" t="inlineStr">
        <is>
          <t>P1</t>
        </is>
      </c>
      <c r="P314" s="5" t="inlineStr">
        <is>
          <t>Unchanged</t>
        </is>
      </c>
      <c r="Q314" s="20" t="inlineStr">
        <is>
          <t>Author assertion</t>
        </is>
      </c>
      <c r="R314" s="5" t="inlineStr"/>
      <c r="S314" s="8" t="inlineStr">
        <is>
          <t>ARAP</t>
        </is>
      </c>
      <c r="T314" s="5" t="inlineStr">
        <is>
          <t>Receivables and payables</t>
        </is>
      </c>
      <c r="U314" s="8" t="inlineStr"/>
      <c r="V314" s="8" t="inlineStr">
        <is>
          <t>ledgers</t>
        </is>
      </c>
      <c r="W314" s="8" t="inlineStr">
        <is>
          <t>CONTROL</t>
        </is>
      </c>
      <c r="X314" s="5" t="inlineStr">
        <is>
          <t>Core</t>
        </is>
      </c>
      <c r="Y314" s="5" t="inlineStr">
        <is>
          <t>Cross-persona</t>
        </is>
      </c>
      <c r="Z314" s="5" t="inlineStr">
        <is>
          <t>Critical</t>
        </is>
      </c>
      <c r="AA314" s="5" t="inlineStr">
        <is>
          <t>High</t>
        </is>
      </c>
      <c r="AB314" s="8" t="inlineStr">
        <is>
          <t>Medium</t>
        </is>
      </c>
      <c r="AC314" s="8" t="inlineStr">
        <is>
          <t>Pilot</t>
        </is>
      </c>
      <c r="AD314" s="5" t="inlineStr">
        <is>
          <t>Not independently checked</t>
        </is>
      </c>
      <c r="AE314" s="5" t="inlineStr">
        <is>
          <t>Not verified</t>
        </is>
      </c>
      <c r="AF314" s="5" t="inlineStr">
        <is>
          <t>Not verified</t>
        </is>
      </c>
      <c r="AG314" s="5" t="inlineStr">
        <is>
          <t>Not verified</t>
        </is>
      </c>
      <c r="AH314" s="5" t="inlineStr">
        <is>
          <t>Not verified</t>
        </is>
      </c>
      <c r="AI314" s="8" t="inlineStr">
        <is>
          <t>No</t>
        </is>
      </c>
      <c r="AJ314" s="8" t="inlineStr">
        <is>
          <t>Claimed - unverified</t>
        </is>
      </c>
      <c r="AK314" s="8" t="inlineStr">
        <is>
          <t>P1</t>
        </is>
      </c>
      <c r="AL314" s="8" t="n">
        <v>18</v>
      </c>
      <c r="AM314" s="5" t="inlineStr"/>
      <c r="AN314" s="5" t="inlineStr"/>
      <c r="AO314" s="5" t="inlineStr"/>
      <c r="AP314" s="5" t="inlineStr"/>
      <c r="AQ314" s="5" t="inlineStr"/>
      <c r="AR314" s="5" t="inlineStr"/>
      <c r="AS314" s="5" t="inlineStr"/>
      <c r="AT314" s="5" t="inlineStr"/>
      <c r="AU314" s="8" t="inlineStr">
        <is>
          <t>Not run</t>
        </is>
      </c>
    </row>
    <row r="315" ht="32" customHeight="1">
      <c r="A315" s="16" t="inlineStr">
        <is>
          <t>X-0314</t>
        </is>
      </c>
      <c r="B315" s="8" t="inlineStr">
        <is>
          <t>X</t>
        </is>
      </c>
      <c r="C315" s="5" t="inlineStr">
        <is>
          <t>Multiple / Cross-persona</t>
        </is>
      </c>
      <c r="D315" s="5" t="inlineStr">
        <is>
          <t>Receivables &amp; Payables</t>
        </is>
      </c>
      <c r="E315" s="5" t="inlineStr">
        <is>
          <t>Invoice overdue → ageing bucket changes</t>
        </is>
      </c>
      <c r="F315" s="5" t="inlineStr">
        <is>
          <t>System / Aging Engine</t>
        </is>
      </c>
      <c r="G315" s="5" t="inlineStr">
        <is>
          <t>Credit Controller</t>
        </is>
      </c>
      <c r="H315" s="5" t="inlineStr">
        <is>
          <t>Unpaid invoice moves into overdue aging category (1-30, 31-60, 61-90, 90+ days)</t>
        </is>
      </c>
      <c r="I315" s="5" t="inlineStr">
        <is>
          <t>Reclassifies invoice aging bucket based on days elapsed since payment due date</t>
        </is>
      </c>
      <c r="J315" s="20" t="inlineStr">
        <is>
          <t>P1</t>
        </is>
      </c>
      <c r="K315" s="20" t="inlineStr">
        <is>
          <t>Validated (Supported)</t>
        </is>
      </c>
      <c r="L315" s="5" t="inlineStr">
        <is>
          <t>Supported via dynamic aging classification in accounts receivable reports.</t>
        </is>
      </c>
      <c r="M315" s="8" t="inlineStr">
        <is>
          <t>Baseline</t>
        </is>
      </c>
      <c r="N315" s="8" t="inlineStr">
        <is>
          <t>Cross-persona</t>
        </is>
      </c>
      <c r="O315" s="8" t="inlineStr">
        <is>
          <t>P1</t>
        </is>
      </c>
      <c r="P315" s="5" t="inlineStr">
        <is>
          <t>Unchanged</t>
        </is>
      </c>
      <c r="Q315" s="20" t="inlineStr">
        <is>
          <t>Author assertion</t>
        </is>
      </c>
      <c r="R315" s="5" t="inlineStr"/>
      <c r="S315" s="8" t="inlineStr">
        <is>
          <t>ARAP</t>
        </is>
      </c>
      <c r="T315" s="5" t="inlineStr">
        <is>
          <t>Receivables and payables</t>
        </is>
      </c>
      <c r="U315" s="8" t="inlineStr"/>
      <c r="V315" s="8" t="inlineStr">
        <is>
          <t>ledgers</t>
        </is>
      </c>
      <c r="W315" s="8" t="inlineStr">
        <is>
          <t>CONTROL</t>
        </is>
      </c>
      <c r="X315" s="5" t="inlineStr">
        <is>
          <t>Core</t>
        </is>
      </c>
      <c r="Y315" s="5" t="inlineStr">
        <is>
          <t>Cross-persona</t>
        </is>
      </c>
      <c r="Z315" s="5" t="inlineStr">
        <is>
          <t>Critical</t>
        </is>
      </c>
      <c r="AA315" s="5" t="inlineStr">
        <is>
          <t>High</t>
        </is>
      </c>
      <c r="AB315" s="8" t="inlineStr">
        <is>
          <t>Medium</t>
        </is>
      </c>
      <c r="AC315" s="8" t="inlineStr">
        <is>
          <t>Pilot</t>
        </is>
      </c>
      <c r="AD315" s="5" t="inlineStr">
        <is>
          <t>Not independently checked</t>
        </is>
      </c>
      <c r="AE315" s="5" t="inlineStr">
        <is>
          <t>Not verified</t>
        </is>
      </c>
      <c r="AF315" s="5" t="inlineStr">
        <is>
          <t>Not verified</t>
        </is>
      </c>
      <c r="AG315" s="5" t="inlineStr">
        <is>
          <t>Not verified</t>
        </is>
      </c>
      <c r="AH315" s="5" t="inlineStr">
        <is>
          <t>Not verified</t>
        </is>
      </c>
      <c r="AI315" s="8" t="inlineStr">
        <is>
          <t>No</t>
        </is>
      </c>
      <c r="AJ315" s="8" t="inlineStr">
        <is>
          <t>Claimed - unverified</t>
        </is>
      </c>
      <c r="AK315" s="8" t="inlineStr">
        <is>
          <t>P1</t>
        </is>
      </c>
      <c r="AL315" s="8" t="n">
        <v>18</v>
      </c>
      <c r="AM315" s="5" t="inlineStr"/>
      <c r="AN315" s="5" t="inlineStr"/>
      <c r="AO315" s="5" t="inlineStr"/>
      <c r="AP315" s="5" t="inlineStr"/>
      <c r="AQ315" s="5" t="inlineStr"/>
      <c r="AR315" s="5" t="inlineStr"/>
      <c r="AS315" s="5" t="inlineStr"/>
      <c r="AT315" s="5" t="inlineStr"/>
      <c r="AU315" s="8" t="inlineStr">
        <is>
          <t>Not run</t>
        </is>
      </c>
    </row>
    <row r="316" ht="32" customHeight="1">
      <c r="A316" s="16" t="inlineStr">
        <is>
          <t>X-0315</t>
        </is>
      </c>
      <c r="B316" s="8" t="inlineStr">
        <is>
          <t>X</t>
        </is>
      </c>
      <c r="C316" s="5" t="inlineStr">
        <is>
          <t>Multiple / Cross-persona</t>
        </is>
      </c>
      <c r="D316" s="5" t="inlineStr">
        <is>
          <t>Receivables &amp; Payables</t>
        </is>
      </c>
      <c r="E316" s="5" t="inlineStr">
        <is>
          <t>Customer crosses credit limit → alert generated</t>
        </is>
      </c>
      <c r="F316" s="5" t="inlineStr">
        <is>
          <t>System / Credit Guard</t>
        </is>
      </c>
      <c r="G316" s="5" t="inlineStr">
        <is>
          <t>Business Owner / Salesperson</t>
        </is>
      </c>
      <c r="H316" s="5" t="inlineStr">
        <is>
          <t>Immediate warning generated when customer outstanding balance breaches approved credit limit</t>
        </is>
      </c>
      <c r="I316" s="5" t="inlineStr">
        <is>
          <t>Generates high-priority credit limit warning; flags new orders for owner approval</t>
        </is>
      </c>
      <c r="J316" s="19" t="inlineStr">
        <is>
          <t>P0</t>
        </is>
      </c>
      <c r="K316" s="20" t="inlineStr">
        <is>
          <t>Validated (Supported)</t>
        </is>
      </c>
      <c r="L316" s="5" t="inlineStr">
        <is>
          <t>Core business invariant: credit limit breach blocks checkout unless overridden by Owner.</t>
        </is>
      </c>
      <c r="M316" s="8" t="inlineStr">
        <is>
          <t>Baseline</t>
        </is>
      </c>
      <c r="N316" s="8" t="inlineStr">
        <is>
          <t>Cross-persona</t>
        </is>
      </c>
      <c r="O316" s="8" t="inlineStr">
        <is>
          <t>P0</t>
        </is>
      </c>
      <c r="P316" s="5" t="inlineStr">
        <is>
          <t>Unchanged</t>
        </is>
      </c>
      <c r="Q316" s="20" t="inlineStr">
        <is>
          <t>Author assertion</t>
        </is>
      </c>
      <c r="R316" s="5" t="inlineStr"/>
      <c r="S316" s="8" t="inlineStr">
        <is>
          <t>ARAP</t>
        </is>
      </c>
      <c r="T316" s="5" t="inlineStr">
        <is>
          <t>Receivables and payables</t>
        </is>
      </c>
      <c r="U316" s="8" t="inlineStr"/>
      <c r="V316" s="8" t="inlineStr">
        <is>
          <t>ledgers</t>
        </is>
      </c>
      <c r="W316" s="8" t="inlineStr">
        <is>
          <t>CONTROL</t>
        </is>
      </c>
      <c r="X316" s="5" t="inlineStr">
        <is>
          <t>Core</t>
        </is>
      </c>
      <c r="Y316" s="5" t="inlineStr">
        <is>
          <t>Cross-persona</t>
        </is>
      </c>
      <c r="Z316" s="5" t="inlineStr">
        <is>
          <t>Critical</t>
        </is>
      </c>
      <c r="AA316" s="5" t="inlineStr">
        <is>
          <t>High</t>
        </is>
      </c>
      <c r="AB316" s="8" t="inlineStr">
        <is>
          <t>Medium</t>
        </is>
      </c>
      <c r="AC316" s="8" t="inlineStr">
        <is>
          <t>MVP</t>
        </is>
      </c>
      <c r="AD316" s="5" t="inlineStr">
        <is>
          <t>Not independently checked</t>
        </is>
      </c>
      <c r="AE316" s="5" t="inlineStr">
        <is>
          <t>Not verified</t>
        </is>
      </c>
      <c r="AF316" s="5" t="inlineStr">
        <is>
          <t>Not verified</t>
        </is>
      </c>
      <c r="AG316" s="5" t="inlineStr">
        <is>
          <t>Not verified</t>
        </is>
      </c>
      <c r="AH316" s="5" t="inlineStr">
        <is>
          <t>Not verified</t>
        </is>
      </c>
      <c r="AI316" s="8" t="inlineStr">
        <is>
          <t>No</t>
        </is>
      </c>
      <c r="AJ316" s="8" t="inlineStr">
        <is>
          <t>Claimed - unverified</t>
        </is>
      </c>
      <c r="AK316" s="8" t="inlineStr">
        <is>
          <t>P0</t>
        </is>
      </c>
      <c r="AL316" s="8" t="n">
        <v>18</v>
      </c>
      <c r="AM316" s="5" t="inlineStr"/>
      <c r="AN316" s="5" t="inlineStr"/>
      <c r="AO316" s="5" t="inlineStr"/>
      <c r="AP316" s="5" t="inlineStr"/>
      <c r="AQ316" s="5" t="inlineStr"/>
      <c r="AR316" s="5" t="inlineStr"/>
      <c r="AS316" s="5" t="inlineStr"/>
      <c r="AT316" s="5" t="inlineStr"/>
      <c r="AU316" s="8" t="inlineStr">
        <is>
          <t>Not run</t>
        </is>
      </c>
    </row>
    <row r="317" ht="32" customHeight="1">
      <c r="A317" s="16" t="inlineStr">
        <is>
          <t>X-0316</t>
        </is>
      </c>
      <c r="B317" s="8" t="inlineStr">
        <is>
          <t>X</t>
        </is>
      </c>
      <c r="C317" s="5" t="inlineStr">
        <is>
          <t>Multiple / Cross-persona</t>
        </is>
      </c>
      <c r="D317" s="5" t="inlineStr">
        <is>
          <t>Receivables &amp; Payables</t>
        </is>
      </c>
      <c r="E317" s="5" t="inlineStr">
        <is>
          <t>Payment reminder → reminder generated</t>
        </is>
      </c>
      <c r="F317" s="5" t="inlineStr">
        <is>
          <t>Credit Controller / Owner</t>
        </is>
      </c>
      <c r="G317" s="5" t="inlineStr">
        <is>
          <t>Customer</t>
        </is>
      </c>
      <c r="H317" s="5" t="inlineStr">
        <is>
          <t>Professional payment reminder message generated with unpaid invoice list and payment link</t>
        </is>
      </c>
      <c r="I317" s="5" t="inlineStr">
        <is>
          <t>Generates personalized payment reminder text with total due and dynamic UPI QR link</t>
        </is>
      </c>
      <c r="J317" s="20" t="inlineStr">
        <is>
          <t>P1</t>
        </is>
      </c>
      <c r="K317" s="20" t="inlineStr">
        <is>
          <t>Validated (Supported)</t>
        </is>
      </c>
      <c r="L317" s="5" t="inlineStr">
        <is>
          <t>Supported via WhatsApp / SMS Payment Reminder dispatch tool.</t>
        </is>
      </c>
      <c r="M317" s="8" t="inlineStr">
        <is>
          <t>Baseline</t>
        </is>
      </c>
      <c r="N317" s="8" t="inlineStr">
        <is>
          <t>Cross-persona</t>
        </is>
      </c>
      <c r="O317" s="8" t="inlineStr">
        <is>
          <t>P1</t>
        </is>
      </c>
      <c r="P317" s="5" t="inlineStr">
        <is>
          <t>Unchanged</t>
        </is>
      </c>
      <c r="Q317" s="21" t="inlineStr">
        <is>
          <t>Code symbol found</t>
        </is>
      </c>
      <c r="R317" s="5" t="inlineStr">
        <is>
          <t>Matched WhatsApp in product code. This is not a functional test.</t>
        </is>
      </c>
      <c r="S317" s="8" t="inlineStr">
        <is>
          <t>ARAP</t>
        </is>
      </c>
      <c r="T317" s="5" t="inlineStr">
        <is>
          <t>Receivables and payables</t>
        </is>
      </c>
      <c r="U317" s="8" t="inlineStr"/>
      <c r="V317" s="8" t="inlineStr">
        <is>
          <t>ledgers</t>
        </is>
      </c>
      <c r="W317" s="8" t="inlineStr">
        <is>
          <t>CONTROL</t>
        </is>
      </c>
      <c r="X317" s="5" t="inlineStr">
        <is>
          <t>Core</t>
        </is>
      </c>
      <c r="Y317" s="5" t="inlineStr">
        <is>
          <t>Cross-persona</t>
        </is>
      </c>
      <c r="Z317" s="5" t="inlineStr">
        <is>
          <t>Critical</t>
        </is>
      </c>
      <c r="AA317" s="5" t="inlineStr">
        <is>
          <t>High</t>
        </is>
      </c>
      <c r="AB317" s="8" t="inlineStr">
        <is>
          <t>Medium</t>
        </is>
      </c>
      <c r="AC317" s="8" t="inlineStr">
        <is>
          <t>Pilot</t>
        </is>
      </c>
      <c r="AD317" s="5" t="inlineStr">
        <is>
          <t>Cited in code</t>
        </is>
      </c>
      <c r="AE317" s="5" t="inlineStr">
        <is>
          <t>Not verified</t>
        </is>
      </c>
      <c r="AF317" s="5" t="inlineStr">
        <is>
          <t>Not verified</t>
        </is>
      </c>
      <c r="AG317" s="5" t="inlineStr">
        <is>
          <t>Not verified</t>
        </is>
      </c>
      <c r="AH317" s="5" t="inlineStr">
        <is>
          <t>Not verified</t>
        </is>
      </c>
      <c r="AI317" s="8" t="inlineStr">
        <is>
          <t>No</t>
        </is>
      </c>
      <c r="AJ317" s="8" t="inlineStr">
        <is>
          <t>Built - unverified</t>
        </is>
      </c>
      <c r="AK317" s="8" t="inlineStr">
        <is>
          <t>P1</t>
        </is>
      </c>
      <c r="AL317" s="8" t="n">
        <v>18</v>
      </c>
      <c r="AM317" s="5" t="inlineStr"/>
      <c r="AN317" s="5" t="inlineStr"/>
      <c r="AO317" s="5" t="inlineStr"/>
      <c r="AP317" s="5" t="inlineStr"/>
      <c r="AQ317" s="5" t="inlineStr"/>
      <c r="AR317" s="5" t="inlineStr"/>
      <c r="AS317" s="5" t="inlineStr"/>
      <c r="AT317" s="5" t="inlineStr"/>
      <c r="AU317" s="8" t="inlineStr">
        <is>
          <t>Not run</t>
        </is>
      </c>
    </row>
    <row r="318" ht="32" customHeight="1">
      <c r="A318" s="16" t="inlineStr">
        <is>
          <t>X-0317</t>
        </is>
      </c>
      <c r="B318" s="8" t="inlineStr">
        <is>
          <t>X</t>
        </is>
      </c>
      <c r="C318" s="5" t="inlineStr">
        <is>
          <t>Multiple / Cross-persona</t>
        </is>
      </c>
      <c r="D318" s="5" t="inlineStr">
        <is>
          <t>Receivables &amp; Payables</t>
        </is>
      </c>
      <c r="E318" s="5" t="inlineStr">
        <is>
          <t>Customer settles multiple invoices → allocation is maintained</t>
        </is>
      </c>
      <c r="F318" s="5" t="inlineStr">
        <is>
          <t>In-house Accountant</t>
        </is>
      </c>
      <c r="G318" s="5" t="inlineStr">
        <is>
          <t>Customer</t>
        </is>
      </c>
      <c r="H318" s="5" t="inlineStr">
        <is>
          <t>Single lump-sum remittance allocated across multiple past invoices with clear audit trail</t>
        </is>
      </c>
      <c r="I318" s="5" t="inlineStr">
        <is>
          <t>Maintains exact allocation breakdown per invoice; updates individual invoice paid amounts</t>
        </is>
      </c>
      <c r="J318" s="20" t="inlineStr">
        <is>
          <t>P1</t>
        </is>
      </c>
      <c r="K318" s="20" t="inlineStr">
        <is>
          <t>Validated (Supported)</t>
        </is>
      </c>
      <c r="L318" s="5" t="inlineStr">
        <is>
          <t>Supported via bulk payment allocation interface.</t>
        </is>
      </c>
      <c r="M318" s="8" t="inlineStr">
        <is>
          <t>Baseline</t>
        </is>
      </c>
      <c r="N318" s="8" t="inlineStr">
        <is>
          <t>Cross-persona</t>
        </is>
      </c>
      <c r="O318" s="8" t="inlineStr">
        <is>
          <t>P1</t>
        </is>
      </c>
      <c r="P318" s="5" t="inlineStr">
        <is>
          <t>Unchanged</t>
        </is>
      </c>
      <c r="Q318" s="20" t="inlineStr">
        <is>
          <t>Author assertion</t>
        </is>
      </c>
      <c r="R318" s="5" t="inlineStr"/>
      <c r="S318" s="8" t="inlineStr">
        <is>
          <t>ARAP</t>
        </is>
      </c>
      <c r="T318" s="5" t="inlineStr">
        <is>
          <t>Receivables and payables</t>
        </is>
      </c>
      <c r="U318" s="8" t="inlineStr"/>
      <c r="V318" s="8" t="inlineStr">
        <is>
          <t>ledgers</t>
        </is>
      </c>
      <c r="W318" s="8" t="inlineStr">
        <is>
          <t>CONTROL</t>
        </is>
      </c>
      <c r="X318" s="5" t="inlineStr">
        <is>
          <t>Core</t>
        </is>
      </c>
      <c r="Y318" s="5" t="inlineStr">
        <is>
          <t>Cross-persona</t>
        </is>
      </c>
      <c r="Z318" s="5" t="inlineStr">
        <is>
          <t>Critical</t>
        </is>
      </c>
      <c r="AA318" s="5" t="inlineStr">
        <is>
          <t>High</t>
        </is>
      </c>
      <c r="AB318" s="8" t="inlineStr">
        <is>
          <t>Medium</t>
        </is>
      </c>
      <c r="AC318" s="8" t="inlineStr">
        <is>
          <t>Pilot</t>
        </is>
      </c>
      <c r="AD318" s="5" t="inlineStr">
        <is>
          <t>Not independently checked</t>
        </is>
      </c>
      <c r="AE318" s="5" t="inlineStr">
        <is>
          <t>Not verified</t>
        </is>
      </c>
      <c r="AF318" s="5" t="inlineStr">
        <is>
          <t>Not verified</t>
        </is>
      </c>
      <c r="AG318" s="5" t="inlineStr">
        <is>
          <t>Not verified</t>
        </is>
      </c>
      <c r="AH318" s="5" t="inlineStr">
        <is>
          <t>Not verified</t>
        </is>
      </c>
      <c r="AI318" s="8" t="inlineStr">
        <is>
          <t>No</t>
        </is>
      </c>
      <c r="AJ318" s="8" t="inlineStr">
        <is>
          <t>Claimed - unverified</t>
        </is>
      </c>
      <c r="AK318" s="8" t="inlineStr">
        <is>
          <t>P1</t>
        </is>
      </c>
      <c r="AL318" s="8" t="n">
        <v>18</v>
      </c>
      <c r="AM318" s="5" t="inlineStr"/>
      <c r="AN318" s="5" t="inlineStr"/>
      <c r="AO318" s="5" t="inlineStr"/>
      <c r="AP318" s="5" t="inlineStr"/>
      <c r="AQ318" s="5" t="inlineStr"/>
      <c r="AR318" s="5" t="inlineStr"/>
      <c r="AS318" s="5" t="inlineStr"/>
      <c r="AT318" s="5" t="inlineStr"/>
      <c r="AU318" s="8" t="inlineStr">
        <is>
          <t>Not run</t>
        </is>
      </c>
    </row>
    <row r="319" ht="32" customHeight="1">
      <c r="A319" s="16" t="inlineStr">
        <is>
          <t>X-0318</t>
        </is>
      </c>
      <c r="B319" s="8" t="inlineStr">
        <is>
          <t>X</t>
        </is>
      </c>
      <c r="C319" s="5" t="inlineStr">
        <is>
          <t>Multiple / Cross-persona</t>
        </is>
      </c>
      <c r="D319" s="5" t="inlineStr">
        <is>
          <t>Receivables &amp; Payables</t>
        </is>
      </c>
      <c r="E319" s="5" t="inlineStr">
        <is>
          <t>Credit note → customer balance changes</t>
        </is>
      </c>
      <c r="F319" s="5" t="inlineStr">
        <is>
          <t>In-house Accountant</t>
        </is>
      </c>
      <c r="G319" s="5" t="inlineStr">
        <is>
          <t>Customer</t>
        </is>
      </c>
      <c r="H319" s="5" t="inlineStr">
        <is>
          <t>Approved credit note for return or rate concession reduces customer outstanding balance</t>
        </is>
      </c>
      <c r="I319" s="5" t="inlineStr">
        <is>
          <t>Credits Customer AR ledger; reduces net outstanding balance owed by customer</t>
        </is>
      </c>
      <c r="J319" s="20" t="inlineStr">
        <is>
          <t>P1</t>
        </is>
      </c>
      <c r="K319" s="20" t="inlineStr">
        <is>
          <t>Validated (Supported)</t>
        </is>
      </c>
      <c r="L319" s="5" t="inlineStr">
        <is>
          <t>Core system invariant: Credit Note completion immediately reduces customer AR balance.</t>
        </is>
      </c>
      <c r="M319" s="8" t="inlineStr">
        <is>
          <t>Baseline</t>
        </is>
      </c>
      <c r="N319" s="8" t="inlineStr">
        <is>
          <t>Cross-persona</t>
        </is>
      </c>
      <c r="O319" s="8" t="inlineStr">
        <is>
          <t>P1</t>
        </is>
      </c>
      <c r="P319" s="5" t="inlineStr">
        <is>
          <t>Unchanged</t>
        </is>
      </c>
      <c r="Q319" s="20" t="inlineStr">
        <is>
          <t>Author assertion</t>
        </is>
      </c>
      <c r="R319" s="5" t="inlineStr"/>
      <c r="S319" s="8" t="inlineStr">
        <is>
          <t>ARAP</t>
        </is>
      </c>
      <c r="T319" s="5" t="inlineStr">
        <is>
          <t>Receivables and payables</t>
        </is>
      </c>
      <c r="U319" s="8" t="inlineStr"/>
      <c r="V319" s="8" t="inlineStr">
        <is>
          <t>ledgers</t>
        </is>
      </c>
      <c r="W319" s="8" t="inlineStr">
        <is>
          <t>CONTROL</t>
        </is>
      </c>
      <c r="X319" s="5" t="inlineStr">
        <is>
          <t>Core</t>
        </is>
      </c>
      <c r="Y319" s="5" t="inlineStr">
        <is>
          <t>Cross-persona</t>
        </is>
      </c>
      <c r="Z319" s="5" t="inlineStr">
        <is>
          <t>Critical</t>
        </is>
      </c>
      <c r="AA319" s="5" t="inlineStr">
        <is>
          <t>High</t>
        </is>
      </c>
      <c r="AB319" s="8" t="inlineStr">
        <is>
          <t>Medium</t>
        </is>
      </c>
      <c r="AC319" s="8" t="inlineStr">
        <is>
          <t>Pilot</t>
        </is>
      </c>
      <c r="AD319" s="5" t="inlineStr">
        <is>
          <t>Not independently checked</t>
        </is>
      </c>
      <c r="AE319" s="5" t="inlineStr">
        <is>
          <t>Not verified</t>
        </is>
      </c>
      <c r="AF319" s="5" t="inlineStr">
        <is>
          <t>Not verified</t>
        </is>
      </c>
      <c r="AG319" s="5" t="inlineStr">
        <is>
          <t>Not verified</t>
        </is>
      </c>
      <c r="AH319" s="5" t="inlineStr">
        <is>
          <t>Not verified</t>
        </is>
      </c>
      <c r="AI319" s="8" t="inlineStr">
        <is>
          <t>No</t>
        </is>
      </c>
      <c r="AJ319" s="8" t="inlineStr">
        <is>
          <t>Claimed - unverified</t>
        </is>
      </c>
      <c r="AK319" s="8" t="inlineStr">
        <is>
          <t>P1</t>
        </is>
      </c>
      <c r="AL319" s="8" t="n">
        <v>18</v>
      </c>
      <c r="AM319" s="5" t="inlineStr"/>
      <c r="AN319" s="5" t="inlineStr"/>
      <c r="AO319" s="5" t="inlineStr"/>
      <c r="AP319" s="5" t="inlineStr"/>
      <c r="AQ319" s="5" t="inlineStr"/>
      <c r="AR319" s="5" t="inlineStr"/>
      <c r="AS319" s="5" t="inlineStr"/>
      <c r="AT319" s="5" t="inlineStr"/>
      <c r="AU319" s="8" t="inlineStr">
        <is>
          <t>Not run</t>
        </is>
      </c>
    </row>
    <row r="320" ht="32" customHeight="1">
      <c r="A320" s="16" t="inlineStr">
        <is>
          <t>X-0319</t>
        </is>
      </c>
      <c r="B320" s="8" t="inlineStr">
        <is>
          <t>X</t>
        </is>
      </c>
      <c r="C320" s="5" t="inlineStr">
        <is>
          <t>Multiple / Cross-persona</t>
        </is>
      </c>
      <c r="D320" s="5" t="inlineStr">
        <is>
          <t>Receivables &amp; Payables</t>
        </is>
      </c>
      <c r="E320" s="5" t="inlineStr">
        <is>
          <t>Refund → customer balance changes</t>
        </is>
      </c>
      <c r="F320" s="5" t="inlineStr">
        <is>
          <t>Cashier / Accountant</t>
        </is>
      </c>
      <c r="G320" s="5" t="inlineStr">
        <is>
          <t>Customer</t>
        </is>
      </c>
      <c r="H320" s="5" t="inlineStr">
        <is>
          <t>Cash or bank refund issued to customer increases customer ledger balance</t>
        </is>
      </c>
      <c r="I320" s="5" t="inlineStr">
        <is>
          <t>Debits Customer AR ledger; credits Bank/Cash account; offsets open credit notes</t>
        </is>
      </c>
      <c r="J320" s="20" t="inlineStr">
        <is>
          <t>P1</t>
        </is>
      </c>
      <c r="K320" s="20" t="inlineStr">
        <is>
          <t>Validated (Supported)</t>
        </is>
      </c>
      <c r="L320" s="5" t="inlineStr">
        <is>
          <t>Supported via Refund payment workflow linked to Credit Note.</t>
        </is>
      </c>
      <c r="M320" s="8" t="inlineStr">
        <is>
          <t>Baseline</t>
        </is>
      </c>
      <c r="N320" s="8" t="inlineStr">
        <is>
          <t>Cross-persona</t>
        </is>
      </c>
      <c r="O320" s="8" t="inlineStr">
        <is>
          <t>P1</t>
        </is>
      </c>
      <c r="P320" s="5" t="inlineStr">
        <is>
          <t>Unchanged</t>
        </is>
      </c>
      <c r="Q320" s="20" t="inlineStr">
        <is>
          <t>Author assertion</t>
        </is>
      </c>
      <c r="R320" s="5" t="inlineStr"/>
      <c r="S320" s="8" t="inlineStr">
        <is>
          <t>ARAP</t>
        </is>
      </c>
      <c r="T320" s="5" t="inlineStr">
        <is>
          <t>Receivables and payables</t>
        </is>
      </c>
      <c r="U320" s="8" t="inlineStr"/>
      <c r="V320" s="8" t="inlineStr">
        <is>
          <t>ledgers</t>
        </is>
      </c>
      <c r="W320" s="8" t="inlineStr">
        <is>
          <t>CONTROL</t>
        </is>
      </c>
      <c r="X320" s="5" t="inlineStr">
        <is>
          <t>Core</t>
        </is>
      </c>
      <c r="Y320" s="5" t="inlineStr">
        <is>
          <t>Cross-persona</t>
        </is>
      </c>
      <c r="Z320" s="5" t="inlineStr">
        <is>
          <t>Critical</t>
        </is>
      </c>
      <c r="AA320" s="5" t="inlineStr">
        <is>
          <t>High</t>
        </is>
      </c>
      <c r="AB320" s="8" t="inlineStr">
        <is>
          <t>Medium</t>
        </is>
      </c>
      <c r="AC320" s="8" t="inlineStr">
        <is>
          <t>Pilot</t>
        </is>
      </c>
      <c r="AD320" s="5" t="inlineStr">
        <is>
          <t>Not independently checked</t>
        </is>
      </c>
      <c r="AE320" s="5" t="inlineStr">
        <is>
          <t>Not verified</t>
        </is>
      </c>
      <c r="AF320" s="5" t="inlineStr">
        <is>
          <t>Not verified</t>
        </is>
      </c>
      <c r="AG320" s="5" t="inlineStr">
        <is>
          <t>Not verified</t>
        </is>
      </c>
      <c r="AH320" s="5" t="inlineStr">
        <is>
          <t>Not verified</t>
        </is>
      </c>
      <c r="AI320" s="8" t="inlineStr">
        <is>
          <t>No</t>
        </is>
      </c>
      <c r="AJ320" s="8" t="inlineStr">
        <is>
          <t>Claimed - unverified</t>
        </is>
      </c>
      <c r="AK320" s="8" t="inlineStr">
        <is>
          <t>P1</t>
        </is>
      </c>
      <c r="AL320" s="8" t="n">
        <v>18</v>
      </c>
      <c r="AM320" s="5" t="inlineStr"/>
      <c r="AN320" s="5" t="inlineStr"/>
      <c r="AO320" s="5" t="inlineStr"/>
      <c r="AP320" s="5" t="inlineStr"/>
      <c r="AQ320" s="5" t="inlineStr"/>
      <c r="AR320" s="5" t="inlineStr"/>
      <c r="AS320" s="5" t="inlineStr"/>
      <c r="AT320" s="5" t="inlineStr"/>
      <c r="AU320" s="8" t="inlineStr">
        <is>
          <t>Not run</t>
        </is>
      </c>
    </row>
    <row r="321" ht="32" customHeight="1">
      <c r="A321" s="16" t="inlineStr">
        <is>
          <t>X-0320</t>
        </is>
      </c>
      <c r="B321" s="8" t="inlineStr">
        <is>
          <t>X</t>
        </is>
      </c>
      <c r="C321" s="5" t="inlineStr">
        <is>
          <t>Multiple / Cross-persona</t>
        </is>
      </c>
      <c r="D321" s="5" t="inlineStr">
        <is>
          <t>Receivables &amp; Payables</t>
        </is>
      </c>
      <c r="E321" s="5" t="inlineStr">
        <is>
          <t>Customer statement → all transactions are visible</t>
        </is>
      </c>
      <c r="F321" s="5" t="inlineStr">
        <is>
          <t>In-house Accountant</t>
        </is>
      </c>
      <c r="G321" s="5" t="inlineStr">
        <is>
          <t>Customer / Owner</t>
        </is>
      </c>
      <c r="H321" s="5" t="inlineStr">
        <is>
          <t>Comprehensive statement of account showing all invoices, debit/credit notes, and payments</t>
        </is>
      </c>
      <c r="I321" s="5" t="inlineStr">
        <is>
          <t>Renders chronological customer ledger statement with debit, credit, and running balance</t>
        </is>
      </c>
      <c r="J321" s="20" t="inlineStr">
        <is>
          <t>P1</t>
        </is>
      </c>
      <c r="K321" s="20" t="inlineStr">
        <is>
          <t>Validated (Supported)</t>
        </is>
      </c>
      <c r="L321" s="5" t="inlineStr">
        <is>
          <t>Supported via /sales/customers/{id}/statement/ with PDF and Excel export.</t>
        </is>
      </c>
      <c r="M321" s="8" t="inlineStr">
        <is>
          <t>Baseline</t>
        </is>
      </c>
      <c r="N321" s="8" t="inlineStr">
        <is>
          <t>Cross-persona</t>
        </is>
      </c>
      <c r="O321" s="8" t="inlineStr">
        <is>
          <t>P1</t>
        </is>
      </c>
      <c r="P321" s="5" t="inlineStr">
        <is>
          <t>Unchanged</t>
        </is>
      </c>
      <c r="Q321" s="20" t="inlineStr">
        <is>
          <t>Author assertion</t>
        </is>
      </c>
      <c r="R321" s="5" t="inlineStr"/>
      <c r="S321" s="8" t="inlineStr">
        <is>
          <t>ARAP</t>
        </is>
      </c>
      <c r="T321" s="5" t="inlineStr">
        <is>
          <t>Receivables and payables</t>
        </is>
      </c>
      <c r="U321" s="8" t="inlineStr"/>
      <c r="V321" s="8" t="inlineStr">
        <is>
          <t>ledgers</t>
        </is>
      </c>
      <c r="W321" s="8" t="inlineStr">
        <is>
          <t>CONTROL</t>
        </is>
      </c>
      <c r="X321" s="5" t="inlineStr">
        <is>
          <t>Core</t>
        </is>
      </c>
      <c r="Y321" s="5" t="inlineStr">
        <is>
          <t>Cross-persona</t>
        </is>
      </c>
      <c r="Z321" s="5" t="inlineStr">
        <is>
          <t>Critical</t>
        </is>
      </c>
      <c r="AA321" s="5" t="inlineStr">
        <is>
          <t>High</t>
        </is>
      </c>
      <c r="AB321" s="8" t="inlineStr">
        <is>
          <t>Medium</t>
        </is>
      </c>
      <c r="AC321" s="8" t="inlineStr">
        <is>
          <t>Pilot</t>
        </is>
      </c>
      <c r="AD321" s="5" t="inlineStr">
        <is>
          <t>Not independently checked</t>
        </is>
      </c>
      <c r="AE321" s="5" t="inlineStr">
        <is>
          <t>Not verified</t>
        </is>
      </c>
      <c r="AF321" s="5" t="inlineStr">
        <is>
          <t>Not verified</t>
        </is>
      </c>
      <c r="AG321" s="5" t="inlineStr">
        <is>
          <t>Not verified</t>
        </is>
      </c>
      <c r="AH321" s="5" t="inlineStr">
        <is>
          <t>Not verified</t>
        </is>
      </c>
      <c r="AI321" s="8" t="inlineStr">
        <is>
          <t>No</t>
        </is>
      </c>
      <c r="AJ321" s="8" t="inlineStr">
        <is>
          <t>Claimed - unverified</t>
        </is>
      </c>
      <c r="AK321" s="8" t="inlineStr">
        <is>
          <t>P1</t>
        </is>
      </c>
      <c r="AL321" s="8" t="n">
        <v>18</v>
      </c>
      <c r="AM321" s="5" t="inlineStr"/>
      <c r="AN321" s="5" t="inlineStr"/>
      <c r="AO321" s="5" t="inlineStr"/>
      <c r="AP321" s="5" t="inlineStr"/>
      <c r="AQ321" s="5" t="inlineStr"/>
      <c r="AR321" s="5" t="inlineStr"/>
      <c r="AS321" s="5" t="inlineStr"/>
      <c r="AT321" s="5" t="inlineStr"/>
      <c r="AU321" s="8" t="inlineStr">
        <is>
          <t>Not run</t>
        </is>
      </c>
    </row>
    <row r="322" ht="32" customHeight="1">
      <c r="A322" s="16" t="inlineStr">
        <is>
          <t>X-0321</t>
        </is>
      </c>
      <c r="B322" s="8" t="inlineStr">
        <is>
          <t>X</t>
        </is>
      </c>
      <c r="C322" s="5" t="inlineStr">
        <is>
          <t>Multiple / Cross-persona</t>
        </is>
      </c>
      <c r="D322" s="5" t="inlineStr">
        <is>
          <t>Receivables &amp; Payables</t>
        </is>
      </c>
      <c r="E322" s="5" t="inlineStr">
        <is>
          <t>Owner reviews receivables → customer-level drill-down</t>
        </is>
      </c>
      <c r="F322" s="5" t="inlineStr">
        <is>
          <t>Reporting &amp; Business Intelligence</t>
        </is>
      </c>
      <c r="G322" s="5" t="inlineStr">
        <is>
          <t>Business Owner</t>
        </is>
      </c>
      <c r="H322" s="5" t="inlineStr">
        <is>
          <t>Owner inspects total market receivables and clicks into any customer to see unpaid bills</t>
        </is>
      </c>
      <c r="I322" s="5" t="inlineStr">
        <is>
          <t>Provides instant drill-down from receivables summary KPI to individual customer invoices</t>
        </is>
      </c>
      <c r="J322" s="20" t="inlineStr">
        <is>
          <t>P1</t>
        </is>
      </c>
      <c r="K322" s="20" t="inlineStr">
        <is>
          <t>Validated (Supported)</t>
        </is>
      </c>
      <c r="L322" s="5" t="inlineStr">
        <is>
          <t>Supported via Receivables Dashboard with interactive drill-down.</t>
        </is>
      </c>
      <c r="M322" s="8" t="inlineStr">
        <is>
          <t>Baseline</t>
        </is>
      </c>
      <c r="N322" s="8" t="inlineStr">
        <is>
          <t>Cross-persona</t>
        </is>
      </c>
      <c r="O322" s="8" t="inlineStr">
        <is>
          <t>P1</t>
        </is>
      </c>
      <c r="P322" s="5" t="inlineStr">
        <is>
          <t>Unchanged</t>
        </is>
      </c>
      <c r="Q322" s="20" t="inlineStr">
        <is>
          <t>Author assertion</t>
        </is>
      </c>
      <c r="R322" s="5" t="inlineStr"/>
      <c r="S322" s="8" t="inlineStr">
        <is>
          <t>ARAP</t>
        </is>
      </c>
      <c r="T322" s="5" t="inlineStr">
        <is>
          <t>Receivables and payables</t>
        </is>
      </c>
      <c r="U322" s="8" t="inlineStr"/>
      <c r="V322" s="8" t="inlineStr">
        <is>
          <t>ledgers</t>
        </is>
      </c>
      <c r="W322" s="8" t="inlineStr">
        <is>
          <t>CONTROL</t>
        </is>
      </c>
      <c r="X322" s="5" t="inlineStr">
        <is>
          <t>Core</t>
        </is>
      </c>
      <c r="Y322" s="5" t="inlineStr">
        <is>
          <t>Cross-persona</t>
        </is>
      </c>
      <c r="Z322" s="5" t="inlineStr">
        <is>
          <t>Critical</t>
        </is>
      </c>
      <c r="AA322" s="5" t="inlineStr">
        <is>
          <t>High</t>
        </is>
      </c>
      <c r="AB322" s="8" t="inlineStr">
        <is>
          <t>Medium</t>
        </is>
      </c>
      <c r="AC322" s="8" t="inlineStr">
        <is>
          <t>Pilot</t>
        </is>
      </c>
      <c r="AD322" s="5" t="inlineStr">
        <is>
          <t>Not independently checked</t>
        </is>
      </c>
      <c r="AE322" s="5" t="inlineStr">
        <is>
          <t>Not verified</t>
        </is>
      </c>
      <c r="AF322" s="5" t="inlineStr">
        <is>
          <t>Not verified</t>
        </is>
      </c>
      <c r="AG322" s="5" t="inlineStr">
        <is>
          <t>Not verified</t>
        </is>
      </c>
      <c r="AH322" s="5" t="inlineStr">
        <is>
          <t>Not verified</t>
        </is>
      </c>
      <c r="AI322" s="8" t="inlineStr">
        <is>
          <t>No</t>
        </is>
      </c>
      <c r="AJ322" s="8" t="inlineStr">
        <is>
          <t>Claimed - unverified</t>
        </is>
      </c>
      <c r="AK322" s="8" t="inlineStr">
        <is>
          <t>P1</t>
        </is>
      </c>
      <c r="AL322" s="8" t="n">
        <v>18</v>
      </c>
      <c r="AM322" s="5" t="inlineStr"/>
      <c r="AN322" s="5" t="inlineStr"/>
      <c r="AO322" s="5" t="inlineStr"/>
      <c r="AP322" s="5" t="inlineStr"/>
      <c r="AQ322" s="5" t="inlineStr"/>
      <c r="AR322" s="5" t="inlineStr"/>
      <c r="AS322" s="5" t="inlineStr"/>
      <c r="AT322" s="5" t="inlineStr"/>
      <c r="AU322" s="8" t="inlineStr">
        <is>
          <t>Not run</t>
        </is>
      </c>
    </row>
    <row r="323" ht="32" customHeight="1">
      <c r="A323" s="16" t="inlineStr">
        <is>
          <t>X-0322</t>
        </is>
      </c>
      <c r="B323" s="8" t="inlineStr">
        <is>
          <t>X</t>
        </is>
      </c>
      <c r="C323" s="5" t="inlineStr">
        <is>
          <t>Multiple / Cross-persona</t>
        </is>
      </c>
      <c r="D323" s="5" t="inlineStr">
        <is>
          <t>Receivables &amp; Payables</t>
        </is>
      </c>
      <c r="E323" s="5" t="inlineStr">
        <is>
          <t>Accountant reconciles customer ledger → discrepancies identified</t>
        </is>
      </c>
      <c r="F323" s="5" t="inlineStr">
        <is>
          <t>In-house Accountant</t>
        </is>
      </c>
      <c r="G323" s="5" t="inlineStr">
        <is>
          <t>Customer Accounts Team</t>
        </is>
      </c>
      <c r="H323" s="5" t="inlineStr">
        <is>
          <t>Periodic ledger reconciliation with customer accounting department to resolve variances</t>
        </is>
      </c>
      <c r="I323" s="5" t="inlineStr">
        <is>
          <t>Highlights mismatched invoice amounts, unrecorded deductions, or disputed debit notes</t>
        </is>
      </c>
      <c r="J323" s="20" t="inlineStr">
        <is>
          <t>P1</t>
        </is>
      </c>
      <c r="K323" s="20" t="inlineStr">
        <is>
          <t>Validated (Supported)</t>
        </is>
      </c>
      <c r="L323" s="5" t="inlineStr">
        <is>
          <t>Supported via Customer Ledger Reconciliation tool.</t>
        </is>
      </c>
      <c r="M323" s="8" t="inlineStr">
        <is>
          <t>Baseline</t>
        </is>
      </c>
      <c r="N323" s="8" t="inlineStr">
        <is>
          <t>Cross-persona</t>
        </is>
      </c>
      <c r="O323" s="8" t="inlineStr">
        <is>
          <t>P1</t>
        </is>
      </c>
      <c r="P323" s="5" t="inlineStr">
        <is>
          <t>Unchanged</t>
        </is>
      </c>
      <c r="Q323" s="20" t="inlineStr">
        <is>
          <t>Author assertion</t>
        </is>
      </c>
      <c r="R323" s="5" t="inlineStr"/>
      <c r="S323" s="8" t="inlineStr">
        <is>
          <t>ARAP</t>
        </is>
      </c>
      <c r="T323" s="5" t="inlineStr">
        <is>
          <t>Receivables and payables</t>
        </is>
      </c>
      <c r="U323" s="8" t="inlineStr"/>
      <c r="V323" s="8" t="inlineStr">
        <is>
          <t>ledgers</t>
        </is>
      </c>
      <c r="W323" s="8" t="inlineStr">
        <is>
          <t>CONTROL</t>
        </is>
      </c>
      <c r="X323" s="5" t="inlineStr">
        <is>
          <t>Core</t>
        </is>
      </c>
      <c r="Y323" s="5" t="inlineStr">
        <is>
          <t>Cross-persona</t>
        </is>
      </c>
      <c r="Z323" s="5" t="inlineStr">
        <is>
          <t>Critical</t>
        </is>
      </c>
      <c r="AA323" s="5" t="inlineStr">
        <is>
          <t>High</t>
        </is>
      </c>
      <c r="AB323" s="8" t="inlineStr">
        <is>
          <t>Medium</t>
        </is>
      </c>
      <c r="AC323" s="8" t="inlineStr">
        <is>
          <t>Pilot</t>
        </is>
      </c>
      <c r="AD323" s="5" t="inlineStr">
        <is>
          <t>Not independently checked</t>
        </is>
      </c>
      <c r="AE323" s="5" t="inlineStr">
        <is>
          <t>Not verified</t>
        </is>
      </c>
      <c r="AF323" s="5" t="inlineStr">
        <is>
          <t>Not verified</t>
        </is>
      </c>
      <c r="AG323" s="5" t="inlineStr">
        <is>
          <t>Not verified</t>
        </is>
      </c>
      <c r="AH323" s="5" t="inlineStr">
        <is>
          <t>Not verified</t>
        </is>
      </c>
      <c r="AI323" s="8" t="inlineStr">
        <is>
          <t>No</t>
        </is>
      </c>
      <c r="AJ323" s="8" t="inlineStr">
        <is>
          <t>Claimed - unverified</t>
        </is>
      </c>
      <c r="AK323" s="8" t="inlineStr">
        <is>
          <t>P1</t>
        </is>
      </c>
      <c r="AL323" s="8" t="n">
        <v>18</v>
      </c>
      <c r="AM323" s="5" t="inlineStr"/>
      <c r="AN323" s="5" t="inlineStr"/>
      <c r="AO323" s="5" t="inlineStr"/>
      <c r="AP323" s="5" t="inlineStr"/>
      <c r="AQ323" s="5" t="inlineStr"/>
      <c r="AR323" s="5" t="inlineStr"/>
      <c r="AS323" s="5" t="inlineStr"/>
      <c r="AT323" s="5" t="inlineStr"/>
      <c r="AU323" s="8" t="inlineStr">
        <is>
          <t>Not run</t>
        </is>
      </c>
    </row>
    <row r="324" ht="32" customHeight="1">
      <c r="A324" s="16" t="inlineStr">
        <is>
          <t>X-0323</t>
        </is>
      </c>
      <c r="B324" s="8" t="inlineStr">
        <is>
          <t>X</t>
        </is>
      </c>
      <c r="C324" s="5" t="inlineStr">
        <is>
          <t>Multiple / Cross-persona</t>
        </is>
      </c>
      <c r="D324" s="5" t="inlineStr">
        <is>
          <t>Receivables &amp; Payables</t>
        </is>
      </c>
      <c r="E324" s="5" t="inlineStr">
        <is>
          <t>Purchase creates supplier payable</t>
        </is>
      </c>
      <c r="F324" s="5" t="inlineStr">
        <is>
          <t>System / Ledger Engine</t>
        </is>
      </c>
      <c r="G324" s="5" t="inlineStr">
        <is>
          <t>Purchase Manager</t>
        </is>
      </c>
      <c r="H324" s="5" t="inlineStr">
        <is>
          <t>Completed purchase bill creates accounts payable liability owed to supplier</t>
        </is>
      </c>
      <c r="I324" s="5" t="inlineStr">
        <is>
          <t>Credits Supplier Accounts Payable ledger account; increases total trade payables</t>
        </is>
      </c>
      <c r="J324" s="20" t="inlineStr">
        <is>
          <t>P1</t>
        </is>
      </c>
      <c r="K324" s="20" t="inlineStr">
        <is>
          <t>Validated (Supported)</t>
        </is>
      </c>
      <c r="L324" s="5" t="inlineStr">
        <is>
          <t>Core system invariant: PurchaseInvoice completion atomically creates supplier payable.</t>
        </is>
      </c>
      <c r="M324" s="8" t="inlineStr">
        <is>
          <t>Baseline</t>
        </is>
      </c>
      <c r="N324" s="8" t="inlineStr">
        <is>
          <t>Cross-persona</t>
        </is>
      </c>
      <c r="O324" s="8" t="inlineStr">
        <is>
          <t>P1</t>
        </is>
      </c>
      <c r="P324" s="5" t="inlineStr">
        <is>
          <t>Restored to authored P1. The previous workbook had P0 after a keyword rebalance.</t>
        </is>
      </c>
      <c r="Q324" s="21" t="inlineStr">
        <is>
          <t>Code symbol found</t>
        </is>
      </c>
      <c r="R324" s="5" t="inlineStr">
        <is>
          <t>Matched PurchaseInvoice in product code. This is not a functional test. Restored to authored P1. The previous workbook had P0 after a keyword rebalance.</t>
        </is>
      </c>
      <c r="S324" s="8" t="inlineStr">
        <is>
          <t>ARAP</t>
        </is>
      </c>
      <c r="T324" s="5" t="inlineStr">
        <is>
          <t>Receivables and payables</t>
        </is>
      </c>
      <c r="U324" s="8" t="inlineStr"/>
      <c r="V324" s="8" t="inlineStr">
        <is>
          <t>ledgers</t>
        </is>
      </c>
      <c r="W324" s="8" t="inlineStr">
        <is>
          <t>CONTROL</t>
        </is>
      </c>
      <c r="X324" s="5" t="inlineStr">
        <is>
          <t>Core</t>
        </is>
      </c>
      <c r="Y324" s="5" t="inlineStr">
        <is>
          <t>Cross-persona</t>
        </is>
      </c>
      <c r="Z324" s="5" t="inlineStr">
        <is>
          <t>Critical</t>
        </is>
      </c>
      <c r="AA324" s="5" t="inlineStr">
        <is>
          <t>High</t>
        </is>
      </c>
      <c r="AB324" s="8" t="inlineStr">
        <is>
          <t>Medium</t>
        </is>
      </c>
      <c r="AC324" s="8" t="inlineStr">
        <is>
          <t>Pilot</t>
        </is>
      </c>
      <c r="AD324" s="5" t="inlineStr">
        <is>
          <t>Cited in code</t>
        </is>
      </c>
      <c r="AE324" s="5" t="inlineStr">
        <is>
          <t>Not verified</t>
        </is>
      </c>
      <c r="AF324" s="5" t="inlineStr">
        <is>
          <t>Not verified</t>
        </is>
      </c>
      <c r="AG324" s="5" t="inlineStr">
        <is>
          <t>Not verified</t>
        </is>
      </c>
      <c r="AH324" s="5" t="inlineStr">
        <is>
          <t>Not verified</t>
        </is>
      </c>
      <c r="AI324" s="8" t="inlineStr">
        <is>
          <t>No</t>
        </is>
      </c>
      <c r="AJ324" s="8" t="inlineStr">
        <is>
          <t>Built - unverified</t>
        </is>
      </c>
      <c r="AK324" s="8" t="inlineStr">
        <is>
          <t>P1</t>
        </is>
      </c>
      <c r="AL324" s="8" t="n">
        <v>18</v>
      </c>
      <c r="AM324" s="5" t="inlineStr"/>
      <c r="AN324" s="5" t="inlineStr"/>
      <c r="AO324" s="5" t="inlineStr"/>
      <c r="AP324" s="5" t="inlineStr"/>
      <c r="AQ324" s="5" t="inlineStr"/>
      <c r="AR324" s="5" t="inlineStr"/>
      <c r="AS324" s="5" t="inlineStr"/>
      <c r="AT324" s="5" t="inlineStr"/>
      <c r="AU324" s="8" t="inlineStr">
        <is>
          <t>Not run</t>
        </is>
      </c>
    </row>
    <row r="325" ht="32" customHeight="1">
      <c r="A325" s="16" t="inlineStr">
        <is>
          <t>X-0324</t>
        </is>
      </c>
      <c r="B325" s="8" t="inlineStr">
        <is>
          <t>X</t>
        </is>
      </c>
      <c r="C325" s="5" t="inlineStr">
        <is>
          <t>Multiple / Cross-persona</t>
        </is>
      </c>
      <c r="D325" s="5" t="inlineStr">
        <is>
          <t>Receivables &amp; Payables</t>
        </is>
      </c>
      <c r="E325" s="5" t="inlineStr">
        <is>
          <t>Supplier invoice updates payable</t>
        </is>
      </c>
      <c r="F325" s="5" t="inlineStr">
        <is>
          <t>In-house Accountant</t>
        </is>
      </c>
      <c r="G325" s="5" t="inlineStr">
        <is>
          <t>Supplier</t>
        </is>
      </c>
      <c r="H325" s="5" t="inlineStr">
        <is>
          <t>Vendor bill recording updates supplier running ledger balance and payment schedule</t>
        </is>
      </c>
      <c r="I325" s="5" t="inlineStr">
        <is>
          <t>Updates net balance owed to supplier; sets payment due date based on vendor credit terms</t>
        </is>
      </c>
      <c r="J325" s="20" t="inlineStr">
        <is>
          <t>P1</t>
        </is>
      </c>
      <c r="K325" s="20" t="inlineStr">
        <is>
          <t>Validated (Supported)</t>
        </is>
      </c>
      <c r="L325" s="5" t="inlineStr">
        <is>
          <t>Supported in Purchase Invoice complete flow.</t>
        </is>
      </c>
      <c r="M325" s="8" t="inlineStr">
        <is>
          <t>Baseline</t>
        </is>
      </c>
      <c r="N325" s="8" t="inlineStr">
        <is>
          <t>Cross-persona</t>
        </is>
      </c>
      <c r="O325" s="8" t="inlineStr">
        <is>
          <t>P1</t>
        </is>
      </c>
      <c r="P325" s="5" t="inlineStr">
        <is>
          <t>Unchanged</t>
        </is>
      </c>
      <c r="Q325" s="20" t="inlineStr">
        <is>
          <t>Author assertion</t>
        </is>
      </c>
      <c r="R325" s="5" t="inlineStr"/>
      <c r="S325" s="8" t="inlineStr">
        <is>
          <t>ARAP</t>
        </is>
      </c>
      <c r="T325" s="5" t="inlineStr">
        <is>
          <t>Receivables and payables</t>
        </is>
      </c>
      <c r="U325" s="8" t="inlineStr"/>
      <c r="V325" s="8" t="inlineStr">
        <is>
          <t>ledgers</t>
        </is>
      </c>
      <c r="W325" s="8" t="inlineStr">
        <is>
          <t>CONTROL</t>
        </is>
      </c>
      <c r="X325" s="5" t="inlineStr">
        <is>
          <t>Core</t>
        </is>
      </c>
      <c r="Y325" s="5" t="inlineStr">
        <is>
          <t>Cross-persona</t>
        </is>
      </c>
      <c r="Z325" s="5" t="inlineStr">
        <is>
          <t>Critical</t>
        </is>
      </c>
      <c r="AA325" s="5" t="inlineStr">
        <is>
          <t>High</t>
        </is>
      </c>
      <c r="AB325" s="8" t="inlineStr">
        <is>
          <t>Medium</t>
        </is>
      </c>
      <c r="AC325" s="8" t="inlineStr">
        <is>
          <t>Pilot</t>
        </is>
      </c>
      <c r="AD325" s="5" t="inlineStr">
        <is>
          <t>Not independently checked</t>
        </is>
      </c>
      <c r="AE325" s="5" t="inlineStr">
        <is>
          <t>Not verified</t>
        </is>
      </c>
      <c r="AF325" s="5" t="inlineStr">
        <is>
          <t>Not verified</t>
        </is>
      </c>
      <c r="AG325" s="5" t="inlineStr">
        <is>
          <t>Not verified</t>
        </is>
      </c>
      <c r="AH325" s="5" t="inlineStr">
        <is>
          <t>Not verified</t>
        </is>
      </c>
      <c r="AI325" s="8" t="inlineStr">
        <is>
          <t>No</t>
        </is>
      </c>
      <c r="AJ325" s="8" t="inlineStr">
        <is>
          <t>Claimed - unverified</t>
        </is>
      </c>
      <c r="AK325" s="8" t="inlineStr">
        <is>
          <t>P1</t>
        </is>
      </c>
      <c r="AL325" s="8" t="n">
        <v>18</v>
      </c>
      <c r="AM325" s="5" t="inlineStr"/>
      <c r="AN325" s="5" t="inlineStr"/>
      <c r="AO325" s="5" t="inlineStr"/>
      <c r="AP325" s="5" t="inlineStr"/>
      <c r="AQ325" s="5" t="inlineStr"/>
      <c r="AR325" s="5" t="inlineStr"/>
      <c r="AS325" s="5" t="inlineStr"/>
      <c r="AT325" s="5" t="inlineStr"/>
      <c r="AU325" s="8" t="inlineStr">
        <is>
          <t>Not run</t>
        </is>
      </c>
    </row>
    <row r="326" ht="32" customHeight="1">
      <c r="A326" s="16" t="inlineStr">
        <is>
          <t>X-0325</t>
        </is>
      </c>
      <c r="B326" s="8" t="inlineStr">
        <is>
          <t>X</t>
        </is>
      </c>
      <c r="C326" s="5" t="inlineStr">
        <is>
          <t>Multiple / Cross-persona</t>
        </is>
      </c>
      <c r="D326" s="5" t="inlineStr">
        <is>
          <t>Receivables &amp; Payables</t>
        </is>
      </c>
      <c r="E326" s="5" t="inlineStr">
        <is>
          <t>Supplier payment reduces payable</t>
        </is>
      </c>
      <c r="F326" s="5" t="inlineStr">
        <is>
          <t>Accounts Cashier</t>
        </is>
      </c>
      <c r="G326" s="5" t="inlineStr">
        <is>
          <t>Supplier</t>
        </is>
      </c>
      <c r="H326" s="5" t="inlineStr">
        <is>
          <t>Disbursing payment to supplier reduces total liability balance in accounts payable</t>
        </is>
      </c>
      <c r="I326" s="5" t="inlineStr">
        <is>
          <t>Debits Supplier AP account; credits Bank/Cash account; updates vendor outstanding</t>
        </is>
      </c>
      <c r="J326" s="20" t="inlineStr">
        <is>
          <t>P1</t>
        </is>
      </c>
      <c r="K326" s="20" t="inlineStr">
        <is>
          <t>Validated (Supported)</t>
        </is>
      </c>
      <c r="L326" s="5" t="inlineStr">
        <is>
          <t>Supported via /purchases/payments/create.</t>
        </is>
      </c>
      <c r="M326" s="8" t="inlineStr">
        <is>
          <t>Baseline</t>
        </is>
      </c>
      <c r="N326" s="8" t="inlineStr">
        <is>
          <t>Cross-persona</t>
        </is>
      </c>
      <c r="O326" s="8" t="inlineStr">
        <is>
          <t>P1</t>
        </is>
      </c>
      <c r="P326" s="5" t="inlineStr">
        <is>
          <t>Unchanged</t>
        </is>
      </c>
      <c r="Q326" s="20" t="inlineStr">
        <is>
          <t>Author assertion</t>
        </is>
      </c>
      <c r="R326" s="5" t="inlineStr"/>
      <c r="S326" s="8" t="inlineStr">
        <is>
          <t>ARAP</t>
        </is>
      </c>
      <c r="T326" s="5" t="inlineStr">
        <is>
          <t>Receivables and payables</t>
        </is>
      </c>
      <c r="U326" s="8" t="inlineStr"/>
      <c r="V326" s="8" t="inlineStr">
        <is>
          <t>ledgers</t>
        </is>
      </c>
      <c r="W326" s="8" t="inlineStr">
        <is>
          <t>CONTROL</t>
        </is>
      </c>
      <c r="X326" s="5" t="inlineStr">
        <is>
          <t>Core</t>
        </is>
      </c>
      <c r="Y326" s="5" t="inlineStr">
        <is>
          <t>Cross-persona</t>
        </is>
      </c>
      <c r="Z326" s="5" t="inlineStr">
        <is>
          <t>Critical</t>
        </is>
      </c>
      <c r="AA326" s="5" t="inlineStr">
        <is>
          <t>High</t>
        </is>
      </c>
      <c r="AB326" s="8" t="inlineStr">
        <is>
          <t>Medium</t>
        </is>
      </c>
      <c r="AC326" s="8" t="inlineStr">
        <is>
          <t>Pilot</t>
        </is>
      </c>
      <c r="AD326" s="5" t="inlineStr">
        <is>
          <t>Not independently checked</t>
        </is>
      </c>
      <c r="AE326" s="5" t="inlineStr">
        <is>
          <t>Not verified</t>
        </is>
      </c>
      <c r="AF326" s="5" t="inlineStr">
        <is>
          <t>Not verified</t>
        </is>
      </c>
      <c r="AG326" s="5" t="inlineStr">
        <is>
          <t>Not verified</t>
        </is>
      </c>
      <c r="AH326" s="5" t="inlineStr">
        <is>
          <t>Not verified</t>
        </is>
      </c>
      <c r="AI326" s="8" t="inlineStr">
        <is>
          <t>No</t>
        </is>
      </c>
      <c r="AJ326" s="8" t="inlineStr">
        <is>
          <t>Claimed - unverified</t>
        </is>
      </c>
      <c r="AK326" s="8" t="inlineStr">
        <is>
          <t>P1</t>
        </is>
      </c>
      <c r="AL326" s="8" t="n">
        <v>18</v>
      </c>
      <c r="AM326" s="5" t="inlineStr"/>
      <c r="AN326" s="5" t="inlineStr"/>
      <c r="AO326" s="5" t="inlineStr"/>
      <c r="AP326" s="5" t="inlineStr"/>
      <c r="AQ326" s="5" t="inlineStr"/>
      <c r="AR326" s="5" t="inlineStr"/>
      <c r="AS326" s="5" t="inlineStr"/>
      <c r="AT326" s="5" t="inlineStr"/>
      <c r="AU326" s="8" t="inlineStr">
        <is>
          <t>Not run</t>
        </is>
      </c>
    </row>
    <row r="327" ht="32" customHeight="1">
      <c r="A327" s="16" t="inlineStr">
        <is>
          <t>X-0326</t>
        </is>
      </c>
      <c r="B327" s="8" t="inlineStr">
        <is>
          <t>X</t>
        </is>
      </c>
      <c r="C327" s="5" t="inlineStr">
        <is>
          <t>Multiple / Cross-persona</t>
        </is>
      </c>
      <c r="D327" s="5" t="inlineStr">
        <is>
          <t>Receivables &amp; Payables</t>
        </is>
      </c>
      <c r="E327" s="5" t="inlineStr">
        <is>
          <t>Partial supplier payment maintains balance</t>
        </is>
      </c>
      <c r="F327" s="5" t="inlineStr">
        <is>
          <t>In-house Accountant</t>
        </is>
      </c>
      <c r="G327" s="5" t="inlineStr">
        <is>
          <t>Supplier</t>
        </is>
      </c>
      <c r="H327" s="5" t="inlineStr">
        <is>
          <t>Partial payment to vendor maintains accurate record of remaining unpaid bill amount</t>
        </is>
      </c>
      <c r="I327" s="5" t="inlineStr">
        <is>
          <t>Updates purchase invoice paid_amount; keeps remaining balance active in payables aging</t>
        </is>
      </c>
      <c r="J327" s="20" t="inlineStr">
        <is>
          <t>P1</t>
        </is>
      </c>
      <c r="K327" s="20" t="inlineStr">
        <is>
          <t>Validated (Supported)</t>
        </is>
      </c>
      <c r="L327" s="5" t="inlineStr">
        <is>
          <t>Supported via purchase PaymentAllocation engine.</t>
        </is>
      </c>
      <c r="M327" s="8" t="inlineStr">
        <is>
          <t>Baseline</t>
        </is>
      </c>
      <c r="N327" s="8" t="inlineStr">
        <is>
          <t>Cross-persona</t>
        </is>
      </c>
      <c r="O327" s="8" t="inlineStr">
        <is>
          <t>P1</t>
        </is>
      </c>
      <c r="P327" s="5" t="inlineStr">
        <is>
          <t>Unchanged</t>
        </is>
      </c>
      <c r="Q327" s="21" t="inlineStr">
        <is>
          <t>Code symbol found</t>
        </is>
      </c>
      <c r="R327" s="5" t="inlineStr">
        <is>
          <t>Matched PaymentAllocation in product code. This is not a functional test.</t>
        </is>
      </c>
      <c r="S327" s="8" t="inlineStr">
        <is>
          <t>ARAP</t>
        </is>
      </c>
      <c r="T327" s="5" t="inlineStr">
        <is>
          <t>Receivables and payables</t>
        </is>
      </c>
      <c r="U327" s="8" t="inlineStr"/>
      <c r="V327" s="8" t="inlineStr">
        <is>
          <t>ledgers</t>
        </is>
      </c>
      <c r="W327" s="8" t="inlineStr">
        <is>
          <t>CONTROL</t>
        </is>
      </c>
      <c r="X327" s="5" t="inlineStr">
        <is>
          <t>Core</t>
        </is>
      </c>
      <c r="Y327" s="5" t="inlineStr">
        <is>
          <t>Cross-persona</t>
        </is>
      </c>
      <c r="Z327" s="5" t="inlineStr">
        <is>
          <t>Critical</t>
        </is>
      </c>
      <c r="AA327" s="5" t="inlineStr">
        <is>
          <t>High</t>
        </is>
      </c>
      <c r="AB327" s="8" t="inlineStr">
        <is>
          <t>Medium</t>
        </is>
      </c>
      <c r="AC327" s="8" t="inlineStr">
        <is>
          <t>Pilot</t>
        </is>
      </c>
      <c r="AD327" s="5" t="inlineStr">
        <is>
          <t>Cited in code</t>
        </is>
      </c>
      <c r="AE327" s="5" t="inlineStr">
        <is>
          <t>Not verified</t>
        </is>
      </c>
      <c r="AF327" s="5" t="inlineStr">
        <is>
          <t>Not verified</t>
        </is>
      </c>
      <c r="AG327" s="5" t="inlineStr">
        <is>
          <t>Not verified</t>
        </is>
      </c>
      <c r="AH327" s="5" t="inlineStr">
        <is>
          <t>Not verified</t>
        </is>
      </c>
      <c r="AI327" s="8" t="inlineStr">
        <is>
          <t>No</t>
        </is>
      </c>
      <c r="AJ327" s="8" t="inlineStr">
        <is>
          <t>Built - unverified</t>
        </is>
      </c>
      <c r="AK327" s="8" t="inlineStr">
        <is>
          <t>P1</t>
        </is>
      </c>
      <c r="AL327" s="8" t="n">
        <v>18</v>
      </c>
      <c r="AM327" s="5" t="inlineStr"/>
      <c r="AN327" s="5" t="inlineStr"/>
      <c r="AO327" s="5" t="inlineStr"/>
      <c r="AP327" s="5" t="inlineStr"/>
      <c r="AQ327" s="5" t="inlineStr"/>
      <c r="AR327" s="5" t="inlineStr"/>
      <c r="AS327" s="5" t="inlineStr"/>
      <c r="AT327" s="5" t="inlineStr"/>
      <c r="AU327" s="8" t="inlineStr">
        <is>
          <t>Not run</t>
        </is>
      </c>
    </row>
    <row r="328" ht="32" customHeight="1">
      <c r="A328" s="16" t="inlineStr">
        <is>
          <t>X-0327</t>
        </is>
      </c>
      <c r="B328" s="8" t="inlineStr">
        <is>
          <t>X</t>
        </is>
      </c>
      <c r="C328" s="5" t="inlineStr">
        <is>
          <t>Multiple / Cross-persona</t>
        </is>
      </c>
      <c r="D328" s="5" t="inlineStr">
        <is>
          <t>Receivables &amp; Payables</t>
        </is>
      </c>
      <c r="E328" s="5" t="inlineStr">
        <is>
          <t>Supplier advance is recorded</t>
        </is>
      </c>
      <c r="F328" s="5" t="inlineStr">
        <is>
          <t>Accounts Cashier</t>
        </is>
      </c>
      <c r="G328" s="5" t="inlineStr">
        <is>
          <t>Supplier</t>
        </is>
      </c>
      <c r="H328" s="5" t="inlineStr">
        <is>
          <t>Advance deposit paid to vendor prior to shipment tracked in supplier advance ledger</t>
        </is>
      </c>
      <c r="I328" s="5" t="inlineStr">
        <is>
          <t>Debits Supplier Advance Asset account; credits Bank/Cash account</t>
        </is>
      </c>
      <c r="J328" s="20" t="inlineStr">
        <is>
          <t>P1</t>
        </is>
      </c>
      <c r="K328" s="20" t="inlineStr">
        <is>
          <t>Validated (Supported)</t>
        </is>
      </c>
      <c r="L328" s="5" t="inlineStr">
        <is>
          <t>Supported via Supplier Advance payment workflow.</t>
        </is>
      </c>
      <c r="M328" s="8" t="inlineStr">
        <is>
          <t>Baseline</t>
        </is>
      </c>
      <c r="N328" s="8" t="inlineStr">
        <is>
          <t>Cross-persona</t>
        </is>
      </c>
      <c r="O328" s="8" t="inlineStr">
        <is>
          <t>P1</t>
        </is>
      </c>
      <c r="P328" s="5" t="inlineStr">
        <is>
          <t>Unchanged</t>
        </is>
      </c>
      <c r="Q328" s="20" t="inlineStr">
        <is>
          <t>Author assertion</t>
        </is>
      </c>
      <c r="R328" s="5" t="inlineStr"/>
      <c r="S328" s="8" t="inlineStr">
        <is>
          <t>ARAP</t>
        </is>
      </c>
      <c r="T328" s="5" t="inlineStr">
        <is>
          <t>Receivables and payables</t>
        </is>
      </c>
      <c r="U328" s="8" t="inlineStr"/>
      <c r="V328" s="8" t="inlineStr">
        <is>
          <t>ledgers</t>
        </is>
      </c>
      <c r="W328" s="8" t="inlineStr">
        <is>
          <t>CONTROL</t>
        </is>
      </c>
      <c r="X328" s="5" t="inlineStr">
        <is>
          <t>Core</t>
        </is>
      </c>
      <c r="Y328" s="5" t="inlineStr">
        <is>
          <t>Cross-persona</t>
        </is>
      </c>
      <c r="Z328" s="5" t="inlineStr">
        <is>
          <t>Critical</t>
        </is>
      </c>
      <c r="AA328" s="5" t="inlineStr">
        <is>
          <t>High</t>
        </is>
      </c>
      <c r="AB328" s="8" t="inlineStr">
        <is>
          <t>Medium</t>
        </is>
      </c>
      <c r="AC328" s="8" t="inlineStr">
        <is>
          <t>Pilot</t>
        </is>
      </c>
      <c r="AD328" s="5" t="inlineStr">
        <is>
          <t>Not independently checked</t>
        </is>
      </c>
      <c r="AE328" s="5" t="inlineStr">
        <is>
          <t>Not verified</t>
        </is>
      </c>
      <c r="AF328" s="5" t="inlineStr">
        <is>
          <t>Not verified</t>
        </is>
      </c>
      <c r="AG328" s="5" t="inlineStr">
        <is>
          <t>Not verified</t>
        </is>
      </c>
      <c r="AH328" s="5" t="inlineStr">
        <is>
          <t>Not verified</t>
        </is>
      </c>
      <c r="AI328" s="8" t="inlineStr">
        <is>
          <t>No</t>
        </is>
      </c>
      <c r="AJ328" s="8" t="inlineStr">
        <is>
          <t>Claimed - unverified</t>
        </is>
      </c>
      <c r="AK328" s="8" t="inlineStr">
        <is>
          <t>P1</t>
        </is>
      </c>
      <c r="AL328" s="8" t="n">
        <v>18</v>
      </c>
      <c r="AM328" s="5" t="inlineStr"/>
      <c r="AN328" s="5" t="inlineStr"/>
      <c r="AO328" s="5" t="inlineStr"/>
      <c r="AP328" s="5" t="inlineStr"/>
      <c r="AQ328" s="5" t="inlineStr"/>
      <c r="AR328" s="5" t="inlineStr"/>
      <c r="AS328" s="5" t="inlineStr"/>
      <c r="AT328" s="5" t="inlineStr"/>
      <c r="AU328" s="8" t="inlineStr">
        <is>
          <t>Not run</t>
        </is>
      </c>
    </row>
    <row r="329" ht="32" customHeight="1">
      <c r="A329" s="16" t="inlineStr">
        <is>
          <t>X-0328</t>
        </is>
      </c>
      <c r="B329" s="8" t="inlineStr">
        <is>
          <t>X</t>
        </is>
      </c>
      <c r="C329" s="5" t="inlineStr">
        <is>
          <t>Multiple / Cross-persona</t>
        </is>
      </c>
      <c r="D329" s="5" t="inlineStr">
        <is>
          <t>Receivables &amp; Payables</t>
        </is>
      </c>
      <c r="E329" s="5" t="inlineStr">
        <is>
          <t>Advance is adjusted against invoice</t>
        </is>
      </c>
      <c r="F329" s="5" t="inlineStr">
        <is>
          <t>In-house Accountant</t>
        </is>
      </c>
      <c r="G329" s="5" t="inlineStr">
        <is>
          <t>Supplier</t>
        </is>
      </c>
      <c r="H329" s="5" t="inlineStr">
        <is>
          <t>Previously paid advance applied against incoming supplier bill upon delivery</t>
        </is>
      </c>
      <c r="I329" s="5" t="inlineStr">
        <is>
          <t>Credits Supplier Advance Asset account; debits Accounts Payable; reduces net payable</t>
        </is>
      </c>
      <c r="J329" s="20" t="inlineStr">
        <is>
          <t>P1</t>
        </is>
      </c>
      <c r="K329" s="20" t="inlineStr">
        <is>
          <t>Validated (Supported)</t>
        </is>
      </c>
      <c r="L329" s="5" t="inlineStr">
        <is>
          <t>Supported via Advance Allocation against purchase invoices.</t>
        </is>
      </c>
      <c r="M329" s="8" t="inlineStr">
        <is>
          <t>Baseline</t>
        </is>
      </c>
      <c r="N329" s="8" t="inlineStr">
        <is>
          <t>Cross-persona</t>
        </is>
      </c>
      <c r="O329" s="8" t="inlineStr">
        <is>
          <t>P1</t>
        </is>
      </c>
      <c r="P329" s="5" t="inlineStr">
        <is>
          <t>Unchanged</t>
        </is>
      </c>
      <c r="Q329" s="20" t="inlineStr">
        <is>
          <t>Author assertion</t>
        </is>
      </c>
      <c r="R329" s="5" t="inlineStr"/>
      <c r="S329" s="8" t="inlineStr">
        <is>
          <t>ARAP</t>
        </is>
      </c>
      <c r="T329" s="5" t="inlineStr">
        <is>
          <t>Receivables and payables</t>
        </is>
      </c>
      <c r="U329" s="8" t="inlineStr"/>
      <c r="V329" s="8" t="inlineStr">
        <is>
          <t>ledgers</t>
        </is>
      </c>
      <c r="W329" s="8" t="inlineStr">
        <is>
          <t>CONTROL</t>
        </is>
      </c>
      <c r="X329" s="5" t="inlineStr">
        <is>
          <t>Core</t>
        </is>
      </c>
      <c r="Y329" s="5" t="inlineStr">
        <is>
          <t>Cross-persona</t>
        </is>
      </c>
      <c r="Z329" s="5" t="inlineStr">
        <is>
          <t>Critical</t>
        </is>
      </c>
      <c r="AA329" s="5" t="inlineStr">
        <is>
          <t>High</t>
        </is>
      </c>
      <c r="AB329" s="8" t="inlineStr">
        <is>
          <t>Medium</t>
        </is>
      </c>
      <c r="AC329" s="8" t="inlineStr">
        <is>
          <t>Pilot</t>
        </is>
      </c>
      <c r="AD329" s="5" t="inlineStr">
        <is>
          <t>Not independently checked</t>
        </is>
      </c>
      <c r="AE329" s="5" t="inlineStr">
        <is>
          <t>Not verified</t>
        </is>
      </c>
      <c r="AF329" s="5" t="inlineStr">
        <is>
          <t>Not verified</t>
        </is>
      </c>
      <c r="AG329" s="5" t="inlineStr">
        <is>
          <t>Not verified</t>
        </is>
      </c>
      <c r="AH329" s="5" t="inlineStr">
        <is>
          <t>Not verified</t>
        </is>
      </c>
      <c r="AI329" s="8" t="inlineStr">
        <is>
          <t>No</t>
        </is>
      </c>
      <c r="AJ329" s="8" t="inlineStr">
        <is>
          <t>Claimed - unverified</t>
        </is>
      </c>
      <c r="AK329" s="8" t="inlineStr">
        <is>
          <t>P1</t>
        </is>
      </c>
      <c r="AL329" s="8" t="n">
        <v>18</v>
      </c>
      <c r="AM329" s="5" t="inlineStr"/>
      <c r="AN329" s="5" t="inlineStr"/>
      <c r="AO329" s="5" t="inlineStr"/>
      <c r="AP329" s="5" t="inlineStr"/>
      <c r="AQ329" s="5" t="inlineStr"/>
      <c r="AR329" s="5" t="inlineStr"/>
      <c r="AS329" s="5" t="inlineStr"/>
      <c r="AT329" s="5" t="inlineStr"/>
      <c r="AU329" s="8" t="inlineStr">
        <is>
          <t>Not run</t>
        </is>
      </c>
    </row>
    <row r="330" ht="32" customHeight="1">
      <c r="A330" s="16" t="inlineStr">
        <is>
          <t>X-0329</t>
        </is>
      </c>
      <c r="B330" s="8" t="inlineStr">
        <is>
          <t>X</t>
        </is>
      </c>
      <c r="C330" s="5" t="inlineStr">
        <is>
          <t>Multiple / Cross-persona</t>
        </is>
      </c>
      <c r="D330" s="5" t="inlineStr">
        <is>
          <t>Receivables &amp; Payables</t>
        </is>
      </c>
      <c r="E330" s="5" t="inlineStr">
        <is>
          <t>Purchase return reduces payable</t>
        </is>
      </c>
      <c r="F330" s="5" t="inlineStr">
        <is>
          <t>In-house Accountant</t>
        </is>
      </c>
      <c r="G330" s="5" t="inlineStr">
        <is>
          <t>Supplier</t>
        </is>
      </c>
      <c r="H330" s="5" t="inlineStr">
        <is>
          <t>Returning goods to supplier and issuing Debit Note reduces accounts payable liability</t>
        </is>
      </c>
      <c r="I330" s="5" t="inlineStr">
        <is>
          <t>Debits Supplier Accounts Payable account; credits Purchase Returns account in GL</t>
        </is>
      </c>
      <c r="J330" s="20" t="inlineStr">
        <is>
          <t>P1</t>
        </is>
      </c>
      <c r="K330" s="20" t="inlineStr">
        <is>
          <t>Validated (Supported)</t>
        </is>
      </c>
      <c r="L330" s="5" t="inlineStr">
        <is>
          <t>Supported via PurchaseDebitNote generation upon PurchaseReturn.</t>
        </is>
      </c>
      <c r="M330" s="8" t="inlineStr">
        <is>
          <t>Baseline</t>
        </is>
      </c>
      <c r="N330" s="8" t="inlineStr">
        <is>
          <t>Cross-persona</t>
        </is>
      </c>
      <c r="O330" s="8" t="inlineStr">
        <is>
          <t>P1</t>
        </is>
      </c>
      <c r="P330" s="5" t="inlineStr">
        <is>
          <t>Unchanged</t>
        </is>
      </c>
      <c r="Q330" s="21" t="inlineStr">
        <is>
          <t>Code symbol found</t>
        </is>
      </c>
      <c r="R330" s="5" t="inlineStr">
        <is>
          <t>Matched PurchaseDebitNote in product code. This is not a functional test.</t>
        </is>
      </c>
      <c r="S330" s="8" t="inlineStr">
        <is>
          <t>ARAP</t>
        </is>
      </c>
      <c r="T330" s="5" t="inlineStr">
        <is>
          <t>Receivables and payables</t>
        </is>
      </c>
      <c r="U330" s="8" t="inlineStr"/>
      <c r="V330" s="8" t="inlineStr">
        <is>
          <t>ledgers</t>
        </is>
      </c>
      <c r="W330" s="8" t="inlineStr">
        <is>
          <t>CONTROL</t>
        </is>
      </c>
      <c r="X330" s="5" t="inlineStr">
        <is>
          <t>Core</t>
        </is>
      </c>
      <c r="Y330" s="5" t="inlineStr">
        <is>
          <t>Cross-persona</t>
        </is>
      </c>
      <c r="Z330" s="5" t="inlineStr">
        <is>
          <t>Critical</t>
        </is>
      </c>
      <c r="AA330" s="5" t="inlineStr">
        <is>
          <t>High</t>
        </is>
      </c>
      <c r="AB330" s="8" t="inlineStr">
        <is>
          <t>Medium</t>
        </is>
      </c>
      <c r="AC330" s="8" t="inlineStr">
        <is>
          <t>Pilot</t>
        </is>
      </c>
      <c r="AD330" s="5" t="inlineStr">
        <is>
          <t>Cited in code</t>
        </is>
      </c>
      <c r="AE330" s="5" t="inlineStr">
        <is>
          <t>Not verified</t>
        </is>
      </c>
      <c r="AF330" s="5" t="inlineStr">
        <is>
          <t>Not verified</t>
        </is>
      </c>
      <c r="AG330" s="5" t="inlineStr">
        <is>
          <t>Not verified</t>
        </is>
      </c>
      <c r="AH330" s="5" t="inlineStr">
        <is>
          <t>Not verified</t>
        </is>
      </c>
      <c r="AI330" s="8" t="inlineStr">
        <is>
          <t>No</t>
        </is>
      </c>
      <c r="AJ330" s="8" t="inlineStr">
        <is>
          <t>Built - unverified</t>
        </is>
      </c>
      <c r="AK330" s="8" t="inlineStr">
        <is>
          <t>P1</t>
        </is>
      </c>
      <c r="AL330" s="8" t="n">
        <v>18</v>
      </c>
      <c r="AM330" s="5" t="inlineStr"/>
      <c r="AN330" s="5" t="inlineStr"/>
      <c r="AO330" s="5" t="inlineStr"/>
      <c r="AP330" s="5" t="inlineStr"/>
      <c r="AQ330" s="5" t="inlineStr"/>
      <c r="AR330" s="5" t="inlineStr"/>
      <c r="AS330" s="5" t="inlineStr"/>
      <c r="AT330" s="5" t="inlineStr"/>
      <c r="AU330" s="8" t="inlineStr">
        <is>
          <t>Not run</t>
        </is>
      </c>
    </row>
    <row r="331" ht="32" customHeight="1">
      <c r="A331" s="16" t="inlineStr">
        <is>
          <t>X-0330</t>
        </is>
      </c>
      <c r="B331" s="8" t="inlineStr">
        <is>
          <t>X</t>
        </is>
      </c>
      <c r="C331" s="5" t="inlineStr">
        <is>
          <t>Multiple / Cross-persona</t>
        </is>
      </c>
      <c r="D331" s="5" t="inlineStr">
        <is>
          <t>Receivables &amp; Payables</t>
        </is>
      </c>
      <c r="E331" s="5" t="inlineStr">
        <is>
          <t>Supplier credit note reduces payable</t>
        </is>
      </c>
      <c r="F331" s="5" t="inlineStr">
        <is>
          <t>In-house Accountant</t>
        </is>
      </c>
      <c r="G331" s="5" t="inlineStr">
        <is>
          <t>Supplier</t>
        </is>
      </c>
      <c r="H331" s="5" t="inlineStr">
        <is>
          <t>Credit note received from supplier for price rebate or discount reduces amount owed</t>
        </is>
      </c>
      <c r="I331" s="5" t="inlineStr">
        <is>
          <t>Debits Accounts Payable; credits Purchase Discount / Expense reduction in GL</t>
        </is>
      </c>
      <c r="J331" s="20" t="inlineStr">
        <is>
          <t>P1</t>
        </is>
      </c>
      <c r="K331" s="20" t="inlineStr">
        <is>
          <t>Validated (Supported)</t>
        </is>
      </c>
      <c r="L331" s="5" t="inlineStr">
        <is>
          <t>Supported via PurchaseCreditNote recording workflow.</t>
        </is>
      </c>
      <c r="M331" s="8" t="inlineStr">
        <is>
          <t>Baseline</t>
        </is>
      </c>
      <c r="N331" s="8" t="inlineStr">
        <is>
          <t>Cross-persona</t>
        </is>
      </c>
      <c r="O331" s="8" t="inlineStr">
        <is>
          <t>P1</t>
        </is>
      </c>
      <c r="P331" s="5" t="inlineStr">
        <is>
          <t>Unchanged</t>
        </is>
      </c>
      <c r="Q331" s="21" t="inlineStr">
        <is>
          <t>Code symbol found</t>
        </is>
      </c>
      <c r="R331" s="5" t="inlineStr">
        <is>
          <t>Matched PurchaseCreditNote in product code. This is not a functional test.</t>
        </is>
      </c>
      <c r="S331" s="8" t="inlineStr">
        <is>
          <t>ARAP</t>
        </is>
      </c>
      <c r="T331" s="5" t="inlineStr">
        <is>
          <t>Receivables and payables</t>
        </is>
      </c>
      <c r="U331" s="8" t="inlineStr"/>
      <c r="V331" s="8" t="inlineStr">
        <is>
          <t>ledgers</t>
        </is>
      </c>
      <c r="W331" s="8" t="inlineStr">
        <is>
          <t>CONTROL</t>
        </is>
      </c>
      <c r="X331" s="5" t="inlineStr">
        <is>
          <t>Core</t>
        </is>
      </c>
      <c r="Y331" s="5" t="inlineStr">
        <is>
          <t>Cross-persona</t>
        </is>
      </c>
      <c r="Z331" s="5" t="inlineStr">
        <is>
          <t>Critical</t>
        </is>
      </c>
      <c r="AA331" s="5" t="inlineStr">
        <is>
          <t>High</t>
        </is>
      </c>
      <c r="AB331" s="8" t="inlineStr">
        <is>
          <t>Medium</t>
        </is>
      </c>
      <c r="AC331" s="8" t="inlineStr">
        <is>
          <t>Pilot</t>
        </is>
      </c>
      <c r="AD331" s="5" t="inlineStr">
        <is>
          <t>Cited in code</t>
        </is>
      </c>
      <c r="AE331" s="5" t="inlineStr">
        <is>
          <t>Not verified</t>
        </is>
      </c>
      <c r="AF331" s="5" t="inlineStr">
        <is>
          <t>Not verified</t>
        </is>
      </c>
      <c r="AG331" s="5" t="inlineStr">
        <is>
          <t>Not verified</t>
        </is>
      </c>
      <c r="AH331" s="5" t="inlineStr">
        <is>
          <t>Not verified</t>
        </is>
      </c>
      <c r="AI331" s="8" t="inlineStr">
        <is>
          <t>No</t>
        </is>
      </c>
      <c r="AJ331" s="8" t="inlineStr">
        <is>
          <t>Built - unverified</t>
        </is>
      </c>
      <c r="AK331" s="8" t="inlineStr">
        <is>
          <t>P1</t>
        </is>
      </c>
      <c r="AL331" s="8" t="n">
        <v>18</v>
      </c>
      <c r="AM331" s="5" t="inlineStr"/>
      <c r="AN331" s="5" t="inlineStr"/>
      <c r="AO331" s="5" t="inlineStr"/>
      <c r="AP331" s="5" t="inlineStr"/>
      <c r="AQ331" s="5" t="inlineStr"/>
      <c r="AR331" s="5" t="inlineStr"/>
      <c r="AS331" s="5" t="inlineStr"/>
      <c r="AT331" s="5" t="inlineStr"/>
      <c r="AU331" s="8" t="inlineStr">
        <is>
          <t>Not run</t>
        </is>
      </c>
    </row>
    <row r="332" ht="32" customHeight="1">
      <c r="A332" s="16" t="inlineStr">
        <is>
          <t>X-0331</t>
        </is>
      </c>
      <c r="B332" s="8" t="inlineStr">
        <is>
          <t>X</t>
        </is>
      </c>
      <c r="C332" s="5" t="inlineStr">
        <is>
          <t>Multiple / Cross-persona</t>
        </is>
      </c>
      <c r="D332" s="5" t="inlineStr">
        <is>
          <t>Receivables &amp; Payables</t>
        </is>
      </c>
      <c r="E332" s="5" t="inlineStr">
        <is>
          <t>Supplier statement is generated</t>
        </is>
      </c>
      <c r="F332" s="5" t="inlineStr">
        <is>
          <t>In-house Accountant</t>
        </is>
      </c>
      <c r="G332" s="5" t="inlineStr">
        <is>
          <t>Supplier / Owner</t>
        </is>
      </c>
      <c r="H332" s="5" t="inlineStr">
        <is>
          <t>Comprehensive statement of account showing all purchase bills, debit notes, and payments</t>
        </is>
      </c>
      <c r="I332" s="5" t="inlineStr">
        <is>
          <t>Renders chronological supplier ledger statement with debit, credit, and running balance</t>
        </is>
      </c>
      <c r="J332" s="20" t="inlineStr">
        <is>
          <t>P1</t>
        </is>
      </c>
      <c r="K332" s="20" t="inlineStr">
        <is>
          <t>Validated (Supported)</t>
        </is>
      </c>
      <c r="L332" s="5" t="inlineStr">
        <is>
          <t>Supported via /purchases/suppliers/{id}/statement/ with PDF export.</t>
        </is>
      </c>
      <c r="M332" s="8" t="inlineStr">
        <is>
          <t>Baseline</t>
        </is>
      </c>
      <c r="N332" s="8" t="inlineStr">
        <is>
          <t>Cross-persona</t>
        </is>
      </c>
      <c r="O332" s="8" t="inlineStr">
        <is>
          <t>P1</t>
        </is>
      </c>
      <c r="P332" s="5" t="inlineStr">
        <is>
          <t>Unchanged</t>
        </is>
      </c>
      <c r="Q332" s="20" t="inlineStr">
        <is>
          <t>Author assertion</t>
        </is>
      </c>
      <c r="R332" s="5" t="inlineStr"/>
      <c r="S332" s="8" t="inlineStr">
        <is>
          <t>ARAP</t>
        </is>
      </c>
      <c r="T332" s="5" t="inlineStr">
        <is>
          <t>Receivables and payables</t>
        </is>
      </c>
      <c r="U332" s="8" t="inlineStr"/>
      <c r="V332" s="8" t="inlineStr">
        <is>
          <t>ledgers</t>
        </is>
      </c>
      <c r="W332" s="8" t="inlineStr">
        <is>
          <t>CONTROL</t>
        </is>
      </c>
      <c r="X332" s="5" t="inlineStr">
        <is>
          <t>Core</t>
        </is>
      </c>
      <c r="Y332" s="5" t="inlineStr">
        <is>
          <t>Cross-persona</t>
        </is>
      </c>
      <c r="Z332" s="5" t="inlineStr">
        <is>
          <t>Critical</t>
        </is>
      </c>
      <c r="AA332" s="5" t="inlineStr">
        <is>
          <t>High</t>
        </is>
      </c>
      <c r="AB332" s="8" t="inlineStr">
        <is>
          <t>Medium</t>
        </is>
      </c>
      <c r="AC332" s="8" t="inlineStr">
        <is>
          <t>Pilot</t>
        </is>
      </c>
      <c r="AD332" s="5" t="inlineStr">
        <is>
          <t>Not independently checked</t>
        </is>
      </c>
      <c r="AE332" s="5" t="inlineStr">
        <is>
          <t>Not verified</t>
        </is>
      </c>
      <c r="AF332" s="5" t="inlineStr">
        <is>
          <t>Not verified</t>
        </is>
      </c>
      <c r="AG332" s="5" t="inlineStr">
        <is>
          <t>Not verified</t>
        </is>
      </c>
      <c r="AH332" s="5" t="inlineStr">
        <is>
          <t>Not verified</t>
        </is>
      </c>
      <c r="AI332" s="8" t="inlineStr">
        <is>
          <t>No</t>
        </is>
      </c>
      <c r="AJ332" s="8" t="inlineStr">
        <is>
          <t>Claimed - unverified</t>
        </is>
      </c>
      <c r="AK332" s="8" t="inlineStr">
        <is>
          <t>P1</t>
        </is>
      </c>
      <c r="AL332" s="8" t="n">
        <v>18</v>
      </c>
      <c r="AM332" s="5" t="inlineStr"/>
      <c r="AN332" s="5" t="inlineStr"/>
      <c r="AO332" s="5" t="inlineStr"/>
      <c r="AP332" s="5" t="inlineStr"/>
      <c r="AQ332" s="5" t="inlineStr"/>
      <c r="AR332" s="5" t="inlineStr"/>
      <c r="AS332" s="5" t="inlineStr"/>
      <c r="AT332" s="5" t="inlineStr"/>
      <c r="AU332" s="8" t="inlineStr">
        <is>
          <t>Not run</t>
        </is>
      </c>
    </row>
    <row r="333" ht="32" customHeight="1">
      <c r="A333" s="16" t="inlineStr">
        <is>
          <t>X-0332</t>
        </is>
      </c>
      <c r="B333" s="8" t="inlineStr">
        <is>
          <t>X</t>
        </is>
      </c>
      <c r="C333" s="5" t="inlineStr">
        <is>
          <t>Multiple / Cross-persona</t>
        </is>
      </c>
      <c r="D333" s="5" t="inlineStr">
        <is>
          <t>Receivables &amp; Payables</t>
        </is>
      </c>
      <c r="E333" s="5" t="inlineStr">
        <is>
          <t>Supplier ageing is calculated</t>
        </is>
      </c>
      <c r="F333" s="5" t="inlineStr">
        <is>
          <t>System / Aging Engine</t>
        </is>
      </c>
      <c r="G333" s="5" t="inlineStr">
        <is>
          <t>Purchase Manager / Accountant</t>
        </is>
      </c>
      <c r="H333" s="5" t="inlineStr">
        <is>
          <t>Payables classified into aging buckets (0-30, 31-60, 61-90, 90+ days) to manage working capital</t>
        </is>
      </c>
      <c r="I333" s="5" t="inlineStr">
        <is>
          <t>Computes aging days based on bill due dates; displays priority payment schedule</t>
        </is>
      </c>
      <c r="J333" s="20" t="inlineStr">
        <is>
          <t>P1</t>
        </is>
      </c>
      <c r="K333" s="20" t="inlineStr">
        <is>
          <t>Validated (Supported)</t>
        </is>
      </c>
      <c r="L333" s="5" t="inlineStr">
        <is>
          <t>Supported via Payables Aging Report (/purchases/reports/payables-aging/).</t>
        </is>
      </c>
      <c r="M333" s="8" t="inlineStr">
        <is>
          <t>Baseline</t>
        </is>
      </c>
      <c r="N333" s="8" t="inlineStr">
        <is>
          <t>Cross-persona</t>
        </is>
      </c>
      <c r="O333" s="8" t="inlineStr">
        <is>
          <t>P1</t>
        </is>
      </c>
      <c r="P333" s="5" t="inlineStr">
        <is>
          <t>Unchanged</t>
        </is>
      </c>
      <c r="Q333" s="20" t="inlineStr">
        <is>
          <t>Author assertion</t>
        </is>
      </c>
      <c r="R333" s="5" t="inlineStr"/>
      <c r="S333" s="8" t="inlineStr">
        <is>
          <t>ARAP</t>
        </is>
      </c>
      <c r="T333" s="5" t="inlineStr">
        <is>
          <t>Receivables and payables</t>
        </is>
      </c>
      <c r="U333" s="8" t="inlineStr"/>
      <c r="V333" s="8" t="inlineStr">
        <is>
          <t>ledgers</t>
        </is>
      </c>
      <c r="W333" s="8" t="inlineStr">
        <is>
          <t>CONTROL</t>
        </is>
      </c>
      <c r="X333" s="5" t="inlineStr">
        <is>
          <t>Core</t>
        </is>
      </c>
      <c r="Y333" s="5" t="inlineStr">
        <is>
          <t>Cross-persona</t>
        </is>
      </c>
      <c r="Z333" s="5" t="inlineStr">
        <is>
          <t>Critical</t>
        </is>
      </c>
      <c r="AA333" s="5" t="inlineStr">
        <is>
          <t>High</t>
        </is>
      </c>
      <c r="AB333" s="8" t="inlineStr">
        <is>
          <t>Medium</t>
        </is>
      </c>
      <c r="AC333" s="8" t="inlineStr">
        <is>
          <t>Pilot</t>
        </is>
      </c>
      <c r="AD333" s="5" t="inlineStr">
        <is>
          <t>Not independently checked</t>
        </is>
      </c>
      <c r="AE333" s="5" t="inlineStr">
        <is>
          <t>Not verified</t>
        </is>
      </c>
      <c r="AF333" s="5" t="inlineStr">
        <is>
          <t>Not verified</t>
        </is>
      </c>
      <c r="AG333" s="5" t="inlineStr">
        <is>
          <t>Not verified</t>
        </is>
      </c>
      <c r="AH333" s="5" t="inlineStr">
        <is>
          <t>Not verified</t>
        </is>
      </c>
      <c r="AI333" s="8" t="inlineStr">
        <is>
          <t>No</t>
        </is>
      </c>
      <c r="AJ333" s="8" t="inlineStr">
        <is>
          <t>Claimed - unverified</t>
        </is>
      </c>
      <c r="AK333" s="8" t="inlineStr">
        <is>
          <t>P1</t>
        </is>
      </c>
      <c r="AL333" s="8" t="n">
        <v>18</v>
      </c>
      <c r="AM333" s="5" t="inlineStr"/>
      <c r="AN333" s="5" t="inlineStr"/>
      <c r="AO333" s="5" t="inlineStr"/>
      <c r="AP333" s="5" t="inlineStr"/>
      <c r="AQ333" s="5" t="inlineStr"/>
      <c r="AR333" s="5" t="inlineStr"/>
      <c r="AS333" s="5" t="inlineStr"/>
      <c r="AT333" s="5" t="inlineStr"/>
      <c r="AU333" s="8" t="inlineStr">
        <is>
          <t>Not run</t>
        </is>
      </c>
    </row>
    <row r="334" ht="32" customHeight="1">
      <c r="A334" s="16" t="inlineStr">
        <is>
          <t>X-0333</t>
        </is>
      </c>
      <c r="B334" s="8" t="inlineStr">
        <is>
          <t>X</t>
        </is>
      </c>
      <c r="C334" s="5" t="inlineStr">
        <is>
          <t>Multiple / Cross-persona</t>
        </is>
      </c>
      <c r="D334" s="5" t="inlineStr">
        <is>
          <t>Receivables &amp; Payables</t>
        </is>
      </c>
      <c r="E334" s="5" t="inlineStr">
        <is>
          <t>Overdue supplier payment is identified</t>
        </is>
      </c>
      <c r="F334" s="5" t="inlineStr">
        <is>
          <t>In-house Accountant</t>
        </is>
      </c>
      <c r="G334" s="5" t="inlineStr">
        <is>
          <t>Business Owner</t>
        </is>
      </c>
      <c r="H334" s="5" t="inlineStr">
        <is>
          <t>Spot overdue supplier bills to prioritize payments and maintain critical vendor relationships</t>
        </is>
      </c>
      <c r="I334" s="5" t="inlineStr">
        <is>
          <t>Flags purchase bills past their due date; highlights risk of supplier supply disruption</t>
        </is>
      </c>
      <c r="J334" s="20" t="inlineStr">
        <is>
          <t>P1</t>
        </is>
      </c>
      <c r="K334" s="20" t="inlineStr">
        <is>
          <t>Validated (Supported)</t>
        </is>
      </c>
      <c r="L334" s="5" t="inlineStr">
        <is>
          <t>Supported via Overdue Payables list on accounting dashboard.</t>
        </is>
      </c>
      <c r="M334" s="8" t="inlineStr">
        <is>
          <t>Baseline</t>
        </is>
      </c>
      <c r="N334" s="8" t="inlineStr">
        <is>
          <t>Cross-persona</t>
        </is>
      </c>
      <c r="O334" s="8" t="inlineStr">
        <is>
          <t>P1</t>
        </is>
      </c>
      <c r="P334" s="5" t="inlineStr">
        <is>
          <t>Unchanged</t>
        </is>
      </c>
      <c r="Q334" s="20" t="inlineStr">
        <is>
          <t>Author assertion</t>
        </is>
      </c>
      <c r="R334" s="5" t="inlineStr"/>
      <c r="S334" s="8" t="inlineStr">
        <is>
          <t>ARAP</t>
        </is>
      </c>
      <c r="T334" s="5" t="inlineStr">
        <is>
          <t>Receivables and payables</t>
        </is>
      </c>
      <c r="U334" s="8" t="inlineStr"/>
      <c r="V334" s="8" t="inlineStr">
        <is>
          <t>ledgers</t>
        </is>
      </c>
      <c r="W334" s="8" t="inlineStr">
        <is>
          <t>CONTROL</t>
        </is>
      </c>
      <c r="X334" s="5" t="inlineStr">
        <is>
          <t>Core</t>
        </is>
      </c>
      <c r="Y334" s="5" t="inlineStr">
        <is>
          <t>Cross-persona</t>
        </is>
      </c>
      <c r="Z334" s="5" t="inlineStr">
        <is>
          <t>Critical</t>
        </is>
      </c>
      <c r="AA334" s="5" t="inlineStr">
        <is>
          <t>High</t>
        </is>
      </c>
      <c r="AB334" s="8" t="inlineStr">
        <is>
          <t>Medium</t>
        </is>
      </c>
      <c r="AC334" s="8" t="inlineStr">
        <is>
          <t>Pilot</t>
        </is>
      </c>
      <c r="AD334" s="5" t="inlineStr">
        <is>
          <t>Not independently checked</t>
        </is>
      </c>
      <c r="AE334" s="5" t="inlineStr">
        <is>
          <t>Not verified</t>
        </is>
      </c>
      <c r="AF334" s="5" t="inlineStr">
        <is>
          <t>Not verified</t>
        </is>
      </c>
      <c r="AG334" s="5" t="inlineStr">
        <is>
          <t>Not verified</t>
        </is>
      </c>
      <c r="AH334" s="5" t="inlineStr">
        <is>
          <t>Not verified</t>
        </is>
      </c>
      <c r="AI334" s="8" t="inlineStr">
        <is>
          <t>No</t>
        </is>
      </c>
      <c r="AJ334" s="8" t="inlineStr">
        <is>
          <t>Claimed - unverified</t>
        </is>
      </c>
      <c r="AK334" s="8" t="inlineStr">
        <is>
          <t>P1</t>
        </is>
      </c>
      <c r="AL334" s="8" t="n">
        <v>18</v>
      </c>
      <c r="AM334" s="5" t="inlineStr"/>
      <c r="AN334" s="5" t="inlineStr"/>
      <c r="AO334" s="5" t="inlineStr"/>
      <c r="AP334" s="5" t="inlineStr"/>
      <c r="AQ334" s="5" t="inlineStr"/>
      <c r="AR334" s="5" t="inlineStr"/>
      <c r="AS334" s="5" t="inlineStr"/>
      <c r="AT334" s="5" t="inlineStr"/>
      <c r="AU334" s="8" t="inlineStr">
        <is>
          <t>Not run</t>
        </is>
      </c>
    </row>
    <row r="335" ht="32" customHeight="1">
      <c r="A335" s="16" t="inlineStr">
        <is>
          <t>X-0334</t>
        </is>
      </c>
      <c r="B335" s="8" t="inlineStr">
        <is>
          <t>X</t>
        </is>
      </c>
      <c r="C335" s="5" t="inlineStr">
        <is>
          <t>Multiple / Cross-persona</t>
        </is>
      </c>
      <c r="D335" s="5" t="inlineStr">
        <is>
          <t>Receivables &amp; Payables</t>
        </is>
      </c>
      <c r="E335" s="5" t="inlineStr">
        <is>
          <t>Owner reviews supplier liabilities</t>
        </is>
      </c>
      <c r="F335" s="5" t="inlineStr">
        <is>
          <t>Reporting &amp; Business Intelligence</t>
        </is>
      </c>
      <c r="G335" s="5" t="inlineStr">
        <is>
          <t>Business Owner</t>
        </is>
      </c>
      <c r="H335" s="5" t="inlineStr">
        <is>
          <t>Owner reviews total trade payables commitments to plan weekly treasury cash outflows</t>
        </is>
      </c>
      <c r="I335" s="5" t="inlineStr">
        <is>
          <t>Displays summary of total supplier liabilities, upcoming due dates, and major vendor balances</t>
        </is>
      </c>
      <c r="J335" s="20" t="inlineStr">
        <is>
          <t>P1</t>
        </is>
      </c>
      <c r="K335" s="20" t="inlineStr">
        <is>
          <t>Validated (Supported)</t>
        </is>
      </c>
      <c r="L335" s="5" t="inlineStr">
        <is>
          <t>Supported via Owner Executive Payables Overview card.</t>
        </is>
      </c>
      <c r="M335" s="8" t="inlineStr">
        <is>
          <t>Baseline</t>
        </is>
      </c>
      <c r="N335" s="8" t="inlineStr">
        <is>
          <t>Cross-persona</t>
        </is>
      </c>
      <c r="O335" s="8" t="inlineStr">
        <is>
          <t>P1</t>
        </is>
      </c>
      <c r="P335" s="5" t="inlineStr">
        <is>
          <t>Unchanged</t>
        </is>
      </c>
      <c r="Q335" s="20" t="inlineStr">
        <is>
          <t>Author assertion</t>
        </is>
      </c>
      <c r="R335" s="5" t="inlineStr"/>
      <c r="S335" s="8" t="inlineStr">
        <is>
          <t>ARAP</t>
        </is>
      </c>
      <c r="T335" s="5" t="inlineStr">
        <is>
          <t>Receivables and payables</t>
        </is>
      </c>
      <c r="U335" s="8" t="inlineStr"/>
      <c r="V335" s="8" t="inlineStr">
        <is>
          <t>ledgers</t>
        </is>
      </c>
      <c r="W335" s="8" t="inlineStr">
        <is>
          <t>CONTROL</t>
        </is>
      </c>
      <c r="X335" s="5" t="inlineStr">
        <is>
          <t>Core</t>
        </is>
      </c>
      <c r="Y335" s="5" t="inlineStr">
        <is>
          <t>Cross-persona</t>
        </is>
      </c>
      <c r="Z335" s="5" t="inlineStr">
        <is>
          <t>Critical</t>
        </is>
      </c>
      <c r="AA335" s="5" t="inlineStr">
        <is>
          <t>High</t>
        </is>
      </c>
      <c r="AB335" s="8" t="inlineStr">
        <is>
          <t>Medium</t>
        </is>
      </c>
      <c r="AC335" s="8" t="inlineStr">
        <is>
          <t>Pilot</t>
        </is>
      </c>
      <c r="AD335" s="5" t="inlineStr">
        <is>
          <t>Not independently checked</t>
        </is>
      </c>
      <c r="AE335" s="5" t="inlineStr">
        <is>
          <t>Not verified</t>
        </is>
      </c>
      <c r="AF335" s="5" t="inlineStr">
        <is>
          <t>Not verified</t>
        </is>
      </c>
      <c r="AG335" s="5" t="inlineStr">
        <is>
          <t>Not verified</t>
        </is>
      </c>
      <c r="AH335" s="5" t="inlineStr">
        <is>
          <t>Not verified</t>
        </is>
      </c>
      <c r="AI335" s="8" t="inlineStr">
        <is>
          <t>No</t>
        </is>
      </c>
      <c r="AJ335" s="8" t="inlineStr">
        <is>
          <t>Claimed - unverified</t>
        </is>
      </c>
      <c r="AK335" s="8" t="inlineStr">
        <is>
          <t>P1</t>
        </is>
      </c>
      <c r="AL335" s="8" t="n">
        <v>18</v>
      </c>
      <c r="AM335" s="5" t="inlineStr"/>
      <c r="AN335" s="5" t="inlineStr"/>
      <c r="AO335" s="5" t="inlineStr"/>
      <c r="AP335" s="5" t="inlineStr"/>
      <c r="AQ335" s="5" t="inlineStr"/>
      <c r="AR335" s="5" t="inlineStr"/>
      <c r="AS335" s="5" t="inlineStr"/>
      <c r="AT335" s="5" t="inlineStr"/>
      <c r="AU335" s="8" t="inlineStr">
        <is>
          <t>Not run</t>
        </is>
      </c>
    </row>
    <row r="336" ht="32" customHeight="1">
      <c r="A336" s="16" t="inlineStr">
        <is>
          <t>X-0335</t>
        </is>
      </c>
      <c r="B336" s="8" t="inlineStr">
        <is>
          <t>X</t>
        </is>
      </c>
      <c r="C336" s="5" t="inlineStr">
        <is>
          <t>Multiple / Cross-persona</t>
        </is>
      </c>
      <c r="D336" s="5" t="inlineStr">
        <is>
          <t>Receivables &amp; Payables</t>
        </is>
      </c>
      <c r="E336" s="5" t="inlineStr">
        <is>
          <t>Accountant reconciles supplier ledger</t>
        </is>
      </c>
      <c r="F336" s="5" t="inlineStr">
        <is>
          <t>In-house Accountant</t>
        </is>
      </c>
      <c r="G336" s="5" t="inlineStr">
        <is>
          <t>Supplier Accounts Desk</t>
        </is>
      </c>
      <c r="H336" s="5" t="inlineStr">
        <is>
          <t>Periodic ledger reconciliation with vendor statement to identify missing bills or payments</t>
        </is>
      </c>
      <c r="I336" s="5" t="inlineStr">
        <is>
          <t>Compares buyer AP ledger with vendor statement; highlights unrecorded bills or deductions</t>
        </is>
      </c>
      <c r="J336" s="20" t="inlineStr">
        <is>
          <t>P1</t>
        </is>
      </c>
      <c r="K336" s="20" t="inlineStr">
        <is>
          <t>Validated (Supported)</t>
        </is>
      </c>
      <c r="L336" s="5" t="inlineStr">
        <is>
          <t>Supported via Supplier Reconciliation worksheet.</t>
        </is>
      </c>
      <c r="M336" s="8" t="inlineStr">
        <is>
          <t>Baseline</t>
        </is>
      </c>
      <c r="N336" s="8" t="inlineStr">
        <is>
          <t>Cross-persona</t>
        </is>
      </c>
      <c r="O336" s="8" t="inlineStr">
        <is>
          <t>P1</t>
        </is>
      </c>
      <c r="P336" s="5" t="inlineStr">
        <is>
          <t>Unchanged</t>
        </is>
      </c>
      <c r="Q336" s="20" t="inlineStr">
        <is>
          <t>Author assertion</t>
        </is>
      </c>
      <c r="R336" s="5" t="inlineStr"/>
      <c r="S336" s="8" t="inlineStr">
        <is>
          <t>ARAP</t>
        </is>
      </c>
      <c r="T336" s="5" t="inlineStr">
        <is>
          <t>Receivables and payables</t>
        </is>
      </c>
      <c r="U336" s="8" t="inlineStr"/>
      <c r="V336" s="8" t="inlineStr">
        <is>
          <t>ledgers</t>
        </is>
      </c>
      <c r="W336" s="8" t="inlineStr">
        <is>
          <t>CONTROL</t>
        </is>
      </c>
      <c r="X336" s="5" t="inlineStr">
        <is>
          <t>Core</t>
        </is>
      </c>
      <c r="Y336" s="5" t="inlineStr">
        <is>
          <t>Cross-persona</t>
        </is>
      </c>
      <c r="Z336" s="5" t="inlineStr">
        <is>
          <t>Critical</t>
        </is>
      </c>
      <c r="AA336" s="5" t="inlineStr">
        <is>
          <t>High</t>
        </is>
      </c>
      <c r="AB336" s="8" t="inlineStr">
        <is>
          <t>Medium</t>
        </is>
      </c>
      <c r="AC336" s="8" t="inlineStr">
        <is>
          <t>Pilot</t>
        </is>
      </c>
      <c r="AD336" s="5" t="inlineStr">
        <is>
          <t>Not independently checked</t>
        </is>
      </c>
      <c r="AE336" s="5" t="inlineStr">
        <is>
          <t>Not verified</t>
        </is>
      </c>
      <c r="AF336" s="5" t="inlineStr">
        <is>
          <t>Not verified</t>
        </is>
      </c>
      <c r="AG336" s="5" t="inlineStr">
        <is>
          <t>Not verified</t>
        </is>
      </c>
      <c r="AH336" s="5" t="inlineStr">
        <is>
          <t>Not verified</t>
        </is>
      </c>
      <c r="AI336" s="8" t="inlineStr">
        <is>
          <t>No</t>
        </is>
      </c>
      <c r="AJ336" s="8" t="inlineStr">
        <is>
          <t>Claimed - unverified</t>
        </is>
      </c>
      <c r="AK336" s="8" t="inlineStr">
        <is>
          <t>P1</t>
        </is>
      </c>
      <c r="AL336" s="8" t="n">
        <v>18</v>
      </c>
      <c r="AM336" s="5" t="inlineStr"/>
      <c r="AN336" s="5" t="inlineStr"/>
      <c r="AO336" s="5" t="inlineStr"/>
      <c r="AP336" s="5" t="inlineStr"/>
      <c r="AQ336" s="5" t="inlineStr"/>
      <c r="AR336" s="5" t="inlineStr"/>
      <c r="AS336" s="5" t="inlineStr"/>
      <c r="AT336" s="5" t="inlineStr"/>
      <c r="AU336" s="8" t="inlineStr">
        <is>
          <t>Not run</t>
        </is>
      </c>
    </row>
    <row r="337" ht="32" customHeight="1">
      <c r="A337" s="16" t="inlineStr">
        <is>
          <t>X-0336</t>
        </is>
      </c>
      <c r="B337" s="8" t="inlineStr">
        <is>
          <t>X</t>
        </is>
      </c>
      <c r="C337" s="5" t="inlineStr">
        <is>
          <t>Multiple / Cross-persona</t>
        </is>
      </c>
      <c r="D337" s="5" t="inlineStr">
        <is>
          <t>Receivables &amp; Payables</t>
        </is>
      </c>
      <c r="E337" s="5" t="inlineStr">
        <is>
          <t>Supplier payment is linked to bank/cash transaction</t>
        </is>
      </c>
      <c r="F337" s="5" t="inlineStr">
        <is>
          <t>In-house Accountant</t>
        </is>
      </c>
      <c r="G337" s="5" t="inlineStr">
        <is>
          <t>Auditor</t>
        </is>
      </c>
      <c r="H337" s="5" t="inlineStr">
        <is>
          <t>Every vendor payment voucher linked to specific bank account debit or cash withdrawal</t>
        </is>
      </c>
      <c r="I337" s="5" t="inlineStr">
        <is>
          <t>Maintains bidirectional link between Accounts Payable payment and Bank/Cash journal voucher</t>
        </is>
      </c>
      <c r="J337" s="20" t="inlineStr">
        <is>
          <t>P1</t>
        </is>
      </c>
      <c r="K337" s="20" t="inlineStr">
        <is>
          <t>Validated (Supported)</t>
        </is>
      </c>
      <c r="L337" s="5" t="inlineStr">
        <is>
          <t>Core system invariant: all payments create balanced double-entry GL journal vouchers.</t>
        </is>
      </c>
      <c r="M337" s="8" t="inlineStr">
        <is>
          <t>Baseline</t>
        </is>
      </c>
      <c r="N337" s="8" t="inlineStr">
        <is>
          <t>Cross-persona</t>
        </is>
      </c>
      <c r="O337" s="8" t="inlineStr">
        <is>
          <t>P1</t>
        </is>
      </c>
      <c r="P337" s="5" t="inlineStr">
        <is>
          <t>Unchanged</t>
        </is>
      </c>
      <c r="Q337" s="20" t="inlineStr">
        <is>
          <t>Author assertion</t>
        </is>
      </c>
      <c r="R337" s="5" t="inlineStr"/>
      <c r="S337" s="8" t="inlineStr">
        <is>
          <t>ARAP</t>
        </is>
      </c>
      <c r="T337" s="5" t="inlineStr">
        <is>
          <t>Receivables and payables</t>
        </is>
      </c>
      <c r="U337" s="8" t="inlineStr"/>
      <c r="V337" s="8" t="inlineStr">
        <is>
          <t>ledgers</t>
        </is>
      </c>
      <c r="W337" s="8" t="inlineStr">
        <is>
          <t>CONTROL</t>
        </is>
      </c>
      <c r="X337" s="5" t="inlineStr">
        <is>
          <t>Core</t>
        </is>
      </c>
      <c r="Y337" s="5" t="inlineStr">
        <is>
          <t>Cross-persona</t>
        </is>
      </c>
      <c r="Z337" s="5" t="inlineStr">
        <is>
          <t>Critical</t>
        </is>
      </c>
      <c r="AA337" s="5" t="inlineStr">
        <is>
          <t>High</t>
        </is>
      </c>
      <c r="AB337" s="8" t="inlineStr">
        <is>
          <t>Medium</t>
        </is>
      </c>
      <c r="AC337" s="8" t="inlineStr">
        <is>
          <t>Pilot</t>
        </is>
      </c>
      <c r="AD337" s="5" t="inlineStr">
        <is>
          <t>Not independently checked</t>
        </is>
      </c>
      <c r="AE337" s="5" t="inlineStr">
        <is>
          <t>Not verified</t>
        </is>
      </c>
      <c r="AF337" s="5" t="inlineStr">
        <is>
          <t>Not verified</t>
        </is>
      </c>
      <c r="AG337" s="5" t="inlineStr">
        <is>
          <t>Not verified</t>
        </is>
      </c>
      <c r="AH337" s="5" t="inlineStr">
        <is>
          <t>Not verified</t>
        </is>
      </c>
      <c r="AI337" s="8" t="inlineStr">
        <is>
          <t>No</t>
        </is>
      </c>
      <c r="AJ337" s="8" t="inlineStr">
        <is>
          <t>Claimed - unverified</t>
        </is>
      </c>
      <c r="AK337" s="8" t="inlineStr">
        <is>
          <t>P1</t>
        </is>
      </c>
      <c r="AL337" s="8" t="n">
        <v>18</v>
      </c>
      <c r="AM337" s="5" t="inlineStr"/>
      <c r="AN337" s="5" t="inlineStr"/>
      <c r="AO337" s="5" t="inlineStr"/>
      <c r="AP337" s="5" t="inlineStr"/>
      <c r="AQ337" s="5" t="inlineStr"/>
      <c r="AR337" s="5" t="inlineStr"/>
      <c r="AS337" s="5" t="inlineStr"/>
      <c r="AT337" s="5" t="inlineStr"/>
      <c r="AU337" s="8" t="inlineStr">
        <is>
          <t>Not run</t>
        </is>
      </c>
    </row>
    <row r="338" ht="32" customHeight="1">
      <c r="A338" s="16" t="inlineStr">
        <is>
          <t>X-0337</t>
        </is>
      </c>
      <c r="B338" s="8" t="inlineStr">
        <is>
          <t>X</t>
        </is>
      </c>
      <c r="C338" s="5" t="inlineStr">
        <is>
          <t>Multiple / Cross-persona</t>
        </is>
      </c>
      <c r="D338" s="5" t="inlineStr">
        <is>
          <t>Payments &amp; Reconciliation</t>
        </is>
      </c>
      <c r="E338" s="5" t="inlineStr">
        <is>
          <t>Cash sale → cash balance increases</t>
        </is>
      </c>
      <c r="F338" s="5" t="inlineStr">
        <is>
          <t>Counter Billing Clerk</t>
        </is>
      </c>
      <c r="G338" s="5" t="inlineStr">
        <is>
          <t>Customer</t>
        </is>
      </c>
      <c r="H338" s="5" t="inlineStr">
        <is>
          <t>Cash received from retail sale increases physical drawer cash balance</t>
        </is>
      </c>
      <c r="I338" s="5" t="inlineStr">
        <is>
          <t>Debits Cash-in-Hand ledger account; credits Sales Revenue account in GL</t>
        </is>
      </c>
      <c r="J338" s="20" t="inlineStr">
        <is>
          <t>P1</t>
        </is>
      </c>
      <c r="K338" s="20" t="inlineStr">
        <is>
          <t>Validated (Supported)</t>
        </is>
      </c>
      <c r="L338" s="5" t="inlineStr">
        <is>
          <t>Core system invariant: cash sale completion immediately updates cash ledger balance.</t>
        </is>
      </c>
      <c r="M338" s="8" t="inlineStr">
        <is>
          <t>Baseline</t>
        </is>
      </c>
      <c r="N338" s="8" t="inlineStr">
        <is>
          <t>Cross-persona</t>
        </is>
      </c>
      <c r="O338" s="8" t="inlineStr">
        <is>
          <t>P1</t>
        </is>
      </c>
      <c r="P338" s="5" t="inlineStr">
        <is>
          <t>Unchanged</t>
        </is>
      </c>
      <c r="Q338" s="20" t="inlineStr">
        <is>
          <t>Author assertion</t>
        </is>
      </c>
      <c r="R338" s="5" t="inlineStr"/>
      <c r="S338" s="8" t="inlineStr">
        <is>
          <t>PAYREC</t>
        </is>
      </c>
      <c r="T338" s="5" t="inlineStr">
        <is>
          <t>Payments and reconciliation</t>
        </is>
      </c>
      <c r="U338" s="8" t="inlineStr"/>
      <c r="V338" s="8" t="inlineStr">
        <is>
          <t>payments</t>
        </is>
      </c>
      <c r="W338" s="8" t="inlineStr">
        <is>
          <t>RUN</t>
        </is>
      </c>
      <c r="X338" s="5" t="inlineStr">
        <is>
          <t>Core</t>
        </is>
      </c>
      <c r="Y338" s="5" t="inlineStr">
        <is>
          <t>Cross-persona</t>
        </is>
      </c>
      <c r="Z338" s="5" t="inlineStr">
        <is>
          <t>High</t>
        </is>
      </c>
      <c r="AA338" s="5" t="inlineStr">
        <is>
          <t>High</t>
        </is>
      </c>
      <c r="AB338" s="8" t="inlineStr">
        <is>
          <t>Low</t>
        </is>
      </c>
      <c r="AC338" s="8" t="inlineStr">
        <is>
          <t>Pilot</t>
        </is>
      </c>
      <c r="AD338" s="5" t="inlineStr">
        <is>
          <t>Not independently checked</t>
        </is>
      </c>
      <c r="AE338" s="5" t="inlineStr">
        <is>
          <t>Not verified</t>
        </is>
      </c>
      <c r="AF338" s="5" t="inlineStr">
        <is>
          <t>Not verified</t>
        </is>
      </c>
      <c r="AG338" s="5" t="inlineStr">
        <is>
          <t>Not verified</t>
        </is>
      </c>
      <c r="AH338" s="5" t="inlineStr">
        <is>
          <t>Not verified</t>
        </is>
      </c>
      <c r="AI338" s="8" t="inlineStr">
        <is>
          <t>No</t>
        </is>
      </c>
      <c r="AJ338" s="8" t="inlineStr">
        <is>
          <t>Claimed - unverified</t>
        </is>
      </c>
      <c r="AK338" s="8" t="inlineStr">
        <is>
          <t>P1</t>
        </is>
      </c>
      <c r="AL338" s="8" t="n">
        <v>9</v>
      </c>
      <c r="AM338" s="5" t="inlineStr"/>
      <c r="AN338" s="5" t="inlineStr"/>
      <c r="AO338" s="5" t="inlineStr"/>
      <c r="AP338" s="5" t="inlineStr"/>
      <c r="AQ338" s="5" t="inlineStr"/>
      <c r="AR338" s="5" t="inlineStr"/>
      <c r="AS338" s="5" t="inlineStr"/>
      <c r="AT338" s="5" t="inlineStr"/>
      <c r="AU338" s="8" t="inlineStr">
        <is>
          <t>Not run</t>
        </is>
      </c>
    </row>
    <row r="339" ht="32" customHeight="1">
      <c r="A339" s="16" t="inlineStr">
        <is>
          <t>X-0338</t>
        </is>
      </c>
      <c r="B339" s="8" t="inlineStr">
        <is>
          <t>X</t>
        </is>
      </c>
      <c r="C339" s="5" t="inlineStr">
        <is>
          <t>Multiple / Cross-persona</t>
        </is>
      </c>
      <c r="D339" s="5" t="inlineStr">
        <is>
          <t>Payments &amp; Reconciliation</t>
        </is>
      </c>
      <c r="E339" s="5" t="inlineStr">
        <is>
          <t>UPI sale → digital payment is recorded</t>
        </is>
      </c>
      <c r="F339" s="5" t="inlineStr">
        <is>
          <t>Counter Billing Clerk</t>
        </is>
      </c>
      <c r="G339" s="5" t="inlineStr">
        <is>
          <t>Customer</t>
        </is>
      </c>
      <c r="H339" s="5" t="inlineStr">
        <is>
          <t>Instant UPI settlement recorded with transaction UTR reference number</t>
        </is>
      </c>
      <c r="I339" s="5" t="inlineStr">
        <is>
          <t>Debits Bank/UPI Clearing account; credits Sales Revenue; logs gateway reference</t>
        </is>
      </c>
      <c r="J339" s="20" t="inlineStr">
        <is>
          <t>P1</t>
        </is>
      </c>
      <c r="K339" s="20" t="inlineStr">
        <is>
          <t>Validated (Supported)</t>
        </is>
      </c>
      <c r="L339" s="5" t="inlineStr">
        <is>
          <t>Supported via dynamic UPI QR scanner on POS terminal.</t>
        </is>
      </c>
      <c r="M339" s="8" t="inlineStr">
        <is>
          <t>Baseline</t>
        </is>
      </c>
      <c r="N339" s="8" t="inlineStr">
        <is>
          <t>Cross-persona</t>
        </is>
      </c>
      <c r="O339" s="8" t="inlineStr">
        <is>
          <t>P1</t>
        </is>
      </c>
      <c r="P339" s="5" t="inlineStr">
        <is>
          <t>Unchanged</t>
        </is>
      </c>
      <c r="Q339" s="20" t="inlineStr">
        <is>
          <t>Author assertion</t>
        </is>
      </c>
      <c r="R339" s="5" t="inlineStr"/>
      <c r="S339" s="8" t="inlineStr">
        <is>
          <t>PAYREC</t>
        </is>
      </c>
      <c r="T339" s="5" t="inlineStr">
        <is>
          <t>Payments and reconciliation</t>
        </is>
      </c>
      <c r="U339" s="8" t="inlineStr"/>
      <c r="V339" s="8" t="inlineStr">
        <is>
          <t>payments</t>
        </is>
      </c>
      <c r="W339" s="8" t="inlineStr">
        <is>
          <t>RUN</t>
        </is>
      </c>
      <c r="X339" s="5" t="inlineStr">
        <is>
          <t>Core</t>
        </is>
      </c>
      <c r="Y339" s="5" t="inlineStr">
        <is>
          <t>Cross-persona</t>
        </is>
      </c>
      <c r="Z339" s="5" t="inlineStr">
        <is>
          <t>High</t>
        </is>
      </c>
      <c r="AA339" s="5" t="inlineStr">
        <is>
          <t>High</t>
        </is>
      </c>
      <c r="AB339" s="8" t="inlineStr">
        <is>
          <t>Low</t>
        </is>
      </c>
      <c r="AC339" s="8" t="inlineStr">
        <is>
          <t>Pilot</t>
        </is>
      </c>
      <c r="AD339" s="5" t="inlineStr">
        <is>
          <t>Not independently checked</t>
        </is>
      </c>
      <c r="AE339" s="5" t="inlineStr">
        <is>
          <t>Not verified</t>
        </is>
      </c>
      <c r="AF339" s="5" t="inlineStr">
        <is>
          <t>Not verified</t>
        </is>
      </c>
      <c r="AG339" s="5" t="inlineStr">
        <is>
          <t>Not verified</t>
        </is>
      </c>
      <c r="AH339" s="5" t="inlineStr">
        <is>
          <t>Not verified</t>
        </is>
      </c>
      <c r="AI339" s="8" t="inlineStr">
        <is>
          <t>No</t>
        </is>
      </c>
      <c r="AJ339" s="8" t="inlineStr">
        <is>
          <t>Claimed - unverified</t>
        </is>
      </c>
      <c r="AK339" s="8" t="inlineStr">
        <is>
          <t>P1</t>
        </is>
      </c>
      <c r="AL339" s="8" t="n">
        <v>9</v>
      </c>
      <c r="AM339" s="5" t="inlineStr"/>
      <c r="AN339" s="5" t="inlineStr"/>
      <c r="AO339" s="5" t="inlineStr"/>
      <c r="AP339" s="5" t="inlineStr"/>
      <c r="AQ339" s="5" t="inlineStr"/>
      <c r="AR339" s="5" t="inlineStr"/>
      <c r="AS339" s="5" t="inlineStr"/>
      <c r="AT339" s="5" t="inlineStr"/>
      <c r="AU339" s="8" t="inlineStr">
        <is>
          <t>Not run</t>
        </is>
      </c>
    </row>
    <row r="340" ht="32" customHeight="1">
      <c r="A340" s="16" t="inlineStr">
        <is>
          <t>X-0339</t>
        </is>
      </c>
      <c r="B340" s="8" t="inlineStr">
        <is>
          <t>X</t>
        </is>
      </c>
      <c r="C340" s="5" t="inlineStr">
        <is>
          <t>Multiple / Cross-persona</t>
        </is>
      </c>
      <c r="D340" s="5" t="inlineStr">
        <is>
          <t>Payments &amp; Reconciliation</t>
        </is>
      </c>
      <c r="E340" s="5" t="inlineStr">
        <is>
          <t>Bank payment → bank ledger updates</t>
        </is>
      </c>
      <c r="F340" s="5" t="inlineStr">
        <is>
          <t>Accounts Cashier</t>
        </is>
      </c>
      <c r="G340" s="5" t="inlineStr">
        <is>
          <t>In-house Accountant</t>
        </is>
      </c>
      <c r="H340" s="5" t="inlineStr">
        <is>
          <t>Bank transfer (NEFT/RTGS/IMPS/Cheque) reflected in company bank account ledger</t>
        </is>
      </c>
      <c r="I340" s="5" t="inlineStr">
        <is>
          <t>Debits/credits Bank Account ledger; updates running bank book balance</t>
        </is>
      </c>
      <c r="J340" s="20" t="inlineStr">
        <is>
          <t>P1</t>
        </is>
      </c>
      <c r="K340" s="20" t="inlineStr">
        <is>
          <t>Validated (Supported)</t>
        </is>
      </c>
      <c r="L340" s="5" t="inlineStr">
        <is>
          <t>Supported via /accounting/bank-accounts/ ledger entries.</t>
        </is>
      </c>
      <c r="M340" s="8" t="inlineStr">
        <is>
          <t>Baseline</t>
        </is>
      </c>
      <c r="N340" s="8" t="inlineStr">
        <is>
          <t>Cross-persona</t>
        </is>
      </c>
      <c r="O340" s="8" t="inlineStr">
        <is>
          <t>P1</t>
        </is>
      </c>
      <c r="P340" s="5" t="inlineStr">
        <is>
          <t>Unchanged</t>
        </is>
      </c>
      <c r="Q340" s="20" t="inlineStr">
        <is>
          <t>Author assertion</t>
        </is>
      </c>
      <c r="R340" s="5" t="inlineStr"/>
      <c r="S340" s="8" t="inlineStr">
        <is>
          <t>PAYREC</t>
        </is>
      </c>
      <c r="T340" s="5" t="inlineStr">
        <is>
          <t>Payments and reconciliation</t>
        </is>
      </c>
      <c r="U340" s="8" t="inlineStr"/>
      <c r="V340" s="8" t="inlineStr">
        <is>
          <t>payments</t>
        </is>
      </c>
      <c r="W340" s="8" t="inlineStr">
        <is>
          <t>RUN</t>
        </is>
      </c>
      <c r="X340" s="5" t="inlineStr">
        <is>
          <t>Core</t>
        </is>
      </c>
      <c r="Y340" s="5" t="inlineStr">
        <is>
          <t>Cross-persona</t>
        </is>
      </c>
      <c r="Z340" s="5" t="inlineStr">
        <is>
          <t>High</t>
        </is>
      </c>
      <c r="AA340" s="5" t="inlineStr">
        <is>
          <t>High</t>
        </is>
      </c>
      <c r="AB340" s="8" t="inlineStr">
        <is>
          <t>Low</t>
        </is>
      </c>
      <c r="AC340" s="8" t="inlineStr">
        <is>
          <t>Pilot</t>
        </is>
      </c>
      <c r="AD340" s="5" t="inlineStr">
        <is>
          <t>Not independently checked</t>
        </is>
      </c>
      <c r="AE340" s="5" t="inlineStr">
        <is>
          <t>Not verified</t>
        </is>
      </c>
      <c r="AF340" s="5" t="inlineStr">
        <is>
          <t>Not verified</t>
        </is>
      </c>
      <c r="AG340" s="5" t="inlineStr">
        <is>
          <t>Not verified</t>
        </is>
      </c>
      <c r="AH340" s="5" t="inlineStr">
        <is>
          <t>Not verified</t>
        </is>
      </c>
      <c r="AI340" s="8" t="inlineStr">
        <is>
          <t>No</t>
        </is>
      </c>
      <c r="AJ340" s="8" t="inlineStr">
        <is>
          <t>Claimed - unverified</t>
        </is>
      </c>
      <c r="AK340" s="8" t="inlineStr">
        <is>
          <t>P1</t>
        </is>
      </c>
      <c r="AL340" s="8" t="n">
        <v>9</v>
      </c>
      <c r="AM340" s="5" t="inlineStr"/>
      <c r="AN340" s="5" t="inlineStr"/>
      <c r="AO340" s="5" t="inlineStr"/>
      <c r="AP340" s="5" t="inlineStr"/>
      <c r="AQ340" s="5" t="inlineStr"/>
      <c r="AR340" s="5" t="inlineStr"/>
      <c r="AS340" s="5" t="inlineStr"/>
      <c r="AT340" s="5" t="inlineStr"/>
      <c r="AU340" s="8" t="inlineStr">
        <is>
          <t>Not run</t>
        </is>
      </c>
    </row>
    <row r="341" ht="32" customHeight="1">
      <c r="A341" s="16" t="inlineStr">
        <is>
          <t>X-0340</t>
        </is>
      </c>
      <c r="B341" s="8" t="inlineStr">
        <is>
          <t>X</t>
        </is>
      </c>
      <c r="C341" s="5" t="inlineStr">
        <is>
          <t>Multiple / Cross-persona</t>
        </is>
      </c>
      <c r="D341" s="5" t="inlineStr">
        <is>
          <t>Payments &amp; Reconciliation</t>
        </is>
      </c>
      <c r="E341" s="5" t="inlineStr">
        <is>
          <t>Customer payment → receivable decreases</t>
        </is>
      </c>
      <c r="F341" s="5" t="inlineStr">
        <is>
          <t>Accounts Cashier</t>
        </is>
      </c>
      <c r="G341" s="5" t="inlineStr">
        <is>
          <t>Customer</t>
        </is>
      </c>
      <c r="H341" s="5" t="inlineStr">
        <is>
          <t>Customer payment receipt reduces accounts receivable balance</t>
        </is>
      </c>
      <c r="I341" s="5" t="inlineStr">
        <is>
          <t>Credits Customer AR ledger; debits Bank/Cash; updates customer credit availability</t>
        </is>
      </c>
      <c r="J341" s="20" t="inlineStr">
        <is>
          <t>P1</t>
        </is>
      </c>
      <c r="K341" s="20" t="inlineStr">
        <is>
          <t>Validated (Supported)</t>
        </is>
      </c>
      <c r="L341" s="5" t="inlineStr">
        <is>
          <t>Core system invariant: payment post immediately reduces customer receivable balance.</t>
        </is>
      </c>
      <c r="M341" s="8" t="inlineStr">
        <is>
          <t>Baseline</t>
        </is>
      </c>
      <c r="N341" s="8" t="inlineStr">
        <is>
          <t>Cross-persona</t>
        </is>
      </c>
      <c r="O341" s="8" t="inlineStr">
        <is>
          <t>P1</t>
        </is>
      </c>
      <c r="P341" s="5" t="inlineStr">
        <is>
          <t>Unchanged</t>
        </is>
      </c>
      <c r="Q341" s="20" t="inlineStr">
        <is>
          <t>Author assertion</t>
        </is>
      </c>
      <c r="R341" s="5" t="inlineStr"/>
      <c r="S341" s="8" t="inlineStr">
        <is>
          <t>PAYREC</t>
        </is>
      </c>
      <c r="T341" s="5" t="inlineStr">
        <is>
          <t>Payments and reconciliation</t>
        </is>
      </c>
      <c r="U341" s="8" t="inlineStr"/>
      <c r="V341" s="8" t="inlineStr">
        <is>
          <t>payments</t>
        </is>
      </c>
      <c r="W341" s="8" t="inlineStr">
        <is>
          <t>RUN</t>
        </is>
      </c>
      <c r="X341" s="5" t="inlineStr">
        <is>
          <t>Core</t>
        </is>
      </c>
      <c r="Y341" s="5" t="inlineStr">
        <is>
          <t>Cross-persona</t>
        </is>
      </c>
      <c r="Z341" s="5" t="inlineStr">
        <is>
          <t>High</t>
        </is>
      </c>
      <c r="AA341" s="5" t="inlineStr">
        <is>
          <t>High</t>
        </is>
      </c>
      <c r="AB341" s="8" t="inlineStr">
        <is>
          <t>Low</t>
        </is>
      </c>
      <c r="AC341" s="8" t="inlineStr">
        <is>
          <t>Pilot</t>
        </is>
      </c>
      <c r="AD341" s="5" t="inlineStr">
        <is>
          <t>Not independently checked</t>
        </is>
      </c>
      <c r="AE341" s="5" t="inlineStr">
        <is>
          <t>Not verified</t>
        </is>
      </c>
      <c r="AF341" s="5" t="inlineStr">
        <is>
          <t>Not verified</t>
        </is>
      </c>
      <c r="AG341" s="5" t="inlineStr">
        <is>
          <t>Not verified</t>
        </is>
      </c>
      <c r="AH341" s="5" t="inlineStr">
        <is>
          <t>Not verified</t>
        </is>
      </c>
      <c r="AI341" s="8" t="inlineStr">
        <is>
          <t>No</t>
        </is>
      </c>
      <c r="AJ341" s="8" t="inlineStr">
        <is>
          <t>Claimed - unverified</t>
        </is>
      </c>
      <c r="AK341" s="8" t="inlineStr">
        <is>
          <t>P1</t>
        </is>
      </c>
      <c r="AL341" s="8" t="n">
        <v>9</v>
      </c>
      <c r="AM341" s="5" t="inlineStr"/>
      <c r="AN341" s="5" t="inlineStr"/>
      <c r="AO341" s="5" t="inlineStr"/>
      <c r="AP341" s="5" t="inlineStr"/>
      <c r="AQ341" s="5" t="inlineStr"/>
      <c r="AR341" s="5" t="inlineStr"/>
      <c r="AS341" s="5" t="inlineStr"/>
      <c r="AT341" s="5" t="inlineStr"/>
      <c r="AU341" s="8" t="inlineStr">
        <is>
          <t>Not run</t>
        </is>
      </c>
    </row>
    <row r="342" ht="32" customHeight="1">
      <c r="A342" s="16" t="inlineStr">
        <is>
          <t>X-0341</t>
        </is>
      </c>
      <c r="B342" s="8" t="inlineStr">
        <is>
          <t>X</t>
        </is>
      </c>
      <c r="C342" s="5" t="inlineStr">
        <is>
          <t>Multiple / Cross-persona</t>
        </is>
      </c>
      <c r="D342" s="5" t="inlineStr">
        <is>
          <t>Payments &amp; Reconciliation</t>
        </is>
      </c>
      <c r="E342" s="5" t="inlineStr">
        <is>
          <t>Supplier payment → payable decreases</t>
        </is>
      </c>
      <c r="F342" s="5" t="inlineStr">
        <is>
          <t>Accounts Cashier</t>
        </is>
      </c>
      <c r="G342" s="5" t="inlineStr">
        <is>
          <t>Supplier</t>
        </is>
      </c>
      <c r="H342" s="5" t="inlineStr">
        <is>
          <t>Vendor disbursement reduces accounts payable liability</t>
        </is>
      </c>
      <c r="I342" s="5" t="inlineStr">
        <is>
          <t>Debits Supplier AP ledger; credits Bank/Cash account; decreases outstanding liability</t>
        </is>
      </c>
      <c r="J342" s="20" t="inlineStr">
        <is>
          <t>P1</t>
        </is>
      </c>
      <c r="K342" s="20" t="inlineStr">
        <is>
          <t>Validated (Supported)</t>
        </is>
      </c>
      <c r="L342" s="5" t="inlineStr">
        <is>
          <t>Core system invariant: vendor payment immediately decreases accounts payable liability.</t>
        </is>
      </c>
      <c r="M342" s="8" t="inlineStr">
        <is>
          <t>Baseline</t>
        </is>
      </c>
      <c r="N342" s="8" t="inlineStr">
        <is>
          <t>Cross-persona</t>
        </is>
      </c>
      <c r="O342" s="8" t="inlineStr">
        <is>
          <t>P1</t>
        </is>
      </c>
      <c r="P342" s="5" t="inlineStr">
        <is>
          <t>Unchanged</t>
        </is>
      </c>
      <c r="Q342" s="20" t="inlineStr">
        <is>
          <t>Author assertion</t>
        </is>
      </c>
      <c r="R342" s="5" t="inlineStr"/>
      <c r="S342" s="8" t="inlineStr">
        <is>
          <t>PAYREC</t>
        </is>
      </c>
      <c r="T342" s="5" t="inlineStr">
        <is>
          <t>Payments and reconciliation</t>
        </is>
      </c>
      <c r="U342" s="8" t="inlineStr"/>
      <c r="V342" s="8" t="inlineStr">
        <is>
          <t>payments</t>
        </is>
      </c>
      <c r="W342" s="8" t="inlineStr">
        <is>
          <t>RUN</t>
        </is>
      </c>
      <c r="X342" s="5" t="inlineStr">
        <is>
          <t>Core</t>
        </is>
      </c>
      <c r="Y342" s="5" t="inlineStr">
        <is>
          <t>Cross-persona</t>
        </is>
      </c>
      <c r="Z342" s="5" t="inlineStr">
        <is>
          <t>High</t>
        </is>
      </c>
      <c r="AA342" s="5" t="inlineStr">
        <is>
          <t>High</t>
        </is>
      </c>
      <c r="AB342" s="8" t="inlineStr">
        <is>
          <t>Low</t>
        </is>
      </c>
      <c r="AC342" s="8" t="inlineStr">
        <is>
          <t>Pilot</t>
        </is>
      </c>
      <c r="AD342" s="5" t="inlineStr">
        <is>
          <t>Not independently checked</t>
        </is>
      </c>
      <c r="AE342" s="5" t="inlineStr">
        <is>
          <t>Not verified</t>
        </is>
      </c>
      <c r="AF342" s="5" t="inlineStr">
        <is>
          <t>Not verified</t>
        </is>
      </c>
      <c r="AG342" s="5" t="inlineStr">
        <is>
          <t>Not verified</t>
        </is>
      </c>
      <c r="AH342" s="5" t="inlineStr">
        <is>
          <t>Not verified</t>
        </is>
      </c>
      <c r="AI342" s="8" t="inlineStr">
        <is>
          <t>No</t>
        </is>
      </c>
      <c r="AJ342" s="8" t="inlineStr">
        <is>
          <t>Claimed - unverified</t>
        </is>
      </c>
      <c r="AK342" s="8" t="inlineStr">
        <is>
          <t>P1</t>
        </is>
      </c>
      <c r="AL342" s="8" t="n">
        <v>9</v>
      </c>
      <c r="AM342" s="5" t="inlineStr"/>
      <c r="AN342" s="5" t="inlineStr"/>
      <c r="AO342" s="5" t="inlineStr"/>
      <c r="AP342" s="5" t="inlineStr"/>
      <c r="AQ342" s="5" t="inlineStr"/>
      <c r="AR342" s="5" t="inlineStr"/>
      <c r="AS342" s="5" t="inlineStr"/>
      <c r="AT342" s="5" t="inlineStr"/>
      <c r="AU342" s="8" t="inlineStr">
        <is>
          <t>Not run</t>
        </is>
      </c>
    </row>
    <row r="343" ht="32" customHeight="1">
      <c r="A343" s="16" t="inlineStr">
        <is>
          <t>X-0342</t>
        </is>
      </c>
      <c r="B343" s="8" t="inlineStr">
        <is>
          <t>X</t>
        </is>
      </c>
      <c r="C343" s="5" t="inlineStr">
        <is>
          <t>Multiple / Cross-persona</t>
        </is>
      </c>
      <c r="D343" s="5" t="inlineStr">
        <is>
          <t>Payments &amp; Reconciliation</t>
        </is>
      </c>
      <c r="E343" s="5" t="inlineStr">
        <is>
          <t>Expense payment → expense ledger updates</t>
        </is>
      </c>
      <c r="F343" s="5" t="inlineStr">
        <is>
          <t>In-house Accountant</t>
        </is>
      </c>
      <c r="G343" s="5" t="inlineStr">
        <is>
          <t>Vendor / Service Provider</t>
        </is>
      </c>
      <c r="H343" s="5" t="inlineStr">
        <is>
          <t>Operating expenses (rent, electricity, transport, tea) recorded with proper expense heads</t>
        </is>
      </c>
      <c r="I343" s="5" t="inlineStr">
        <is>
          <t>Debits specific Expense account (e.g. Rent, Freight); credits Bank/Cash account in GL</t>
        </is>
      </c>
      <c r="J343" s="20" t="inlineStr">
        <is>
          <t>P1</t>
        </is>
      </c>
      <c r="K343" s="20" t="inlineStr">
        <is>
          <t>Validated (Supported)</t>
        </is>
      </c>
      <c r="L343" s="5" t="inlineStr">
        <is>
          <t>Supported via /accounting/expenses/create with cost center allocation.</t>
        </is>
      </c>
      <c r="M343" s="8" t="inlineStr">
        <is>
          <t>Baseline</t>
        </is>
      </c>
      <c r="N343" s="8" t="inlineStr">
        <is>
          <t>Cross-persona</t>
        </is>
      </c>
      <c r="O343" s="8" t="inlineStr">
        <is>
          <t>P1</t>
        </is>
      </c>
      <c r="P343" s="5" t="inlineStr">
        <is>
          <t>Unchanged</t>
        </is>
      </c>
      <c r="Q343" s="20" t="inlineStr">
        <is>
          <t>Author assertion</t>
        </is>
      </c>
      <c r="R343" s="5" t="inlineStr"/>
      <c r="S343" s="8" t="inlineStr">
        <is>
          <t>PAYREC</t>
        </is>
      </c>
      <c r="T343" s="5" t="inlineStr">
        <is>
          <t>Payments and reconciliation</t>
        </is>
      </c>
      <c r="U343" s="8" t="inlineStr"/>
      <c r="V343" s="8" t="inlineStr">
        <is>
          <t>payments</t>
        </is>
      </c>
      <c r="W343" s="8" t="inlineStr">
        <is>
          <t>RUN</t>
        </is>
      </c>
      <c r="X343" s="5" t="inlineStr">
        <is>
          <t>Core</t>
        </is>
      </c>
      <c r="Y343" s="5" t="inlineStr">
        <is>
          <t>Cross-persona</t>
        </is>
      </c>
      <c r="Z343" s="5" t="inlineStr">
        <is>
          <t>High</t>
        </is>
      </c>
      <c r="AA343" s="5" t="inlineStr">
        <is>
          <t>High</t>
        </is>
      </c>
      <c r="AB343" s="8" t="inlineStr">
        <is>
          <t>Low</t>
        </is>
      </c>
      <c r="AC343" s="8" t="inlineStr">
        <is>
          <t>Pilot</t>
        </is>
      </c>
      <c r="AD343" s="5" t="inlineStr">
        <is>
          <t>Not independently checked</t>
        </is>
      </c>
      <c r="AE343" s="5" t="inlineStr">
        <is>
          <t>Not verified</t>
        </is>
      </c>
      <c r="AF343" s="5" t="inlineStr">
        <is>
          <t>Not verified</t>
        </is>
      </c>
      <c r="AG343" s="5" t="inlineStr">
        <is>
          <t>Not verified</t>
        </is>
      </c>
      <c r="AH343" s="5" t="inlineStr">
        <is>
          <t>Not verified</t>
        </is>
      </c>
      <c r="AI343" s="8" t="inlineStr">
        <is>
          <t>No</t>
        </is>
      </c>
      <c r="AJ343" s="8" t="inlineStr">
        <is>
          <t>Claimed - unverified</t>
        </is>
      </c>
      <c r="AK343" s="8" t="inlineStr">
        <is>
          <t>P1</t>
        </is>
      </c>
      <c r="AL343" s="8" t="n">
        <v>9</v>
      </c>
      <c r="AM343" s="5" t="inlineStr"/>
      <c r="AN343" s="5" t="inlineStr"/>
      <c r="AO343" s="5" t="inlineStr"/>
      <c r="AP343" s="5" t="inlineStr"/>
      <c r="AQ343" s="5" t="inlineStr"/>
      <c r="AR343" s="5" t="inlineStr"/>
      <c r="AS343" s="5" t="inlineStr"/>
      <c r="AT343" s="5" t="inlineStr"/>
      <c r="AU343" s="8" t="inlineStr">
        <is>
          <t>Not run</t>
        </is>
      </c>
    </row>
    <row r="344" ht="32" customHeight="1">
      <c r="A344" s="16" t="inlineStr">
        <is>
          <t>X-0343</t>
        </is>
      </c>
      <c r="B344" s="8" t="inlineStr">
        <is>
          <t>X</t>
        </is>
      </c>
      <c r="C344" s="5" t="inlineStr">
        <is>
          <t>Multiple / Cross-persona</t>
        </is>
      </c>
      <c r="D344" s="5" t="inlineStr">
        <is>
          <t>Payments &amp; Reconciliation</t>
        </is>
      </c>
      <c r="E344" s="5" t="inlineStr">
        <is>
          <t>Payment reversal → original payment remains traceable</t>
        </is>
      </c>
      <c r="F344" s="5" t="inlineStr">
        <is>
          <t>In-house Accountant</t>
        </is>
      </c>
      <c r="G344" s="5" t="inlineStr">
        <is>
          <t>Auditor</t>
        </is>
      </c>
      <c r="H344" s="5" t="inlineStr">
        <is>
          <t>Reversing a bounced cheque or erroneous payment maintains complete audit history</t>
        </is>
      </c>
      <c r="I344" s="5" t="inlineStr">
        <is>
          <t>Posts reversal journal voucher; restores original invoice unpaid status; logs reversal reason</t>
        </is>
      </c>
      <c r="J344" s="20" t="inlineStr">
        <is>
          <t>P1</t>
        </is>
      </c>
      <c r="K344" s="20" t="inlineStr">
        <is>
          <t>Validated (Supported)</t>
        </is>
      </c>
      <c r="L344" s="5" t="inlineStr">
        <is>
          <t>Core system invariant: payments cannot be hard-deleted; reversals create linked reversal vouchers.</t>
        </is>
      </c>
      <c r="M344" s="8" t="inlineStr">
        <is>
          <t>Baseline</t>
        </is>
      </c>
      <c r="N344" s="8" t="inlineStr">
        <is>
          <t>Cross-persona</t>
        </is>
      </c>
      <c r="O344" s="8" t="inlineStr">
        <is>
          <t>P1</t>
        </is>
      </c>
      <c r="P344" s="5" t="inlineStr">
        <is>
          <t>Restored to authored P1. The previous workbook had P0 after a keyword rebalance.</t>
        </is>
      </c>
      <c r="Q344" s="20" t="inlineStr">
        <is>
          <t>Author assertion</t>
        </is>
      </c>
      <c r="R344" s="5" t="inlineStr">
        <is>
          <t>Restored to authored P1. The previous workbook had P0 after a keyword rebalance.</t>
        </is>
      </c>
      <c r="S344" s="8" t="inlineStr">
        <is>
          <t>PAYREC</t>
        </is>
      </c>
      <c r="T344" s="5" t="inlineStr">
        <is>
          <t>Payments and reconciliation</t>
        </is>
      </c>
      <c r="U344" s="8" t="inlineStr"/>
      <c r="V344" s="8" t="inlineStr">
        <is>
          <t>payments</t>
        </is>
      </c>
      <c r="W344" s="8" t="inlineStr">
        <is>
          <t>RUN</t>
        </is>
      </c>
      <c r="X344" s="5" t="inlineStr">
        <is>
          <t>Core</t>
        </is>
      </c>
      <c r="Y344" s="5" t="inlineStr">
        <is>
          <t>Cross-persona</t>
        </is>
      </c>
      <c r="Z344" s="5" t="inlineStr">
        <is>
          <t>High</t>
        </is>
      </c>
      <c r="AA344" s="5" t="inlineStr">
        <is>
          <t>High</t>
        </is>
      </c>
      <c r="AB344" s="8" t="inlineStr">
        <is>
          <t>Low</t>
        </is>
      </c>
      <c r="AC344" s="8" t="inlineStr">
        <is>
          <t>Pilot</t>
        </is>
      </c>
      <c r="AD344" s="5" t="inlineStr">
        <is>
          <t>Not independently checked</t>
        </is>
      </c>
      <c r="AE344" s="5" t="inlineStr">
        <is>
          <t>Not verified</t>
        </is>
      </c>
      <c r="AF344" s="5" t="inlineStr">
        <is>
          <t>Not verified</t>
        </is>
      </c>
      <c r="AG344" s="5" t="inlineStr">
        <is>
          <t>Not verified</t>
        </is>
      </c>
      <c r="AH344" s="5" t="inlineStr">
        <is>
          <t>Not verified</t>
        </is>
      </c>
      <c r="AI344" s="8" t="inlineStr">
        <is>
          <t>No</t>
        </is>
      </c>
      <c r="AJ344" s="8" t="inlineStr">
        <is>
          <t>Claimed - unverified</t>
        </is>
      </c>
      <c r="AK344" s="8" t="inlineStr">
        <is>
          <t>P1</t>
        </is>
      </c>
      <c r="AL344" s="8" t="n">
        <v>9</v>
      </c>
      <c r="AM344" s="5" t="inlineStr"/>
      <c r="AN344" s="5" t="inlineStr"/>
      <c r="AO344" s="5" t="inlineStr"/>
      <c r="AP344" s="5" t="inlineStr"/>
      <c r="AQ344" s="5" t="inlineStr"/>
      <c r="AR344" s="5" t="inlineStr"/>
      <c r="AS344" s="5" t="inlineStr"/>
      <c r="AT344" s="5" t="inlineStr"/>
      <c r="AU344" s="8" t="inlineStr">
        <is>
          <t>Not run</t>
        </is>
      </c>
    </row>
    <row r="345" ht="32" customHeight="1">
      <c r="A345" s="16" t="inlineStr">
        <is>
          <t>X-0344</t>
        </is>
      </c>
      <c r="B345" s="8" t="inlineStr">
        <is>
          <t>X</t>
        </is>
      </c>
      <c r="C345" s="5" t="inlineStr">
        <is>
          <t>Multiple / Cross-persona</t>
        </is>
      </c>
      <c r="D345" s="5" t="inlineStr">
        <is>
          <t>Payments &amp; Reconciliation</t>
        </is>
      </c>
      <c r="E345" s="5" t="inlineStr">
        <is>
          <t>Failed payment → invoice remains appropriately unpaid</t>
        </is>
      </c>
      <c r="F345" s="5" t="inlineStr">
        <is>
          <t>System / Payment Gateway</t>
        </is>
      </c>
      <c r="G345" s="5" t="inlineStr">
        <is>
          <t>Customer / Cashier</t>
        </is>
      </c>
      <c r="H345" s="5" t="inlineStr">
        <is>
          <t>Failed or rejected digital transaction keeps invoice status as UNPAID</t>
        </is>
      </c>
      <c r="I345" s="5" t="inlineStr">
        <is>
          <t>Logs failure event; prevents false invoice settlement; alerts cashier to re-prompt tender</t>
        </is>
      </c>
      <c r="J345" s="20" t="inlineStr">
        <is>
          <t>P1</t>
        </is>
      </c>
      <c r="K345" s="20" t="inlineStr">
        <is>
          <t>Validated (Supported)</t>
        </is>
      </c>
      <c r="L345" s="5" t="inlineStr">
        <is>
          <t>Automated webhook handler; preserves UNPAID status on gateway failure.</t>
        </is>
      </c>
      <c r="M345" s="8" t="inlineStr">
        <is>
          <t>Baseline</t>
        </is>
      </c>
      <c r="N345" s="8" t="inlineStr">
        <is>
          <t>Cross-persona</t>
        </is>
      </c>
      <c r="O345" s="8" t="inlineStr">
        <is>
          <t>P1</t>
        </is>
      </c>
      <c r="P345" s="5" t="inlineStr">
        <is>
          <t>Unchanged</t>
        </is>
      </c>
      <c r="Q345" s="20" t="inlineStr">
        <is>
          <t>Author assertion</t>
        </is>
      </c>
      <c r="R345" s="5" t="inlineStr"/>
      <c r="S345" s="8" t="inlineStr">
        <is>
          <t>PAYREC</t>
        </is>
      </c>
      <c r="T345" s="5" t="inlineStr">
        <is>
          <t>Payments and reconciliation</t>
        </is>
      </c>
      <c r="U345" s="8" t="inlineStr"/>
      <c r="V345" s="8" t="inlineStr">
        <is>
          <t>payments</t>
        </is>
      </c>
      <c r="W345" s="8" t="inlineStr">
        <is>
          <t>RUN</t>
        </is>
      </c>
      <c r="X345" s="5" t="inlineStr">
        <is>
          <t>Core</t>
        </is>
      </c>
      <c r="Y345" s="5" t="inlineStr">
        <is>
          <t>Cross-persona</t>
        </is>
      </c>
      <c r="Z345" s="5" t="inlineStr">
        <is>
          <t>High</t>
        </is>
      </c>
      <c r="AA345" s="5" t="inlineStr">
        <is>
          <t>High</t>
        </is>
      </c>
      <c r="AB345" s="8" t="inlineStr">
        <is>
          <t>Low</t>
        </is>
      </c>
      <c r="AC345" s="8" t="inlineStr">
        <is>
          <t>Pilot</t>
        </is>
      </c>
      <c r="AD345" s="5" t="inlineStr">
        <is>
          <t>Not independently checked</t>
        </is>
      </c>
      <c r="AE345" s="5" t="inlineStr">
        <is>
          <t>Not verified</t>
        </is>
      </c>
      <c r="AF345" s="5" t="inlineStr">
        <is>
          <t>Not verified</t>
        </is>
      </c>
      <c r="AG345" s="5" t="inlineStr">
        <is>
          <t>Not verified</t>
        </is>
      </c>
      <c r="AH345" s="5" t="inlineStr">
        <is>
          <t>Not verified</t>
        </is>
      </c>
      <c r="AI345" s="8" t="inlineStr">
        <is>
          <t>No</t>
        </is>
      </c>
      <c r="AJ345" s="8" t="inlineStr">
        <is>
          <t>Claimed - unverified</t>
        </is>
      </c>
      <c r="AK345" s="8" t="inlineStr">
        <is>
          <t>P1</t>
        </is>
      </c>
      <c r="AL345" s="8" t="n">
        <v>9</v>
      </c>
      <c r="AM345" s="5" t="inlineStr"/>
      <c r="AN345" s="5" t="inlineStr"/>
      <c r="AO345" s="5" t="inlineStr"/>
      <c r="AP345" s="5" t="inlineStr"/>
      <c r="AQ345" s="5" t="inlineStr"/>
      <c r="AR345" s="5" t="inlineStr"/>
      <c r="AS345" s="5" t="inlineStr"/>
      <c r="AT345" s="5" t="inlineStr"/>
      <c r="AU345" s="8" t="inlineStr">
        <is>
          <t>Not run</t>
        </is>
      </c>
    </row>
    <row r="346" ht="32" customHeight="1">
      <c r="A346" s="16" t="inlineStr">
        <is>
          <t>X-0345</t>
        </is>
      </c>
      <c r="B346" s="8" t="inlineStr">
        <is>
          <t>X</t>
        </is>
      </c>
      <c r="C346" s="5" t="inlineStr">
        <is>
          <t>Multiple / Cross-persona</t>
        </is>
      </c>
      <c r="D346" s="5" t="inlineStr">
        <is>
          <t>Payments &amp; Reconciliation</t>
        </is>
      </c>
      <c r="E346" s="5" t="inlineStr">
        <is>
          <t>Partial payment → outstanding remains</t>
        </is>
      </c>
      <c r="F346" s="5" t="inlineStr">
        <is>
          <t>Cashier / Accountant</t>
        </is>
      </c>
      <c r="G346" s="5" t="inlineStr">
        <is>
          <t>Customer</t>
        </is>
      </c>
      <c r="H346" s="5" t="inlineStr">
        <is>
          <t>Partial payments settle a portion of bill while maintaining exact remaining balance</t>
        </is>
      </c>
      <c r="I346" s="5" t="inlineStr">
        <is>
          <t>Maintains remaining unpaid balance on invoice; updates payment status to PARTIALLY_PAID</t>
        </is>
      </c>
      <c r="J346" s="20" t="inlineStr">
        <is>
          <t>P1</t>
        </is>
      </c>
      <c r="K346" s="20" t="inlineStr">
        <is>
          <t>Validated (Supported)</t>
        </is>
      </c>
      <c r="L346" s="5" t="inlineStr">
        <is>
          <t>Supported via PaymentAllocation model tracking exact unpaid balance.</t>
        </is>
      </c>
      <c r="M346" s="8" t="inlineStr">
        <is>
          <t>Baseline</t>
        </is>
      </c>
      <c r="N346" s="8" t="inlineStr">
        <is>
          <t>Cross-persona</t>
        </is>
      </c>
      <c r="O346" s="8" t="inlineStr">
        <is>
          <t>P1</t>
        </is>
      </c>
      <c r="P346" s="5" t="inlineStr">
        <is>
          <t>Unchanged</t>
        </is>
      </c>
      <c r="Q346" s="21" t="inlineStr">
        <is>
          <t>Code symbol found</t>
        </is>
      </c>
      <c r="R346" s="5" t="inlineStr">
        <is>
          <t>Matched PaymentAllocation in product code. This is not a functional test.</t>
        </is>
      </c>
      <c r="S346" s="8" t="inlineStr">
        <is>
          <t>PAYREC</t>
        </is>
      </c>
      <c r="T346" s="5" t="inlineStr">
        <is>
          <t>Payments and reconciliation</t>
        </is>
      </c>
      <c r="U346" s="8" t="inlineStr"/>
      <c r="V346" s="8" t="inlineStr">
        <is>
          <t>payments</t>
        </is>
      </c>
      <c r="W346" s="8" t="inlineStr">
        <is>
          <t>RUN</t>
        </is>
      </c>
      <c r="X346" s="5" t="inlineStr">
        <is>
          <t>Core</t>
        </is>
      </c>
      <c r="Y346" s="5" t="inlineStr">
        <is>
          <t>Cross-persona</t>
        </is>
      </c>
      <c r="Z346" s="5" t="inlineStr">
        <is>
          <t>High</t>
        </is>
      </c>
      <c r="AA346" s="5" t="inlineStr">
        <is>
          <t>High</t>
        </is>
      </c>
      <c r="AB346" s="8" t="inlineStr">
        <is>
          <t>Low</t>
        </is>
      </c>
      <c r="AC346" s="8" t="inlineStr">
        <is>
          <t>Pilot</t>
        </is>
      </c>
      <c r="AD346" s="5" t="inlineStr">
        <is>
          <t>Cited in code</t>
        </is>
      </c>
      <c r="AE346" s="5" t="inlineStr">
        <is>
          <t>Not verified</t>
        </is>
      </c>
      <c r="AF346" s="5" t="inlineStr">
        <is>
          <t>Not verified</t>
        </is>
      </c>
      <c r="AG346" s="5" t="inlineStr">
        <is>
          <t>Not verified</t>
        </is>
      </c>
      <c r="AH346" s="5" t="inlineStr">
        <is>
          <t>Not verified</t>
        </is>
      </c>
      <c r="AI346" s="8" t="inlineStr">
        <is>
          <t>No</t>
        </is>
      </c>
      <c r="AJ346" s="8" t="inlineStr">
        <is>
          <t>Built - unverified</t>
        </is>
      </c>
      <c r="AK346" s="8" t="inlineStr">
        <is>
          <t>P1</t>
        </is>
      </c>
      <c r="AL346" s="8" t="n">
        <v>9</v>
      </c>
      <c r="AM346" s="5" t="inlineStr"/>
      <c r="AN346" s="5" t="inlineStr"/>
      <c r="AO346" s="5" t="inlineStr"/>
      <c r="AP346" s="5" t="inlineStr"/>
      <c r="AQ346" s="5" t="inlineStr"/>
      <c r="AR346" s="5" t="inlineStr"/>
      <c r="AS346" s="5" t="inlineStr"/>
      <c r="AT346" s="5" t="inlineStr"/>
      <c r="AU346" s="8" t="inlineStr">
        <is>
          <t>Not run</t>
        </is>
      </c>
    </row>
    <row r="347" ht="32" customHeight="1">
      <c r="A347" s="16" t="inlineStr">
        <is>
          <t>X-0346</t>
        </is>
      </c>
      <c r="B347" s="8" t="inlineStr">
        <is>
          <t>X</t>
        </is>
      </c>
      <c r="C347" s="5" t="inlineStr">
        <is>
          <t>Multiple / Cross-persona</t>
        </is>
      </c>
      <c r="D347" s="5" t="inlineStr">
        <is>
          <t>Payments &amp; Reconciliation</t>
        </is>
      </c>
      <c r="E347" s="5" t="inlineStr">
        <is>
          <t>Multiple payments → invoice settlement is accurate</t>
        </is>
      </c>
      <c r="F347" s="5" t="inlineStr">
        <is>
          <t>Cashier / Accountant</t>
        </is>
      </c>
      <c r="G347" s="5" t="inlineStr">
        <is>
          <t>Customer</t>
        </is>
      </c>
      <c r="H347" s="5" t="inlineStr">
        <is>
          <t>Invoice paid in multiple installments tracks cumulative receipts accurately until full settlement</t>
        </is>
      </c>
      <c r="I347" s="5" t="inlineStr">
        <is>
          <t>Sums all linked payment allocations; marks invoice PAID only when sum equals invoice total</t>
        </is>
      </c>
      <c r="J347" s="20" t="inlineStr">
        <is>
          <t>P1</t>
        </is>
      </c>
      <c r="K347" s="20" t="inlineStr">
        <is>
          <t>Validated (Supported)</t>
        </is>
      </c>
      <c r="L347" s="5" t="inlineStr">
        <is>
          <t>Core system invariant: invoice marked PAID only when total allocations match grand total.</t>
        </is>
      </c>
      <c r="M347" s="8" t="inlineStr">
        <is>
          <t>Baseline</t>
        </is>
      </c>
      <c r="N347" s="8" t="inlineStr">
        <is>
          <t>Cross-persona</t>
        </is>
      </c>
      <c r="O347" s="8" t="inlineStr">
        <is>
          <t>P1</t>
        </is>
      </c>
      <c r="P347" s="5" t="inlineStr">
        <is>
          <t>Unchanged</t>
        </is>
      </c>
      <c r="Q347" s="20" t="inlineStr">
        <is>
          <t>Author assertion</t>
        </is>
      </c>
      <c r="R347" s="5" t="inlineStr"/>
      <c r="S347" s="8" t="inlineStr">
        <is>
          <t>PAYREC</t>
        </is>
      </c>
      <c r="T347" s="5" t="inlineStr">
        <is>
          <t>Payments and reconciliation</t>
        </is>
      </c>
      <c r="U347" s="8" t="inlineStr"/>
      <c r="V347" s="8" t="inlineStr">
        <is>
          <t>payments</t>
        </is>
      </c>
      <c r="W347" s="8" t="inlineStr">
        <is>
          <t>RUN</t>
        </is>
      </c>
      <c r="X347" s="5" t="inlineStr">
        <is>
          <t>Core</t>
        </is>
      </c>
      <c r="Y347" s="5" t="inlineStr">
        <is>
          <t>Cross-persona</t>
        </is>
      </c>
      <c r="Z347" s="5" t="inlineStr">
        <is>
          <t>High</t>
        </is>
      </c>
      <c r="AA347" s="5" t="inlineStr">
        <is>
          <t>High</t>
        </is>
      </c>
      <c r="AB347" s="8" t="inlineStr">
        <is>
          <t>Low</t>
        </is>
      </c>
      <c r="AC347" s="8" t="inlineStr">
        <is>
          <t>Pilot</t>
        </is>
      </c>
      <c r="AD347" s="5" t="inlineStr">
        <is>
          <t>Not independently checked</t>
        </is>
      </c>
      <c r="AE347" s="5" t="inlineStr">
        <is>
          <t>Not verified</t>
        </is>
      </c>
      <c r="AF347" s="5" t="inlineStr">
        <is>
          <t>Not verified</t>
        </is>
      </c>
      <c r="AG347" s="5" t="inlineStr">
        <is>
          <t>Not verified</t>
        </is>
      </c>
      <c r="AH347" s="5" t="inlineStr">
        <is>
          <t>Not verified</t>
        </is>
      </c>
      <c r="AI347" s="8" t="inlineStr">
        <is>
          <t>No</t>
        </is>
      </c>
      <c r="AJ347" s="8" t="inlineStr">
        <is>
          <t>Claimed - unverified</t>
        </is>
      </c>
      <c r="AK347" s="8" t="inlineStr">
        <is>
          <t>P1</t>
        </is>
      </c>
      <c r="AL347" s="8" t="n">
        <v>9</v>
      </c>
      <c r="AM347" s="5" t="inlineStr"/>
      <c r="AN347" s="5" t="inlineStr"/>
      <c r="AO347" s="5" t="inlineStr"/>
      <c r="AP347" s="5" t="inlineStr"/>
      <c r="AQ347" s="5" t="inlineStr"/>
      <c r="AR347" s="5" t="inlineStr"/>
      <c r="AS347" s="5" t="inlineStr"/>
      <c r="AT347" s="5" t="inlineStr"/>
      <c r="AU347" s="8" t="inlineStr">
        <is>
          <t>Not run</t>
        </is>
      </c>
    </row>
    <row r="348" ht="32" customHeight="1">
      <c r="A348" s="16" t="inlineStr">
        <is>
          <t>X-0347</t>
        </is>
      </c>
      <c r="B348" s="8" t="inlineStr">
        <is>
          <t>X</t>
        </is>
      </c>
      <c r="C348" s="5" t="inlineStr">
        <is>
          <t>Multiple / Cross-persona</t>
        </is>
      </c>
      <c r="D348" s="5" t="inlineStr">
        <is>
          <t>Payments &amp; Reconciliation</t>
        </is>
      </c>
      <c r="E348" s="5" t="inlineStr">
        <is>
          <t>Daily cash closing → expected versus actual cash is compared</t>
        </is>
      </c>
      <c r="F348" s="5" t="inlineStr">
        <is>
          <t>Store Cashier / Owner</t>
        </is>
      </c>
      <c r="G348" s="5" t="inlineStr">
        <is>
          <t>Store Manager</t>
        </is>
      </c>
      <c r="H348" s="5" t="inlineStr">
        <is>
          <t>Daily till reconciliation comparing system expected cash with physical cash in drawer</t>
        </is>
      </c>
      <c r="I348" s="5" t="inlineStr">
        <is>
          <t>Computes expected cash = opening_cash + cash_sales - cash_expenses; compares counted cash</t>
        </is>
      </c>
      <c r="J348" s="20" t="inlineStr">
        <is>
          <t>P1</t>
        </is>
      </c>
      <c r="K348" s="20" t="inlineStr">
        <is>
          <t>Validated (Supported)</t>
        </is>
      </c>
      <c r="L348" s="5" t="inlineStr">
        <is>
          <t>Supported via /pos/shift-close screen with cash breakdown counter.</t>
        </is>
      </c>
      <c r="M348" s="8" t="inlineStr">
        <is>
          <t>Baseline</t>
        </is>
      </c>
      <c r="N348" s="8" t="inlineStr">
        <is>
          <t>Cross-persona</t>
        </is>
      </c>
      <c r="O348" s="8" t="inlineStr">
        <is>
          <t>P1</t>
        </is>
      </c>
      <c r="P348" s="5" t="inlineStr">
        <is>
          <t>Unchanged</t>
        </is>
      </c>
      <c r="Q348" s="20" t="inlineStr">
        <is>
          <t>Author assertion</t>
        </is>
      </c>
      <c r="R348" s="5" t="inlineStr"/>
      <c r="S348" s="8" t="inlineStr">
        <is>
          <t>PAYREC</t>
        </is>
      </c>
      <c r="T348" s="5" t="inlineStr">
        <is>
          <t>Payments and reconciliation</t>
        </is>
      </c>
      <c r="U348" s="8" t="inlineStr"/>
      <c r="V348" s="8" t="inlineStr">
        <is>
          <t>payments</t>
        </is>
      </c>
      <c r="W348" s="8" t="inlineStr">
        <is>
          <t>RUN</t>
        </is>
      </c>
      <c r="X348" s="5" t="inlineStr">
        <is>
          <t>Core</t>
        </is>
      </c>
      <c r="Y348" s="5" t="inlineStr">
        <is>
          <t>Cross-persona</t>
        </is>
      </c>
      <c r="Z348" s="5" t="inlineStr">
        <is>
          <t>High</t>
        </is>
      </c>
      <c r="AA348" s="5" t="inlineStr">
        <is>
          <t>High</t>
        </is>
      </c>
      <c r="AB348" s="8" t="inlineStr">
        <is>
          <t>Low</t>
        </is>
      </c>
      <c r="AC348" s="8" t="inlineStr">
        <is>
          <t>Pilot</t>
        </is>
      </c>
      <c r="AD348" s="5" t="inlineStr">
        <is>
          <t>Not independently checked</t>
        </is>
      </c>
      <c r="AE348" s="5" t="inlineStr">
        <is>
          <t>Not verified</t>
        </is>
      </c>
      <c r="AF348" s="5" t="inlineStr">
        <is>
          <t>Not verified</t>
        </is>
      </c>
      <c r="AG348" s="5" t="inlineStr">
        <is>
          <t>Not verified</t>
        </is>
      </c>
      <c r="AH348" s="5" t="inlineStr">
        <is>
          <t>Not verified</t>
        </is>
      </c>
      <c r="AI348" s="8" t="inlineStr">
        <is>
          <t>No</t>
        </is>
      </c>
      <c r="AJ348" s="8" t="inlineStr">
        <is>
          <t>Claimed - unverified</t>
        </is>
      </c>
      <c r="AK348" s="8" t="inlineStr">
        <is>
          <t>P1</t>
        </is>
      </c>
      <c r="AL348" s="8" t="n">
        <v>9</v>
      </c>
      <c r="AM348" s="5" t="inlineStr"/>
      <c r="AN348" s="5" t="inlineStr"/>
      <c r="AO348" s="5" t="inlineStr"/>
      <c r="AP348" s="5" t="inlineStr"/>
      <c r="AQ348" s="5" t="inlineStr"/>
      <c r="AR348" s="5" t="inlineStr"/>
      <c r="AS348" s="5" t="inlineStr"/>
      <c r="AT348" s="5" t="inlineStr"/>
      <c r="AU348" s="8" t="inlineStr">
        <is>
          <t>Not run</t>
        </is>
      </c>
    </row>
    <row r="349" ht="32" customHeight="1">
      <c r="A349" s="16" t="inlineStr">
        <is>
          <t>X-0348</t>
        </is>
      </c>
      <c r="B349" s="8" t="inlineStr">
        <is>
          <t>X</t>
        </is>
      </c>
      <c r="C349" s="5" t="inlineStr">
        <is>
          <t>Multiple / Cross-persona</t>
        </is>
      </c>
      <c r="D349" s="5" t="inlineStr">
        <is>
          <t>Payments &amp; Reconciliation</t>
        </is>
      </c>
      <c r="E349" s="5" t="inlineStr">
        <is>
          <t>Cash discrepancy → variance is recorded</t>
        </is>
      </c>
      <c r="F349" s="5" t="inlineStr">
        <is>
          <t>Store Manager / Owner</t>
        </is>
      </c>
      <c r="G349" s="5" t="inlineStr">
        <is>
          <t>Cashier</t>
        </is>
      </c>
      <c r="H349" s="5" t="inlineStr">
        <is>
          <t>Cash shortage or overage recorded as variance voucher for managerial investigation</t>
        </is>
      </c>
      <c r="I349" s="5" t="inlineStr">
        <is>
          <t>Posts variance to Cash Shortage/Overage expense account; flags shift for manager sign-off</t>
        </is>
      </c>
      <c r="J349" s="20" t="inlineStr">
        <is>
          <t>P1</t>
        </is>
      </c>
      <c r="K349" s="20" t="inlineStr">
        <is>
          <t>Validated (Supported)</t>
        </is>
      </c>
      <c r="L349" s="5" t="inlineStr">
        <is>
          <t>Supported via Shift Close variance logging with mandatory explanation note.</t>
        </is>
      </c>
      <c r="M349" s="8" t="inlineStr">
        <is>
          <t>Baseline</t>
        </is>
      </c>
      <c r="N349" s="8" t="inlineStr">
        <is>
          <t>Cross-persona</t>
        </is>
      </c>
      <c r="O349" s="8" t="inlineStr">
        <is>
          <t>P1</t>
        </is>
      </c>
      <c r="P349" s="5" t="inlineStr">
        <is>
          <t>Unchanged</t>
        </is>
      </c>
      <c r="Q349" s="20" t="inlineStr">
        <is>
          <t>Author assertion</t>
        </is>
      </c>
      <c r="R349" s="5" t="inlineStr"/>
      <c r="S349" s="8" t="inlineStr">
        <is>
          <t>PAYREC</t>
        </is>
      </c>
      <c r="T349" s="5" t="inlineStr">
        <is>
          <t>Payments and reconciliation</t>
        </is>
      </c>
      <c r="U349" s="8" t="inlineStr"/>
      <c r="V349" s="8" t="inlineStr">
        <is>
          <t>payments</t>
        </is>
      </c>
      <c r="W349" s="8" t="inlineStr">
        <is>
          <t>RUN</t>
        </is>
      </c>
      <c r="X349" s="5" t="inlineStr">
        <is>
          <t>Core</t>
        </is>
      </c>
      <c r="Y349" s="5" t="inlineStr">
        <is>
          <t>Cross-persona</t>
        </is>
      </c>
      <c r="Z349" s="5" t="inlineStr">
        <is>
          <t>High</t>
        </is>
      </c>
      <c r="AA349" s="5" t="inlineStr">
        <is>
          <t>High</t>
        </is>
      </c>
      <c r="AB349" s="8" t="inlineStr">
        <is>
          <t>Low</t>
        </is>
      </c>
      <c r="AC349" s="8" t="inlineStr">
        <is>
          <t>Pilot</t>
        </is>
      </c>
      <c r="AD349" s="5" t="inlineStr">
        <is>
          <t>Not independently checked</t>
        </is>
      </c>
      <c r="AE349" s="5" t="inlineStr">
        <is>
          <t>Not verified</t>
        </is>
      </c>
      <c r="AF349" s="5" t="inlineStr">
        <is>
          <t>Not verified</t>
        </is>
      </c>
      <c r="AG349" s="5" t="inlineStr">
        <is>
          <t>Not verified</t>
        </is>
      </c>
      <c r="AH349" s="5" t="inlineStr">
        <is>
          <t>Not verified</t>
        </is>
      </c>
      <c r="AI349" s="8" t="inlineStr">
        <is>
          <t>No</t>
        </is>
      </c>
      <c r="AJ349" s="8" t="inlineStr">
        <is>
          <t>Claimed - unverified</t>
        </is>
      </c>
      <c r="AK349" s="8" t="inlineStr">
        <is>
          <t>P1</t>
        </is>
      </c>
      <c r="AL349" s="8" t="n">
        <v>9</v>
      </c>
      <c r="AM349" s="5" t="inlineStr"/>
      <c r="AN349" s="5" t="inlineStr"/>
      <c r="AO349" s="5" t="inlineStr"/>
      <c r="AP349" s="5" t="inlineStr"/>
      <c r="AQ349" s="5" t="inlineStr"/>
      <c r="AR349" s="5" t="inlineStr"/>
      <c r="AS349" s="5" t="inlineStr"/>
      <c r="AT349" s="5" t="inlineStr"/>
      <c r="AU349" s="8" t="inlineStr">
        <is>
          <t>Not run</t>
        </is>
      </c>
    </row>
    <row r="350" ht="32" customHeight="1">
      <c r="A350" s="16" t="inlineStr">
        <is>
          <t>X-0349</t>
        </is>
      </c>
      <c r="B350" s="8" t="inlineStr">
        <is>
          <t>X</t>
        </is>
      </c>
      <c r="C350" s="5" t="inlineStr">
        <is>
          <t>Multiple / Cross-persona</t>
        </is>
      </c>
      <c r="D350" s="5" t="inlineStr">
        <is>
          <t>Payments &amp; Reconciliation</t>
        </is>
      </c>
      <c r="E350" s="5" t="inlineStr">
        <is>
          <t>Bank reconciliation → unmatched transactions are identified</t>
        </is>
      </c>
      <c r="F350" s="5" t="inlineStr">
        <is>
          <t>In-house Accountant</t>
        </is>
      </c>
      <c r="G350" s="5" t="inlineStr">
        <is>
          <t>Bank / Auditor</t>
        </is>
      </c>
      <c r="H350" s="5" t="inlineStr">
        <is>
          <t>Bank reconciliation statement (BRS) matching system bank ledger against bank statement feed</t>
        </is>
      </c>
      <c r="I350" s="5" t="inlineStr">
        <is>
          <t>Matches debit and credit entries; highlights cheques issued but not presented, or direct debits</t>
        </is>
      </c>
      <c r="J350" s="20" t="inlineStr">
        <is>
          <t>P1</t>
        </is>
      </c>
      <c r="K350" s="20" t="inlineStr">
        <is>
          <t>Validated (Supported)</t>
        </is>
      </c>
      <c r="L350" s="5" t="inlineStr">
        <is>
          <t>Supported via /accounting/bank-reconciliation/ with automated date-amount matching.</t>
        </is>
      </c>
      <c r="M350" s="8" t="inlineStr">
        <is>
          <t>Baseline</t>
        </is>
      </c>
      <c r="N350" s="8" t="inlineStr">
        <is>
          <t>Cross-persona</t>
        </is>
      </c>
      <c r="O350" s="8" t="inlineStr">
        <is>
          <t>P1</t>
        </is>
      </c>
      <c r="P350" s="5" t="inlineStr">
        <is>
          <t>Unchanged</t>
        </is>
      </c>
      <c r="Q350" s="20" t="inlineStr">
        <is>
          <t>Author assertion</t>
        </is>
      </c>
      <c r="R350" s="5" t="inlineStr"/>
      <c r="S350" s="8" t="inlineStr">
        <is>
          <t>PAYREC</t>
        </is>
      </c>
      <c r="T350" s="5" t="inlineStr">
        <is>
          <t>Payments and reconciliation</t>
        </is>
      </c>
      <c r="U350" s="8" t="inlineStr"/>
      <c r="V350" s="8" t="inlineStr">
        <is>
          <t>payments</t>
        </is>
      </c>
      <c r="W350" s="8" t="inlineStr">
        <is>
          <t>RUN</t>
        </is>
      </c>
      <c r="X350" s="5" t="inlineStr">
        <is>
          <t>Core</t>
        </is>
      </c>
      <c r="Y350" s="5" t="inlineStr">
        <is>
          <t>Cross-persona</t>
        </is>
      </c>
      <c r="Z350" s="5" t="inlineStr">
        <is>
          <t>High</t>
        </is>
      </c>
      <c r="AA350" s="5" t="inlineStr">
        <is>
          <t>High</t>
        </is>
      </c>
      <c r="AB350" s="8" t="inlineStr">
        <is>
          <t>Low</t>
        </is>
      </c>
      <c r="AC350" s="8" t="inlineStr">
        <is>
          <t>Pilot</t>
        </is>
      </c>
      <c r="AD350" s="5" t="inlineStr">
        <is>
          <t>Not independently checked</t>
        </is>
      </c>
      <c r="AE350" s="5" t="inlineStr">
        <is>
          <t>Not verified</t>
        </is>
      </c>
      <c r="AF350" s="5" t="inlineStr">
        <is>
          <t>Not verified</t>
        </is>
      </c>
      <c r="AG350" s="5" t="inlineStr">
        <is>
          <t>Not verified</t>
        </is>
      </c>
      <c r="AH350" s="5" t="inlineStr">
        <is>
          <t>Not verified</t>
        </is>
      </c>
      <c r="AI350" s="8" t="inlineStr">
        <is>
          <t>No</t>
        </is>
      </c>
      <c r="AJ350" s="8" t="inlineStr">
        <is>
          <t>Claimed - unverified</t>
        </is>
      </c>
      <c r="AK350" s="8" t="inlineStr">
        <is>
          <t>P1</t>
        </is>
      </c>
      <c r="AL350" s="8" t="n">
        <v>9</v>
      </c>
      <c r="AM350" s="5" t="inlineStr"/>
      <c r="AN350" s="5" t="inlineStr"/>
      <c r="AO350" s="5" t="inlineStr"/>
      <c r="AP350" s="5" t="inlineStr"/>
      <c r="AQ350" s="5" t="inlineStr"/>
      <c r="AR350" s="5" t="inlineStr"/>
      <c r="AS350" s="5" t="inlineStr"/>
      <c r="AT350" s="5" t="inlineStr"/>
      <c r="AU350" s="8" t="inlineStr">
        <is>
          <t>Not run</t>
        </is>
      </c>
    </row>
    <row r="351" ht="32" customHeight="1">
      <c r="A351" s="16" t="inlineStr">
        <is>
          <t>X-0350</t>
        </is>
      </c>
      <c r="B351" s="8" t="inlineStr">
        <is>
          <t>X</t>
        </is>
      </c>
      <c r="C351" s="5" t="inlineStr">
        <is>
          <t>Multiple / Cross-persona</t>
        </is>
      </c>
      <c r="D351" s="5" t="inlineStr">
        <is>
          <t>Payments &amp; Reconciliation</t>
        </is>
      </c>
      <c r="E351" s="5" t="inlineStr">
        <is>
          <t>Payment reconciliation → business ledger matches payment records</t>
        </is>
      </c>
      <c r="F351" s="5" t="inlineStr">
        <is>
          <t>In-house Accountant</t>
        </is>
      </c>
      <c r="G351" s="5" t="inlineStr">
        <is>
          <t>Auditor</t>
        </is>
      </c>
      <c r="H351" s="5" t="inlineStr">
        <is>
          <t>Verify that payment gateway settlement reports match bank deposits to the rupee</t>
        </is>
      </c>
      <c r="I351" s="5" t="inlineStr">
        <is>
          <t>Reconciles gross gateway collections minus processing fees against net bank account credits</t>
        </is>
      </c>
      <c r="J351" s="20" t="inlineStr">
        <is>
          <t>P1</t>
        </is>
      </c>
      <c r="K351" s="20" t="inlineStr">
        <is>
          <t>Validated (Supported)</t>
        </is>
      </c>
      <c r="L351" s="5" t="inlineStr">
        <is>
          <t>Supported via Gateway Settlement Reconciliation tool.</t>
        </is>
      </c>
      <c r="M351" s="8" t="inlineStr">
        <is>
          <t>Baseline</t>
        </is>
      </c>
      <c r="N351" s="8" t="inlineStr">
        <is>
          <t>Cross-persona</t>
        </is>
      </c>
      <c r="O351" s="8" t="inlineStr">
        <is>
          <t>P1</t>
        </is>
      </c>
      <c r="P351" s="5" t="inlineStr">
        <is>
          <t>Unchanged</t>
        </is>
      </c>
      <c r="Q351" s="20" t="inlineStr">
        <is>
          <t>Author assertion</t>
        </is>
      </c>
      <c r="R351" s="5" t="inlineStr"/>
      <c r="S351" s="8" t="inlineStr">
        <is>
          <t>PAYREC</t>
        </is>
      </c>
      <c r="T351" s="5" t="inlineStr">
        <is>
          <t>Payments and reconciliation</t>
        </is>
      </c>
      <c r="U351" s="8" t="inlineStr"/>
      <c r="V351" s="8" t="inlineStr">
        <is>
          <t>payments</t>
        </is>
      </c>
      <c r="W351" s="8" t="inlineStr">
        <is>
          <t>RUN</t>
        </is>
      </c>
      <c r="X351" s="5" t="inlineStr">
        <is>
          <t>Core</t>
        </is>
      </c>
      <c r="Y351" s="5" t="inlineStr">
        <is>
          <t>Cross-persona</t>
        </is>
      </c>
      <c r="Z351" s="5" t="inlineStr">
        <is>
          <t>High</t>
        </is>
      </c>
      <c r="AA351" s="5" t="inlineStr">
        <is>
          <t>High</t>
        </is>
      </c>
      <c r="AB351" s="8" t="inlineStr">
        <is>
          <t>Low</t>
        </is>
      </c>
      <c r="AC351" s="8" t="inlineStr">
        <is>
          <t>Pilot</t>
        </is>
      </c>
      <c r="AD351" s="5" t="inlineStr">
        <is>
          <t>Not independently checked</t>
        </is>
      </c>
      <c r="AE351" s="5" t="inlineStr">
        <is>
          <t>Not verified</t>
        </is>
      </c>
      <c r="AF351" s="5" t="inlineStr">
        <is>
          <t>Not verified</t>
        </is>
      </c>
      <c r="AG351" s="5" t="inlineStr">
        <is>
          <t>Not verified</t>
        </is>
      </c>
      <c r="AH351" s="5" t="inlineStr">
        <is>
          <t>Not verified</t>
        </is>
      </c>
      <c r="AI351" s="8" t="inlineStr">
        <is>
          <t>No</t>
        </is>
      </c>
      <c r="AJ351" s="8" t="inlineStr">
        <is>
          <t>Claimed - unverified</t>
        </is>
      </c>
      <c r="AK351" s="8" t="inlineStr">
        <is>
          <t>P1</t>
        </is>
      </c>
      <c r="AL351" s="8" t="n">
        <v>9</v>
      </c>
      <c r="AM351" s="5" t="inlineStr"/>
      <c r="AN351" s="5" t="inlineStr"/>
      <c r="AO351" s="5" t="inlineStr"/>
      <c r="AP351" s="5" t="inlineStr"/>
      <c r="AQ351" s="5" t="inlineStr"/>
      <c r="AR351" s="5" t="inlineStr"/>
      <c r="AS351" s="5" t="inlineStr"/>
      <c r="AT351" s="5" t="inlineStr"/>
      <c r="AU351" s="8" t="inlineStr">
        <is>
          <t>Not run</t>
        </is>
      </c>
    </row>
    <row r="352" ht="32" customHeight="1">
      <c r="A352" s="16" t="inlineStr">
        <is>
          <t>X-0351</t>
        </is>
      </c>
      <c r="B352" s="8" t="inlineStr">
        <is>
          <t>X</t>
        </is>
      </c>
      <c r="C352" s="5" t="inlineStr">
        <is>
          <t>Multiple / Cross-persona</t>
        </is>
      </c>
      <c r="D352" s="5" t="inlineStr">
        <is>
          <t>Payments &amp; Reconciliation</t>
        </is>
      </c>
      <c r="E352" s="5" t="inlineStr">
        <is>
          <t>Owner reviews cash position</t>
        </is>
      </c>
      <c r="F352" s="5" t="inlineStr">
        <is>
          <t>Reporting &amp; Business Intelligence</t>
        </is>
      </c>
      <c r="G352" s="5" t="inlineStr">
        <is>
          <t>Business Owner</t>
        </is>
      </c>
      <c r="H352" s="5" t="inlineStr">
        <is>
          <t>Owner checks liquid cash and bank balances across all company accounts on demand</t>
        </is>
      </c>
      <c r="I352" s="5" t="inlineStr">
        <is>
          <t>Displays real-time balances of Cash-in-Hand, Current Accounts, and Digital Wallets</t>
        </is>
      </c>
      <c r="J352" s="20" t="inlineStr">
        <is>
          <t>P1</t>
        </is>
      </c>
      <c r="K352" s="20" t="inlineStr">
        <is>
          <t>Validated (Supported)</t>
        </is>
      </c>
      <c r="L352" s="5" t="inlineStr">
        <is>
          <t>Supported via Cash &amp; Bank Summary card on Owner Home Screen.</t>
        </is>
      </c>
      <c r="M352" s="8" t="inlineStr">
        <is>
          <t>Baseline</t>
        </is>
      </c>
      <c r="N352" s="8" t="inlineStr">
        <is>
          <t>Cross-persona</t>
        </is>
      </c>
      <c r="O352" s="8" t="inlineStr">
        <is>
          <t>P1</t>
        </is>
      </c>
      <c r="P352" s="5" t="inlineStr">
        <is>
          <t>Unchanged</t>
        </is>
      </c>
      <c r="Q352" s="20" t="inlineStr">
        <is>
          <t>Author assertion</t>
        </is>
      </c>
      <c r="R352" s="5" t="inlineStr"/>
      <c r="S352" s="8" t="inlineStr">
        <is>
          <t>PAYREC</t>
        </is>
      </c>
      <c r="T352" s="5" t="inlineStr">
        <is>
          <t>Payments and reconciliation</t>
        </is>
      </c>
      <c r="U352" s="8" t="inlineStr"/>
      <c r="V352" s="8" t="inlineStr">
        <is>
          <t>payments</t>
        </is>
      </c>
      <c r="W352" s="8" t="inlineStr">
        <is>
          <t>RUN</t>
        </is>
      </c>
      <c r="X352" s="5" t="inlineStr">
        <is>
          <t>Core</t>
        </is>
      </c>
      <c r="Y352" s="5" t="inlineStr">
        <is>
          <t>Cross-persona</t>
        </is>
      </c>
      <c r="Z352" s="5" t="inlineStr">
        <is>
          <t>High</t>
        </is>
      </c>
      <c r="AA352" s="5" t="inlineStr">
        <is>
          <t>High</t>
        </is>
      </c>
      <c r="AB352" s="8" t="inlineStr">
        <is>
          <t>Low</t>
        </is>
      </c>
      <c r="AC352" s="8" t="inlineStr">
        <is>
          <t>Pilot</t>
        </is>
      </c>
      <c r="AD352" s="5" t="inlineStr">
        <is>
          <t>Not independently checked</t>
        </is>
      </c>
      <c r="AE352" s="5" t="inlineStr">
        <is>
          <t>Not verified</t>
        </is>
      </c>
      <c r="AF352" s="5" t="inlineStr">
        <is>
          <t>Not verified</t>
        </is>
      </c>
      <c r="AG352" s="5" t="inlineStr">
        <is>
          <t>Not verified</t>
        </is>
      </c>
      <c r="AH352" s="5" t="inlineStr">
        <is>
          <t>Not verified</t>
        </is>
      </c>
      <c r="AI352" s="8" t="inlineStr">
        <is>
          <t>No</t>
        </is>
      </c>
      <c r="AJ352" s="8" t="inlineStr">
        <is>
          <t>Claimed - unverified</t>
        </is>
      </c>
      <c r="AK352" s="8" t="inlineStr">
        <is>
          <t>P1</t>
        </is>
      </c>
      <c r="AL352" s="8" t="n">
        <v>9</v>
      </c>
      <c r="AM352" s="5" t="inlineStr"/>
      <c r="AN352" s="5" t="inlineStr"/>
      <c r="AO352" s="5" t="inlineStr"/>
      <c r="AP352" s="5" t="inlineStr"/>
      <c r="AQ352" s="5" t="inlineStr"/>
      <c r="AR352" s="5" t="inlineStr"/>
      <c r="AS352" s="5" t="inlineStr"/>
      <c r="AT352" s="5" t="inlineStr"/>
      <c r="AU352" s="8" t="inlineStr">
        <is>
          <t>Not run</t>
        </is>
      </c>
    </row>
    <row r="353" ht="32" customHeight="1">
      <c r="A353" s="16" t="inlineStr">
        <is>
          <t>X-0352</t>
        </is>
      </c>
      <c r="B353" s="8" t="inlineStr">
        <is>
          <t>X</t>
        </is>
      </c>
      <c r="C353" s="5" t="inlineStr">
        <is>
          <t>Multiple / Cross-persona</t>
        </is>
      </c>
      <c r="D353" s="5" t="inlineStr">
        <is>
          <t>Payments &amp; Reconciliation</t>
        </is>
      </c>
      <c r="E353" s="5" t="inlineStr">
        <is>
          <t>Owner drills cash balance into transactions</t>
        </is>
      </c>
      <c r="F353" s="5" t="inlineStr">
        <is>
          <t>Reporting &amp; Business Intelligence</t>
        </is>
      </c>
      <c r="G353" s="5" t="inlineStr">
        <is>
          <t>Business Owner</t>
        </is>
      </c>
      <c r="H353" s="5" t="inlineStr">
        <is>
          <t>Owner clicks cash balance to view all inflows and outflows for the day or week</t>
        </is>
      </c>
      <c r="I353" s="5" t="inlineStr">
        <is>
          <t>Opens Cash Book ledger showing chronological receipts, payments, and running cash balance</t>
        </is>
      </c>
      <c r="J353" s="20" t="inlineStr">
        <is>
          <t>P1</t>
        </is>
      </c>
      <c r="K353" s="20" t="inlineStr">
        <is>
          <t>Validated (Supported)</t>
        </is>
      </c>
      <c r="L353" s="5" t="inlineStr">
        <is>
          <t>Supported via Cash Book ledger drill-down (/accounting/cash-book/).</t>
        </is>
      </c>
      <c r="M353" s="8" t="inlineStr">
        <is>
          <t>Baseline</t>
        </is>
      </c>
      <c r="N353" s="8" t="inlineStr">
        <is>
          <t>Cross-persona</t>
        </is>
      </c>
      <c r="O353" s="8" t="inlineStr">
        <is>
          <t>P1</t>
        </is>
      </c>
      <c r="P353" s="5" t="inlineStr">
        <is>
          <t>Unchanged</t>
        </is>
      </c>
      <c r="Q353" s="20" t="inlineStr">
        <is>
          <t>Author assertion</t>
        </is>
      </c>
      <c r="R353" s="5" t="inlineStr"/>
      <c r="S353" s="8" t="inlineStr">
        <is>
          <t>PAYREC</t>
        </is>
      </c>
      <c r="T353" s="5" t="inlineStr">
        <is>
          <t>Payments and reconciliation</t>
        </is>
      </c>
      <c r="U353" s="8" t="inlineStr"/>
      <c r="V353" s="8" t="inlineStr">
        <is>
          <t>payments</t>
        </is>
      </c>
      <c r="W353" s="8" t="inlineStr">
        <is>
          <t>RUN</t>
        </is>
      </c>
      <c r="X353" s="5" t="inlineStr">
        <is>
          <t>Core</t>
        </is>
      </c>
      <c r="Y353" s="5" t="inlineStr">
        <is>
          <t>Cross-persona</t>
        </is>
      </c>
      <c r="Z353" s="5" t="inlineStr">
        <is>
          <t>High</t>
        </is>
      </c>
      <c r="AA353" s="5" t="inlineStr">
        <is>
          <t>High</t>
        </is>
      </c>
      <c r="AB353" s="8" t="inlineStr">
        <is>
          <t>Low</t>
        </is>
      </c>
      <c r="AC353" s="8" t="inlineStr">
        <is>
          <t>Pilot</t>
        </is>
      </c>
      <c r="AD353" s="5" t="inlineStr">
        <is>
          <t>Not independently checked</t>
        </is>
      </c>
      <c r="AE353" s="5" t="inlineStr">
        <is>
          <t>Not verified</t>
        </is>
      </c>
      <c r="AF353" s="5" t="inlineStr">
        <is>
          <t>Not verified</t>
        </is>
      </c>
      <c r="AG353" s="5" t="inlineStr">
        <is>
          <t>Not verified</t>
        </is>
      </c>
      <c r="AH353" s="5" t="inlineStr">
        <is>
          <t>Not verified</t>
        </is>
      </c>
      <c r="AI353" s="8" t="inlineStr">
        <is>
          <t>No</t>
        </is>
      </c>
      <c r="AJ353" s="8" t="inlineStr">
        <is>
          <t>Claimed - unverified</t>
        </is>
      </c>
      <c r="AK353" s="8" t="inlineStr">
        <is>
          <t>P1</t>
        </is>
      </c>
      <c r="AL353" s="8" t="n">
        <v>9</v>
      </c>
      <c r="AM353" s="5" t="inlineStr"/>
      <c r="AN353" s="5" t="inlineStr"/>
      <c r="AO353" s="5" t="inlineStr"/>
      <c r="AP353" s="5" t="inlineStr"/>
      <c r="AQ353" s="5" t="inlineStr"/>
      <c r="AR353" s="5" t="inlineStr"/>
      <c r="AS353" s="5" t="inlineStr"/>
      <c r="AT353" s="5" t="inlineStr"/>
      <c r="AU353" s="8" t="inlineStr">
        <is>
          <t>Not run</t>
        </is>
      </c>
    </row>
    <row r="354" ht="32" customHeight="1">
      <c r="A354" s="16" t="inlineStr">
        <is>
          <t>X-0353</t>
        </is>
      </c>
      <c r="B354" s="8" t="inlineStr">
        <is>
          <t>X</t>
        </is>
      </c>
      <c r="C354" s="5" t="inlineStr">
        <is>
          <t>Multiple / Cross-persona</t>
        </is>
      </c>
      <c r="D354" s="5" t="inlineStr">
        <is>
          <t>Sales / CRM / Customer Lifecycle</t>
        </is>
      </c>
      <c r="E354" s="5" t="inlineStr">
        <is>
          <t>Create new customer</t>
        </is>
      </c>
      <c r="F354" s="5" t="inlineStr">
        <is>
          <t>Sales Staff / Billing Clerk</t>
        </is>
      </c>
      <c r="G354" s="5" t="inlineStr">
        <is>
          <t>Customer</t>
        </is>
      </c>
      <c r="H354" s="5" t="inlineStr">
        <is>
          <t>Register new retail or wholesale customer with name, mobile, GSTIN, and address</t>
        </is>
      </c>
      <c r="I354" s="5" t="inlineStr">
        <is>
          <t>Creates Customer master record; validates GSTIN checksum and assigns default price list</t>
        </is>
      </c>
      <c r="J354" s="20" t="inlineStr">
        <is>
          <t>P1</t>
        </is>
      </c>
      <c r="K354" s="20" t="inlineStr">
        <is>
          <t>Validated (Supported)</t>
        </is>
      </c>
      <c r="L354" s="5" t="inlineStr">
        <is>
          <t>Supported via /sales/customers/create and POS quick-customer modal.</t>
        </is>
      </c>
      <c r="M354" s="8" t="inlineStr">
        <is>
          <t>Baseline</t>
        </is>
      </c>
      <c r="N354" s="8" t="inlineStr">
        <is>
          <t>Cross-persona</t>
        </is>
      </c>
      <c r="O354" s="8" t="inlineStr">
        <is>
          <t>P1</t>
        </is>
      </c>
      <c r="P354" s="5" t="inlineStr">
        <is>
          <t>Unchanged</t>
        </is>
      </c>
      <c r="Q354" s="20" t="inlineStr">
        <is>
          <t>Author assertion</t>
        </is>
      </c>
      <c r="R354" s="5" t="inlineStr"/>
      <c r="S354" s="8" t="inlineStr">
        <is>
          <t>CRM</t>
        </is>
      </c>
      <c r="T354" s="5" t="inlineStr">
        <is>
          <t>Sales and CRM lifecycle</t>
        </is>
      </c>
      <c r="U354" s="8" t="inlineStr"/>
      <c r="V354" s="8" t="inlineStr">
        <is>
          <t>crm</t>
        </is>
      </c>
      <c r="W354" s="8" t="inlineStr">
        <is>
          <t>GROW</t>
        </is>
      </c>
      <c r="X354" s="5" t="inlineStr">
        <is>
          <t>Core</t>
        </is>
      </c>
      <c r="Y354" s="5" t="inlineStr">
        <is>
          <t>Cross-persona</t>
        </is>
      </c>
      <c r="Z354" s="5" t="inlineStr">
        <is>
          <t>Medium</t>
        </is>
      </c>
      <c r="AA354" s="5" t="inlineStr">
        <is>
          <t>Medium</t>
        </is>
      </c>
      <c r="AB354" s="8" t="inlineStr">
        <is>
          <t>Low</t>
        </is>
      </c>
      <c r="AC354" s="8" t="inlineStr">
        <is>
          <t>Later</t>
        </is>
      </c>
      <c r="AD354" s="5" t="inlineStr">
        <is>
          <t>Not independently checked</t>
        </is>
      </c>
      <c r="AE354" s="5" t="inlineStr">
        <is>
          <t>Not verified</t>
        </is>
      </c>
      <c r="AF354" s="5" t="inlineStr">
        <is>
          <t>Not verified</t>
        </is>
      </c>
      <c r="AG354" s="5" t="inlineStr">
        <is>
          <t>Not verified</t>
        </is>
      </c>
      <c r="AH354" s="5" t="inlineStr">
        <is>
          <t>Not verified</t>
        </is>
      </c>
      <c r="AI354" s="8" t="inlineStr">
        <is>
          <t>No</t>
        </is>
      </c>
      <c r="AJ354" s="8" t="inlineStr">
        <is>
          <t>Claimed - unverified</t>
        </is>
      </c>
      <c r="AK354" s="8" t="inlineStr">
        <is>
          <t>P1</t>
        </is>
      </c>
      <c r="AL354" s="8" t="n">
        <v>6</v>
      </c>
      <c r="AM354" s="5" t="inlineStr"/>
      <c r="AN354" s="5" t="inlineStr"/>
      <c r="AO354" s="5" t="inlineStr"/>
      <c r="AP354" s="5" t="inlineStr"/>
      <c r="AQ354" s="5" t="inlineStr"/>
      <c r="AR354" s="5" t="inlineStr"/>
      <c r="AS354" s="5" t="inlineStr"/>
      <c r="AT354" s="5" t="inlineStr"/>
      <c r="AU354" s="8" t="inlineStr">
        <is>
          <t>Not run</t>
        </is>
      </c>
    </row>
    <row r="355" ht="32" customHeight="1">
      <c r="A355" s="16" t="inlineStr">
        <is>
          <t>X-0354</t>
        </is>
      </c>
      <c r="B355" s="8" t="inlineStr">
        <is>
          <t>X</t>
        </is>
      </c>
      <c r="C355" s="5" t="inlineStr">
        <is>
          <t>Multiple / Cross-persona</t>
        </is>
      </c>
      <c r="D355" s="5" t="inlineStr">
        <is>
          <t>Sales / CRM / Customer Lifecycle</t>
        </is>
      </c>
      <c r="E355" s="5" t="inlineStr">
        <is>
          <t>Update customer profile</t>
        </is>
      </c>
      <c r="F355" s="5" t="inlineStr">
        <is>
          <t>Sales Staff / Admin</t>
        </is>
      </c>
      <c r="G355" s="5" t="inlineStr">
        <is>
          <t>Customer</t>
        </is>
      </c>
      <c r="H355" s="5" t="inlineStr">
        <is>
          <t>Update customer contact info, billing/shipping address, or credit limit</t>
        </is>
      </c>
      <c r="I355" s="5" t="inlineStr">
        <is>
          <t>Updates Customer master record; preserves historical invoice association</t>
        </is>
      </c>
      <c r="J355" s="20" t="inlineStr">
        <is>
          <t>P1</t>
        </is>
      </c>
      <c r="K355" s="20" t="inlineStr">
        <is>
          <t>Validated (Supported)</t>
        </is>
      </c>
      <c r="L355" s="5" t="inlineStr">
        <is>
          <t>Supported via /sales/customers/{id}/edit.</t>
        </is>
      </c>
      <c r="M355" s="8" t="inlineStr">
        <is>
          <t>Baseline</t>
        </is>
      </c>
      <c r="N355" s="8" t="inlineStr">
        <is>
          <t>Cross-persona</t>
        </is>
      </c>
      <c r="O355" s="8" t="inlineStr">
        <is>
          <t>P1</t>
        </is>
      </c>
      <c r="P355" s="5" t="inlineStr">
        <is>
          <t>Restored to authored P1. The previous workbook had P0 after a keyword rebalance.</t>
        </is>
      </c>
      <c r="Q355" s="20" t="inlineStr">
        <is>
          <t>Author assertion</t>
        </is>
      </c>
      <c r="R355" s="5" t="inlineStr">
        <is>
          <t>Restored to authored P1. The previous workbook had P0 after a keyword rebalance.</t>
        </is>
      </c>
      <c r="S355" s="8" t="inlineStr">
        <is>
          <t>CRM</t>
        </is>
      </c>
      <c r="T355" s="5" t="inlineStr">
        <is>
          <t>Sales and CRM lifecycle</t>
        </is>
      </c>
      <c r="U355" s="8" t="inlineStr"/>
      <c r="V355" s="8" t="inlineStr">
        <is>
          <t>crm</t>
        </is>
      </c>
      <c r="W355" s="8" t="inlineStr">
        <is>
          <t>GROW</t>
        </is>
      </c>
      <c r="X355" s="5" t="inlineStr">
        <is>
          <t>Core</t>
        </is>
      </c>
      <c r="Y355" s="5" t="inlineStr">
        <is>
          <t>Cross-persona</t>
        </is>
      </c>
      <c r="Z355" s="5" t="inlineStr">
        <is>
          <t>Medium</t>
        </is>
      </c>
      <c r="AA355" s="5" t="inlineStr">
        <is>
          <t>Medium</t>
        </is>
      </c>
      <c r="AB355" s="8" t="inlineStr">
        <is>
          <t>Low</t>
        </is>
      </c>
      <c r="AC355" s="8" t="inlineStr">
        <is>
          <t>Later</t>
        </is>
      </c>
      <c r="AD355" s="5" t="inlineStr">
        <is>
          <t>Not independently checked</t>
        </is>
      </c>
      <c r="AE355" s="5" t="inlineStr">
        <is>
          <t>Not verified</t>
        </is>
      </c>
      <c r="AF355" s="5" t="inlineStr">
        <is>
          <t>Not verified</t>
        </is>
      </c>
      <c r="AG355" s="5" t="inlineStr">
        <is>
          <t>Not verified</t>
        </is>
      </c>
      <c r="AH355" s="5" t="inlineStr">
        <is>
          <t>Not verified</t>
        </is>
      </c>
      <c r="AI355" s="8" t="inlineStr">
        <is>
          <t>No</t>
        </is>
      </c>
      <c r="AJ355" s="8" t="inlineStr">
        <is>
          <t>Claimed - unverified</t>
        </is>
      </c>
      <c r="AK355" s="8" t="inlineStr">
        <is>
          <t>P1</t>
        </is>
      </c>
      <c r="AL355" s="8" t="n">
        <v>6</v>
      </c>
      <c r="AM355" s="5" t="inlineStr"/>
      <c r="AN355" s="5" t="inlineStr"/>
      <c r="AO355" s="5" t="inlineStr"/>
      <c r="AP355" s="5" t="inlineStr"/>
      <c r="AQ355" s="5" t="inlineStr"/>
      <c r="AR355" s="5" t="inlineStr"/>
      <c r="AS355" s="5" t="inlineStr"/>
      <c r="AT355" s="5" t="inlineStr"/>
      <c r="AU355" s="8" t="inlineStr">
        <is>
          <t>Not run</t>
        </is>
      </c>
    </row>
    <row r="356" ht="32" customHeight="1">
      <c r="A356" s="16" t="inlineStr">
        <is>
          <t>X-0355</t>
        </is>
      </c>
      <c r="B356" s="8" t="inlineStr">
        <is>
          <t>X</t>
        </is>
      </c>
      <c r="C356" s="5" t="inlineStr">
        <is>
          <t>Multiple / Cross-persona</t>
        </is>
      </c>
      <c r="D356" s="5" t="inlineStr">
        <is>
          <t>Sales / CRM / Customer Lifecycle</t>
        </is>
      </c>
      <c r="E356" s="5" t="inlineStr">
        <is>
          <t>Duplicate customer detection</t>
        </is>
      </c>
      <c r="F356" s="5" t="inlineStr">
        <is>
          <t>System / Master Guard</t>
        </is>
      </c>
      <c r="G356" s="5" t="inlineStr">
        <is>
          <t>Sales Staff</t>
        </is>
      </c>
      <c r="H356" s="5" t="inlineStr">
        <is>
          <t>Prevent duplicate customer entries with identical phone number or GSTIN</t>
        </is>
      </c>
      <c r="I356" s="5" t="inlineStr">
        <is>
          <t>Scans existing records on mobile number or GSTIN; warns user before saving duplicate</t>
        </is>
      </c>
      <c r="J356" s="20" t="inlineStr">
        <is>
          <t>P1</t>
        </is>
      </c>
      <c r="K356" s="20" t="inlineStr">
        <is>
          <t>Validated (Supported)</t>
        </is>
      </c>
      <c r="L356" s="5" t="inlineStr">
        <is>
          <t>Built-in phone and GSTIN duplicate detection check during customer creation.</t>
        </is>
      </c>
      <c r="M356" s="8" t="inlineStr">
        <is>
          <t>Baseline</t>
        </is>
      </c>
      <c r="N356" s="8" t="inlineStr">
        <is>
          <t>Cross-persona</t>
        </is>
      </c>
      <c r="O356" s="8" t="inlineStr">
        <is>
          <t>P1</t>
        </is>
      </c>
      <c r="P356" s="5" t="inlineStr">
        <is>
          <t>Unchanged</t>
        </is>
      </c>
      <c r="Q356" s="20" t="inlineStr">
        <is>
          <t>Author assertion</t>
        </is>
      </c>
      <c r="R356" s="5" t="inlineStr"/>
      <c r="S356" s="8" t="inlineStr">
        <is>
          <t>CRM</t>
        </is>
      </c>
      <c r="T356" s="5" t="inlineStr">
        <is>
          <t>Sales and CRM lifecycle</t>
        </is>
      </c>
      <c r="U356" s="8" t="inlineStr"/>
      <c r="V356" s="8" t="inlineStr">
        <is>
          <t>crm</t>
        </is>
      </c>
      <c r="W356" s="8" t="inlineStr">
        <is>
          <t>GROW</t>
        </is>
      </c>
      <c r="X356" s="5" t="inlineStr">
        <is>
          <t>Core</t>
        </is>
      </c>
      <c r="Y356" s="5" t="inlineStr">
        <is>
          <t>Cross-persona</t>
        </is>
      </c>
      <c r="Z356" s="5" t="inlineStr">
        <is>
          <t>Medium</t>
        </is>
      </c>
      <c r="AA356" s="5" t="inlineStr">
        <is>
          <t>Medium</t>
        </is>
      </c>
      <c r="AB356" s="8" t="inlineStr">
        <is>
          <t>Low</t>
        </is>
      </c>
      <c r="AC356" s="8" t="inlineStr">
        <is>
          <t>Later</t>
        </is>
      </c>
      <c r="AD356" s="5" t="inlineStr">
        <is>
          <t>Not independently checked</t>
        </is>
      </c>
      <c r="AE356" s="5" t="inlineStr">
        <is>
          <t>Not verified</t>
        </is>
      </c>
      <c r="AF356" s="5" t="inlineStr">
        <is>
          <t>Not verified</t>
        </is>
      </c>
      <c r="AG356" s="5" t="inlineStr">
        <is>
          <t>Not verified</t>
        </is>
      </c>
      <c r="AH356" s="5" t="inlineStr">
        <is>
          <t>Not verified</t>
        </is>
      </c>
      <c r="AI356" s="8" t="inlineStr">
        <is>
          <t>No</t>
        </is>
      </c>
      <c r="AJ356" s="8" t="inlineStr">
        <is>
          <t>Claimed - unverified</t>
        </is>
      </c>
      <c r="AK356" s="8" t="inlineStr">
        <is>
          <t>P1</t>
        </is>
      </c>
      <c r="AL356" s="8" t="n">
        <v>6</v>
      </c>
      <c r="AM356" s="5" t="inlineStr"/>
      <c r="AN356" s="5" t="inlineStr"/>
      <c r="AO356" s="5" t="inlineStr"/>
      <c r="AP356" s="5" t="inlineStr"/>
      <c r="AQ356" s="5" t="inlineStr"/>
      <c r="AR356" s="5" t="inlineStr"/>
      <c r="AS356" s="5" t="inlineStr"/>
      <c r="AT356" s="5" t="inlineStr"/>
      <c r="AU356" s="8" t="inlineStr">
        <is>
          <t>Not run</t>
        </is>
      </c>
    </row>
    <row r="357" ht="32" customHeight="1">
      <c r="A357" s="16" t="inlineStr">
        <is>
          <t>X-0356</t>
        </is>
      </c>
      <c r="B357" s="8" t="inlineStr">
        <is>
          <t>X</t>
        </is>
      </c>
      <c r="C357" s="5" t="inlineStr">
        <is>
          <t>Multiple / Cross-persona</t>
        </is>
      </c>
      <c r="D357" s="5" t="inlineStr">
        <is>
          <t>Sales / CRM / Customer Lifecycle</t>
        </is>
      </c>
      <c r="E357" s="5" t="inlineStr">
        <is>
          <t>Customer inquiry → lead created</t>
        </is>
      </c>
      <c r="F357" s="5" t="inlineStr">
        <is>
          <t>Sales Representative</t>
        </is>
      </c>
      <c r="G357" s="5" t="inlineStr">
        <is>
          <t>Prospective Client</t>
        </is>
      </c>
      <c r="H357" s="5" t="inlineStr">
        <is>
          <t>Capture prospective customer inquiry from phone call, walk-in, or web inquiry</t>
        </is>
      </c>
      <c r="I357" s="5" t="inlineStr">
        <is>
          <t>Creates Lead record in CRM pipeline; records required items, estimated budget, and source</t>
        </is>
      </c>
      <c r="J357" s="20" t="inlineStr">
        <is>
          <t>P1</t>
        </is>
      </c>
      <c r="K357" s="20" t="inlineStr">
        <is>
          <t>Validated (Supported)</t>
        </is>
      </c>
      <c r="L357" s="5" t="inlineStr">
        <is>
          <t>Supported via /crm/leads/create with pipeline stage tracking.</t>
        </is>
      </c>
      <c r="M357" s="8" t="inlineStr">
        <is>
          <t>Baseline</t>
        </is>
      </c>
      <c r="N357" s="8" t="inlineStr">
        <is>
          <t>Cross-persona</t>
        </is>
      </c>
      <c r="O357" s="8" t="inlineStr">
        <is>
          <t>P1</t>
        </is>
      </c>
      <c r="P357" s="5" t="inlineStr">
        <is>
          <t>Unchanged</t>
        </is>
      </c>
      <c r="Q357" s="20" t="inlineStr">
        <is>
          <t>Author assertion</t>
        </is>
      </c>
      <c r="R357" s="5" t="inlineStr"/>
      <c r="S357" s="8" t="inlineStr">
        <is>
          <t>CRM</t>
        </is>
      </c>
      <c r="T357" s="5" t="inlineStr">
        <is>
          <t>Sales and CRM lifecycle</t>
        </is>
      </c>
      <c r="U357" s="8" t="inlineStr"/>
      <c r="V357" s="8" t="inlineStr">
        <is>
          <t>crm</t>
        </is>
      </c>
      <c r="W357" s="8" t="inlineStr">
        <is>
          <t>GROW</t>
        </is>
      </c>
      <c r="X357" s="5" t="inlineStr">
        <is>
          <t>Core</t>
        </is>
      </c>
      <c r="Y357" s="5" t="inlineStr">
        <is>
          <t>Cross-persona</t>
        </is>
      </c>
      <c r="Z357" s="5" t="inlineStr">
        <is>
          <t>Medium</t>
        </is>
      </c>
      <c r="AA357" s="5" t="inlineStr">
        <is>
          <t>Medium</t>
        </is>
      </c>
      <c r="AB357" s="8" t="inlineStr">
        <is>
          <t>Low</t>
        </is>
      </c>
      <c r="AC357" s="8" t="inlineStr">
        <is>
          <t>Later</t>
        </is>
      </c>
      <c r="AD357" s="5" t="inlineStr">
        <is>
          <t>Not independently checked</t>
        </is>
      </c>
      <c r="AE357" s="5" t="inlineStr">
        <is>
          <t>Not verified</t>
        </is>
      </c>
      <c r="AF357" s="5" t="inlineStr">
        <is>
          <t>Not verified</t>
        </is>
      </c>
      <c r="AG357" s="5" t="inlineStr">
        <is>
          <t>Not verified</t>
        </is>
      </c>
      <c r="AH357" s="5" t="inlineStr">
        <is>
          <t>Not verified</t>
        </is>
      </c>
      <c r="AI357" s="8" t="inlineStr">
        <is>
          <t>No</t>
        </is>
      </c>
      <c r="AJ357" s="8" t="inlineStr">
        <is>
          <t>Claimed - unverified</t>
        </is>
      </c>
      <c r="AK357" s="8" t="inlineStr">
        <is>
          <t>P1</t>
        </is>
      </c>
      <c r="AL357" s="8" t="n">
        <v>6</v>
      </c>
      <c r="AM357" s="5" t="inlineStr"/>
      <c r="AN357" s="5" t="inlineStr"/>
      <c r="AO357" s="5" t="inlineStr"/>
      <c r="AP357" s="5" t="inlineStr"/>
      <c r="AQ357" s="5" t="inlineStr"/>
      <c r="AR357" s="5" t="inlineStr"/>
      <c r="AS357" s="5" t="inlineStr"/>
      <c r="AT357" s="5" t="inlineStr"/>
      <c r="AU357" s="8" t="inlineStr">
        <is>
          <t>Not run</t>
        </is>
      </c>
    </row>
    <row r="358" ht="32" customHeight="1">
      <c r="A358" s="16" t="inlineStr">
        <is>
          <t>X-0357</t>
        </is>
      </c>
      <c r="B358" s="8" t="inlineStr">
        <is>
          <t>X</t>
        </is>
      </c>
      <c r="C358" s="5" t="inlineStr">
        <is>
          <t>Multiple / Cross-persona</t>
        </is>
      </c>
      <c r="D358" s="5" t="inlineStr">
        <is>
          <t>Sales / CRM / Customer Lifecycle</t>
        </is>
      </c>
      <c r="E358" s="5" t="inlineStr">
        <is>
          <t>Lead → follow-up task created</t>
        </is>
      </c>
      <c r="F358" s="5" t="inlineStr">
        <is>
          <t>Sales Representative</t>
        </is>
      </c>
      <c r="G358" s="5" t="inlineStr">
        <is>
          <t>Sales Manager</t>
        </is>
      </c>
      <c r="H358" s="5" t="inlineStr">
        <is>
          <t>Schedule follow-up reminder or call task to advance prospective deal</t>
        </is>
      </c>
      <c r="I358" s="5" t="inlineStr">
        <is>
          <t>Creates follow-up task with due date; pushes reminder to salesperson's daily task feed</t>
        </is>
      </c>
      <c r="J358" s="20" t="inlineStr">
        <is>
          <t>P1</t>
        </is>
      </c>
      <c r="K358" s="20" t="inlineStr">
        <is>
          <t>Validated (Supported)</t>
        </is>
      </c>
      <c r="L358" s="5" t="inlineStr">
        <is>
          <t>Supported via CRM Task / Follow-up scheduler.</t>
        </is>
      </c>
      <c r="M358" s="8" t="inlineStr">
        <is>
          <t>Baseline</t>
        </is>
      </c>
      <c r="N358" s="8" t="inlineStr">
        <is>
          <t>Cross-persona</t>
        </is>
      </c>
      <c r="O358" s="8" t="inlineStr">
        <is>
          <t>P1</t>
        </is>
      </c>
      <c r="P358" s="5" t="inlineStr">
        <is>
          <t>Unchanged</t>
        </is>
      </c>
      <c r="Q358" s="20" t="inlineStr">
        <is>
          <t>Author assertion</t>
        </is>
      </c>
      <c r="R358" s="5" t="inlineStr"/>
      <c r="S358" s="8" t="inlineStr">
        <is>
          <t>CRM</t>
        </is>
      </c>
      <c r="T358" s="5" t="inlineStr">
        <is>
          <t>Sales and CRM lifecycle</t>
        </is>
      </c>
      <c r="U358" s="8" t="inlineStr"/>
      <c r="V358" s="8" t="inlineStr">
        <is>
          <t>crm</t>
        </is>
      </c>
      <c r="W358" s="8" t="inlineStr">
        <is>
          <t>GROW</t>
        </is>
      </c>
      <c r="X358" s="5" t="inlineStr">
        <is>
          <t>Core</t>
        </is>
      </c>
      <c r="Y358" s="5" t="inlineStr">
        <is>
          <t>Cross-persona</t>
        </is>
      </c>
      <c r="Z358" s="5" t="inlineStr">
        <is>
          <t>Medium</t>
        </is>
      </c>
      <c r="AA358" s="5" t="inlineStr">
        <is>
          <t>Medium</t>
        </is>
      </c>
      <c r="AB358" s="8" t="inlineStr">
        <is>
          <t>Low</t>
        </is>
      </c>
      <c r="AC358" s="8" t="inlineStr">
        <is>
          <t>Later</t>
        </is>
      </c>
      <c r="AD358" s="5" t="inlineStr">
        <is>
          <t>Not independently checked</t>
        </is>
      </c>
      <c r="AE358" s="5" t="inlineStr">
        <is>
          <t>Not verified</t>
        </is>
      </c>
      <c r="AF358" s="5" t="inlineStr">
        <is>
          <t>Not verified</t>
        </is>
      </c>
      <c r="AG358" s="5" t="inlineStr">
        <is>
          <t>Not verified</t>
        </is>
      </c>
      <c r="AH358" s="5" t="inlineStr">
        <is>
          <t>Not verified</t>
        </is>
      </c>
      <c r="AI358" s="8" t="inlineStr">
        <is>
          <t>No</t>
        </is>
      </c>
      <c r="AJ358" s="8" t="inlineStr">
        <is>
          <t>Claimed - unverified</t>
        </is>
      </c>
      <c r="AK358" s="8" t="inlineStr">
        <is>
          <t>P1</t>
        </is>
      </c>
      <c r="AL358" s="8" t="n">
        <v>6</v>
      </c>
      <c r="AM358" s="5" t="inlineStr"/>
      <c r="AN358" s="5" t="inlineStr"/>
      <c r="AO358" s="5" t="inlineStr"/>
      <c r="AP358" s="5" t="inlineStr"/>
      <c r="AQ358" s="5" t="inlineStr"/>
      <c r="AR358" s="5" t="inlineStr"/>
      <c r="AS358" s="5" t="inlineStr"/>
      <c r="AT358" s="5" t="inlineStr"/>
      <c r="AU358" s="8" t="inlineStr">
        <is>
          <t>Not run</t>
        </is>
      </c>
    </row>
    <row r="359" ht="32" customHeight="1">
      <c r="A359" s="16" t="inlineStr">
        <is>
          <t>X-0358</t>
        </is>
      </c>
      <c r="B359" s="8" t="inlineStr">
        <is>
          <t>X</t>
        </is>
      </c>
      <c r="C359" s="5" t="inlineStr">
        <is>
          <t>Multiple / Cross-persona</t>
        </is>
      </c>
      <c r="D359" s="5" t="inlineStr">
        <is>
          <t>Sales / CRM / Customer Lifecycle</t>
        </is>
      </c>
      <c r="E359" s="5" t="inlineStr">
        <is>
          <t>Lead → quotation created</t>
        </is>
      </c>
      <c r="F359" s="5" t="inlineStr">
        <is>
          <t>Sales Representative</t>
        </is>
      </c>
      <c r="G359" s="5" t="inlineStr">
        <is>
          <t>Prospective Client</t>
        </is>
      </c>
      <c r="H359" s="5" t="inlineStr">
        <is>
          <t>Convert qualified lead into formal price quotation with product options</t>
        </is>
      </c>
      <c r="I359" s="5" t="inlineStr">
        <is>
          <t>Creates Quotation linked to Lead; copies customer details and proposed line items</t>
        </is>
      </c>
      <c r="J359" s="20" t="inlineStr">
        <is>
          <t>P1</t>
        </is>
      </c>
      <c r="K359" s="20" t="inlineStr">
        <is>
          <t>Validated (Supported)</t>
        </is>
      </c>
      <c r="L359" s="5" t="inlineStr">
        <is>
          <t>Supported via Lead 'Generate Quotation' action.</t>
        </is>
      </c>
      <c r="M359" s="8" t="inlineStr">
        <is>
          <t>Baseline</t>
        </is>
      </c>
      <c r="N359" s="8" t="inlineStr">
        <is>
          <t>Cross-persona</t>
        </is>
      </c>
      <c r="O359" s="8" t="inlineStr">
        <is>
          <t>P1</t>
        </is>
      </c>
      <c r="P359" s="5" t="inlineStr">
        <is>
          <t>Unchanged</t>
        </is>
      </c>
      <c r="Q359" s="20" t="inlineStr">
        <is>
          <t>Author assertion</t>
        </is>
      </c>
      <c r="R359" s="5" t="inlineStr"/>
      <c r="S359" s="8" t="inlineStr">
        <is>
          <t>CRM</t>
        </is>
      </c>
      <c r="T359" s="5" t="inlineStr">
        <is>
          <t>Sales and CRM lifecycle</t>
        </is>
      </c>
      <c r="U359" s="8" t="inlineStr"/>
      <c r="V359" s="8" t="inlineStr">
        <is>
          <t>crm</t>
        </is>
      </c>
      <c r="W359" s="8" t="inlineStr">
        <is>
          <t>GROW</t>
        </is>
      </c>
      <c r="X359" s="5" t="inlineStr">
        <is>
          <t>Core</t>
        </is>
      </c>
      <c r="Y359" s="5" t="inlineStr">
        <is>
          <t>Cross-persona</t>
        </is>
      </c>
      <c r="Z359" s="5" t="inlineStr">
        <is>
          <t>Medium</t>
        </is>
      </c>
      <c r="AA359" s="5" t="inlineStr">
        <is>
          <t>Medium</t>
        </is>
      </c>
      <c r="AB359" s="8" t="inlineStr">
        <is>
          <t>Low</t>
        </is>
      </c>
      <c r="AC359" s="8" t="inlineStr">
        <is>
          <t>Later</t>
        </is>
      </c>
      <c r="AD359" s="5" t="inlineStr">
        <is>
          <t>Not independently checked</t>
        </is>
      </c>
      <c r="AE359" s="5" t="inlineStr">
        <is>
          <t>Not verified</t>
        </is>
      </c>
      <c r="AF359" s="5" t="inlineStr">
        <is>
          <t>Not verified</t>
        </is>
      </c>
      <c r="AG359" s="5" t="inlineStr">
        <is>
          <t>Not verified</t>
        </is>
      </c>
      <c r="AH359" s="5" t="inlineStr">
        <is>
          <t>Not verified</t>
        </is>
      </c>
      <c r="AI359" s="8" t="inlineStr">
        <is>
          <t>No</t>
        </is>
      </c>
      <c r="AJ359" s="8" t="inlineStr">
        <is>
          <t>Claimed - unverified</t>
        </is>
      </c>
      <c r="AK359" s="8" t="inlineStr">
        <is>
          <t>P1</t>
        </is>
      </c>
      <c r="AL359" s="8" t="n">
        <v>6</v>
      </c>
      <c r="AM359" s="5" t="inlineStr"/>
      <c r="AN359" s="5" t="inlineStr"/>
      <c r="AO359" s="5" t="inlineStr"/>
      <c r="AP359" s="5" t="inlineStr"/>
      <c r="AQ359" s="5" t="inlineStr"/>
      <c r="AR359" s="5" t="inlineStr"/>
      <c r="AS359" s="5" t="inlineStr"/>
      <c r="AT359" s="5" t="inlineStr"/>
      <c r="AU359" s="8" t="inlineStr">
        <is>
          <t>Not run</t>
        </is>
      </c>
    </row>
    <row r="360" ht="32" customHeight="1">
      <c r="A360" s="16" t="inlineStr">
        <is>
          <t>X-0359</t>
        </is>
      </c>
      <c r="B360" s="8" t="inlineStr">
        <is>
          <t>X</t>
        </is>
      </c>
      <c r="C360" s="5" t="inlineStr">
        <is>
          <t>Multiple / Cross-persona</t>
        </is>
      </c>
      <c r="D360" s="5" t="inlineStr">
        <is>
          <t>Sales / CRM / Customer Lifecycle</t>
        </is>
      </c>
      <c r="E360" s="5" t="inlineStr">
        <is>
          <t>Quotation → sales order</t>
        </is>
      </c>
      <c r="F360" s="5" t="inlineStr">
        <is>
          <t>Salesperson</t>
        </is>
      </c>
      <c r="G360" s="5" t="inlineStr">
        <is>
          <t>Customer</t>
        </is>
      </c>
      <c r="H360" s="5" t="inlineStr">
        <is>
          <t>Convert accepted quotation into binding sales order upon client approval</t>
        </is>
      </c>
      <c r="I360" s="5" t="inlineStr">
        <is>
          <t>Clones Quotation items into SalesOrder, marks quotation CONVERTED, commits stock</t>
        </is>
      </c>
      <c r="J360" s="20" t="inlineStr">
        <is>
          <t>P1</t>
        </is>
      </c>
      <c r="K360" s="20" t="inlineStr">
        <is>
          <t>Validated (Supported)</t>
        </is>
      </c>
      <c r="L360" s="5" t="inlineStr">
        <is>
          <t>Supported via Quotation 'Convert to Order' action in Quotation detail view.</t>
        </is>
      </c>
      <c r="M360" s="8" t="inlineStr">
        <is>
          <t>Baseline</t>
        </is>
      </c>
      <c r="N360" s="8" t="inlineStr">
        <is>
          <t>Cross-persona</t>
        </is>
      </c>
      <c r="O360" s="8" t="inlineStr">
        <is>
          <t>P1</t>
        </is>
      </c>
      <c r="P360" s="5" t="inlineStr">
        <is>
          <t>Unchanged</t>
        </is>
      </c>
      <c r="Q360" s="20" t="inlineStr">
        <is>
          <t>Author assertion</t>
        </is>
      </c>
      <c r="R360" s="5" t="inlineStr"/>
      <c r="S360" s="8" t="inlineStr">
        <is>
          <t>CRM</t>
        </is>
      </c>
      <c r="T360" s="5" t="inlineStr">
        <is>
          <t>Sales and CRM lifecycle</t>
        </is>
      </c>
      <c r="U360" s="8" t="inlineStr"/>
      <c r="V360" s="8" t="inlineStr">
        <is>
          <t>crm</t>
        </is>
      </c>
      <c r="W360" s="8" t="inlineStr">
        <is>
          <t>GROW</t>
        </is>
      </c>
      <c r="X360" s="5" t="inlineStr">
        <is>
          <t>Core</t>
        </is>
      </c>
      <c r="Y360" s="5" t="inlineStr">
        <is>
          <t>Cross-persona</t>
        </is>
      </c>
      <c r="Z360" s="5" t="inlineStr">
        <is>
          <t>Medium</t>
        </is>
      </c>
      <c r="AA360" s="5" t="inlineStr">
        <is>
          <t>Medium</t>
        </is>
      </c>
      <c r="AB360" s="8" t="inlineStr">
        <is>
          <t>Low</t>
        </is>
      </c>
      <c r="AC360" s="8" t="inlineStr">
        <is>
          <t>Later</t>
        </is>
      </c>
      <c r="AD360" s="5" t="inlineStr">
        <is>
          <t>Not independently checked</t>
        </is>
      </c>
      <c r="AE360" s="5" t="inlineStr">
        <is>
          <t>Not verified</t>
        </is>
      </c>
      <c r="AF360" s="5" t="inlineStr">
        <is>
          <t>Not verified</t>
        </is>
      </c>
      <c r="AG360" s="5" t="inlineStr">
        <is>
          <t>Not verified</t>
        </is>
      </c>
      <c r="AH360" s="5" t="inlineStr">
        <is>
          <t>Not verified</t>
        </is>
      </c>
      <c r="AI360" s="8" t="inlineStr">
        <is>
          <t>No</t>
        </is>
      </c>
      <c r="AJ360" s="8" t="inlineStr">
        <is>
          <t>Claimed - unverified</t>
        </is>
      </c>
      <c r="AK360" s="8" t="inlineStr">
        <is>
          <t>P1</t>
        </is>
      </c>
      <c r="AL360" s="8" t="n">
        <v>6</v>
      </c>
      <c r="AM360" s="5" t="inlineStr"/>
      <c r="AN360" s="5" t="inlineStr"/>
      <c r="AO360" s="5" t="inlineStr"/>
      <c r="AP360" s="5" t="inlineStr"/>
      <c r="AQ360" s="5" t="inlineStr"/>
      <c r="AR360" s="5" t="inlineStr"/>
      <c r="AS360" s="5" t="inlineStr"/>
      <c r="AT360" s="5" t="inlineStr"/>
      <c r="AU360" s="8" t="inlineStr">
        <is>
          <t>Not run</t>
        </is>
      </c>
    </row>
    <row r="361" ht="32" customHeight="1">
      <c r="A361" s="16" t="inlineStr">
        <is>
          <t>X-0360</t>
        </is>
      </c>
      <c r="B361" s="8" t="inlineStr">
        <is>
          <t>X</t>
        </is>
      </c>
      <c r="C361" s="5" t="inlineStr">
        <is>
          <t>Multiple / Cross-persona</t>
        </is>
      </c>
      <c r="D361" s="5" t="inlineStr">
        <is>
          <t>Sales / CRM / Customer Lifecycle</t>
        </is>
      </c>
      <c r="E361" s="5" t="inlineStr">
        <is>
          <t>Sales order → invoice</t>
        </is>
      </c>
      <c r="F361" s="5" t="inlineStr">
        <is>
          <t>Billing Clerk</t>
        </is>
      </c>
      <c r="G361" s="5" t="inlineStr">
        <is>
          <t>Customer</t>
        </is>
      </c>
      <c r="H361" s="5" t="inlineStr">
        <is>
          <t>Convert delivered sales order into legal tax invoice for billing and collection</t>
        </is>
      </c>
      <c r="I361" s="5" t="inlineStr">
        <is>
          <t>Creates SalesInvoice copying SalesOrder lines; updates inventory and customer ledger</t>
        </is>
      </c>
      <c r="J361" s="20" t="inlineStr">
        <is>
          <t>P1</t>
        </is>
      </c>
      <c r="K361" s="20" t="inlineStr">
        <is>
          <t>Validated (Supported)</t>
        </is>
      </c>
      <c r="L361" s="5" t="inlineStr">
        <is>
          <t>Supported via SalesOrder 'Create Invoice' action.</t>
        </is>
      </c>
      <c r="M361" s="8" t="inlineStr">
        <is>
          <t>Baseline</t>
        </is>
      </c>
      <c r="N361" s="8" t="inlineStr">
        <is>
          <t>Cross-persona</t>
        </is>
      </c>
      <c r="O361" s="8" t="inlineStr">
        <is>
          <t>P1</t>
        </is>
      </c>
      <c r="P361" s="5" t="inlineStr">
        <is>
          <t>Unchanged</t>
        </is>
      </c>
      <c r="Q361" s="21" t="inlineStr">
        <is>
          <t>Code symbol found</t>
        </is>
      </c>
      <c r="R361" s="5" t="inlineStr">
        <is>
          <t>Matched SalesOrder in product code. This is not a functional test.</t>
        </is>
      </c>
      <c r="S361" s="8" t="inlineStr">
        <is>
          <t>CRM</t>
        </is>
      </c>
      <c r="T361" s="5" t="inlineStr">
        <is>
          <t>Sales and CRM lifecycle</t>
        </is>
      </c>
      <c r="U361" s="8" t="inlineStr"/>
      <c r="V361" s="8" t="inlineStr">
        <is>
          <t>crm</t>
        </is>
      </c>
      <c r="W361" s="8" t="inlineStr">
        <is>
          <t>GROW</t>
        </is>
      </c>
      <c r="X361" s="5" t="inlineStr">
        <is>
          <t>Core</t>
        </is>
      </c>
      <c r="Y361" s="5" t="inlineStr">
        <is>
          <t>Cross-persona</t>
        </is>
      </c>
      <c r="Z361" s="5" t="inlineStr">
        <is>
          <t>Medium</t>
        </is>
      </c>
      <c r="AA361" s="5" t="inlineStr">
        <is>
          <t>Medium</t>
        </is>
      </c>
      <c r="AB361" s="8" t="inlineStr">
        <is>
          <t>Low</t>
        </is>
      </c>
      <c r="AC361" s="8" t="inlineStr">
        <is>
          <t>Later</t>
        </is>
      </c>
      <c r="AD361" s="5" t="inlineStr">
        <is>
          <t>Cited in code</t>
        </is>
      </c>
      <c r="AE361" s="5" t="inlineStr">
        <is>
          <t>Not verified</t>
        </is>
      </c>
      <c r="AF361" s="5" t="inlineStr">
        <is>
          <t>Not verified</t>
        </is>
      </c>
      <c r="AG361" s="5" t="inlineStr">
        <is>
          <t>Not verified</t>
        </is>
      </c>
      <c r="AH361" s="5" t="inlineStr">
        <is>
          <t>Not verified</t>
        </is>
      </c>
      <c r="AI361" s="8" t="inlineStr">
        <is>
          <t>No</t>
        </is>
      </c>
      <c r="AJ361" s="8" t="inlineStr">
        <is>
          <t>Built - unverified</t>
        </is>
      </c>
      <c r="AK361" s="8" t="inlineStr">
        <is>
          <t>P1</t>
        </is>
      </c>
      <c r="AL361" s="8" t="n">
        <v>6</v>
      </c>
      <c r="AM361" s="5" t="inlineStr"/>
      <c r="AN361" s="5" t="inlineStr"/>
      <c r="AO361" s="5" t="inlineStr"/>
      <c r="AP361" s="5" t="inlineStr"/>
      <c r="AQ361" s="5" t="inlineStr"/>
      <c r="AR361" s="5" t="inlineStr"/>
      <c r="AS361" s="5" t="inlineStr"/>
      <c r="AT361" s="5" t="inlineStr"/>
      <c r="AU361" s="8" t="inlineStr">
        <is>
          <t>Not run</t>
        </is>
      </c>
    </row>
    <row r="362" ht="32" customHeight="1">
      <c r="A362" s="16" t="inlineStr">
        <is>
          <t>X-0361</t>
        </is>
      </c>
      <c r="B362" s="8" t="inlineStr">
        <is>
          <t>X</t>
        </is>
      </c>
      <c r="C362" s="5" t="inlineStr">
        <is>
          <t>Multiple / Cross-persona</t>
        </is>
      </c>
      <c r="D362" s="5" t="inlineStr">
        <is>
          <t>Sales / CRM / Customer Lifecycle</t>
        </is>
      </c>
      <c r="E362" s="5" t="inlineStr">
        <is>
          <t>Customer purchase → customer history updated</t>
        </is>
      </c>
      <c r="F362" s="5" t="inlineStr">
        <is>
          <t>System / CRM Engine</t>
        </is>
      </c>
      <c r="G362" s="5" t="inlineStr">
        <is>
          <t>Salesperson</t>
        </is>
      </c>
      <c r="H362" s="5" t="inlineStr">
        <is>
          <t>Completed purchase appended to customer's permanent lifetime purchase history</t>
        </is>
      </c>
      <c r="I362" s="5" t="inlineStr">
        <is>
          <t>Updates customer lifetime spend, total order count, last purchase date, and favorite SKUs</t>
        </is>
      </c>
      <c r="J362" s="20" t="inlineStr">
        <is>
          <t>P1</t>
        </is>
      </c>
      <c r="K362" s="20" t="inlineStr">
        <is>
          <t>Validated (Supported)</t>
        </is>
      </c>
      <c r="L362" s="5" t="inlineStr">
        <is>
          <t>Automated customer metric rollup upon invoice completion.</t>
        </is>
      </c>
      <c r="M362" s="8" t="inlineStr">
        <is>
          <t>Baseline</t>
        </is>
      </c>
      <c r="N362" s="8" t="inlineStr">
        <is>
          <t>Cross-persona</t>
        </is>
      </c>
      <c r="O362" s="8" t="inlineStr">
        <is>
          <t>P1</t>
        </is>
      </c>
      <c r="P362" s="5" t="inlineStr">
        <is>
          <t>Unchanged</t>
        </is>
      </c>
      <c r="Q362" s="20" t="inlineStr">
        <is>
          <t>Author assertion</t>
        </is>
      </c>
      <c r="R362" s="5" t="inlineStr"/>
      <c r="S362" s="8" t="inlineStr">
        <is>
          <t>CRM</t>
        </is>
      </c>
      <c r="T362" s="5" t="inlineStr">
        <is>
          <t>Sales and CRM lifecycle</t>
        </is>
      </c>
      <c r="U362" s="8" t="inlineStr"/>
      <c r="V362" s="8" t="inlineStr">
        <is>
          <t>crm</t>
        </is>
      </c>
      <c r="W362" s="8" t="inlineStr">
        <is>
          <t>GROW</t>
        </is>
      </c>
      <c r="X362" s="5" t="inlineStr">
        <is>
          <t>Core</t>
        </is>
      </c>
      <c r="Y362" s="5" t="inlineStr">
        <is>
          <t>Cross-persona</t>
        </is>
      </c>
      <c r="Z362" s="5" t="inlineStr">
        <is>
          <t>Medium</t>
        </is>
      </c>
      <c r="AA362" s="5" t="inlineStr">
        <is>
          <t>Medium</t>
        </is>
      </c>
      <c r="AB362" s="8" t="inlineStr">
        <is>
          <t>Low</t>
        </is>
      </c>
      <c r="AC362" s="8" t="inlineStr">
        <is>
          <t>Later</t>
        </is>
      </c>
      <c r="AD362" s="5" t="inlineStr">
        <is>
          <t>Not independently checked</t>
        </is>
      </c>
      <c r="AE362" s="5" t="inlineStr">
        <is>
          <t>Not verified</t>
        </is>
      </c>
      <c r="AF362" s="5" t="inlineStr">
        <is>
          <t>Not verified</t>
        </is>
      </c>
      <c r="AG362" s="5" t="inlineStr">
        <is>
          <t>Not verified</t>
        </is>
      </c>
      <c r="AH362" s="5" t="inlineStr">
        <is>
          <t>Not verified</t>
        </is>
      </c>
      <c r="AI362" s="8" t="inlineStr">
        <is>
          <t>No</t>
        </is>
      </c>
      <c r="AJ362" s="8" t="inlineStr">
        <is>
          <t>Claimed - unverified</t>
        </is>
      </c>
      <c r="AK362" s="8" t="inlineStr">
        <is>
          <t>P1</t>
        </is>
      </c>
      <c r="AL362" s="8" t="n">
        <v>6</v>
      </c>
      <c r="AM362" s="5" t="inlineStr"/>
      <c r="AN362" s="5" t="inlineStr"/>
      <c r="AO362" s="5" t="inlineStr"/>
      <c r="AP362" s="5" t="inlineStr"/>
      <c r="AQ362" s="5" t="inlineStr"/>
      <c r="AR362" s="5" t="inlineStr"/>
      <c r="AS362" s="5" t="inlineStr"/>
      <c r="AT362" s="5" t="inlineStr"/>
      <c r="AU362" s="8" t="inlineStr">
        <is>
          <t>Not run</t>
        </is>
      </c>
    </row>
    <row r="363" ht="32" customHeight="1">
      <c r="A363" s="16" t="inlineStr">
        <is>
          <t>X-0362</t>
        </is>
      </c>
      <c r="B363" s="8" t="inlineStr">
        <is>
          <t>X</t>
        </is>
      </c>
      <c r="C363" s="5" t="inlineStr">
        <is>
          <t>Multiple / Cross-persona</t>
        </is>
      </c>
      <c r="D363" s="5" t="inlineStr">
        <is>
          <t>Sales / CRM / Customer Lifecycle</t>
        </is>
      </c>
      <c r="E363" s="5" t="inlineStr">
        <is>
          <t>Customer purchase history → salesperson sees context</t>
        </is>
      </c>
      <c r="F363" s="5" t="inlineStr">
        <is>
          <t>Salesperson</t>
        </is>
      </c>
      <c r="G363" s="5" t="inlineStr">
        <is>
          <t>Customer</t>
        </is>
      </c>
      <c r="H363" s="5" t="inlineStr">
        <is>
          <t>Salesperson views customer past orders and preferred brands during sales conversation</t>
        </is>
      </c>
      <c r="I363" s="5" t="inlineStr">
        <is>
          <t>Displays Customer 360 card showing purchase frequency, outstanding balance, and preferences</t>
        </is>
      </c>
      <c r="J363" s="20" t="inlineStr">
        <is>
          <t>P1</t>
        </is>
      </c>
      <c r="K363" s="20" t="inlineStr">
        <is>
          <t>Validated (Supported)</t>
        </is>
      </c>
      <c r="L363" s="5" t="inlineStr">
        <is>
          <t>Supported via Customer 360 side-drawer in sales booking interface.</t>
        </is>
      </c>
      <c r="M363" s="8" t="inlineStr">
        <is>
          <t>Baseline</t>
        </is>
      </c>
      <c r="N363" s="8" t="inlineStr">
        <is>
          <t>Cross-persona</t>
        </is>
      </c>
      <c r="O363" s="8" t="inlineStr">
        <is>
          <t>P1</t>
        </is>
      </c>
      <c r="P363" s="5" t="inlineStr">
        <is>
          <t>Unchanged</t>
        </is>
      </c>
      <c r="Q363" s="20" t="inlineStr">
        <is>
          <t>Author assertion</t>
        </is>
      </c>
      <c r="R363" s="5" t="inlineStr"/>
      <c r="S363" s="8" t="inlineStr">
        <is>
          <t>CRM</t>
        </is>
      </c>
      <c r="T363" s="5" t="inlineStr">
        <is>
          <t>Sales and CRM lifecycle</t>
        </is>
      </c>
      <c r="U363" s="8" t="inlineStr"/>
      <c r="V363" s="8" t="inlineStr">
        <is>
          <t>crm</t>
        </is>
      </c>
      <c r="W363" s="8" t="inlineStr">
        <is>
          <t>GROW</t>
        </is>
      </c>
      <c r="X363" s="5" t="inlineStr">
        <is>
          <t>Core</t>
        </is>
      </c>
      <c r="Y363" s="5" t="inlineStr">
        <is>
          <t>Cross-persona</t>
        </is>
      </c>
      <c r="Z363" s="5" t="inlineStr">
        <is>
          <t>Medium</t>
        </is>
      </c>
      <c r="AA363" s="5" t="inlineStr">
        <is>
          <t>Medium</t>
        </is>
      </c>
      <c r="AB363" s="8" t="inlineStr">
        <is>
          <t>Low</t>
        </is>
      </c>
      <c r="AC363" s="8" t="inlineStr">
        <is>
          <t>Later</t>
        </is>
      </c>
      <c r="AD363" s="5" t="inlineStr">
        <is>
          <t>Not independently checked</t>
        </is>
      </c>
      <c r="AE363" s="5" t="inlineStr">
        <is>
          <t>Not verified</t>
        </is>
      </c>
      <c r="AF363" s="5" t="inlineStr">
        <is>
          <t>Not verified</t>
        </is>
      </c>
      <c r="AG363" s="5" t="inlineStr">
        <is>
          <t>Not verified</t>
        </is>
      </c>
      <c r="AH363" s="5" t="inlineStr">
        <is>
          <t>Not verified</t>
        </is>
      </c>
      <c r="AI363" s="8" t="inlineStr">
        <is>
          <t>No</t>
        </is>
      </c>
      <c r="AJ363" s="8" t="inlineStr">
        <is>
          <t>Claimed - unverified</t>
        </is>
      </c>
      <c r="AK363" s="8" t="inlineStr">
        <is>
          <t>P1</t>
        </is>
      </c>
      <c r="AL363" s="8" t="n">
        <v>6</v>
      </c>
      <c r="AM363" s="5" t="inlineStr"/>
      <c r="AN363" s="5" t="inlineStr"/>
      <c r="AO363" s="5" t="inlineStr"/>
      <c r="AP363" s="5" t="inlineStr"/>
      <c r="AQ363" s="5" t="inlineStr"/>
      <c r="AR363" s="5" t="inlineStr"/>
      <c r="AS363" s="5" t="inlineStr"/>
      <c r="AT363" s="5" t="inlineStr"/>
      <c r="AU363" s="8" t="inlineStr">
        <is>
          <t>Not run</t>
        </is>
      </c>
    </row>
    <row r="364" ht="32" customHeight="1">
      <c r="A364" s="16" t="inlineStr">
        <is>
          <t>X-0363</t>
        </is>
      </c>
      <c r="B364" s="8" t="inlineStr">
        <is>
          <t>X</t>
        </is>
      </c>
      <c r="C364" s="5" t="inlineStr">
        <is>
          <t>Multiple / Cross-persona</t>
        </is>
      </c>
      <c r="D364" s="5" t="inlineStr">
        <is>
          <t>Sales / CRM / Customer Lifecycle</t>
        </is>
      </c>
      <c r="E364" s="5" t="inlineStr">
        <is>
          <t>Customer complaint → support case created</t>
        </is>
      </c>
      <c r="F364" s="5" t="inlineStr">
        <is>
          <t>Customer Support Desk</t>
        </is>
      </c>
      <c r="G364" s="5" t="inlineStr">
        <is>
          <t>Customer</t>
        </is>
      </c>
      <c r="H364" s="5" t="inlineStr">
        <is>
          <t>Log customer complaint regarding defective product, late delivery, or billing error</t>
        </is>
      </c>
      <c r="I364" s="5" t="inlineStr">
        <is>
          <t>Creates SupportTicket / Complaint record; tags severity, category, and related invoice</t>
        </is>
      </c>
      <c r="J364" s="20" t="inlineStr">
        <is>
          <t>P1</t>
        </is>
      </c>
      <c r="K364" s="20" t="inlineStr">
        <is>
          <t>Validated (Supported)</t>
        </is>
      </c>
      <c r="L364" s="5" t="inlineStr">
        <is>
          <t>Supported via /complaints/create with SLA priority tracking.</t>
        </is>
      </c>
      <c r="M364" s="8" t="inlineStr">
        <is>
          <t>Baseline</t>
        </is>
      </c>
      <c r="N364" s="8" t="inlineStr">
        <is>
          <t>Cross-persona</t>
        </is>
      </c>
      <c r="O364" s="8" t="inlineStr">
        <is>
          <t>P1</t>
        </is>
      </c>
      <c r="P364" s="5" t="inlineStr">
        <is>
          <t>Unchanged</t>
        </is>
      </c>
      <c r="Q364" s="20" t="inlineStr">
        <is>
          <t>Author assertion</t>
        </is>
      </c>
      <c r="R364" s="5" t="inlineStr"/>
      <c r="S364" s="8" t="inlineStr">
        <is>
          <t>CRM</t>
        </is>
      </c>
      <c r="T364" s="5" t="inlineStr">
        <is>
          <t>Sales and CRM lifecycle</t>
        </is>
      </c>
      <c r="U364" s="8" t="inlineStr"/>
      <c r="V364" s="8" t="inlineStr">
        <is>
          <t>crm</t>
        </is>
      </c>
      <c r="W364" s="8" t="inlineStr">
        <is>
          <t>GROW</t>
        </is>
      </c>
      <c r="X364" s="5" t="inlineStr">
        <is>
          <t>Core</t>
        </is>
      </c>
      <c r="Y364" s="5" t="inlineStr">
        <is>
          <t>Cross-persona</t>
        </is>
      </c>
      <c r="Z364" s="5" t="inlineStr">
        <is>
          <t>Medium</t>
        </is>
      </c>
      <c r="AA364" s="5" t="inlineStr">
        <is>
          <t>Medium</t>
        </is>
      </c>
      <c r="AB364" s="8" t="inlineStr">
        <is>
          <t>Low</t>
        </is>
      </c>
      <c r="AC364" s="8" t="inlineStr">
        <is>
          <t>Later</t>
        </is>
      </c>
      <c r="AD364" s="5" t="inlineStr">
        <is>
          <t>Not independently checked</t>
        </is>
      </c>
      <c r="AE364" s="5" t="inlineStr">
        <is>
          <t>Not verified</t>
        </is>
      </c>
      <c r="AF364" s="5" t="inlineStr">
        <is>
          <t>Not verified</t>
        </is>
      </c>
      <c r="AG364" s="5" t="inlineStr">
        <is>
          <t>Not verified</t>
        </is>
      </c>
      <c r="AH364" s="5" t="inlineStr">
        <is>
          <t>Not verified</t>
        </is>
      </c>
      <c r="AI364" s="8" t="inlineStr">
        <is>
          <t>No</t>
        </is>
      </c>
      <c r="AJ364" s="8" t="inlineStr">
        <is>
          <t>Claimed - unverified</t>
        </is>
      </c>
      <c r="AK364" s="8" t="inlineStr">
        <is>
          <t>P1</t>
        </is>
      </c>
      <c r="AL364" s="8" t="n">
        <v>6</v>
      </c>
      <c r="AM364" s="5" t="inlineStr"/>
      <c r="AN364" s="5" t="inlineStr"/>
      <c r="AO364" s="5" t="inlineStr"/>
      <c r="AP364" s="5" t="inlineStr"/>
      <c r="AQ364" s="5" t="inlineStr"/>
      <c r="AR364" s="5" t="inlineStr"/>
      <c r="AS364" s="5" t="inlineStr"/>
      <c r="AT364" s="5" t="inlineStr"/>
      <c r="AU364" s="8" t="inlineStr">
        <is>
          <t>Not run</t>
        </is>
      </c>
    </row>
    <row r="365" ht="32" customHeight="1">
      <c r="A365" s="16" t="inlineStr">
        <is>
          <t>X-0364</t>
        </is>
      </c>
      <c r="B365" s="8" t="inlineStr">
        <is>
          <t>X</t>
        </is>
      </c>
      <c r="C365" s="5" t="inlineStr">
        <is>
          <t>Multiple / Cross-persona</t>
        </is>
      </c>
      <c r="D365" s="5" t="inlineStr">
        <is>
          <t>Sales / CRM / Customer Lifecycle</t>
        </is>
      </c>
      <c r="E365" s="5" t="inlineStr">
        <is>
          <t>Support case → responsible employee assigned</t>
        </is>
      </c>
      <c r="F365" s="5" t="inlineStr">
        <is>
          <t>Customer Support Lead</t>
        </is>
      </c>
      <c r="G365" s="5" t="inlineStr">
        <is>
          <t>Assigned Staff Member</t>
        </is>
      </c>
      <c r="H365" s="5" t="inlineStr">
        <is>
          <t>Assign complaint to specific warehouse, sales, or accounting staff member for resolution</t>
        </is>
      </c>
      <c r="I365" s="5" t="inlineStr">
        <is>
          <t>Assigns ticket owner; triggers notification to assigned employee with SLA deadline</t>
        </is>
      </c>
      <c r="J365" s="20" t="inlineStr">
        <is>
          <t>P1</t>
        </is>
      </c>
      <c r="K365" s="20" t="inlineStr">
        <is>
          <t>Validated (Supported)</t>
        </is>
      </c>
      <c r="L365" s="5" t="inlineStr">
        <is>
          <t>Supported via ticket assignment and workflow routing in complaints app.</t>
        </is>
      </c>
      <c r="M365" s="8" t="inlineStr">
        <is>
          <t>Baseline</t>
        </is>
      </c>
      <c r="N365" s="8" t="inlineStr">
        <is>
          <t>Cross-persona</t>
        </is>
      </c>
      <c r="O365" s="8" t="inlineStr">
        <is>
          <t>P1</t>
        </is>
      </c>
      <c r="P365" s="5" t="inlineStr">
        <is>
          <t>Unchanged</t>
        </is>
      </c>
      <c r="Q365" s="20" t="inlineStr">
        <is>
          <t>Author assertion</t>
        </is>
      </c>
      <c r="R365" s="5" t="inlineStr"/>
      <c r="S365" s="8" t="inlineStr">
        <is>
          <t>CRM</t>
        </is>
      </c>
      <c r="T365" s="5" t="inlineStr">
        <is>
          <t>Sales and CRM lifecycle</t>
        </is>
      </c>
      <c r="U365" s="8" t="inlineStr"/>
      <c r="V365" s="8" t="inlineStr">
        <is>
          <t>crm</t>
        </is>
      </c>
      <c r="W365" s="8" t="inlineStr">
        <is>
          <t>GROW</t>
        </is>
      </c>
      <c r="X365" s="5" t="inlineStr">
        <is>
          <t>Core</t>
        </is>
      </c>
      <c r="Y365" s="5" t="inlineStr">
        <is>
          <t>Cross-persona</t>
        </is>
      </c>
      <c r="Z365" s="5" t="inlineStr">
        <is>
          <t>Medium</t>
        </is>
      </c>
      <c r="AA365" s="5" t="inlineStr">
        <is>
          <t>Medium</t>
        </is>
      </c>
      <c r="AB365" s="8" t="inlineStr">
        <is>
          <t>Low</t>
        </is>
      </c>
      <c r="AC365" s="8" t="inlineStr">
        <is>
          <t>Later</t>
        </is>
      </c>
      <c r="AD365" s="5" t="inlineStr">
        <is>
          <t>Not independently checked</t>
        </is>
      </c>
      <c r="AE365" s="5" t="inlineStr">
        <is>
          <t>Not verified</t>
        </is>
      </c>
      <c r="AF365" s="5" t="inlineStr">
        <is>
          <t>Not verified</t>
        </is>
      </c>
      <c r="AG365" s="5" t="inlineStr">
        <is>
          <t>Not verified</t>
        </is>
      </c>
      <c r="AH365" s="5" t="inlineStr">
        <is>
          <t>Not verified</t>
        </is>
      </c>
      <c r="AI365" s="8" t="inlineStr">
        <is>
          <t>No</t>
        </is>
      </c>
      <c r="AJ365" s="8" t="inlineStr">
        <is>
          <t>Claimed - unverified</t>
        </is>
      </c>
      <c r="AK365" s="8" t="inlineStr">
        <is>
          <t>P1</t>
        </is>
      </c>
      <c r="AL365" s="8" t="n">
        <v>6</v>
      </c>
      <c r="AM365" s="5" t="inlineStr"/>
      <c r="AN365" s="5" t="inlineStr"/>
      <c r="AO365" s="5" t="inlineStr"/>
      <c r="AP365" s="5" t="inlineStr"/>
      <c r="AQ365" s="5" t="inlineStr"/>
      <c r="AR365" s="5" t="inlineStr"/>
      <c r="AS365" s="5" t="inlineStr"/>
      <c r="AT365" s="5" t="inlineStr"/>
      <c r="AU365" s="8" t="inlineStr">
        <is>
          <t>Not run</t>
        </is>
      </c>
    </row>
    <row r="366" ht="32" customHeight="1">
      <c r="A366" s="16" t="inlineStr">
        <is>
          <t>X-0365</t>
        </is>
      </c>
      <c r="B366" s="8" t="inlineStr">
        <is>
          <t>X</t>
        </is>
      </c>
      <c r="C366" s="5" t="inlineStr">
        <is>
          <t>Multiple / Cross-persona</t>
        </is>
      </c>
      <c r="D366" s="5" t="inlineStr">
        <is>
          <t>Sales / CRM / Customer Lifecycle</t>
        </is>
      </c>
      <c r="E366" s="5" t="inlineStr">
        <is>
          <t>Complaint resolved → customer history updated</t>
        </is>
      </c>
      <c r="F366" s="5" t="inlineStr">
        <is>
          <t>Customer Support Staff</t>
        </is>
      </c>
      <c r="G366" s="5" t="inlineStr">
        <is>
          <t>Customer</t>
        </is>
      </c>
      <c r="H366" s="5" t="inlineStr">
        <is>
          <t>Document complaint resolution, customer satisfaction, and corrective action taken</t>
        </is>
      </c>
      <c r="I366" s="5" t="inlineStr">
        <is>
          <t>Closes SupportTicket; records resolution notes; updates customer satisfaction history</t>
        </is>
      </c>
      <c r="J366" s="20" t="inlineStr">
        <is>
          <t>P1</t>
        </is>
      </c>
      <c r="K366" s="20" t="inlineStr">
        <is>
          <t>Validated (Supported)</t>
        </is>
      </c>
      <c r="L366" s="5" t="inlineStr">
        <is>
          <t>Supported via Ticket Resolution workflow with customer closure notification.</t>
        </is>
      </c>
      <c r="M366" s="8" t="inlineStr">
        <is>
          <t>Baseline</t>
        </is>
      </c>
      <c r="N366" s="8" t="inlineStr">
        <is>
          <t>Cross-persona</t>
        </is>
      </c>
      <c r="O366" s="8" t="inlineStr">
        <is>
          <t>P1</t>
        </is>
      </c>
      <c r="P366" s="5" t="inlineStr">
        <is>
          <t>Unchanged</t>
        </is>
      </c>
      <c r="Q366" s="20" t="inlineStr">
        <is>
          <t>Author assertion</t>
        </is>
      </c>
      <c r="R366" s="5" t="inlineStr"/>
      <c r="S366" s="8" t="inlineStr">
        <is>
          <t>CRM</t>
        </is>
      </c>
      <c r="T366" s="5" t="inlineStr">
        <is>
          <t>Sales and CRM lifecycle</t>
        </is>
      </c>
      <c r="U366" s="8" t="inlineStr"/>
      <c r="V366" s="8" t="inlineStr">
        <is>
          <t>crm</t>
        </is>
      </c>
      <c r="W366" s="8" t="inlineStr">
        <is>
          <t>GROW</t>
        </is>
      </c>
      <c r="X366" s="5" t="inlineStr">
        <is>
          <t>Core</t>
        </is>
      </c>
      <c r="Y366" s="5" t="inlineStr">
        <is>
          <t>Cross-persona</t>
        </is>
      </c>
      <c r="Z366" s="5" t="inlineStr">
        <is>
          <t>Medium</t>
        </is>
      </c>
      <c r="AA366" s="5" t="inlineStr">
        <is>
          <t>Medium</t>
        </is>
      </c>
      <c r="AB366" s="8" t="inlineStr">
        <is>
          <t>Low</t>
        </is>
      </c>
      <c r="AC366" s="8" t="inlineStr">
        <is>
          <t>Later</t>
        </is>
      </c>
      <c r="AD366" s="5" t="inlineStr">
        <is>
          <t>Not independently checked</t>
        </is>
      </c>
      <c r="AE366" s="5" t="inlineStr">
        <is>
          <t>Not verified</t>
        </is>
      </c>
      <c r="AF366" s="5" t="inlineStr">
        <is>
          <t>Not verified</t>
        </is>
      </c>
      <c r="AG366" s="5" t="inlineStr">
        <is>
          <t>Not verified</t>
        </is>
      </c>
      <c r="AH366" s="5" t="inlineStr">
        <is>
          <t>Not verified</t>
        </is>
      </c>
      <c r="AI366" s="8" t="inlineStr">
        <is>
          <t>No</t>
        </is>
      </c>
      <c r="AJ366" s="8" t="inlineStr">
        <is>
          <t>Claimed - unverified</t>
        </is>
      </c>
      <c r="AK366" s="8" t="inlineStr">
        <is>
          <t>P1</t>
        </is>
      </c>
      <c r="AL366" s="8" t="n">
        <v>6</v>
      </c>
      <c r="AM366" s="5" t="inlineStr"/>
      <c r="AN366" s="5" t="inlineStr"/>
      <c r="AO366" s="5" t="inlineStr"/>
      <c r="AP366" s="5" t="inlineStr"/>
      <c r="AQ366" s="5" t="inlineStr"/>
      <c r="AR366" s="5" t="inlineStr"/>
      <c r="AS366" s="5" t="inlineStr"/>
      <c r="AT366" s="5" t="inlineStr"/>
      <c r="AU366" s="8" t="inlineStr">
        <is>
          <t>Not run</t>
        </is>
      </c>
    </row>
    <row r="367" ht="32" customHeight="1">
      <c r="A367" s="16" t="inlineStr">
        <is>
          <t>X-0366</t>
        </is>
      </c>
      <c r="B367" s="8" t="inlineStr">
        <is>
          <t>X</t>
        </is>
      </c>
      <c r="C367" s="5" t="inlineStr">
        <is>
          <t>Multiple / Cross-persona</t>
        </is>
      </c>
      <c r="D367" s="5" t="inlineStr">
        <is>
          <t>Sales / CRM / Customer Lifecycle</t>
        </is>
      </c>
      <c r="E367" s="5" t="inlineStr">
        <is>
          <t>Customer referral → referral recorded</t>
        </is>
      </c>
      <c r="F367" s="5" t="inlineStr">
        <is>
          <t>Sales Representative</t>
        </is>
      </c>
      <c r="G367" s="5" t="inlineStr">
        <is>
          <t>Existing Customer</t>
        </is>
      </c>
      <c r="H367" s="5" t="inlineStr">
        <is>
          <t>Track customer who referred a new client to credit referral commissions or loyalty points</t>
        </is>
      </c>
      <c r="I367" s="5" t="inlineStr">
        <is>
          <t>Links new customer to referring customer master; records referral commission liability</t>
        </is>
      </c>
      <c r="J367" s="20" t="inlineStr">
        <is>
          <t>P1</t>
        </is>
      </c>
      <c r="K367" s="20" t="inlineStr">
        <is>
          <t>Validated (Supported)</t>
        </is>
      </c>
      <c r="L367" s="5" t="inlineStr">
        <is>
          <t>Supported via CRM Customer Referral tracking.</t>
        </is>
      </c>
      <c r="M367" s="8" t="inlineStr">
        <is>
          <t>Baseline</t>
        </is>
      </c>
      <c r="N367" s="8" t="inlineStr">
        <is>
          <t>Cross-persona</t>
        </is>
      </c>
      <c r="O367" s="8" t="inlineStr">
        <is>
          <t>P1</t>
        </is>
      </c>
      <c r="P367" s="5" t="inlineStr">
        <is>
          <t>Unchanged</t>
        </is>
      </c>
      <c r="Q367" s="20" t="inlineStr">
        <is>
          <t>Author assertion</t>
        </is>
      </c>
      <c r="R367" s="5" t="inlineStr"/>
      <c r="S367" s="8" t="inlineStr">
        <is>
          <t>CRM</t>
        </is>
      </c>
      <c r="T367" s="5" t="inlineStr">
        <is>
          <t>Sales and CRM lifecycle</t>
        </is>
      </c>
      <c r="U367" s="8" t="inlineStr"/>
      <c r="V367" s="8" t="inlineStr">
        <is>
          <t>crm</t>
        </is>
      </c>
      <c r="W367" s="8" t="inlineStr">
        <is>
          <t>GROW</t>
        </is>
      </c>
      <c r="X367" s="5" t="inlineStr">
        <is>
          <t>Core</t>
        </is>
      </c>
      <c r="Y367" s="5" t="inlineStr">
        <is>
          <t>Cross-persona</t>
        </is>
      </c>
      <c r="Z367" s="5" t="inlineStr">
        <is>
          <t>Medium</t>
        </is>
      </c>
      <c r="AA367" s="5" t="inlineStr">
        <is>
          <t>Medium</t>
        </is>
      </c>
      <c r="AB367" s="8" t="inlineStr">
        <is>
          <t>Low</t>
        </is>
      </c>
      <c r="AC367" s="8" t="inlineStr">
        <is>
          <t>Later</t>
        </is>
      </c>
      <c r="AD367" s="5" t="inlineStr">
        <is>
          <t>Not independently checked</t>
        </is>
      </c>
      <c r="AE367" s="5" t="inlineStr">
        <is>
          <t>Not verified</t>
        </is>
      </c>
      <c r="AF367" s="5" t="inlineStr">
        <is>
          <t>Not verified</t>
        </is>
      </c>
      <c r="AG367" s="5" t="inlineStr">
        <is>
          <t>Not verified</t>
        </is>
      </c>
      <c r="AH367" s="5" t="inlineStr">
        <is>
          <t>Not verified</t>
        </is>
      </c>
      <c r="AI367" s="8" t="inlineStr">
        <is>
          <t>No</t>
        </is>
      </c>
      <c r="AJ367" s="8" t="inlineStr">
        <is>
          <t>Claimed - unverified</t>
        </is>
      </c>
      <c r="AK367" s="8" t="inlineStr">
        <is>
          <t>P1</t>
        </is>
      </c>
      <c r="AL367" s="8" t="n">
        <v>6</v>
      </c>
      <c r="AM367" s="5" t="inlineStr"/>
      <c r="AN367" s="5" t="inlineStr"/>
      <c r="AO367" s="5" t="inlineStr"/>
      <c r="AP367" s="5" t="inlineStr"/>
      <c r="AQ367" s="5" t="inlineStr"/>
      <c r="AR367" s="5" t="inlineStr"/>
      <c r="AS367" s="5" t="inlineStr"/>
      <c r="AT367" s="5" t="inlineStr"/>
      <c r="AU367" s="8" t="inlineStr">
        <is>
          <t>Not run</t>
        </is>
      </c>
    </row>
    <row r="368" ht="32" customHeight="1">
      <c r="A368" s="16" t="inlineStr">
        <is>
          <t>X-0367</t>
        </is>
      </c>
      <c r="B368" s="8" t="inlineStr">
        <is>
          <t>X</t>
        </is>
      </c>
      <c r="C368" s="5" t="inlineStr">
        <is>
          <t>Multiple / Cross-persona</t>
        </is>
      </c>
      <c r="D368" s="5" t="inlineStr">
        <is>
          <t>Sales / CRM / Customer Lifecycle</t>
        </is>
      </c>
      <c r="E368" s="5" t="inlineStr">
        <is>
          <t>Customer becomes inactive → follow-up opportunity identified</t>
        </is>
      </c>
      <c r="F368" s="5" t="inlineStr">
        <is>
          <t>Marketing / Sales Manager</t>
        </is>
      </c>
      <c r="G368" s="5" t="inlineStr">
        <is>
          <t>Sales Representative</t>
        </is>
      </c>
      <c r="H368" s="5" t="inlineStr">
        <is>
          <t>Identify previously regular customers who have not placed an order in 30/60/90 days</t>
        </is>
      </c>
      <c r="I368" s="5" t="inlineStr">
        <is>
          <t>Flags churn risk customers; automatically generates re-engagement call task for sales rep</t>
        </is>
      </c>
      <c r="J368" s="20" t="inlineStr">
        <is>
          <t>P1</t>
        </is>
      </c>
      <c r="K368" s="20" t="inlineStr">
        <is>
          <t>Validated (Supported)</t>
        </is>
      </c>
      <c r="L368" s="5" t="inlineStr">
        <is>
          <t>Supported via Customer Inactivity &amp; Churn Alert report.</t>
        </is>
      </c>
      <c r="M368" s="8" t="inlineStr">
        <is>
          <t>Baseline</t>
        </is>
      </c>
      <c r="N368" s="8" t="inlineStr">
        <is>
          <t>Cross-persona</t>
        </is>
      </c>
      <c r="O368" s="8" t="inlineStr">
        <is>
          <t>P1</t>
        </is>
      </c>
      <c r="P368" s="5" t="inlineStr">
        <is>
          <t>Unchanged</t>
        </is>
      </c>
      <c r="Q368" s="20" t="inlineStr">
        <is>
          <t>Author assertion</t>
        </is>
      </c>
      <c r="R368" s="5" t="inlineStr"/>
      <c r="S368" s="8" t="inlineStr">
        <is>
          <t>CRM</t>
        </is>
      </c>
      <c r="T368" s="5" t="inlineStr">
        <is>
          <t>Sales and CRM lifecycle</t>
        </is>
      </c>
      <c r="U368" s="8" t="inlineStr"/>
      <c r="V368" s="8" t="inlineStr">
        <is>
          <t>crm</t>
        </is>
      </c>
      <c r="W368" s="8" t="inlineStr">
        <is>
          <t>GROW</t>
        </is>
      </c>
      <c r="X368" s="5" t="inlineStr">
        <is>
          <t>Core</t>
        </is>
      </c>
      <c r="Y368" s="5" t="inlineStr">
        <is>
          <t>Cross-persona</t>
        </is>
      </c>
      <c r="Z368" s="5" t="inlineStr">
        <is>
          <t>Medium</t>
        </is>
      </c>
      <c r="AA368" s="5" t="inlineStr">
        <is>
          <t>Medium</t>
        </is>
      </c>
      <c r="AB368" s="8" t="inlineStr">
        <is>
          <t>Low</t>
        </is>
      </c>
      <c r="AC368" s="8" t="inlineStr">
        <is>
          <t>Later</t>
        </is>
      </c>
      <c r="AD368" s="5" t="inlineStr">
        <is>
          <t>Not independently checked</t>
        </is>
      </c>
      <c r="AE368" s="5" t="inlineStr">
        <is>
          <t>Not verified</t>
        </is>
      </c>
      <c r="AF368" s="5" t="inlineStr">
        <is>
          <t>Not verified</t>
        </is>
      </c>
      <c r="AG368" s="5" t="inlineStr">
        <is>
          <t>Not verified</t>
        </is>
      </c>
      <c r="AH368" s="5" t="inlineStr">
        <is>
          <t>Not verified</t>
        </is>
      </c>
      <c r="AI368" s="8" t="inlineStr">
        <is>
          <t>No</t>
        </is>
      </c>
      <c r="AJ368" s="8" t="inlineStr">
        <is>
          <t>Claimed - unverified</t>
        </is>
      </c>
      <c r="AK368" s="8" t="inlineStr">
        <is>
          <t>P1</t>
        </is>
      </c>
      <c r="AL368" s="8" t="n">
        <v>6</v>
      </c>
      <c r="AM368" s="5" t="inlineStr"/>
      <c r="AN368" s="5" t="inlineStr"/>
      <c r="AO368" s="5" t="inlineStr"/>
      <c r="AP368" s="5" t="inlineStr"/>
      <c r="AQ368" s="5" t="inlineStr"/>
      <c r="AR368" s="5" t="inlineStr"/>
      <c r="AS368" s="5" t="inlineStr"/>
      <c r="AT368" s="5" t="inlineStr"/>
      <c r="AU368" s="8" t="inlineStr">
        <is>
          <t>Not run</t>
        </is>
      </c>
    </row>
    <row r="369" ht="32" customHeight="1">
      <c r="A369" s="16" t="inlineStr">
        <is>
          <t>X-0368</t>
        </is>
      </c>
      <c r="B369" s="8" t="inlineStr">
        <is>
          <t>X</t>
        </is>
      </c>
      <c r="C369" s="5" t="inlineStr">
        <is>
          <t>Multiple / Cross-persona</t>
        </is>
      </c>
      <c r="D369" s="5" t="inlineStr">
        <is>
          <t>Sales / CRM / Customer Lifecycle</t>
        </is>
      </c>
      <c r="E369" s="5" t="inlineStr">
        <is>
          <t>Customer warranty/AMC → service obligation recorded</t>
        </is>
      </c>
      <c r="F369" s="5" t="inlineStr">
        <is>
          <t>Service Manager</t>
        </is>
      </c>
      <c r="G369" s="5" t="inlineStr">
        <is>
          <t>Customer</t>
        </is>
      </c>
      <c r="H369" s="5" t="inlineStr">
        <is>
          <t>Track warranty period, Annual Maintenance Contract (AMC), or service obligations</t>
        </is>
      </c>
      <c r="I369" s="5" t="inlineStr">
        <is>
          <t>Creates WarrantyContract record linked to sold serial number; schedules preventive service</t>
        </is>
      </c>
      <c r="J369" s="20" t="inlineStr">
        <is>
          <t>P1</t>
        </is>
      </c>
      <c r="K369" s="20" t="inlineStr">
        <is>
          <t>Validated (Supported)</t>
        </is>
      </c>
      <c r="L369" s="5" t="inlineStr">
        <is>
          <t>Supported via Contracts / Warranty module (/contracts/).</t>
        </is>
      </c>
      <c r="M369" s="8" t="inlineStr">
        <is>
          <t>Baseline</t>
        </is>
      </c>
      <c r="N369" s="8" t="inlineStr">
        <is>
          <t>Cross-persona</t>
        </is>
      </c>
      <c r="O369" s="8" t="inlineStr">
        <is>
          <t>P1</t>
        </is>
      </c>
      <c r="P369" s="5" t="inlineStr">
        <is>
          <t>Unchanged</t>
        </is>
      </c>
      <c r="Q369" s="20" t="inlineStr">
        <is>
          <t>Author assertion</t>
        </is>
      </c>
      <c r="R369" s="5" t="inlineStr"/>
      <c r="S369" s="8" t="inlineStr">
        <is>
          <t>CRM</t>
        </is>
      </c>
      <c r="T369" s="5" t="inlineStr">
        <is>
          <t>Sales and CRM lifecycle</t>
        </is>
      </c>
      <c r="U369" s="8" t="inlineStr"/>
      <c r="V369" s="8" t="inlineStr">
        <is>
          <t>crm</t>
        </is>
      </c>
      <c r="W369" s="8" t="inlineStr">
        <is>
          <t>GROW</t>
        </is>
      </c>
      <c r="X369" s="5" t="inlineStr">
        <is>
          <t>Core</t>
        </is>
      </c>
      <c r="Y369" s="5" t="inlineStr">
        <is>
          <t>Cross-persona</t>
        </is>
      </c>
      <c r="Z369" s="5" t="inlineStr">
        <is>
          <t>Medium</t>
        </is>
      </c>
      <c r="AA369" s="5" t="inlineStr">
        <is>
          <t>Medium</t>
        </is>
      </c>
      <c r="AB369" s="8" t="inlineStr">
        <is>
          <t>Low</t>
        </is>
      </c>
      <c r="AC369" s="8" t="inlineStr">
        <is>
          <t>Later</t>
        </is>
      </c>
      <c r="AD369" s="5" t="inlineStr">
        <is>
          <t>Not independently checked</t>
        </is>
      </c>
      <c r="AE369" s="5" t="inlineStr">
        <is>
          <t>Not verified</t>
        </is>
      </c>
      <c r="AF369" s="5" t="inlineStr">
        <is>
          <t>Not verified</t>
        </is>
      </c>
      <c r="AG369" s="5" t="inlineStr">
        <is>
          <t>Not verified</t>
        </is>
      </c>
      <c r="AH369" s="5" t="inlineStr">
        <is>
          <t>Not verified</t>
        </is>
      </c>
      <c r="AI369" s="8" t="inlineStr">
        <is>
          <t>No</t>
        </is>
      </c>
      <c r="AJ369" s="8" t="inlineStr">
        <is>
          <t>Claimed - unverified</t>
        </is>
      </c>
      <c r="AK369" s="8" t="inlineStr">
        <is>
          <t>P1</t>
        </is>
      </c>
      <c r="AL369" s="8" t="n">
        <v>6</v>
      </c>
      <c r="AM369" s="5" t="inlineStr"/>
      <c r="AN369" s="5" t="inlineStr"/>
      <c r="AO369" s="5" t="inlineStr"/>
      <c r="AP369" s="5" t="inlineStr"/>
      <c r="AQ369" s="5" t="inlineStr"/>
      <c r="AR369" s="5" t="inlineStr"/>
      <c r="AS369" s="5" t="inlineStr"/>
      <c r="AT369" s="5" t="inlineStr"/>
      <c r="AU369" s="8" t="inlineStr">
        <is>
          <t>Not run</t>
        </is>
      </c>
    </row>
    <row r="370" ht="32" customHeight="1">
      <c r="A370" s="16" t="inlineStr">
        <is>
          <t>X-0369</t>
        </is>
      </c>
      <c r="B370" s="8" t="inlineStr">
        <is>
          <t>X</t>
        </is>
      </c>
      <c r="C370" s="5" t="inlineStr">
        <is>
          <t>Multiple / Cross-persona</t>
        </is>
      </c>
      <c r="D370" s="5" t="inlineStr">
        <is>
          <t>Returns / Complaints / After-Sales</t>
        </is>
      </c>
      <c r="E370" s="5" t="inlineStr">
        <is>
          <t>Customer requests return</t>
        </is>
      </c>
      <c r="F370" s="5" t="inlineStr">
        <is>
          <t>Customer Support / Sales Clerk</t>
        </is>
      </c>
      <c r="G370" s="5" t="inlineStr">
        <is>
          <t>Customer</t>
        </is>
      </c>
      <c r="H370" s="5" t="inlineStr">
        <is>
          <t>Receive customer request to return items, logging reason (defective, wrong item, excess)</t>
        </is>
      </c>
      <c r="I370" s="5" t="inlineStr">
        <is>
          <t>Creates SalesReturn in DRAFT status referencing original sales invoice</t>
        </is>
      </c>
      <c r="J370" s="20" t="inlineStr">
        <is>
          <t>P1</t>
        </is>
      </c>
      <c r="K370" s="20" t="inlineStr">
        <is>
          <t>Validated (Supported)</t>
        </is>
      </c>
      <c r="L370" s="5" t="inlineStr">
        <is>
          <t>Supported via /sales/returns/create with invoice lookup.</t>
        </is>
      </c>
      <c r="M370" s="8" t="inlineStr">
        <is>
          <t>Baseline</t>
        </is>
      </c>
      <c r="N370" s="8" t="inlineStr">
        <is>
          <t>Cross-persona</t>
        </is>
      </c>
      <c r="O370" s="8" t="inlineStr">
        <is>
          <t>P1</t>
        </is>
      </c>
      <c r="P370" s="5" t="inlineStr">
        <is>
          <t>Unchanged</t>
        </is>
      </c>
      <c r="Q370" s="20" t="inlineStr">
        <is>
          <t>Author assertion</t>
        </is>
      </c>
      <c r="R370" s="5" t="inlineStr"/>
      <c r="S370" s="8" t="inlineStr">
        <is>
          <t>RET</t>
        </is>
      </c>
      <c r="T370" s="5" t="inlineStr">
        <is>
          <t>Returns, complaints, and after-sales</t>
        </is>
      </c>
      <c r="U370" s="8" t="inlineStr"/>
      <c r="V370" s="8" t="inlineStr">
        <is>
          <t>sales</t>
        </is>
      </c>
      <c r="W370" s="8" t="inlineStr">
        <is>
          <t>RUN</t>
        </is>
      </c>
      <c r="X370" s="5" t="inlineStr">
        <is>
          <t>Core</t>
        </is>
      </c>
      <c r="Y370" s="5" t="inlineStr">
        <is>
          <t>Cross-persona</t>
        </is>
      </c>
      <c r="Z370" s="5" t="inlineStr">
        <is>
          <t>Medium</t>
        </is>
      </c>
      <c r="AA370" s="5" t="inlineStr">
        <is>
          <t>Medium</t>
        </is>
      </c>
      <c r="AB370" s="8" t="inlineStr">
        <is>
          <t>Low</t>
        </is>
      </c>
      <c r="AC370" s="8" t="inlineStr">
        <is>
          <t>Pilot</t>
        </is>
      </c>
      <c r="AD370" s="5" t="inlineStr">
        <is>
          <t>Not independently checked</t>
        </is>
      </c>
      <c r="AE370" s="5" t="inlineStr">
        <is>
          <t>Not verified</t>
        </is>
      </c>
      <c r="AF370" s="5" t="inlineStr">
        <is>
          <t>Not verified</t>
        </is>
      </c>
      <c r="AG370" s="5" t="inlineStr">
        <is>
          <t>Not verified</t>
        </is>
      </c>
      <c r="AH370" s="5" t="inlineStr">
        <is>
          <t>Not verified</t>
        </is>
      </c>
      <c r="AI370" s="8" t="inlineStr">
        <is>
          <t>No</t>
        </is>
      </c>
      <c r="AJ370" s="8" t="inlineStr">
        <is>
          <t>Claimed - unverified</t>
        </is>
      </c>
      <c r="AK370" s="8" t="inlineStr">
        <is>
          <t>P1</t>
        </is>
      </c>
      <c r="AL370" s="8" t="n">
        <v>6</v>
      </c>
      <c r="AM370" s="5" t="inlineStr"/>
      <c r="AN370" s="5" t="inlineStr"/>
      <c r="AO370" s="5" t="inlineStr"/>
      <c r="AP370" s="5" t="inlineStr"/>
      <c r="AQ370" s="5" t="inlineStr"/>
      <c r="AR370" s="5" t="inlineStr"/>
      <c r="AS370" s="5" t="inlineStr"/>
      <c r="AT370" s="5" t="inlineStr"/>
      <c r="AU370" s="8" t="inlineStr">
        <is>
          <t>Not run</t>
        </is>
      </c>
    </row>
    <row r="371" ht="32" customHeight="1">
      <c r="A371" s="16" t="inlineStr">
        <is>
          <t>X-0370</t>
        </is>
      </c>
      <c r="B371" s="8" t="inlineStr">
        <is>
          <t>X</t>
        </is>
      </c>
      <c r="C371" s="5" t="inlineStr">
        <is>
          <t>Multiple / Cross-persona</t>
        </is>
      </c>
      <c r="D371" s="5" t="inlineStr">
        <is>
          <t>Returns / Complaints / After-Sales</t>
        </is>
      </c>
      <c r="E371" s="5" t="inlineStr">
        <is>
          <t>Salesperson creates return request</t>
        </is>
      </c>
      <c r="F371" s="5" t="inlineStr">
        <is>
          <t>Field Salesperson</t>
        </is>
      </c>
      <c r="G371" s="5" t="inlineStr">
        <is>
          <t>Customer / Store Manager</t>
        </is>
      </c>
      <c r="H371" s="5" t="inlineStr">
        <is>
          <t>Salesperson initiates return request on mobile app during customer site visit</t>
        </is>
      </c>
      <c r="I371" s="5" t="inlineStr">
        <is>
          <t>Submits return request with item photo and reason code for manager approval</t>
        </is>
      </c>
      <c r="J371" s="20" t="inlineStr">
        <is>
          <t>P1</t>
        </is>
      </c>
      <c r="K371" s="20" t="inlineStr">
        <is>
          <t>Validated (Supported)</t>
        </is>
      </c>
      <c r="L371" s="5" t="inlineStr">
        <is>
          <t>Supported via Mobile Return Request form.</t>
        </is>
      </c>
      <c r="M371" s="8" t="inlineStr">
        <is>
          <t>Baseline</t>
        </is>
      </c>
      <c r="N371" s="8" t="inlineStr">
        <is>
          <t>Cross-persona</t>
        </is>
      </c>
      <c r="O371" s="8" t="inlineStr">
        <is>
          <t>P1</t>
        </is>
      </c>
      <c r="P371" s="5" t="inlineStr">
        <is>
          <t>Unchanged</t>
        </is>
      </c>
      <c r="Q371" s="20" t="inlineStr">
        <is>
          <t>Author assertion</t>
        </is>
      </c>
      <c r="R371" s="5" t="inlineStr"/>
      <c r="S371" s="8" t="inlineStr">
        <is>
          <t>RET</t>
        </is>
      </c>
      <c r="T371" s="5" t="inlineStr">
        <is>
          <t>Returns, complaints, and after-sales</t>
        </is>
      </c>
      <c r="U371" s="8" t="inlineStr"/>
      <c r="V371" s="8" t="inlineStr">
        <is>
          <t>sales</t>
        </is>
      </c>
      <c r="W371" s="8" t="inlineStr">
        <is>
          <t>RUN</t>
        </is>
      </c>
      <c r="X371" s="5" t="inlineStr">
        <is>
          <t>Core</t>
        </is>
      </c>
      <c r="Y371" s="5" t="inlineStr">
        <is>
          <t>Cross-persona</t>
        </is>
      </c>
      <c r="Z371" s="5" t="inlineStr">
        <is>
          <t>Medium</t>
        </is>
      </c>
      <c r="AA371" s="5" t="inlineStr">
        <is>
          <t>Medium</t>
        </is>
      </c>
      <c r="AB371" s="8" t="inlineStr">
        <is>
          <t>Low</t>
        </is>
      </c>
      <c r="AC371" s="8" t="inlineStr">
        <is>
          <t>Pilot</t>
        </is>
      </c>
      <c r="AD371" s="5" t="inlineStr">
        <is>
          <t>Not independently checked</t>
        </is>
      </c>
      <c r="AE371" s="5" t="inlineStr">
        <is>
          <t>Not verified</t>
        </is>
      </c>
      <c r="AF371" s="5" t="inlineStr">
        <is>
          <t>Not verified</t>
        </is>
      </c>
      <c r="AG371" s="5" t="inlineStr">
        <is>
          <t>Not verified</t>
        </is>
      </c>
      <c r="AH371" s="5" t="inlineStr">
        <is>
          <t>Not verified</t>
        </is>
      </c>
      <c r="AI371" s="8" t="inlineStr">
        <is>
          <t>No</t>
        </is>
      </c>
      <c r="AJ371" s="8" t="inlineStr">
        <is>
          <t>Claimed - unverified</t>
        </is>
      </c>
      <c r="AK371" s="8" t="inlineStr">
        <is>
          <t>P1</t>
        </is>
      </c>
      <c r="AL371" s="8" t="n">
        <v>6</v>
      </c>
      <c r="AM371" s="5" t="inlineStr"/>
      <c r="AN371" s="5" t="inlineStr"/>
      <c r="AO371" s="5" t="inlineStr"/>
      <c r="AP371" s="5" t="inlineStr"/>
      <c r="AQ371" s="5" t="inlineStr"/>
      <c r="AR371" s="5" t="inlineStr"/>
      <c r="AS371" s="5" t="inlineStr"/>
      <c r="AT371" s="5" t="inlineStr"/>
      <c r="AU371" s="8" t="inlineStr">
        <is>
          <t>Not run</t>
        </is>
      </c>
    </row>
    <row r="372" ht="32" customHeight="1">
      <c r="A372" s="16" t="inlineStr">
        <is>
          <t>X-0371</t>
        </is>
      </c>
      <c r="B372" s="8" t="inlineStr">
        <is>
          <t>X</t>
        </is>
      </c>
      <c r="C372" s="5" t="inlineStr">
        <is>
          <t>Multiple / Cross-persona</t>
        </is>
      </c>
      <c r="D372" s="5" t="inlineStr">
        <is>
          <t>Returns / Complaints / After-Sales</t>
        </is>
      </c>
      <c r="E372" s="5" t="inlineStr">
        <is>
          <t>Manager approves return</t>
        </is>
      </c>
      <c r="F372" s="5" t="inlineStr">
        <is>
          <t>Store Manager / Operations Head</t>
        </is>
      </c>
      <c r="G372" s="5" t="inlineStr">
        <is>
          <t>Billing Clerk</t>
        </is>
      </c>
      <c r="H372" s="5" t="inlineStr">
        <is>
          <t>Manager verifies return justification and authorizes warehouse intake and credit issuance</t>
        </is>
      </c>
      <c r="I372" s="5" t="inlineStr">
        <is>
          <t>Updates SalesReturn status to APPROVED; authorizes warehouse inspection and credit note</t>
        </is>
      </c>
      <c r="J372" s="20" t="inlineStr">
        <is>
          <t>P1</t>
        </is>
      </c>
      <c r="K372" s="20" t="inlineStr">
        <is>
          <t>Validated (Supported)</t>
        </is>
      </c>
      <c r="L372" s="5" t="inlineStr">
        <is>
          <t>Supported via Manager Return Approval queue.</t>
        </is>
      </c>
      <c r="M372" s="8" t="inlineStr">
        <is>
          <t>Baseline</t>
        </is>
      </c>
      <c r="N372" s="8" t="inlineStr">
        <is>
          <t>Cross-persona</t>
        </is>
      </c>
      <c r="O372" s="8" t="inlineStr">
        <is>
          <t>P1</t>
        </is>
      </c>
      <c r="P372" s="5" t="inlineStr">
        <is>
          <t>Unchanged</t>
        </is>
      </c>
      <c r="Q372" s="20" t="inlineStr">
        <is>
          <t>Author assertion</t>
        </is>
      </c>
      <c r="R372" s="5" t="inlineStr"/>
      <c r="S372" s="8" t="inlineStr">
        <is>
          <t>RET</t>
        </is>
      </c>
      <c r="T372" s="5" t="inlineStr">
        <is>
          <t>Returns, complaints, and after-sales</t>
        </is>
      </c>
      <c r="U372" s="8" t="inlineStr"/>
      <c r="V372" s="8" t="inlineStr">
        <is>
          <t>sales</t>
        </is>
      </c>
      <c r="W372" s="8" t="inlineStr">
        <is>
          <t>RUN</t>
        </is>
      </c>
      <c r="X372" s="5" t="inlineStr">
        <is>
          <t>Core</t>
        </is>
      </c>
      <c r="Y372" s="5" t="inlineStr">
        <is>
          <t>Cross-persona</t>
        </is>
      </c>
      <c r="Z372" s="5" t="inlineStr">
        <is>
          <t>Medium</t>
        </is>
      </c>
      <c r="AA372" s="5" t="inlineStr">
        <is>
          <t>Medium</t>
        </is>
      </c>
      <c r="AB372" s="8" t="inlineStr">
        <is>
          <t>Low</t>
        </is>
      </c>
      <c r="AC372" s="8" t="inlineStr">
        <is>
          <t>Pilot</t>
        </is>
      </c>
      <c r="AD372" s="5" t="inlineStr">
        <is>
          <t>Not independently checked</t>
        </is>
      </c>
      <c r="AE372" s="5" t="inlineStr">
        <is>
          <t>Not verified</t>
        </is>
      </c>
      <c r="AF372" s="5" t="inlineStr">
        <is>
          <t>Not verified</t>
        </is>
      </c>
      <c r="AG372" s="5" t="inlineStr">
        <is>
          <t>Not verified</t>
        </is>
      </c>
      <c r="AH372" s="5" t="inlineStr">
        <is>
          <t>Not verified</t>
        </is>
      </c>
      <c r="AI372" s="8" t="inlineStr">
        <is>
          <t>No</t>
        </is>
      </c>
      <c r="AJ372" s="8" t="inlineStr">
        <is>
          <t>Claimed - unverified</t>
        </is>
      </c>
      <c r="AK372" s="8" t="inlineStr">
        <is>
          <t>P1</t>
        </is>
      </c>
      <c r="AL372" s="8" t="n">
        <v>6</v>
      </c>
      <c r="AM372" s="5" t="inlineStr"/>
      <c r="AN372" s="5" t="inlineStr"/>
      <c r="AO372" s="5" t="inlineStr"/>
      <c r="AP372" s="5" t="inlineStr"/>
      <c r="AQ372" s="5" t="inlineStr"/>
      <c r="AR372" s="5" t="inlineStr"/>
      <c r="AS372" s="5" t="inlineStr"/>
      <c r="AT372" s="5" t="inlineStr"/>
      <c r="AU372" s="8" t="inlineStr">
        <is>
          <t>Not run</t>
        </is>
      </c>
    </row>
    <row r="373" ht="32" customHeight="1">
      <c r="A373" s="16" t="inlineStr">
        <is>
          <t>X-0372</t>
        </is>
      </c>
      <c r="B373" s="8" t="inlineStr">
        <is>
          <t>X</t>
        </is>
      </c>
      <c r="C373" s="5" t="inlineStr">
        <is>
          <t>Multiple / Cross-persona</t>
        </is>
      </c>
      <c r="D373" s="5" t="inlineStr">
        <is>
          <t>Returns / Complaints / After-Sales</t>
        </is>
      </c>
      <c r="E373" s="5" t="inlineStr">
        <is>
          <t>Warehouse receives returned goods</t>
        </is>
      </c>
      <c r="F373" s="5" t="inlineStr">
        <is>
          <t>Godown Custodian</t>
        </is>
      </c>
      <c r="G373" s="5" t="inlineStr">
        <is>
          <t>Customer / Delivery Driver</t>
        </is>
      </c>
      <c r="H373" s="5" t="inlineStr">
        <is>
          <t>Physical intake of returned items at warehouse receiving dock</t>
        </is>
      </c>
      <c r="I373" s="5" t="inlineStr">
        <is>
          <t>Records physical package arrival; initiates quality inspection process</t>
        </is>
      </c>
      <c r="J373" s="20" t="inlineStr">
        <is>
          <t>P1</t>
        </is>
      </c>
      <c r="K373" s="20" t="inlineStr">
        <is>
          <t>Validated (Supported)</t>
        </is>
      </c>
      <c r="L373" s="5" t="inlineStr">
        <is>
          <t>Supported via Return Intake step in warehouse receiving.</t>
        </is>
      </c>
      <c r="M373" s="8" t="inlineStr">
        <is>
          <t>Baseline</t>
        </is>
      </c>
      <c r="N373" s="8" t="inlineStr">
        <is>
          <t>Cross-persona</t>
        </is>
      </c>
      <c r="O373" s="8" t="inlineStr">
        <is>
          <t>P1</t>
        </is>
      </c>
      <c r="P373" s="5" t="inlineStr">
        <is>
          <t>Unchanged</t>
        </is>
      </c>
      <c r="Q373" s="20" t="inlineStr">
        <is>
          <t>Author assertion</t>
        </is>
      </c>
      <c r="R373" s="5" t="inlineStr"/>
      <c r="S373" s="8" t="inlineStr">
        <is>
          <t>RET</t>
        </is>
      </c>
      <c r="T373" s="5" t="inlineStr">
        <is>
          <t>Returns, complaints, and after-sales</t>
        </is>
      </c>
      <c r="U373" s="8" t="inlineStr"/>
      <c r="V373" s="8" t="inlineStr">
        <is>
          <t>sales</t>
        </is>
      </c>
      <c r="W373" s="8" t="inlineStr">
        <is>
          <t>RUN</t>
        </is>
      </c>
      <c r="X373" s="5" t="inlineStr">
        <is>
          <t>Core</t>
        </is>
      </c>
      <c r="Y373" s="5" t="inlineStr">
        <is>
          <t>Cross-persona</t>
        </is>
      </c>
      <c r="Z373" s="5" t="inlineStr">
        <is>
          <t>Medium</t>
        </is>
      </c>
      <c r="AA373" s="5" t="inlineStr">
        <is>
          <t>Medium</t>
        </is>
      </c>
      <c r="AB373" s="8" t="inlineStr">
        <is>
          <t>Low</t>
        </is>
      </c>
      <c r="AC373" s="8" t="inlineStr">
        <is>
          <t>Pilot</t>
        </is>
      </c>
      <c r="AD373" s="5" t="inlineStr">
        <is>
          <t>Not independently checked</t>
        </is>
      </c>
      <c r="AE373" s="5" t="inlineStr">
        <is>
          <t>Not verified</t>
        </is>
      </c>
      <c r="AF373" s="5" t="inlineStr">
        <is>
          <t>Not verified</t>
        </is>
      </c>
      <c r="AG373" s="5" t="inlineStr">
        <is>
          <t>Not verified</t>
        </is>
      </c>
      <c r="AH373" s="5" t="inlineStr">
        <is>
          <t>Not verified</t>
        </is>
      </c>
      <c r="AI373" s="8" t="inlineStr">
        <is>
          <t>No</t>
        </is>
      </c>
      <c r="AJ373" s="8" t="inlineStr">
        <is>
          <t>Claimed - unverified</t>
        </is>
      </c>
      <c r="AK373" s="8" t="inlineStr">
        <is>
          <t>P1</t>
        </is>
      </c>
      <c r="AL373" s="8" t="n">
        <v>6</v>
      </c>
      <c r="AM373" s="5" t="inlineStr"/>
      <c r="AN373" s="5" t="inlineStr"/>
      <c r="AO373" s="5" t="inlineStr"/>
      <c r="AP373" s="5" t="inlineStr"/>
      <c r="AQ373" s="5" t="inlineStr"/>
      <c r="AR373" s="5" t="inlineStr"/>
      <c r="AS373" s="5" t="inlineStr"/>
      <c r="AT373" s="5" t="inlineStr"/>
      <c r="AU373" s="8" t="inlineStr">
        <is>
          <t>Not run</t>
        </is>
      </c>
    </row>
    <row r="374" ht="32" customHeight="1">
      <c r="A374" s="16" t="inlineStr">
        <is>
          <t>X-0373</t>
        </is>
      </c>
      <c r="B374" s="8" t="inlineStr">
        <is>
          <t>X</t>
        </is>
      </c>
      <c r="C374" s="5" t="inlineStr">
        <is>
          <t>Multiple / Cross-persona</t>
        </is>
      </c>
      <c r="D374" s="5" t="inlineStr">
        <is>
          <t>Returns / Complaints / After-Sales</t>
        </is>
      </c>
      <c r="E374" s="5" t="inlineStr">
        <is>
          <t>Returned goods inspected</t>
        </is>
      </c>
      <c r="F374" s="5" t="inlineStr">
        <is>
          <t>Quality Inspector / Custodian</t>
        </is>
      </c>
      <c r="G374" s="5" t="inlineStr">
        <is>
          <t>Warehouse Manager</t>
        </is>
      </c>
      <c r="H374" s="5" t="inlineStr">
        <is>
          <t>Inspect returned goods to determine if items are resaleable, repairable, or total scrap</t>
        </is>
      </c>
      <c r="I374" s="5" t="inlineStr">
        <is>
          <t>Tags item condition (RESELLABLE, DAMAGED, EXPIRED); determines restocking path</t>
        </is>
      </c>
      <c r="J374" s="20" t="inlineStr">
        <is>
          <t>P1</t>
        </is>
      </c>
      <c r="K374" s="20" t="inlineStr">
        <is>
          <t>Validated (Supported)</t>
        </is>
      </c>
      <c r="L374" s="5" t="inlineStr">
        <is>
          <t>Supported via Return Inspection modal with condition grading.</t>
        </is>
      </c>
      <c r="M374" s="8" t="inlineStr">
        <is>
          <t>Baseline</t>
        </is>
      </c>
      <c r="N374" s="8" t="inlineStr">
        <is>
          <t>Cross-persona</t>
        </is>
      </c>
      <c r="O374" s="8" t="inlineStr">
        <is>
          <t>P1</t>
        </is>
      </c>
      <c r="P374" s="5" t="inlineStr">
        <is>
          <t>Unchanged</t>
        </is>
      </c>
      <c r="Q374" s="20" t="inlineStr">
        <is>
          <t>Author assertion</t>
        </is>
      </c>
      <c r="R374" s="5" t="inlineStr"/>
      <c r="S374" s="8" t="inlineStr">
        <is>
          <t>RET</t>
        </is>
      </c>
      <c r="T374" s="5" t="inlineStr">
        <is>
          <t>Returns, complaints, and after-sales</t>
        </is>
      </c>
      <c r="U374" s="8" t="inlineStr"/>
      <c r="V374" s="8" t="inlineStr">
        <is>
          <t>sales</t>
        </is>
      </c>
      <c r="W374" s="8" t="inlineStr">
        <is>
          <t>RUN</t>
        </is>
      </c>
      <c r="X374" s="5" t="inlineStr">
        <is>
          <t>Core</t>
        </is>
      </c>
      <c r="Y374" s="5" t="inlineStr">
        <is>
          <t>Cross-persona</t>
        </is>
      </c>
      <c r="Z374" s="5" t="inlineStr">
        <is>
          <t>Medium</t>
        </is>
      </c>
      <c r="AA374" s="5" t="inlineStr">
        <is>
          <t>Medium</t>
        </is>
      </c>
      <c r="AB374" s="8" t="inlineStr">
        <is>
          <t>Low</t>
        </is>
      </c>
      <c r="AC374" s="8" t="inlineStr">
        <is>
          <t>Pilot</t>
        </is>
      </c>
      <c r="AD374" s="5" t="inlineStr">
        <is>
          <t>Not independently checked</t>
        </is>
      </c>
      <c r="AE374" s="5" t="inlineStr">
        <is>
          <t>Not verified</t>
        </is>
      </c>
      <c r="AF374" s="5" t="inlineStr">
        <is>
          <t>Not verified</t>
        </is>
      </c>
      <c r="AG374" s="5" t="inlineStr">
        <is>
          <t>Not verified</t>
        </is>
      </c>
      <c r="AH374" s="5" t="inlineStr">
        <is>
          <t>Not verified</t>
        </is>
      </c>
      <c r="AI374" s="8" t="inlineStr">
        <is>
          <t>No</t>
        </is>
      </c>
      <c r="AJ374" s="8" t="inlineStr">
        <is>
          <t>Claimed - unverified</t>
        </is>
      </c>
      <c r="AK374" s="8" t="inlineStr">
        <is>
          <t>P1</t>
        </is>
      </c>
      <c r="AL374" s="8" t="n">
        <v>6</v>
      </c>
      <c r="AM374" s="5" t="inlineStr"/>
      <c r="AN374" s="5" t="inlineStr"/>
      <c r="AO374" s="5" t="inlineStr"/>
      <c r="AP374" s="5" t="inlineStr"/>
      <c r="AQ374" s="5" t="inlineStr"/>
      <c r="AR374" s="5" t="inlineStr"/>
      <c r="AS374" s="5" t="inlineStr"/>
      <c r="AT374" s="5" t="inlineStr"/>
      <c r="AU374" s="8" t="inlineStr">
        <is>
          <t>Not run</t>
        </is>
      </c>
    </row>
    <row r="375" ht="32" customHeight="1">
      <c r="A375" s="16" t="inlineStr">
        <is>
          <t>X-0374</t>
        </is>
      </c>
      <c r="B375" s="8" t="inlineStr">
        <is>
          <t>X</t>
        </is>
      </c>
      <c r="C375" s="5" t="inlineStr">
        <is>
          <t>Multiple / Cross-persona</t>
        </is>
      </c>
      <c r="D375" s="5" t="inlineStr">
        <is>
          <t>Returns / Complaints / After-Sales</t>
        </is>
      </c>
      <c r="E375" s="5" t="inlineStr">
        <is>
          <t>Good stock → inventory restored</t>
        </is>
      </c>
      <c r="F375" s="5" t="inlineStr">
        <is>
          <t>System / Inventory Ledger</t>
        </is>
      </c>
      <c r="G375" s="5" t="inlineStr">
        <is>
          <t>Godown Custodian</t>
        </is>
      </c>
      <c r="H375" s="5" t="inlineStr">
        <is>
          <t>Undamaged returned goods restored to active warehouse inventory for resale</t>
        </is>
      </c>
      <c r="I375" s="5" t="inlineStr">
        <is>
          <t>Creates StockMovement (RETURN_INWARD); increments warehouse StockBalance</t>
        </is>
      </c>
      <c r="J375" s="20" t="inlineStr">
        <is>
          <t>P1</t>
        </is>
      </c>
      <c r="K375" s="20" t="inlineStr">
        <is>
          <t>Validated (Supported)</t>
        </is>
      </c>
      <c r="L375" s="5" t="inlineStr">
        <is>
          <t>Core system invariant: approved return restores inventory balance atomically.</t>
        </is>
      </c>
      <c r="M375" s="8" t="inlineStr">
        <is>
          <t>Baseline</t>
        </is>
      </c>
      <c r="N375" s="8" t="inlineStr">
        <is>
          <t>Cross-persona</t>
        </is>
      </c>
      <c r="O375" s="8" t="inlineStr">
        <is>
          <t>P1</t>
        </is>
      </c>
      <c r="P375" s="5" t="inlineStr">
        <is>
          <t>Restored to authored P1. The previous workbook had P0 after a keyword rebalance.</t>
        </is>
      </c>
      <c r="Q375" s="20" t="inlineStr">
        <is>
          <t>Author assertion</t>
        </is>
      </c>
      <c r="R375" s="5" t="inlineStr">
        <is>
          <t>Restored to authored P1. The previous workbook had P0 after a keyword rebalance.</t>
        </is>
      </c>
      <c r="S375" s="8" t="inlineStr">
        <is>
          <t>RET</t>
        </is>
      </c>
      <c r="T375" s="5" t="inlineStr">
        <is>
          <t>Returns, complaints, and after-sales</t>
        </is>
      </c>
      <c r="U375" s="8" t="inlineStr"/>
      <c r="V375" s="8" t="inlineStr">
        <is>
          <t>sales</t>
        </is>
      </c>
      <c r="W375" s="8" t="inlineStr">
        <is>
          <t>RUN</t>
        </is>
      </c>
      <c r="X375" s="5" t="inlineStr">
        <is>
          <t>Core</t>
        </is>
      </c>
      <c r="Y375" s="5" t="inlineStr">
        <is>
          <t>Cross-persona</t>
        </is>
      </c>
      <c r="Z375" s="5" t="inlineStr">
        <is>
          <t>Medium</t>
        </is>
      </c>
      <c r="AA375" s="5" t="inlineStr">
        <is>
          <t>Medium</t>
        </is>
      </c>
      <c r="AB375" s="8" t="inlineStr">
        <is>
          <t>Low</t>
        </is>
      </c>
      <c r="AC375" s="8" t="inlineStr">
        <is>
          <t>Pilot</t>
        </is>
      </c>
      <c r="AD375" s="5" t="inlineStr">
        <is>
          <t>Not independently checked</t>
        </is>
      </c>
      <c r="AE375" s="5" t="inlineStr">
        <is>
          <t>Not verified</t>
        </is>
      </c>
      <c r="AF375" s="5" t="inlineStr">
        <is>
          <t>Not verified</t>
        </is>
      </c>
      <c r="AG375" s="5" t="inlineStr">
        <is>
          <t>Not verified</t>
        </is>
      </c>
      <c r="AH375" s="5" t="inlineStr">
        <is>
          <t>Not verified</t>
        </is>
      </c>
      <c r="AI375" s="8" t="inlineStr">
        <is>
          <t>No</t>
        </is>
      </c>
      <c r="AJ375" s="8" t="inlineStr">
        <is>
          <t>Claimed - unverified</t>
        </is>
      </c>
      <c r="AK375" s="8" t="inlineStr">
        <is>
          <t>P1</t>
        </is>
      </c>
      <c r="AL375" s="8" t="n">
        <v>6</v>
      </c>
      <c r="AM375" s="5" t="inlineStr"/>
      <c r="AN375" s="5" t="inlineStr"/>
      <c r="AO375" s="5" t="inlineStr"/>
      <c r="AP375" s="5" t="inlineStr"/>
      <c r="AQ375" s="5" t="inlineStr"/>
      <c r="AR375" s="5" t="inlineStr"/>
      <c r="AS375" s="5" t="inlineStr"/>
      <c r="AT375" s="5" t="inlineStr"/>
      <c r="AU375" s="8" t="inlineStr">
        <is>
          <t>Not run</t>
        </is>
      </c>
    </row>
    <row r="376" ht="32" customHeight="1">
      <c r="A376" s="16" t="inlineStr">
        <is>
          <t>X-0375</t>
        </is>
      </c>
      <c r="B376" s="8" t="inlineStr">
        <is>
          <t>X</t>
        </is>
      </c>
      <c r="C376" s="5" t="inlineStr">
        <is>
          <t>Multiple / Cross-persona</t>
        </is>
      </c>
      <c r="D376" s="5" t="inlineStr">
        <is>
          <t>Returns / Complaints / After-Sales</t>
        </is>
      </c>
      <c r="E376" s="5" t="inlineStr">
        <is>
          <t>Damaged return → damaged inventory recorded</t>
        </is>
      </c>
      <c r="F376" s="5" t="inlineStr">
        <is>
          <t>Godown Custodian</t>
        </is>
      </c>
      <c r="G376" s="5" t="inlineStr">
        <is>
          <t>Supplier / Scrap Dealer</t>
        </is>
      </c>
      <c r="H376" s="5" t="inlineStr">
        <is>
          <t>Damaged or broken returns routed to scrap/damaged quarantine location</t>
        </is>
      </c>
      <c r="I376" s="5" t="inlineStr">
        <is>
          <t>Transfers item to DAMAGED warehouse bin; prevents accidental customer resale</t>
        </is>
      </c>
      <c r="J376" s="20" t="inlineStr">
        <is>
          <t>P1</t>
        </is>
      </c>
      <c r="K376" s="20" t="inlineStr">
        <is>
          <t>Validated (Supported)</t>
        </is>
      </c>
      <c r="L376" s="5" t="inlineStr">
        <is>
          <t>Supported via damaged inventory segregation on return receipt.</t>
        </is>
      </c>
      <c r="M376" s="8" t="inlineStr">
        <is>
          <t>Baseline</t>
        </is>
      </c>
      <c r="N376" s="8" t="inlineStr">
        <is>
          <t>Cross-persona</t>
        </is>
      </c>
      <c r="O376" s="8" t="inlineStr">
        <is>
          <t>P1</t>
        </is>
      </c>
      <c r="P376" s="5" t="inlineStr">
        <is>
          <t>Unchanged</t>
        </is>
      </c>
      <c r="Q376" s="20" t="inlineStr">
        <is>
          <t>Author assertion</t>
        </is>
      </c>
      <c r="R376" s="5" t="inlineStr"/>
      <c r="S376" s="8" t="inlineStr">
        <is>
          <t>RET</t>
        </is>
      </c>
      <c r="T376" s="5" t="inlineStr">
        <is>
          <t>Returns, complaints, and after-sales</t>
        </is>
      </c>
      <c r="U376" s="8" t="inlineStr"/>
      <c r="V376" s="8" t="inlineStr">
        <is>
          <t>sales</t>
        </is>
      </c>
      <c r="W376" s="8" t="inlineStr">
        <is>
          <t>RUN</t>
        </is>
      </c>
      <c r="X376" s="5" t="inlineStr">
        <is>
          <t>Core</t>
        </is>
      </c>
      <c r="Y376" s="5" t="inlineStr">
        <is>
          <t>Cross-persona</t>
        </is>
      </c>
      <c r="Z376" s="5" t="inlineStr">
        <is>
          <t>Medium</t>
        </is>
      </c>
      <c r="AA376" s="5" t="inlineStr">
        <is>
          <t>Medium</t>
        </is>
      </c>
      <c r="AB376" s="8" t="inlineStr">
        <is>
          <t>Low</t>
        </is>
      </c>
      <c r="AC376" s="8" t="inlineStr">
        <is>
          <t>Pilot</t>
        </is>
      </c>
      <c r="AD376" s="5" t="inlineStr">
        <is>
          <t>Not independently checked</t>
        </is>
      </c>
      <c r="AE376" s="5" t="inlineStr">
        <is>
          <t>Not verified</t>
        </is>
      </c>
      <c r="AF376" s="5" t="inlineStr">
        <is>
          <t>Not verified</t>
        </is>
      </c>
      <c r="AG376" s="5" t="inlineStr">
        <is>
          <t>Not verified</t>
        </is>
      </c>
      <c r="AH376" s="5" t="inlineStr">
        <is>
          <t>Not verified</t>
        </is>
      </c>
      <c r="AI376" s="8" t="inlineStr">
        <is>
          <t>No</t>
        </is>
      </c>
      <c r="AJ376" s="8" t="inlineStr">
        <is>
          <t>Claimed - unverified</t>
        </is>
      </c>
      <c r="AK376" s="8" t="inlineStr">
        <is>
          <t>P1</t>
        </is>
      </c>
      <c r="AL376" s="8" t="n">
        <v>6</v>
      </c>
      <c r="AM376" s="5" t="inlineStr"/>
      <c r="AN376" s="5" t="inlineStr"/>
      <c r="AO376" s="5" t="inlineStr"/>
      <c r="AP376" s="5" t="inlineStr"/>
      <c r="AQ376" s="5" t="inlineStr"/>
      <c r="AR376" s="5" t="inlineStr"/>
      <c r="AS376" s="5" t="inlineStr"/>
      <c r="AT376" s="5" t="inlineStr"/>
      <c r="AU376" s="8" t="inlineStr">
        <is>
          <t>Not run</t>
        </is>
      </c>
    </row>
    <row r="377" ht="32" customHeight="1">
      <c r="A377" s="16" t="inlineStr">
        <is>
          <t>X-0376</t>
        </is>
      </c>
      <c r="B377" s="8" t="inlineStr">
        <is>
          <t>X</t>
        </is>
      </c>
      <c r="C377" s="5" t="inlineStr">
        <is>
          <t>Multiple / Cross-persona</t>
        </is>
      </c>
      <c r="D377" s="5" t="inlineStr">
        <is>
          <t>Returns / Complaints / After-Sales</t>
        </is>
      </c>
      <c r="E377" s="5" t="inlineStr">
        <is>
          <t>Return → customer credit created</t>
        </is>
      </c>
      <c r="F377" s="5" t="inlineStr">
        <is>
          <t>In-house Accountant</t>
        </is>
      </c>
      <c r="G377" s="5" t="inlineStr">
        <is>
          <t>Customer</t>
        </is>
      </c>
      <c r="H377" s="5" t="inlineStr">
        <is>
          <t>Issue official GST-compliant Credit Note crediting customer's account for return value</t>
        </is>
      </c>
      <c r="I377" s="5" t="inlineStr">
        <is>
          <t>Generates SalesCreditNote; reduces customer Accounts Receivable balance</t>
        </is>
      </c>
      <c r="J377" s="20" t="inlineStr">
        <is>
          <t>P1</t>
        </is>
      </c>
      <c r="K377" s="20" t="inlineStr">
        <is>
          <t>Validated (Supported)</t>
        </is>
      </c>
      <c r="L377" s="5" t="inlineStr">
        <is>
          <t>Supported via SalesReturn completion; auto-generates SalesCreditNote.</t>
        </is>
      </c>
      <c r="M377" s="8" t="inlineStr">
        <is>
          <t>Baseline</t>
        </is>
      </c>
      <c r="N377" s="8" t="inlineStr">
        <is>
          <t>Cross-persona</t>
        </is>
      </c>
      <c r="O377" s="8" t="inlineStr">
        <is>
          <t>P1</t>
        </is>
      </c>
      <c r="P377" s="5" t="inlineStr">
        <is>
          <t>Unchanged</t>
        </is>
      </c>
      <c r="Q377" s="21" t="inlineStr">
        <is>
          <t>Code symbol found</t>
        </is>
      </c>
      <c r="R377" s="5" t="inlineStr">
        <is>
          <t>Matched SalesCreditNote in product code. This is not a functional test.</t>
        </is>
      </c>
      <c r="S377" s="8" t="inlineStr">
        <is>
          <t>RET</t>
        </is>
      </c>
      <c r="T377" s="5" t="inlineStr">
        <is>
          <t>Returns, complaints, and after-sales</t>
        </is>
      </c>
      <c r="U377" s="8" t="inlineStr"/>
      <c r="V377" s="8" t="inlineStr">
        <is>
          <t>sales</t>
        </is>
      </c>
      <c r="W377" s="8" t="inlineStr">
        <is>
          <t>RUN</t>
        </is>
      </c>
      <c r="X377" s="5" t="inlineStr">
        <is>
          <t>Core</t>
        </is>
      </c>
      <c r="Y377" s="5" t="inlineStr">
        <is>
          <t>Cross-persona</t>
        </is>
      </c>
      <c r="Z377" s="5" t="inlineStr">
        <is>
          <t>Medium</t>
        </is>
      </c>
      <c r="AA377" s="5" t="inlineStr">
        <is>
          <t>Medium</t>
        </is>
      </c>
      <c r="AB377" s="8" t="inlineStr">
        <is>
          <t>Low</t>
        </is>
      </c>
      <c r="AC377" s="8" t="inlineStr">
        <is>
          <t>Pilot</t>
        </is>
      </c>
      <c r="AD377" s="5" t="inlineStr">
        <is>
          <t>Cited in code</t>
        </is>
      </c>
      <c r="AE377" s="5" t="inlineStr">
        <is>
          <t>Not verified</t>
        </is>
      </c>
      <c r="AF377" s="5" t="inlineStr">
        <is>
          <t>Not verified</t>
        </is>
      </c>
      <c r="AG377" s="5" t="inlineStr">
        <is>
          <t>Not verified</t>
        </is>
      </c>
      <c r="AH377" s="5" t="inlineStr">
        <is>
          <t>Not verified</t>
        </is>
      </c>
      <c r="AI377" s="8" t="inlineStr">
        <is>
          <t>No</t>
        </is>
      </c>
      <c r="AJ377" s="8" t="inlineStr">
        <is>
          <t>Built - unverified</t>
        </is>
      </c>
      <c r="AK377" s="8" t="inlineStr">
        <is>
          <t>P1</t>
        </is>
      </c>
      <c r="AL377" s="8" t="n">
        <v>6</v>
      </c>
      <c r="AM377" s="5" t="inlineStr"/>
      <c r="AN377" s="5" t="inlineStr"/>
      <c r="AO377" s="5" t="inlineStr"/>
      <c r="AP377" s="5" t="inlineStr"/>
      <c r="AQ377" s="5" t="inlineStr"/>
      <c r="AR377" s="5" t="inlineStr"/>
      <c r="AS377" s="5" t="inlineStr"/>
      <c r="AT377" s="5" t="inlineStr"/>
      <c r="AU377" s="8" t="inlineStr">
        <is>
          <t>Not run</t>
        </is>
      </c>
    </row>
    <row r="378" ht="32" customHeight="1">
      <c r="A378" s="16" t="inlineStr">
        <is>
          <t>X-0377</t>
        </is>
      </c>
      <c r="B378" s="8" t="inlineStr">
        <is>
          <t>X</t>
        </is>
      </c>
      <c r="C378" s="5" t="inlineStr">
        <is>
          <t>Multiple / Cross-persona</t>
        </is>
      </c>
      <c r="D378" s="5" t="inlineStr">
        <is>
          <t>Returns / Complaints / After-Sales</t>
        </is>
      </c>
      <c r="E378" s="5" t="inlineStr">
        <is>
          <t>Return → refund initiated</t>
        </is>
      </c>
      <c r="F378" s="5" t="inlineStr">
        <is>
          <t>Cashier / Accountant</t>
        </is>
      </c>
      <c r="G378" s="5" t="inlineStr">
        <is>
          <t>Customer</t>
        </is>
      </c>
      <c r="H378" s="5" t="inlineStr">
        <is>
          <t>Disburse monetary refund via Cash, UPI, or Bank Transfer for returned goods</t>
        </is>
      </c>
      <c r="I378" s="5" t="inlineStr">
        <is>
          <t>Creates refund payment entry; credits Cash/Bank account in general ledger</t>
        </is>
      </c>
      <c r="J378" s="20" t="inlineStr">
        <is>
          <t>P1</t>
        </is>
      </c>
      <c r="K378" s="20" t="inlineStr">
        <is>
          <t>Validated (Supported)</t>
        </is>
      </c>
      <c r="L378" s="5" t="inlineStr">
        <is>
          <t>Supported via Cash/Bank Refund voucher linked to SalesCreditNote.</t>
        </is>
      </c>
      <c r="M378" s="8" t="inlineStr">
        <is>
          <t>Baseline</t>
        </is>
      </c>
      <c r="N378" s="8" t="inlineStr">
        <is>
          <t>Cross-persona</t>
        </is>
      </c>
      <c r="O378" s="8" t="inlineStr">
        <is>
          <t>P1</t>
        </is>
      </c>
      <c r="P378" s="5" t="inlineStr">
        <is>
          <t>Unchanged</t>
        </is>
      </c>
      <c r="Q378" s="21" t="inlineStr">
        <is>
          <t>Code symbol found</t>
        </is>
      </c>
      <c r="R378" s="5" t="inlineStr">
        <is>
          <t>Matched SalesCreditNote in product code. This is not a functional test.</t>
        </is>
      </c>
      <c r="S378" s="8" t="inlineStr">
        <is>
          <t>RET</t>
        </is>
      </c>
      <c r="T378" s="5" t="inlineStr">
        <is>
          <t>Returns, complaints, and after-sales</t>
        </is>
      </c>
      <c r="U378" s="8" t="inlineStr"/>
      <c r="V378" s="8" t="inlineStr">
        <is>
          <t>sales</t>
        </is>
      </c>
      <c r="W378" s="8" t="inlineStr">
        <is>
          <t>RUN</t>
        </is>
      </c>
      <c r="X378" s="5" t="inlineStr">
        <is>
          <t>Core</t>
        </is>
      </c>
      <c r="Y378" s="5" t="inlineStr">
        <is>
          <t>Cross-persona</t>
        </is>
      </c>
      <c r="Z378" s="5" t="inlineStr">
        <is>
          <t>Medium</t>
        </is>
      </c>
      <c r="AA378" s="5" t="inlineStr">
        <is>
          <t>Medium</t>
        </is>
      </c>
      <c r="AB378" s="8" t="inlineStr">
        <is>
          <t>Low</t>
        </is>
      </c>
      <c r="AC378" s="8" t="inlineStr">
        <is>
          <t>Pilot</t>
        </is>
      </c>
      <c r="AD378" s="5" t="inlineStr">
        <is>
          <t>Cited in code</t>
        </is>
      </c>
      <c r="AE378" s="5" t="inlineStr">
        <is>
          <t>Not verified</t>
        </is>
      </c>
      <c r="AF378" s="5" t="inlineStr">
        <is>
          <t>Not verified</t>
        </is>
      </c>
      <c r="AG378" s="5" t="inlineStr">
        <is>
          <t>Not verified</t>
        </is>
      </c>
      <c r="AH378" s="5" t="inlineStr">
        <is>
          <t>Not verified</t>
        </is>
      </c>
      <c r="AI378" s="8" t="inlineStr">
        <is>
          <t>No</t>
        </is>
      </c>
      <c r="AJ378" s="8" t="inlineStr">
        <is>
          <t>Built - unverified</t>
        </is>
      </c>
      <c r="AK378" s="8" t="inlineStr">
        <is>
          <t>P1</t>
        </is>
      </c>
      <c r="AL378" s="8" t="n">
        <v>6</v>
      </c>
      <c r="AM378" s="5" t="inlineStr"/>
      <c r="AN378" s="5" t="inlineStr"/>
      <c r="AO378" s="5" t="inlineStr"/>
      <c r="AP378" s="5" t="inlineStr"/>
      <c r="AQ378" s="5" t="inlineStr"/>
      <c r="AR378" s="5" t="inlineStr"/>
      <c r="AS378" s="5" t="inlineStr"/>
      <c r="AT378" s="5" t="inlineStr"/>
      <c r="AU378" s="8" t="inlineStr">
        <is>
          <t>Not run</t>
        </is>
      </c>
    </row>
    <row r="379" ht="32" customHeight="1">
      <c r="A379" s="16" t="inlineStr">
        <is>
          <t>X-0378</t>
        </is>
      </c>
      <c r="B379" s="8" t="inlineStr">
        <is>
          <t>X</t>
        </is>
      </c>
      <c r="C379" s="5" t="inlineStr">
        <is>
          <t>Multiple / Cross-persona</t>
        </is>
      </c>
      <c r="D379" s="5" t="inlineStr">
        <is>
          <t>Returns / Complaints / After-Sales</t>
        </is>
      </c>
      <c r="E379" s="5" t="inlineStr">
        <is>
          <t>Return → GST impact updated</t>
        </is>
      </c>
      <c r="F379" s="5" t="inlineStr">
        <is>
          <t>Tax Calculation Engine</t>
        </is>
      </c>
      <c r="G379" s="5" t="inlineStr">
        <is>
          <t>In-house Accountant</t>
        </is>
      </c>
      <c r="H379" s="5" t="inlineStr">
        <is>
          <t>Output GST tax liability reduced legally following Credit Note issuance</t>
        </is>
      </c>
      <c r="I379" s="5" t="inlineStr">
        <is>
          <t>Adjusts output tax liability ledgers; records credit note in GSTR-1 Table 9B</t>
        </is>
      </c>
      <c r="J379" s="20" t="inlineStr">
        <is>
          <t>P1</t>
        </is>
      </c>
      <c r="K379" s="20" t="inlineStr">
        <is>
          <t>Validated (Supported)</t>
        </is>
      </c>
      <c r="L379" s="5" t="inlineStr">
        <is>
          <t>Core tax invariant: Credit Note issuance automatically adjusts statutory tax reporting.</t>
        </is>
      </c>
      <c r="M379" s="8" t="inlineStr">
        <is>
          <t>Baseline</t>
        </is>
      </c>
      <c r="N379" s="8" t="inlineStr">
        <is>
          <t>Cross-persona</t>
        </is>
      </c>
      <c r="O379" s="8" t="inlineStr">
        <is>
          <t>P1</t>
        </is>
      </c>
      <c r="P379" s="5" t="inlineStr">
        <is>
          <t>Unchanged</t>
        </is>
      </c>
      <c r="Q379" s="20" t="inlineStr">
        <is>
          <t>Author assertion</t>
        </is>
      </c>
      <c r="R379" s="5" t="inlineStr"/>
      <c r="S379" s="8" t="inlineStr">
        <is>
          <t>RET</t>
        </is>
      </c>
      <c r="T379" s="5" t="inlineStr">
        <is>
          <t>Returns, complaints, and after-sales</t>
        </is>
      </c>
      <c r="U379" s="8" t="inlineStr"/>
      <c r="V379" s="8" t="inlineStr">
        <is>
          <t>sales</t>
        </is>
      </c>
      <c r="W379" s="8" t="inlineStr">
        <is>
          <t>RUN</t>
        </is>
      </c>
      <c r="X379" s="5" t="inlineStr">
        <is>
          <t>Core</t>
        </is>
      </c>
      <c r="Y379" s="5" t="inlineStr">
        <is>
          <t>Cross-persona</t>
        </is>
      </c>
      <c r="Z379" s="5" t="inlineStr">
        <is>
          <t>Medium</t>
        </is>
      </c>
      <c r="AA379" s="5" t="inlineStr">
        <is>
          <t>Medium</t>
        </is>
      </c>
      <c r="AB379" s="8" t="inlineStr">
        <is>
          <t>Low</t>
        </is>
      </c>
      <c r="AC379" s="8" t="inlineStr">
        <is>
          <t>Pilot</t>
        </is>
      </c>
      <c r="AD379" s="5" t="inlineStr">
        <is>
          <t>Not independently checked</t>
        </is>
      </c>
      <c r="AE379" s="5" t="inlineStr">
        <is>
          <t>Not verified</t>
        </is>
      </c>
      <c r="AF379" s="5" t="inlineStr">
        <is>
          <t>Not verified</t>
        </is>
      </c>
      <c r="AG379" s="5" t="inlineStr">
        <is>
          <t>Not verified</t>
        </is>
      </c>
      <c r="AH379" s="5" t="inlineStr">
        <is>
          <t>Not verified</t>
        </is>
      </c>
      <c r="AI379" s="8" t="inlineStr">
        <is>
          <t>No</t>
        </is>
      </c>
      <c r="AJ379" s="8" t="inlineStr">
        <is>
          <t>Claimed - unverified</t>
        </is>
      </c>
      <c r="AK379" s="8" t="inlineStr">
        <is>
          <t>P1</t>
        </is>
      </c>
      <c r="AL379" s="8" t="n">
        <v>6</v>
      </c>
      <c r="AM379" s="5" t="inlineStr"/>
      <c r="AN379" s="5" t="inlineStr"/>
      <c r="AO379" s="5" t="inlineStr"/>
      <c r="AP379" s="5" t="inlineStr"/>
      <c r="AQ379" s="5" t="inlineStr"/>
      <c r="AR379" s="5" t="inlineStr"/>
      <c r="AS379" s="5" t="inlineStr"/>
      <c r="AT379" s="5" t="inlineStr"/>
      <c r="AU379" s="8" t="inlineStr">
        <is>
          <t>Not run</t>
        </is>
      </c>
    </row>
    <row r="380" ht="32" customHeight="1">
      <c r="A380" s="16" t="inlineStr">
        <is>
          <t>X-0379</t>
        </is>
      </c>
      <c r="B380" s="8" t="inlineStr">
        <is>
          <t>X</t>
        </is>
      </c>
      <c r="C380" s="5" t="inlineStr">
        <is>
          <t>Multiple / Cross-persona</t>
        </is>
      </c>
      <c r="D380" s="5" t="inlineStr">
        <is>
          <t>Returns / Complaints / After-Sales</t>
        </is>
      </c>
      <c r="E380" s="5" t="inlineStr">
        <is>
          <t>Customer complaint → support ticket</t>
        </is>
      </c>
      <c r="F380" s="5" t="inlineStr">
        <is>
          <t>Customer Support Desk</t>
        </is>
      </c>
      <c r="G380" s="5" t="inlineStr">
        <is>
          <t>Customer</t>
        </is>
      </c>
      <c r="H380" s="5" t="inlineStr">
        <is>
          <t>Formal support ticket opened for customer issue regarding product quality or billing</t>
        </is>
      </c>
      <c r="I380" s="5" t="inlineStr">
        <is>
          <t>Creates SupportTicket with unique ticket ID; logs customer narrative and priority</t>
        </is>
      </c>
      <c r="J380" s="20" t="inlineStr">
        <is>
          <t>P1</t>
        </is>
      </c>
      <c r="K380" s="20" t="inlineStr">
        <is>
          <t>Validated (Supported)</t>
        </is>
      </c>
      <c r="L380" s="5" t="inlineStr">
        <is>
          <t>Supported via /complaints/tickets/create.</t>
        </is>
      </c>
      <c r="M380" s="8" t="inlineStr">
        <is>
          <t>Baseline</t>
        </is>
      </c>
      <c r="N380" s="8" t="inlineStr">
        <is>
          <t>Cross-persona</t>
        </is>
      </c>
      <c r="O380" s="8" t="inlineStr">
        <is>
          <t>P1</t>
        </is>
      </c>
      <c r="P380" s="5" t="inlineStr">
        <is>
          <t>Unchanged</t>
        </is>
      </c>
      <c r="Q380" s="20" t="inlineStr">
        <is>
          <t>Author assertion</t>
        </is>
      </c>
      <c r="R380" s="5" t="inlineStr"/>
      <c r="S380" s="8" t="inlineStr">
        <is>
          <t>RET</t>
        </is>
      </c>
      <c r="T380" s="5" t="inlineStr">
        <is>
          <t>Returns, complaints, and after-sales</t>
        </is>
      </c>
      <c r="U380" s="8" t="inlineStr"/>
      <c r="V380" s="8" t="inlineStr">
        <is>
          <t>sales</t>
        </is>
      </c>
      <c r="W380" s="8" t="inlineStr">
        <is>
          <t>RUN</t>
        </is>
      </c>
      <c r="X380" s="5" t="inlineStr">
        <is>
          <t>Core</t>
        </is>
      </c>
      <c r="Y380" s="5" t="inlineStr">
        <is>
          <t>Cross-persona</t>
        </is>
      </c>
      <c r="Z380" s="5" t="inlineStr">
        <is>
          <t>Medium</t>
        </is>
      </c>
      <c r="AA380" s="5" t="inlineStr">
        <is>
          <t>Medium</t>
        </is>
      </c>
      <c r="AB380" s="8" t="inlineStr">
        <is>
          <t>Low</t>
        </is>
      </c>
      <c r="AC380" s="8" t="inlineStr">
        <is>
          <t>Pilot</t>
        </is>
      </c>
      <c r="AD380" s="5" t="inlineStr">
        <is>
          <t>Not independently checked</t>
        </is>
      </c>
      <c r="AE380" s="5" t="inlineStr">
        <is>
          <t>Not verified</t>
        </is>
      </c>
      <c r="AF380" s="5" t="inlineStr">
        <is>
          <t>Not verified</t>
        </is>
      </c>
      <c r="AG380" s="5" t="inlineStr">
        <is>
          <t>Not verified</t>
        </is>
      </c>
      <c r="AH380" s="5" t="inlineStr">
        <is>
          <t>Not verified</t>
        </is>
      </c>
      <c r="AI380" s="8" t="inlineStr">
        <is>
          <t>No</t>
        </is>
      </c>
      <c r="AJ380" s="8" t="inlineStr">
        <is>
          <t>Claimed - unverified</t>
        </is>
      </c>
      <c r="AK380" s="8" t="inlineStr">
        <is>
          <t>P1</t>
        </is>
      </c>
      <c r="AL380" s="8" t="n">
        <v>6</v>
      </c>
      <c r="AM380" s="5" t="inlineStr"/>
      <c r="AN380" s="5" t="inlineStr"/>
      <c r="AO380" s="5" t="inlineStr"/>
      <c r="AP380" s="5" t="inlineStr"/>
      <c r="AQ380" s="5" t="inlineStr"/>
      <c r="AR380" s="5" t="inlineStr"/>
      <c r="AS380" s="5" t="inlineStr"/>
      <c r="AT380" s="5" t="inlineStr"/>
      <c r="AU380" s="8" t="inlineStr">
        <is>
          <t>Not run</t>
        </is>
      </c>
    </row>
    <row r="381" ht="32" customHeight="1">
      <c r="A381" s="16" t="inlineStr">
        <is>
          <t>X-0380</t>
        </is>
      </c>
      <c r="B381" s="8" t="inlineStr">
        <is>
          <t>X</t>
        </is>
      </c>
      <c r="C381" s="5" t="inlineStr">
        <is>
          <t>Multiple / Cross-persona</t>
        </is>
      </c>
      <c r="D381" s="5" t="inlineStr">
        <is>
          <t>Returns / Complaints / After-Sales</t>
        </is>
      </c>
      <c r="E381" s="5" t="inlineStr">
        <is>
          <t>Support ticket → owner/manager escalation</t>
        </is>
      </c>
      <c r="F381" s="5" t="inlineStr">
        <is>
          <t>Support Lead</t>
        </is>
      </c>
      <c r="G381" s="5" t="inlineStr">
        <is>
          <t>Business Owner / General Manager</t>
        </is>
      </c>
      <c r="H381" s="5" t="inlineStr">
        <is>
          <t>High-severity or unresolved complaint escalated to business owner for swift intervention</t>
        </is>
      </c>
      <c r="I381" s="5" t="inlineStr">
        <is>
          <t>Escalates ticket priority to CRITICAL; sends notification alert to owner dashboard</t>
        </is>
      </c>
      <c r="J381" s="20" t="inlineStr">
        <is>
          <t>P1</t>
        </is>
      </c>
      <c r="K381" s="20" t="inlineStr">
        <is>
          <t>Validated (Supported)</t>
        </is>
      </c>
      <c r="L381" s="5" t="inlineStr">
        <is>
          <t>Supported via Ticket Escalation workflow.</t>
        </is>
      </c>
      <c r="M381" s="8" t="inlineStr">
        <is>
          <t>Baseline</t>
        </is>
      </c>
      <c r="N381" s="8" t="inlineStr">
        <is>
          <t>Cross-persona</t>
        </is>
      </c>
      <c r="O381" s="8" t="inlineStr">
        <is>
          <t>P1</t>
        </is>
      </c>
      <c r="P381" s="5" t="inlineStr">
        <is>
          <t>Unchanged</t>
        </is>
      </c>
      <c r="Q381" s="20" t="inlineStr">
        <is>
          <t>Author assertion</t>
        </is>
      </c>
      <c r="R381" s="5" t="inlineStr"/>
      <c r="S381" s="8" t="inlineStr">
        <is>
          <t>RET</t>
        </is>
      </c>
      <c r="T381" s="5" t="inlineStr">
        <is>
          <t>Returns, complaints, and after-sales</t>
        </is>
      </c>
      <c r="U381" s="8" t="inlineStr"/>
      <c r="V381" s="8" t="inlineStr">
        <is>
          <t>sales</t>
        </is>
      </c>
      <c r="W381" s="8" t="inlineStr">
        <is>
          <t>RUN</t>
        </is>
      </c>
      <c r="X381" s="5" t="inlineStr">
        <is>
          <t>Core</t>
        </is>
      </c>
      <c r="Y381" s="5" t="inlineStr">
        <is>
          <t>Cross-persona</t>
        </is>
      </c>
      <c r="Z381" s="5" t="inlineStr">
        <is>
          <t>Medium</t>
        </is>
      </c>
      <c r="AA381" s="5" t="inlineStr">
        <is>
          <t>Medium</t>
        </is>
      </c>
      <c r="AB381" s="8" t="inlineStr">
        <is>
          <t>Low</t>
        </is>
      </c>
      <c r="AC381" s="8" t="inlineStr">
        <is>
          <t>Pilot</t>
        </is>
      </c>
      <c r="AD381" s="5" t="inlineStr">
        <is>
          <t>Not independently checked</t>
        </is>
      </c>
      <c r="AE381" s="5" t="inlineStr">
        <is>
          <t>Not verified</t>
        </is>
      </c>
      <c r="AF381" s="5" t="inlineStr">
        <is>
          <t>Not verified</t>
        </is>
      </c>
      <c r="AG381" s="5" t="inlineStr">
        <is>
          <t>Not verified</t>
        </is>
      </c>
      <c r="AH381" s="5" t="inlineStr">
        <is>
          <t>Not verified</t>
        </is>
      </c>
      <c r="AI381" s="8" t="inlineStr">
        <is>
          <t>No</t>
        </is>
      </c>
      <c r="AJ381" s="8" t="inlineStr">
        <is>
          <t>Claimed - unverified</t>
        </is>
      </c>
      <c r="AK381" s="8" t="inlineStr">
        <is>
          <t>P1</t>
        </is>
      </c>
      <c r="AL381" s="8" t="n">
        <v>6</v>
      </c>
      <c r="AM381" s="5" t="inlineStr"/>
      <c r="AN381" s="5" t="inlineStr"/>
      <c r="AO381" s="5" t="inlineStr"/>
      <c r="AP381" s="5" t="inlineStr"/>
      <c r="AQ381" s="5" t="inlineStr"/>
      <c r="AR381" s="5" t="inlineStr"/>
      <c r="AS381" s="5" t="inlineStr"/>
      <c r="AT381" s="5" t="inlineStr"/>
      <c r="AU381" s="8" t="inlineStr">
        <is>
          <t>Not run</t>
        </is>
      </c>
    </row>
    <row r="382" ht="32" customHeight="1">
      <c r="A382" s="16" t="inlineStr">
        <is>
          <t>X-0381</t>
        </is>
      </c>
      <c r="B382" s="8" t="inlineStr">
        <is>
          <t>X</t>
        </is>
      </c>
      <c r="C382" s="5" t="inlineStr">
        <is>
          <t>Multiple / Cross-persona</t>
        </is>
      </c>
      <c r="D382" s="5" t="inlineStr">
        <is>
          <t>Returns / Complaints / After-Sales</t>
        </is>
      </c>
      <c r="E382" s="5" t="inlineStr">
        <is>
          <t>Complaint resolution → customer notified</t>
        </is>
      </c>
      <c r="F382" s="5" t="inlineStr">
        <is>
          <t>Customer Support Desk</t>
        </is>
      </c>
      <c r="G382" s="5" t="inlineStr">
        <is>
          <t>Customer</t>
        </is>
      </c>
      <c r="H382" s="5" t="inlineStr">
        <is>
          <t>Notify customer of resolution via WhatsApp or email with credit note or replacement details</t>
        </is>
      </c>
      <c r="I382" s="5" t="inlineStr">
        <is>
          <t>Sends automated resolution message to customer; marks ticket as RESOLVED</t>
        </is>
      </c>
      <c r="J382" s="20" t="inlineStr">
        <is>
          <t>P1</t>
        </is>
      </c>
      <c r="K382" s="20" t="inlineStr">
        <is>
          <t>Validated (Supported)</t>
        </is>
      </c>
      <c r="L382" s="5" t="inlineStr">
        <is>
          <t>Supported via WhatsApp notification integration on ticket closure.</t>
        </is>
      </c>
      <c r="M382" s="8" t="inlineStr">
        <is>
          <t>Baseline</t>
        </is>
      </c>
      <c r="N382" s="8" t="inlineStr">
        <is>
          <t>Cross-persona</t>
        </is>
      </c>
      <c r="O382" s="8" t="inlineStr">
        <is>
          <t>P1</t>
        </is>
      </c>
      <c r="P382" s="5" t="inlineStr">
        <is>
          <t>Unchanged</t>
        </is>
      </c>
      <c r="Q382" s="21" t="inlineStr">
        <is>
          <t>Code symbol found</t>
        </is>
      </c>
      <c r="R382" s="5" t="inlineStr">
        <is>
          <t>Matched WhatsApp in product code. This is not a functional test.</t>
        </is>
      </c>
      <c r="S382" s="8" t="inlineStr">
        <is>
          <t>RET</t>
        </is>
      </c>
      <c r="T382" s="5" t="inlineStr">
        <is>
          <t>Returns, complaints, and after-sales</t>
        </is>
      </c>
      <c r="U382" s="8" t="inlineStr"/>
      <c r="V382" s="8" t="inlineStr">
        <is>
          <t>sales</t>
        </is>
      </c>
      <c r="W382" s="8" t="inlineStr">
        <is>
          <t>RUN</t>
        </is>
      </c>
      <c r="X382" s="5" t="inlineStr">
        <is>
          <t>Core</t>
        </is>
      </c>
      <c r="Y382" s="5" t="inlineStr">
        <is>
          <t>Cross-persona</t>
        </is>
      </c>
      <c r="Z382" s="5" t="inlineStr">
        <is>
          <t>Medium</t>
        </is>
      </c>
      <c r="AA382" s="5" t="inlineStr">
        <is>
          <t>Medium</t>
        </is>
      </c>
      <c r="AB382" s="8" t="inlineStr">
        <is>
          <t>Low</t>
        </is>
      </c>
      <c r="AC382" s="8" t="inlineStr">
        <is>
          <t>Pilot</t>
        </is>
      </c>
      <c r="AD382" s="5" t="inlineStr">
        <is>
          <t>Cited in code</t>
        </is>
      </c>
      <c r="AE382" s="5" t="inlineStr">
        <is>
          <t>Not verified</t>
        </is>
      </c>
      <c r="AF382" s="5" t="inlineStr">
        <is>
          <t>Not verified</t>
        </is>
      </c>
      <c r="AG382" s="5" t="inlineStr">
        <is>
          <t>Not verified</t>
        </is>
      </c>
      <c r="AH382" s="5" t="inlineStr">
        <is>
          <t>Not verified</t>
        </is>
      </c>
      <c r="AI382" s="8" t="inlineStr">
        <is>
          <t>No</t>
        </is>
      </c>
      <c r="AJ382" s="8" t="inlineStr">
        <is>
          <t>Built - unverified</t>
        </is>
      </c>
      <c r="AK382" s="8" t="inlineStr">
        <is>
          <t>P1</t>
        </is>
      </c>
      <c r="AL382" s="8" t="n">
        <v>6</v>
      </c>
      <c r="AM382" s="5" t="inlineStr"/>
      <c r="AN382" s="5" t="inlineStr"/>
      <c r="AO382" s="5" t="inlineStr"/>
      <c r="AP382" s="5" t="inlineStr"/>
      <c r="AQ382" s="5" t="inlineStr"/>
      <c r="AR382" s="5" t="inlineStr"/>
      <c r="AS382" s="5" t="inlineStr"/>
      <c r="AT382" s="5" t="inlineStr"/>
      <c r="AU382" s="8" t="inlineStr">
        <is>
          <t>Not run</t>
        </is>
      </c>
    </row>
    <row r="383" ht="32" customHeight="1">
      <c r="A383" s="16" t="inlineStr">
        <is>
          <t>X-0382</t>
        </is>
      </c>
      <c r="B383" s="8" t="inlineStr">
        <is>
          <t>X</t>
        </is>
      </c>
      <c r="C383" s="5" t="inlineStr">
        <is>
          <t>Multiple / Cross-persona</t>
        </is>
      </c>
      <c r="D383" s="5" t="inlineStr">
        <is>
          <t>Returns / Complaints / After-Sales</t>
        </is>
      </c>
      <c r="E383" s="5" t="inlineStr">
        <is>
          <t>Warranty claim → product/serial verified</t>
        </is>
      </c>
      <c r="F383" s="5" t="inlineStr">
        <is>
          <t>Service Technician</t>
        </is>
      </c>
      <c r="G383" s="5" t="inlineStr">
        <is>
          <t>Customer</t>
        </is>
      </c>
      <c r="H383" s="5" t="inlineStr">
        <is>
          <t>Verify product serial number against sales invoice to confirm warranty coverage status</t>
        </is>
      </c>
      <c r="I383" s="5" t="inlineStr">
        <is>
          <t>Validates serial number sale date and warranty expiry; checks coverage terms</t>
        </is>
      </c>
      <c r="J383" s="20" t="inlineStr">
        <is>
          <t>P1</t>
        </is>
      </c>
      <c r="K383" s="20" t="inlineStr">
        <is>
          <t>Validated (Supported)</t>
        </is>
      </c>
      <c r="L383" s="5" t="inlineStr">
        <is>
          <t>Supported via Serial Warranty Lookup tool.</t>
        </is>
      </c>
      <c r="M383" s="8" t="inlineStr">
        <is>
          <t>Baseline</t>
        </is>
      </c>
      <c r="N383" s="8" t="inlineStr">
        <is>
          <t>Cross-persona</t>
        </is>
      </c>
      <c r="O383" s="8" t="inlineStr">
        <is>
          <t>P1</t>
        </is>
      </c>
      <c r="P383" s="5" t="inlineStr">
        <is>
          <t>Unchanged</t>
        </is>
      </c>
      <c r="Q383" s="20" t="inlineStr">
        <is>
          <t>Author assertion</t>
        </is>
      </c>
      <c r="R383" s="5" t="inlineStr"/>
      <c r="S383" s="8" t="inlineStr">
        <is>
          <t>RET</t>
        </is>
      </c>
      <c r="T383" s="5" t="inlineStr">
        <is>
          <t>Returns, complaints, and after-sales</t>
        </is>
      </c>
      <c r="U383" s="8" t="inlineStr"/>
      <c r="V383" s="8" t="inlineStr">
        <is>
          <t>sales</t>
        </is>
      </c>
      <c r="W383" s="8" t="inlineStr">
        <is>
          <t>RUN</t>
        </is>
      </c>
      <c r="X383" s="5" t="inlineStr">
        <is>
          <t>Core</t>
        </is>
      </c>
      <c r="Y383" s="5" t="inlineStr">
        <is>
          <t>Cross-persona</t>
        </is>
      </c>
      <c r="Z383" s="5" t="inlineStr">
        <is>
          <t>Medium</t>
        </is>
      </c>
      <c r="AA383" s="5" t="inlineStr">
        <is>
          <t>Medium</t>
        </is>
      </c>
      <c r="AB383" s="8" t="inlineStr">
        <is>
          <t>Low</t>
        </is>
      </c>
      <c r="AC383" s="8" t="inlineStr">
        <is>
          <t>Pilot</t>
        </is>
      </c>
      <c r="AD383" s="5" t="inlineStr">
        <is>
          <t>Not independently checked</t>
        </is>
      </c>
      <c r="AE383" s="5" t="inlineStr">
        <is>
          <t>Not verified</t>
        </is>
      </c>
      <c r="AF383" s="5" t="inlineStr">
        <is>
          <t>Not verified</t>
        </is>
      </c>
      <c r="AG383" s="5" t="inlineStr">
        <is>
          <t>Not verified</t>
        </is>
      </c>
      <c r="AH383" s="5" t="inlineStr">
        <is>
          <t>Not verified</t>
        </is>
      </c>
      <c r="AI383" s="8" t="inlineStr">
        <is>
          <t>No</t>
        </is>
      </c>
      <c r="AJ383" s="8" t="inlineStr">
        <is>
          <t>Claimed - unverified</t>
        </is>
      </c>
      <c r="AK383" s="8" t="inlineStr">
        <is>
          <t>P1</t>
        </is>
      </c>
      <c r="AL383" s="8" t="n">
        <v>6</v>
      </c>
      <c r="AM383" s="5" t="inlineStr"/>
      <c r="AN383" s="5" t="inlineStr"/>
      <c r="AO383" s="5" t="inlineStr"/>
      <c r="AP383" s="5" t="inlineStr"/>
      <c r="AQ383" s="5" t="inlineStr"/>
      <c r="AR383" s="5" t="inlineStr"/>
      <c r="AS383" s="5" t="inlineStr"/>
      <c r="AT383" s="5" t="inlineStr"/>
      <c r="AU383" s="8" t="inlineStr">
        <is>
          <t>Not run</t>
        </is>
      </c>
    </row>
    <row r="384" ht="32" customHeight="1">
      <c r="A384" s="16" t="inlineStr">
        <is>
          <t>X-0383</t>
        </is>
      </c>
      <c r="B384" s="8" t="inlineStr">
        <is>
          <t>X</t>
        </is>
      </c>
      <c r="C384" s="5" t="inlineStr">
        <is>
          <t>Multiple / Cross-persona</t>
        </is>
      </c>
      <c r="D384" s="5" t="inlineStr">
        <is>
          <t>Returns / Complaints / After-Sales</t>
        </is>
      </c>
      <c r="E384" s="5" t="inlineStr">
        <is>
          <t>Warranty claim → service action recorded</t>
        </is>
      </c>
      <c r="F384" s="5" t="inlineStr">
        <is>
          <t>Service Technician</t>
        </is>
      </c>
      <c r="G384" s="5" t="inlineStr">
        <is>
          <t>Customer</t>
        </is>
      </c>
      <c r="H384" s="5" t="inlineStr">
        <is>
          <t>Record repair action, replaced spare parts, and technician labor charges</t>
        </is>
      </c>
      <c r="I384" s="5" t="inlineStr">
        <is>
          <t>Creates JobCard / ServiceRecord; decrements replaced spare parts from inventory</t>
        </is>
      </c>
      <c r="J384" s="20" t="inlineStr">
        <is>
          <t>P1</t>
        </is>
      </c>
      <c r="K384" s="20" t="inlineStr">
        <is>
          <t>Validated (Supported)</t>
        </is>
      </c>
      <c r="L384" s="5" t="inlineStr">
        <is>
          <t>Supported via Workshop / JobCard module (/workshop/).</t>
        </is>
      </c>
      <c r="M384" s="8" t="inlineStr">
        <is>
          <t>Baseline</t>
        </is>
      </c>
      <c r="N384" s="8" t="inlineStr">
        <is>
          <t>Cross-persona</t>
        </is>
      </c>
      <c r="O384" s="8" t="inlineStr">
        <is>
          <t>P1</t>
        </is>
      </c>
      <c r="P384" s="5" t="inlineStr">
        <is>
          <t>Unchanged</t>
        </is>
      </c>
      <c r="Q384" s="20" t="inlineStr">
        <is>
          <t>Author assertion</t>
        </is>
      </c>
      <c r="R384" s="5" t="inlineStr"/>
      <c r="S384" s="8" t="inlineStr">
        <is>
          <t>RET</t>
        </is>
      </c>
      <c r="T384" s="5" t="inlineStr">
        <is>
          <t>Returns, complaints, and after-sales</t>
        </is>
      </c>
      <c r="U384" s="8" t="inlineStr"/>
      <c r="V384" s="8" t="inlineStr">
        <is>
          <t>sales</t>
        </is>
      </c>
      <c r="W384" s="8" t="inlineStr">
        <is>
          <t>RUN</t>
        </is>
      </c>
      <c r="X384" s="5" t="inlineStr">
        <is>
          <t>Core</t>
        </is>
      </c>
      <c r="Y384" s="5" t="inlineStr">
        <is>
          <t>Cross-persona</t>
        </is>
      </c>
      <c r="Z384" s="5" t="inlineStr">
        <is>
          <t>Medium</t>
        </is>
      </c>
      <c r="AA384" s="5" t="inlineStr">
        <is>
          <t>Medium</t>
        </is>
      </c>
      <c r="AB384" s="8" t="inlineStr">
        <is>
          <t>Low</t>
        </is>
      </c>
      <c r="AC384" s="8" t="inlineStr">
        <is>
          <t>Pilot</t>
        </is>
      </c>
      <c r="AD384" s="5" t="inlineStr">
        <is>
          <t>Not independently checked</t>
        </is>
      </c>
      <c r="AE384" s="5" t="inlineStr">
        <is>
          <t>Not verified</t>
        </is>
      </c>
      <c r="AF384" s="5" t="inlineStr">
        <is>
          <t>Not verified</t>
        </is>
      </c>
      <c r="AG384" s="5" t="inlineStr">
        <is>
          <t>Not verified</t>
        </is>
      </c>
      <c r="AH384" s="5" t="inlineStr">
        <is>
          <t>Not verified</t>
        </is>
      </c>
      <c r="AI384" s="8" t="inlineStr">
        <is>
          <t>No</t>
        </is>
      </c>
      <c r="AJ384" s="8" t="inlineStr">
        <is>
          <t>Claimed - unverified</t>
        </is>
      </c>
      <c r="AK384" s="8" t="inlineStr">
        <is>
          <t>P1</t>
        </is>
      </c>
      <c r="AL384" s="8" t="n">
        <v>6</v>
      </c>
      <c r="AM384" s="5" t="inlineStr"/>
      <c r="AN384" s="5" t="inlineStr"/>
      <c r="AO384" s="5" t="inlineStr"/>
      <c r="AP384" s="5" t="inlineStr"/>
      <c r="AQ384" s="5" t="inlineStr"/>
      <c r="AR384" s="5" t="inlineStr"/>
      <c r="AS384" s="5" t="inlineStr"/>
      <c r="AT384" s="5" t="inlineStr"/>
      <c r="AU384" s="8" t="inlineStr">
        <is>
          <t>Not run</t>
        </is>
      </c>
    </row>
    <row r="385" ht="32" customHeight="1">
      <c r="A385" s="16" t="inlineStr">
        <is>
          <t>X-0384</t>
        </is>
      </c>
      <c r="B385" s="8" t="inlineStr">
        <is>
          <t>X</t>
        </is>
      </c>
      <c r="C385" s="5" t="inlineStr">
        <is>
          <t>Multiple / Cross-persona</t>
        </is>
      </c>
      <c r="D385" s="5" t="inlineStr">
        <is>
          <t>Returns / Complaints / After-Sales</t>
        </is>
      </c>
      <c r="E385" s="5" t="inlineStr">
        <is>
          <t>AMC renewal → customer follow-up generated</t>
        </is>
      </c>
      <c r="F385" s="5" t="inlineStr">
        <is>
          <t>Service Sales Coordinator</t>
        </is>
      </c>
      <c r="G385" s="5" t="inlineStr">
        <is>
          <t>Customer</t>
        </is>
      </c>
      <c r="H385" s="5" t="inlineStr">
        <is>
          <t>Generate automated renewal reminder 30 days prior to contract expiration</t>
        </is>
      </c>
      <c r="I385" s="5" t="inlineStr">
        <is>
          <t>Generates AMC renewal quotation; creates sales follow-up task in CRM</t>
        </is>
      </c>
      <c r="J385" s="20" t="inlineStr">
        <is>
          <t>P1</t>
        </is>
      </c>
      <c r="K385" s="20" t="inlineStr">
        <is>
          <t>Validated (Supported)</t>
        </is>
      </c>
      <c r="L385" s="5" t="inlineStr">
        <is>
          <t>Supported via Contract Expiry Diary in contracts app.</t>
        </is>
      </c>
      <c r="M385" s="8" t="inlineStr">
        <is>
          <t>Baseline</t>
        </is>
      </c>
      <c r="N385" s="8" t="inlineStr">
        <is>
          <t>Cross-persona</t>
        </is>
      </c>
      <c r="O385" s="8" t="inlineStr">
        <is>
          <t>P1</t>
        </is>
      </c>
      <c r="P385" s="5" t="inlineStr">
        <is>
          <t>Unchanged</t>
        </is>
      </c>
      <c r="Q385" s="20" t="inlineStr">
        <is>
          <t>Author assertion</t>
        </is>
      </c>
      <c r="R385" s="5" t="inlineStr"/>
      <c r="S385" s="8" t="inlineStr">
        <is>
          <t>RET</t>
        </is>
      </c>
      <c r="T385" s="5" t="inlineStr">
        <is>
          <t>Returns, complaints, and after-sales</t>
        </is>
      </c>
      <c r="U385" s="8" t="inlineStr"/>
      <c r="V385" s="8" t="inlineStr">
        <is>
          <t>sales</t>
        </is>
      </c>
      <c r="W385" s="8" t="inlineStr">
        <is>
          <t>RUN</t>
        </is>
      </c>
      <c r="X385" s="5" t="inlineStr">
        <is>
          <t>Core</t>
        </is>
      </c>
      <c r="Y385" s="5" t="inlineStr">
        <is>
          <t>Cross-persona</t>
        </is>
      </c>
      <c r="Z385" s="5" t="inlineStr">
        <is>
          <t>Medium</t>
        </is>
      </c>
      <c r="AA385" s="5" t="inlineStr">
        <is>
          <t>Medium</t>
        </is>
      </c>
      <c r="AB385" s="8" t="inlineStr">
        <is>
          <t>Low</t>
        </is>
      </c>
      <c r="AC385" s="8" t="inlineStr">
        <is>
          <t>Pilot</t>
        </is>
      </c>
      <c r="AD385" s="5" t="inlineStr">
        <is>
          <t>Not independently checked</t>
        </is>
      </c>
      <c r="AE385" s="5" t="inlineStr">
        <is>
          <t>Not verified</t>
        </is>
      </c>
      <c r="AF385" s="5" t="inlineStr">
        <is>
          <t>Not verified</t>
        </is>
      </c>
      <c r="AG385" s="5" t="inlineStr">
        <is>
          <t>Not verified</t>
        </is>
      </c>
      <c r="AH385" s="5" t="inlineStr">
        <is>
          <t>Not verified</t>
        </is>
      </c>
      <c r="AI385" s="8" t="inlineStr">
        <is>
          <t>No</t>
        </is>
      </c>
      <c r="AJ385" s="8" t="inlineStr">
        <is>
          <t>Claimed - unverified</t>
        </is>
      </c>
      <c r="AK385" s="8" t="inlineStr">
        <is>
          <t>P1</t>
        </is>
      </c>
      <c r="AL385" s="8" t="n">
        <v>6</v>
      </c>
      <c r="AM385" s="5" t="inlineStr"/>
      <c r="AN385" s="5" t="inlineStr"/>
      <c r="AO385" s="5" t="inlineStr"/>
      <c r="AP385" s="5" t="inlineStr"/>
      <c r="AQ385" s="5" t="inlineStr"/>
      <c r="AR385" s="5" t="inlineStr"/>
      <c r="AS385" s="5" t="inlineStr"/>
      <c r="AT385" s="5" t="inlineStr"/>
      <c r="AU385" s="8" t="inlineStr">
        <is>
          <t>Not run</t>
        </is>
      </c>
    </row>
    <row r="386" ht="32" customHeight="1">
      <c r="A386" s="16" t="inlineStr">
        <is>
          <t>X-0385</t>
        </is>
      </c>
      <c r="B386" s="8" t="inlineStr">
        <is>
          <t>X</t>
        </is>
      </c>
      <c r="C386" s="5" t="inlineStr">
        <is>
          <t>Multiple / Cross-persona</t>
        </is>
      </c>
      <c r="D386" s="5" t="inlineStr">
        <is>
          <t>Reporting &amp; Business Intelligence</t>
        </is>
      </c>
      <c r="E386" s="5" t="inlineStr">
        <is>
          <t>Transaction → sales dashboard updates</t>
        </is>
      </c>
      <c r="F386" s="5" t="inlineStr">
        <is>
          <t>Reporting Engine</t>
        </is>
      </c>
      <c r="G386" s="5" t="inlineStr">
        <is>
          <t>Business Owner / Sales Manager</t>
        </is>
      </c>
      <c r="H386" s="5" t="inlineStr">
        <is>
          <t>Real-time sales dashboard updates instantly upon invoice completion</t>
        </is>
      </c>
      <c r="I386" s="5" t="inlineStr">
        <is>
          <t>Recalculates today's gross sales, bill count, average order value, and hourly velocity</t>
        </is>
      </c>
      <c r="J386" s="20" t="inlineStr">
        <is>
          <t>P1</t>
        </is>
      </c>
      <c r="K386" s="20" t="inlineStr">
        <is>
          <t>Validated (Supported)</t>
        </is>
      </c>
      <c r="L386" s="5" t="inlineStr">
        <is>
          <t>Core system invariant: dashboard metrics update synchronously on invoice completion.</t>
        </is>
      </c>
      <c r="M386" s="8" t="inlineStr">
        <is>
          <t>Baseline</t>
        </is>
      </c>
      <c r="N386" s="8" t="inlineStr">
        <is>
          <t>Cross-persona</t>
        </is>
      </c>
      <c r="O386" s="8" t="inlineStr">
        <is>
          <t>P1</t>
        </is>
      </c>
      <c r="P386" s="5" t="inlineStr">
        <is>
          <t>Unchanged</t>
        </is>
      </c>
      <c r="Q386" s="20" t="inlineStr">
        <is>
          <t>Author assertion</t>
        </is>
      </c>
      <c r="R386" s="5" t="inlineStr"/>
      <c r="S386" s="8" t="inlineStr">
        <is>
          <t>RPT</t>
        </is>
      </c>
      <c r="T386" s="5" t="inlineStr">
        <is>
          <t>Reporting and business intelligence</t>
        </is>
      </c>
      <c r="U386" s="8" t="inlineStr"/>
      <c r="V386" s="8" t="inlineStr">
        <is>
          <t>reporting</t>
        </is>
      </c>
      <c r="W386" s="8" t="inlineStr">
        <is>
          <t>CONTROL</t>
        </is>
      </c>
      <c r="X386" s="5" t="inlineStr">
        <is>
          <t>Core</t>
        </is>
      </c>
      <c r="Y386" s="5" t="inlineStr">
        <is>
          <t>Cross-persona</t>
        </is>
      </c>
      <c r="Z386" s="5" t="inlineStr">
        <is>
          <t>Medium</t>
        </is>
      </c>
      <c r="AA386" s="5" t="inlineStr">
        <is>
          <t>Medium</t>
        </is>
      </c>
      <c r="AB386" s="8" t="inlineStr">
        <is>
          <t>Low</t>
        </is>
      </c>
      <c r="AC386" s="8" t="inlineStr">
        <is>
          <t>Pilot</t>
        </is>
      </c>
      <c r="AD386" s="5" t="inlineStr">
        <is>
          <t>Not independently checked</t>
        </is>
      </c>
      <c r="AE386" s="5" t="inlineStr">
        <is>
          <t>Not verified</t>
        </is>
      </c>
      <c r="AF386" s="5" t="inlineStr">
        <is>
          <t>Not verified</t>
        </is>
      </c>
      <c r="AG386" s="5" t="inlineStr">
        <is>
          <t>Not verified</t>
        </is>
      </c>
      <c r="AH386" s="5" t="inlineStr">
        <is>
          <t>Not verified</t>
        </is>
      </c>
      <c r="AI386" s="8" t="inlineStr">
        <is>
          <t>No</t>
        </is>
      </c>
      <c r="AJ386" s="8" t="inlineStr">
        <is>
          <t>Claimed - unverified</t>
        </is>
      </c>
      <c r="AK386" s="8" t="inlineStr">
        <is>
          <t>P1</t>
        </is>
      </c>
      <c r="AL386" s="8" t="n">
        <v>6</v>
      </c>
      <c r="AM386" s="5" t="inlineStr"/>
      <c r="AN386" s="5" t="inlineStr"/>
      <c r="AO386" s="5" t="inlineStr"/>
      <c r="AP386" s="5" t="inlineStr"/>
      <c r="AQ386" s="5" t="inlineStr"/>
      <c r="AR386" s="5" t="inlineStr"/>
      <c r="AS386" s="5" t="inlineStr"/>
      <c r="AT386" s="5" t="inlineStr"/>
      <c r="AU386" s="8" t="inlineStr">
        <is>
          <t>Not run</t>
        </is>
      </c>
    </row>
    <row r="387" ht="32" customHeight="1">
      <c r="A387" s="16" t="inlineStr">
        <is>
          <t>X-0386</t>
        </is>
      </c>
      <c r="B387" s="8" t="inlineStr">
        <is>
          <t>X</t>
        </is>
      </c>
      <c r="C387" s="5" t="inlineStr">
        <is>
          <t>Multiple / Cross-persona</t>
        </is>
      </c>
      <c r="D387" s="5" t="inlineStr">
        <is>
          <t>Reporting &amp; Business Intelligence</t>
        </is>
      </c>
      <c r="E387" s="5" t="inlineStr">
        <is>
          <t>Transaction → purchase dashboard updates</t>
        </is>
      </c>
      <c r="F387" s="5" t="inlineStr">
        <is>
          <t>Reporting Engine</t>
        </is>
      </c>
      <c r="G387" s="5" t="inlineStr">
        <is>
          <t>Purchase Manager</t>
        </is>
      </c>
      <c r="H387" s="5" t="inlineStr">
        <is>
          <t>Procurement analytics update immediately upon purchase bill posting</t>
        </is>
      </c>
      <c r="I387" s="5" t="inlineStr">
        <is>
          <t>Updates month-to-date procurement spend, top supplier spend, and pending receipts</t>
        </is>
      </c>
      <c r="J387" s="20" t="inlineStr">
        <is>
          <t>P1</t>
        </is>
      </c>
      <c r="K387" s="20" t="inlineStr">
        <is>
          <t>Validated (Supported)</t>
        </is>
      </c>
      <c r="L387" s="5" t="inlineStr">
        <is>
          <t>Supported via Purchase Analytics dashboard.</t>
        </is>
      </c>
      <c r="M387" s="8" t="inlineStr">
        <is>
          <t>Baseline</t>
        </is>
      </c>
      <c r="N387" s="8" t="inlineStr">
        <is>
          <t>Cross-persona</t>
        </is>
      </c>
      <c r="O387" s="8" t="inlineStr">
        <is>
          <t>P1</t>
        </is>
      </c>
      <c r="P387" s="5" t="inlineStr">
        <is>
          <t>Unchanged</t>
        </is>
      </c>
      <c r="Q387" s="20" t="inlineStr">
        <is>
          <t>Author assertion</t>
        </is>
      </c>
      <c r="R387" s="5" t="inlineStr"/>
      <c r="S387" s="8" t="inlineStr">
        <is>
          <t>RPT</t>
        </is>
      </c>
      <c r="T387" s="5" t="inlineStr">
        <is>
          <t>Reporting and business intelligence</t>
        </is>
      </c>
      <c r="U387" s="8" t="inlineStr"/>
      <c r="V387" s="8" t="inlineStr">
        <is>
          <t>reporting</t>
        </is>
      </c>
      <c r="W387" s="8" t="inlineStr">
        <is>
          <t>CONTROL</t>
        </is>
      </c>
      <c r="X387" s="5" t="inlineStr">
        <is>
          <t>Core</t>
        </is>
      </c>
      <c r="Y387" s="5" t="inlineStr">
        <is>
          <t>Cross-persona</t>
        </is>
      </c>
      <c r="Z387" s="5" t="inlineStr">
        <is>
          <t>Medium</t>
        </is>
      </c>
      <c r="AA387" s="5" t="inlineStr">
        <is>
          <t>Medium</t>
        </is>
      </c>
      <c r="AB387" s="8" t="inlineStr">
        <is>
          <t>Low</t>
        </is>
      </c>
      <c r="AC387" s="8" t="inlineStr">
        <is>
          <t>Pilot</t>
        </is>
      </c>
      <c r="AD387" s="5" t="inlineStr">
        <is>
          <t>Not independently checked</t>
        </is>
      </c>
      <c r="AE387" s="5" t="inlineStr">
        <is>
          <t>Not verified</t>
        </is>
      </c>
      <c r="AF387" s="5" t="inlineStr">
        <is>
          <t>Not verified</t>
        </is>
      </c>
      <c r="AG387" s="5" t="inlineStr">
        <is>
          <t>Not verified</t>
        </is>
      </c>
      <c r="AH387" s="5" t="inlineStr">
        <is>
          <t>Not verified</t>
        </is>
      </c>
      <c r="AI387" s="8" t="inlineStr">
        <is>
          <t>No</t>
        </is>
      </c>
      <c r="AJ387" s="8" t="inlineStr">
        <is>
          <t>Claimed - unverified</t>
        </is>
      </c>
      <c r="AK387" s="8" t="inlineStr">
        <is>
          <t>P1</t>
        </is>
      </c>
      <c r="AL387" s="8" t="n">
        <v>6</v>
      </c>
      <c r="AM387" s="5" t="inlineStr"/>
      <c r="AN387" s="5" t="inlineStr"/>
      <c r="AO387" s="5" t="inlineStr"/>
      <c r="AP387" s="5" t="inlineStr"/>
      <c r="AQ387" s="5" t="inlineStr"/>
      <c r="AR387" s="5" t="inlineStr"/>
      <c r="AS387" s="5" t="inlineStr"/>
      <c r="AT387" s="5" t="inlineStr"/>
      <c r="AU387" s="8" t="inlineStr">
        <is>
          <t>Not run</t>
        </is>
      </c>
    </row>
    <row r="388" ht="32" customHeight="1">
      <c r="A388" s="16" t="inlineStr">
        <is>
          <t>X-0387</t>
        </is>
      </c>
      <c r="B388" s="8" t="inlineStr">
        <is>
          <t>X</t>
        </is>
      </c>
      <c r="C388" s="5" t="inlineStr">
        <is>
          <t>Multiple / Cross-persona</t>
        </is>
      </c>
      <c r="D388" s="5" t="inlineStr">
        <is>
          <t>Reporting &amp; Business Intelligence</t>
        </is>
      </c>
      <c r="E388" s="5" t="inlineStr">
        <is>
          <t>Transaction → inventory dashboard updates</t>
        </is>
      </c>
      <c r="F388" s="5" t="inlineStr">
        <is>
          <t>Reporting Engine</t>
        </is>
      </c>
      <c r="G388" s="5" t="inlineStr">
        <is>
          <t>Inventory Manager</t>
        </is>
      </c>
      <c r="H388" s="5" t="inlineStr">
        <is>
          <t>Inventory analytics reflect real-time stock balances, valuation, and low-stock alerts</t>
        </is>
      </c>
      <c r="I388" s="5" t="inlineStr">
        <is>
          <t>Recalculates total inventory asset value, out-of-stock SKU count, and reorder warnings</t>
        </is>
      </c>
      <c r="J388" s="20" t="inlineStr">
        <is>
          <t>P1</t>
        </is>
      </c>
      <c r="K388" s="20" t="inlineStr">
        <is>
          <t>Validated (Supported)</t>
        </is>
      </c>
      <c r="L388" s="5" t="inlineStr">
        <is>
          <t>Supported via /inventory/ dashboard metric cards.</t>
        </is>
      </c>
      <c r="M388" s="8" t="inlineStr">
        <is>
          <t>Baseline</t>
        </is>
      </c>
      <c r="N388" s="8" t="inlineStr">
        <is>
          <t>Cross-persona</t>
        </is>
      </c>
      <c r="O388" s="8" t="inlineStr">
        <is>
          <t>P1</t>
        </is>
      </c>
      <c r="P388" s="5" t="inlineStr">
        <is>
          <t>Unchanged</t>
        </is>
      </c>
      <c r="Q388" s="20" t="inlineStr">
        <is>
          <t>Author assertion</t>
        </is>
      </c>
      <c r="R388" s="5" t="inlineStr"/>
      <c r="S388" s="8" t="inlineStr">
        <is>
          <t>RPT</t>
        </is>
      </c>
      <c r="T388" s="5" t="inlineStr">
        <is>
          <t>Reporting and business intelligence</t>
        </is>
      </c>
      <c r="U388" s="8" t="inlineStr"/>
      <c r="V388" s="8" t="inlineStr">
        <is>
          <t>reporting</t>
        </is>
      </c>
      <c r="W388" s="8" t="inlineStr">
        <is>
          <t>CONTROL</t>
        </is>
      </c>
      <c r="X388" s="5" t="inlineStr">
        <is>
          <t>Core</t>
        </is>
      </c>
      <c r="Y388" s="5" t="inlineStr">
        <is>
          <t>Cross-persona</t>
        </is>
      </c>
      <c r="Z388" s="5" t="inlineStr">
        <is>
          <t>Medium</t>
        </is>
      </c>
      <c r="AA388" s="5" t="inlineStr">
        <is>
          <t>Medium</t>
        </is>
      </c>
      <c r="AB388" s="8" t="inlineStr">
        <is>
          <t>Low</t>
        </is>
      </c>
      <c r="AC388" s="8" t="inlineStr">
        <is>
          <t>Pilot</t>
        </is>
      </c>
      <c r="AD388" s="5" t="inlineStr">
        <is>
          <t>Not independently checked</t>
        </is>
      </c>
      <c r="AE388" s="5" t="inlineStr">
        <is>
          <t>Not verified</t>
        </is>
      </c>
      <c r="AF388" s="5" t="inlineStr">
        <is>
          <t>Not verified</t>
        </is>
      </c>
      <c r="AG388" s="5" t="inlineStr">
        <is>
          <t>Not verified</t>
        </is>
      </c>
      <c r="AH388" s="5" t="inlineStr">
        <is>
          <t>Not verified</t>
        </is>
      </c>
      <c r="AI388" s="8" t="inlineStr">
        <is>
          <t>No</t>
        </is>
      </c>
      <c r="AJ388" s="8" t="inlineStr">
        <is>
          <t>Claimed - unverified</t>
        </is>
      </c>
      <c r="AK388" s="8" t="inlineStr">
        <is>
          <t>P1</t>
        </is>
      </c>
      <c r="AL388" s="8" t="n">
        <v>6</v>
      </c>
      <c r="AM388" s="5" t="inlineStr"/>
      <c r="AN388" s="5" t="inlineStr"/>
      <c r="AO388" s="5" t="inlineStr"/>
      <c r="AP388" s="5" t="inlineStr"/>
      <c r="AQ388" s="5" t="inlineStr"/>
      <c r="AR388" s="5" t="inlineStr"/>
      <c r="AS388" s="5" t="inlineStr"/>
      <c r="AT388" s="5" t="inlineStr"/>
      <c r="AU388" s="8" t="inlineStr">
        <is>
          <t>Not run</t>
        </is>
      </c>
    </row>
    <row r="389" ht="32" customHeight="1">
      <c r="A389" s="16" t="inlineStr">
        <is>
          <t>X-0388</t>
        </is>
      </c>
      <c r="B389" s="8" t="inlineStr">
        <is>
          <t>X</t>
        </is>
      </c>
      <c r="C389" s="5" t="inlineStr">
        <is>
          <t>Multiple / Cross-persona</t>
        </is>
      </c>
      <c r="D389" s="5" t="inlineStr">
        <is>
          <t>Reporting &amp; Business Intelligence</t>
        </is>
      </c>
      <c r="E389" s="5" t="inlineStr">
        <is>
          <t>Transaction → GST dashboard updates</t>
        </is>
      </c>
      <c r="F389" s="5" t="inlineStr">
        <is>
          <t>Reporting Engine</t>
        </is>
      </c>
      <c r="G389" s="5" t="inlineStr">
        <is>
          <t>In-house Accountant</t>
        </is>
      </c>
      <c r="H389" s="5" t="inlineStr">
        <is>
          <t>Tax dashboard reflects cumulative output liability, input credits, and estimated net payout</t>
        </is>
      </c>
      <c r="I389" s="5" t="inlineStr">
        <is>
          <t>Updates real-time tax summary cards for CGST, SGST, IGST, and cess</t>
        </is>
      </c>
      <c r="J389" s="20" t="inlineStr">
        <is>
          <t>P1</t>
        </is>
      </c>
      <c r="K389" s="20" t="inlineStr">
        <is>
          <t>Validated (Supported)</t>
        </is>
      </c>
      <c r="L389" s="5" t="inlineStr">
        <is>
          <t>Supported via GST Health Dashboard in reporting module.</t>
        </is>
      </c>
      <c r="M389" s="8" t="inlineStr">
        <is>
          <t>Baseline</t>
        </is>
      </c>
      <c r="N389" s="8" t="inlineStr">
        <is>
          <t>Cross-persona</t>
        </is>
      </c>
      <c r="O389" s="8" t="inlineStr">
        <is>
          <t>P1</t>
        </is>
      </c>
      <c r="P389" s="5" t="inlineStr">
        <is>
          <t>Unchanged</t>
        </is>
      </c>
      <c r="Q389" s="20" t="inlineStr">
        <is>
          <t>Author assertion</t>
        </is>
      </c>
      <c r="R389" s="5" t="inlineStr"/>
      <c r="S389" s="8" t="inlineStr">
        <is>
          <t>RPT</t>
        </is>
      </c>
      <c r="T389" s="5" t="inlineStr">
        <is>
          <t>Reporting and business intelligence</t>
        </is>
      </c>
      <c r="U389" s="8" t="inlineStr"/>
      <c r="V389" s="8" t="inlineStr">
        <is>
          <t>reporting</t>
        </is>
      </c>
      <c r="W389" s="8" t="inlineStr">
        <is>
          <t>CONTROL</t>
        </is>
      </c>
      <c r="X389" s="5" t="inlineStr">
        <is>
          <t>Core</t>
        </is>
      </c>
      <c r="Y389" s="5" t="inlineStr">
        <is>
          <t>Cross-persona</t>
        </is>
      </c>
      <c r="Z389" s="5" t="inlineStr">
        <is>
          <t>Medium</t>
        </is>
      </c>
      <c r="AA389" s="5" t="inlineStr">
        <is>
          <t>Medium</t>
        </is>
      </c>
      <c r="AB389" s="8" t="inlineStr">
        <is>
          <t>Low</t>
        </is>
      </c>
      <c r="AC389" s="8" t="inlineStr">
        <is>
          <t>Pilot</t>
        </is>
      </c>
      <c r="AD389" s="5" t="inlineStr">
        <is>
          <t>Not independently checked</t>
        </is>
      </c>
      <c r="AE389" s="5" t="inlineStr">
        <is>
          <t>Not verified</t>
        </is>
      </c>
      <c r="AF389" s="5" t="inlineStr">
        <is>
          <t>Not verified</t>
        </is>
      </c>
      <c r="AG389" s="5" t="inlineStr">
        <is>
          <t>Not verified</t>
        </is>
      </c>
      <c r="AH389" s="5" t="inlineStr">
        <is>
          <t>Not verified</t>
        </is>
      </c>
      <c r="AI389" s="8" t="inlineStr">
        <is>
          <t>No</t>
        </is>
      </c>
      <c r="AJ389" s="8" t="inlineStr">
        <is>
          <t>Claimed - unverified</t>
        </is>
      </c>
      <c r="AK389" s="8" t="inlineStr">
        <is>
          <t>P1</t>
        </is>
      </c>
      <c r="AL389" s="8" t="n">
        <v>6</v>
      </c>
      <c r="AM389" s="5" t="inlineStr"/>
      <c r="AN389" s="5" t="inlineStr"/>
      <c r="AO389" s="5" t="inlineStr"/>
      <c r="AP389" s="5" t="inlineStr"/>
      <c r="AQ389" s="5" t="inlineStr"/>
      <c r="AR389" s="5" t="inlineStr"/>
      <c r="AS389" s="5" t="inlineStr"/>
      <c r="AT389" s="5" t="inlineStr"/>
      <c r="AU389" s="8" t="inlineStr">
        <is>
          <t>Not run</t>
        </is>
      </c>
    </row>
    <row r="390" ht="32" customHeight="1">
      <c r="A390" s="16" t="inlineStr">
        <is>
          <t>X-0389</t>
        </is>
      </c>
      <c r="B390" s="8" t="inlineStr">
        <is>
          <t>X</t>
        </is>
      </c>
      <c r="C390" s="5" t="inlineStr">
        <is>
          <t>Multiple / Cross-persona</t>
        </is>
      </c>
      <c r="D390" s="5" t="inlineStr">
        <is>
          <t>Reporting &amp; Business Intelligence</t>
        </is>
      </c>
      <c r="E390" s="5" t="inlineStr">
        <is>
          <t>Transaction → receivables dashboard updates</t>
        </is>
      </c>
      <c r="F390" s="5" t="inlineStr">
        <is>
          <t>Reporting Engine</t>
        </is>
      </c>
      <c r="G390" s="5" t="inlineStr">
        <is>
          <t>Credit Controller / Owner</t>
        </is>
      </c>
      <c r="H390" s="5" t="inlineStr">
        <is>
          <t>Accounts receivable dashboard updates total outstanding, overdue aging, and collections</t>
        </is>
      </c>
      <c r="I390" s="5" t="inlineStr">
        <is>
          <t>Updates AR total, 30+ days overdue percentage, and top debtor ranking</t>
        </is>
      </c>
      <c r="J390" s="20" t="inlineStr">
        <is>
          <t>P1</t>
        </is>
      </c>
      <c r="K390" s="20" t="inlineStr">
        <is>
          <t>Validated (Supported)</t>
        </is>
      </c>
      <c r="L390" s="5" t="inlineStr">
        <is>
          <t>Supported via Receivables Overview dashboard.</t>
        </is>
      </c>
      <c r="M390" s="8" t="inlineStr">
        <is>
          <t>Baseline</t>
        </is>
      </c>
      <c r="N390" s="8" t="inlineStr">
        <is>
          <t>Cross-persona</t>
        </is>
      </c>
      <c r="O390" s="8" t="inlineStr">
        <is>
          <t>P1</t>
        </is>
      </c>
      <c r="P390" s="5" t="inlineStr">
        <is>
          <t>Unchanged</t>
        </is>
      </c>
      <c r="Q390" s="20" t="inlineStr">
        <is>
          <t>Author assertion</t>
        </is>
      </c>
      <c r="R390" s="5" t="inlineStr"/>
      <c r="S390" s="8" t="inlineStr">
        <is>
          <t>RPT</t>
        </is>
      </c>
      <c r="T390" s="5" t="inlineStr">
        <is>
          <t>Reporting and business intelligence</t>
        </is>
      </c>
      <c r="U390" s="8" t="inlineStr"/>
      <c r="V390" s="8" t="inlineStr">
        <is>
          <t>reporting</t>
        </is>
      </c>
      <c r="W390" s="8" t="inlineStr">
        <is>
          <t>CONTROL</t>
        </is>
      </c>
      <c r="X390" s="5" t="inlineStr">
        <is>
          <t>Core</t>
        </is>
      </c>
      <c r="Y390" s="5" t="inlineStr">
        <is>
          <t>Cross-persona</t>
        </is>
      </c>
      <c r="Z390" s="5" t="inlineStr">
        <is>
          <t>Medium</t>
        </is>
      </c>
      <c r="AA390" s="5" t="inlineStr">
        <is>
          <t>Medium</t>
        </is>
      </c>
      <c r="AB390" s="8" t="inlineStr">
        <is>
          <t>Low</t>
        </is>
      </c>
      <c r="AC390" s="8" t="inlineStr">
        <is>
          <t>Pilot</t>
        </is>
      </c>
      <c r="AD390" s="5" t="inlineStr">
        <is>
          <t>Not independently checked</t>
        </is>
      </c>
      <c r="AE390" s="5" t="inlineStr">
        <is>
          <t>Not verified</t>
        </is>
      </c>
      <c r="AF390" s="5" t="inlineStr">
        <is>
          <t>Not verified</t>
        </is>
      </c>
      <c r="AG390" s="5" t="inlineStr">
        <is>
          <t>Not verified</t>
        </is>
      </c>
      <c r="AH390" s="5" t="inlineStr">
        <is>
          <t>Not verified</t>
        </is>
      </c>
      <c r="AI390" s="8" t="inlineStr">
        <is>
          <t>No</t>
        </is>
      </c>
      <c r="AJ390" s="8" t="inlineStr">
        <is>
          <t>Claimed - unverified</t>
        </is>
      </c>
      <c r="AK390" s="8" t="inlineStr">
        <is>
          <t>P1</t>
        </is>
      </c>
      <c r="AL390" s="8" t="n">
        <v>6</v>
      </c>
      <c r="AM390" s="5" t="inlineStr"/>
      <c r="AN390" s="5" t="inlineStr"/>
      <c r="AO390" s="5" t="inlineStr"/>
      <c r="AP390" s="5" t="inlineStr"/>
      <c r="AQ390" s="5" t="inlineStr"/>
      <c r="AR390" s="5" t="inlineStr"/>
      <c r="AS390" s="5" t="inlineStr"/>
      <c r="AT390" s="5" t="inlineStr"/>
      <c r="AU390" s="8" t="inlineStr">
        <is>
          <t>Not run</t>
        </is>
      </c>
    </row>
    <row r="391" ht="32" customHeight="1">
      <c r="A391" s="16" t="inlineStr">
        <is>
          <t>X-0390</t>
        </is>
      </c>
      <c r="B391" s="8" t="inlineStr">
        <is>
          <t>X</t>
        </is>
      </c>
      <c r="C391" s="5" t="inlineStr">
        <is>
          <t>Multiple / Cross-persona</t>
        </is>
      </c>
      <c r="D391" s="5" t="inlineStr">
        <is>
          <t>Reporting &amp; Business Intelligence</t>
        </is>
      </c>
      <c r="E391" s="5" t="inlineStr">
        <is>
          <t>Transaction → payables dashboard updates</t>
        </is>
      </c>
      <c r="F391" s="5" t="inlineStr">
        <is>
          <t>Reporting Engine</t>
        </is>
      </c>
      <c r="G391" s="5" t="inlineStr">
        <is>
          <t>Purchase Manager / Accountant</t>
        </is>
      </c>
      <c r="H391" s="5" t="inlineStr">
        <is>
          <t>Accounts payable dashboard reflects updated supplier obligations and scheduled payments</t>
        </is>
      </c>
      <c r="I391" s="5" t="inlineStr">
        <is>
          <t>Updates AP total, upcoming 7-day payment commitments, and supplier balances</t>
        </is>
      </c>
      <c r="J391" s="20" t="inlineStr">
        <is>
          <t>P1</t>
        </is>
      </c>
      <c r="K391" s="20" t="inlineStr">
        <is>
          <t>Validated (Supported)</t>
        </is>
      </c>
      <c r="L391" s="5" t="inlineStr">
        <is>
          <t>Supported via Payables Overview dashboard.</t>
        </is>
      </c>
      <c r="M391" s="8" t="inlineStr">
        <is>
          <t>Baseline</t>
        </is>
      </c>
      <c r="N391" s="8" t="inlineStr">
        <is>
          <t>Cross-persona</t>
        </is>
      </c>
      <c r="O391" s="8" t="inlineStr">
        <is>
          <t>P1</t>
        </is>
      </c>
      <c r="P391" s="5" t="inlineStr">
        <is>
          <t>Unchanged</t>
        </is>
      </c>
      <c r="Q391" s="20" t="inlineStr">
        <is>
          <t>Author assertion</t>
        </is>
      </c>
      <c r="R391" s="5" t="inlineStr"/>
      <c r="S391" s="8" t="inlineStr">
        <is>
          <t>RPT</t>
        </is>
      </c>
      <c r="T391" s="5" t="inlineStr">
        <is>
          <t>Reporting and business intelligence</t>
        </is>
      </c>
      <c r="U391" s="8" t="inlineStr"/>
      <c r="V391" s="8" t="inlineStr">
        <is>
          <t>reporting</t>
        </is>
      </c>
      <c r="W391" s="8" t="inlineStr">
        <is>
          <t>CONTROL</t>
        </is>
      </c>
      <c r="X391" s="5" t="inlineStr">
        <is>
          <t>Core</t>
        </is>
      </c>
      <c r="Y391" s="5" t="inlineStr">
        <is>
          <t>Cross-persona</t>
        </is>
      </c>
      <c r="Z391" s="5" t="inlineStr">
        <is>
          <t>Medium</t>
        </is>
      </c>
      <c r="AA391" s="5" t="inlineStr">
        <is>
          <t>Medium</t>
        </is>
      </c>
      <c r="AB391" s="8" t="inlineStr">
        <is>
          <t>Low</t>
        </is>
      </c>
      <c r="AC391" s="8" t="inlineStr">
        <is>
          <t>Pilot</t>
        </is>
      </c>
      <c r="AD391" s="5" t="inlineStr">
        <is>
          <t>Not independently checked</t>
        </is>
      </c>
      <c r="AE391" s="5" t="inlineStr">
        <is>
          <t>Not verified</t>
        </is>
      </c>
      <c r="AF391" s="5" t="inlineStr">
        <is>
          <t>Not verified</t>
        </is>
      </c>
      <c r="AG391" s="5" t="inlineStr">
        <is>
          <t>Not verified</t>
        </is>
      </c>
      <c r="AH391" s="5" t="inlineStr">
        <is>
          <t>Not verified</t>
        </is>
      </c>
      <c r="AI391" s="8" t="inlineStr">
        <is>
          <t>No</t>
        </is>
      </c>
      <c r="AJ391" s="8" t="inlineStr">
        <is>
          <t>Claimed - unverified</t>
        </is>
      </c>
      <c r="AK391" s="8" t="inlineStr">
        <is>
          <t>P1</t>
        </is>
      </c>
      <c r="AL391" s="8" t="n">
        <v>6</v>
      </c>
      <c r="AM391" s="5" t="inlineStr"/>
      <c r="AN391" s="5" t="inlineStr"/>
      <c r="AO391" s="5" t="inlineStr"/>
      <c r="AP391" s="5" t="inlineStr"/>
      <c r="AQ391" s="5" t="inlineStr"/>
      <c r="AR391" s="5" t="inlineStr"/>
      <c r="AS391" s="5" t="inlineStr"/>
      <c r="AT391" s="5" t="inlineStr"/>
      <c r="AU391" s="8" t="inlineStr">
        <is>
          <t>Not run</t>
        </is>
      </c>
    </row>
    <row r="392" ht="32" customHeight="1">
      <c r="A392" s="16" t="inlineStr">
        <is>
          <t>X-0391</t>
        </is>
      </c>
      <c r="B392" s="8" t="inlineStr">
        <is>
          <t>X</t>
        </is>
      </c>
      <c r="C392" s="5" t="inlineStr">
        <is>
          <t>Multiple / Cross-persona</t>
        </is>
      </c>
      <c r="D392" s="5" t="inlineStr">
        <is>
          <t>Reporting &amp; Business Intelligence</t>
        </is>
      </c>
      <c r="E392" s="5" t="inlineStr">
        <is>
          <t>Transaction → profitability dashboard updates</t>
        </is>
      </c>
      <c r="F392" s="5" t="inlineStr">
        <is>
          <t>Reporting Engine</t>
        </is>
      </c>
      <c r="G392" s="5" t="inlineStr">
        <is>
          <t>Business Owner</t>
        </is>
      </c>
      <c r="H392" s="5" t="inlineStr">
        <is>
          <t>Real-time realized gross profit margin metrics update as transactions complete</t>
        </is>
      </c>
      <c r="I392" s="5" t="inlineStr">
        <is>
          <t>Computes cumulative gross profit = SUM(Line Revenue - Line FIFO Cost) for the period</t>
        </is>
      </c>
      <c r="J392" s="20" t="inlineStr">
        <is>
          <t>P1</t>
        </is>
      </c>
      <c r="K392" s="20" t="inlineStr">
        <is>
          <t>Validated (Supported)</t>
        </is>
      </c>
      <c r="L392" s="5" t="inlineStr">
        <is>
          <t>Supported via Executive Profitability Dashboard.</t>
        </is>
      </c>
      <c r="M392" s="8" t="inlineStr">
        <is>
          <t>Baseline</t>
        </is>
      </c>
      <c r="N392" s="8" t="inlineStr">
        <is>
          <t>Cross-persona</t>
        </is>
      </c>
      <c r="O392" s="8" t="inlineStr">
        <is>
          <t>P1</t>
        </is>
      </c>
      <c r="P392" s="5" t="inlineStr">
        <is>
          <t>Unchanged</t>
        </is>
      </c>
      <c r="Q392" s="20" t="inlineStr">
        <is>
          <t>Author assertion</t>
        </is>
      </c>
      <c r="R392" s="5" t="inlineStr"/>
      <c r="S392" s="8" t="inlineStr">
        <is>
          <t>RPT</t>
        </is>
      </c>
      <c r="T392" s="5" t="inlineStr">
        <is>
          <t>Reporting and business intelligence</t>
        </is>
      </c>
      <c r="U392" s="8" t="inlineStr"/>
      <c r="V392" s="8" t="inlineStr">
        <is>
          <t>reporting</t>
        </is>
      </c>
      <c r="W392" s="8" t="inlineStr">
        <is>
          <t>CONTROL</t>
        </is>
      </c>
      <c r="X392" s="5" t="inlineStr">
        <is>
          <t>Core</t>
        </is>
      </c>
      <c r="Y392" s="5" t="inlineStr">
        <is>
          <t>Cross-persona</t>
        </is>
      </c>
      <c r="Z392" s="5" t="inlineStr">
        <is>
          <t>Medium</t>
        </is>
      </c>
      <c r="AA392" s="5" t="inlineStr">
        <is>
          <t>Medium</t>
        </is>
      </c>
      <c r="AB392" s="8" t="inlineStr">
        <is>
          <t>Low</t>
        </is>
      </c>
      <c r="AC392" s="8" t="inlineStr">
        <is>
          <t>Pilot</t>
        </is>
      </c>
      <c r="AD392" s="5" t="inlineStr">
        <is>
          <t>Not independently checked</t>
        </is>
      </c>
      <c r="AE392" s="5" t="inlineStr">
        <is>
          <t>Not verified</t>
        </is>
      </c>
      <c r="AF392" s="5" t="inlineStr">
        <is>
          <t>Not verified</t>
        </is>
      </c>
      <c r="AG392" s="5" t="inlineStr">
        <is>
          <t>Not verified</t>
        </is>
      </c>
      <c r="AH392" s="5" t="inlineStr">
        <is>
          <t>Not verified</t>
        </is>
      </c>
      <c r="AI392" s="8" t="inlineStr">
        <is>
          <t>No</t>
        </is>
      </c>
      <c r="AJ392" s="8" t="inlineStr">
        <is>
          <t>Claimed - unverified</t>
        </is>
      </c>
      <c r="AK392" s="8" t="inlineStr">
        <is>
          <t>P1</t>
        </is>
      </c>
      <c r="AL392" s="8" t="n">
        <v>6</v>
      </c>
      <c r="AM392" s="5" t="inlineStr"/>
      <c r="AN392" s="5" t="inlineStr"/>
      <c r="AO392" s="5" t="inlineStr"/>
      <c r="AP392" s="5" t="inlineStr"/>
      <c r="AQ392" s="5" t="inlineStr"/>
      <c r="AR392" s="5" t="inlineStr"/>
      <c r="AS392" s="5" t="inlineStr"/>
      <c r="AT392" s="5" t="inlineStr"/>
      <c r="AU392" s="8" t="inlineStr">
        <is>
          <t>Not run</t>
        </is>
      </c>
    </row>
    <row r="393" ht="32" customHeight="1">
      <c r="A393" s="16" t="inlineStr">
        <is>
          <t>X-0392</t>
        </is>
      </c>
      <c r="B393" s="8" t="inlineStr">
        <is>
          <t>X</t>
        </is>
      </c>
      <c r="C393" s="5" t="inlineStr">
        <is>
          <t>Multiple / Cross-persona</t>
        </is>
      </c>
      <c r="D393" s="5" t="inlineStr">
        <is>
          <t>Reporting &amp; Business Intelligence</t>
        </is>
      </c>
      <c r="E393" s="5" t="inlineStr">
        <is>
          <t>Owner drills KPI → underlying transaction</t>
        </is>
      </c>
      <c r="F393" s="5" t="inlineStr">
        <is>
          <t>Business Owner / Accountant</t>
        </is>
      </c>
      <c r="G393" s="5" t="inlineStr">
        <is>
          <t>None</t>
        </is>
      </c>
      <c r="H393" s="5" t="inlineStr">
        <is>
          <t>Click on any dashboard metric card to view filtered list of transactions composing the total</t>
        </is>
      </c>
      <c r="I393" s="5" t="inlineStr">
        <is>
          <t>Opens filtered transaction ledger displaying the specific invoices or journal lines</t>
        </is>
      </c>
      <c r="J393" s="20" t="inlineStr">
        <is>
          <t>P1</t>
        </is>
      </c>
      <c r="K393" s="20" t="inlineStr">
        <is>
          <t>Validated (Supported)</t>
        </is>
      </c>
      <c r="L393" s="5" t="inlineStr">
        <is>
          <t>Full bidirectional drill-down supported across all dashboard metric cards.</t>
        </is>
      </c>
      <c r="M393" s="8" t="inlineStr">
        <is>
          <t>Baseline</t>
        </is>
      </c>
      <c r="N393" s="8" t="inlineStr">
        <is>
          <t>Cross-persona</t>
        </is>
      </c>
      <c r="O393" s="8" t="inlineStr">
        <is>
          <t>P1</t>
        </is>
      </c>
      <c r="P393" s="5" t="inlineStr">
        <is>
          <t>Unchanged</t>
        </is>
      </c>
      <c r="Q393" s="20" t="inlineStr">
        <is>
          <t>Author assertion</t>
        </is>
      </c>
      <c r="R393" s="5" t="inlineStr"/>
      <c r="S393" s="8" t="inlineStr">
        <is>
          <t>RPT</t>
        </is>
      </c>
      <c r="T393" s="5" t="inlineStr">
        <is>
          <t>Reporting and business intelligence</t>
        </is>
      </c>
      <c r="U393" s="8" t="inlineStr"/>
      <c r="V393" s="8" t="inlineStr">
        <is>
          <t>reporting</t>
        </is>
      </c>
      <c r="W393" s="8" t="inlineStr">
        <is>
          <t>CONTROL</t>
        </is>
      </c>
      <c r="X393" s="5" t="inlineStr">
        <is>
          <t>Core</t>
        </is>
      </c>
      <c r="Y393" s="5" t="inlineStr">
        <is>
          <t>Cross-persona</t>
        </is>
      </c>
      <c r="Z393" s="5" t="inlineStr">
        <is>
          <t>Medium</t>
        </is>
      </c>
      <c r="AA393" s="5" t="inlineStr">
        <is>
          <t>Medium</t>
        </is>
      </c>
      <c r="AB393" s="8" t="inlineStr">
        <is>
          <t>Low</t>
        </is>
      </c>
      <c r="AC393" s="8" t="inlineStr">
        <is>
          <t>Pilot</t>
        </is>
      </c>
      <c r="AD393" s="5" t="inlineStr">
        <is>
          <t>Not independently checked</t>
        </is>
      </c>
      <c r="AE393" s="5" t="inlineStr">
        <is>
          <t>Not verified</t>
        </is>
      </c>
      <c r="AF393" s="5" t="inlineStr">
        <is>
          <t>Not verified</t>
        </is>
      </c>
      <c r="AG393" s="5" t="inlineStr">
        <is>
          <t>Not verified</t>
        </is>
      </c>
      <c r="AH393" s="5" t="inlineStr">
        <is>
          <t>Not verified</t>
        </is>
      </c>
      <c r="AI393" s="8" t="inlineStr">
        <is>
          <t>No</t>
        </is>
      </c>
      <c r="AJ393" s="8" t="inlineStr">
        <is>
          <t>Claimed - unverified</t>
        </is>
      </c>
      <c r="AK393" s="8" t="inlineStr">
        <is>
          <t>P1</t>
        </is>
      </c>
      <c r="AL393" s="8" t="n">
        <v>6</v>
      </c>
      <c r="AM393" s="5" t="inlineStr"/>
      <c r="AN393" s="5" t="inlineStr"/>
      <c r="AO393" s="5" t="inlineStr"/>
      <c r="AP393" s="5" t="inlineStr"/>
      <c r="AQ393" s="5" t="inlineStr"/>
      <c r="AR393" s="5" t="inlineStr"/>
      <c r="AS393" s="5" t="inlineStr"/>
      <c r="AT393" s="5" t="inlineStr"/>
      <c r="AU393" s="8" t="inlineStr">
        <is>
          <t>Not run</t>
        </is>
      </c>
    </row>
    <row r="394" ht="32" customHeight="1">
      <c r="A394" s="16" t="inlineStr">
        <is>
          <t>X-0393</t>
        </is>
      </c>
      <c r="B394" s="8" t="inlineStr">
        <is>
          <t>X</t>
        </is>
      </c>
      <c r="C394" s="5" t="inlineStr">
        <is>
          <t>Multiple / Cross-persona</t>
        </is>
      </c>
      <c r="D394" s="5" t="inlineStr">
        <is>
          <t>Reporting &amp; Business Intelligence</t>
        </is>
      </c>
      <c r="E394" s="5" t="inlineStr">
        <is>
          <t>Owner drills transaction → source document</t>
        </is>
      </c>
      <c r="F394" s="5" t="inlineStr">
        <is>
          <t>In-house Accountant / Owner</t>
        </is>
      </c>
      <c r="G394" s="5" t="inlineStr">
        <is>
          <t>None</t>
        </is>
      </c>
      <c r="H394" s="5" t="inlineStr">
        <is>
          <t>Click on any transaction row in ledger to inspect original full tax invoice or bill document</t>
        </is>
      </c>
      <c r="I394" s="5" t="inlineStr">
        <is>
          <t>Opens full document view showing customer details, line items, taxes, and payment history</t>
        </is>
      </c>
      <c r="J394" s="20" t="inlineStr">
        <is>
          <t>P1</t>
        </is>
      </c>
      <c r="K394" s="20" t="inlineStr">
        <is>
          <t>Validated (Supported)</t>
        </is>
      </c>
      <c r="L394" s="5" t="inlineStr">
        <is>
          <t>Supported via direct document link from all ledger tables.</t>
        </is>
      </c>
      <c r="M394" s="8" t="inlineStr">
        <is>
          <t>Baseline</t>
        </is>
      </c>
      <c r="N394" s="8" t="inlineStr">
        <is>
          <t>Cross-persona</t>
        </is>
      </c>
      <c r="O394" s="8" t="inlineStr">
        <is>
          <t>P1</t>
        </is>
      </c>
      <c r="P394" s="5" t="inlineStr">
        <is>
          <t>Unchanged</t>
        </is>
      </c>
      <c r="Q394" s="20" t="inlineStr">
        <is>
          <t>Author assertion</t>
        </is>
      </c>
      <c r="R394" s="5" t="inlineStr"/>
      <c r="S394" s="8" t="inlineStr">
        <is>
          <t>RPT</t>
        </is>
      </c>
      <c r="T394" s="5" t="inlineStr">
        <is>
          <t>Reporting and business intelligence</t>
        </is>
      </c>
      <c r="U394" s="8" t="inlineStr"/>
      <c r="V394" s="8" t="inlineStr">
        <is>
          <t>reporting</t>
        </is>
      </c>
      <c r="W394" s="8" t="inlineStr">
        <is>
          <t>CONTROL</t>
        </is>
      </c>
      <c r="X394" s="5" t="inlineStr">
        <is>
          <t>Core</t>
        </is>
      </c>
      <c r="Y394" s="5" t="inlineStr">
        <is>
          <t>Cross-persona</t>
        </is>
      </c>
      <c r="Z394" s="5" t="inlineStr">
        <is>
          <t>Medium</t>
        </is>
      </c>
      <c r="AA394" s="5" t="inlineStr">
        <is>
          <t>Medium</t>
        </is>
      </c>
      <c r="AB394" s="8" t="inlineStr">
        <is>
          <t>Low</t>
        </is>
      </c>
      <c r="AC394" s="8" t="inlineStr">
        <is>
          <t>Pilot</t>
        </is>
      </c>
      <c r="AD394" s="5" t="inlineStr">
        <is>
          <t>Not independently checked</t>
        </is>
      </c>
      <c r="AE394" s="5" t="inlineStr">
        <is>
          <t>Not verified</t>
        </is>
      </c>
      <c r="AF394" s="5" t="inlineStr">
        <is>
          <t>Not verified</t>
        </is>
      </c>
      <c r="AG394" s="5" t="inlineStr">
        <is>
          <t>Not verified</t>
        </is>
      </c>
      <c r="AH394" s="5" t="inlineStr">
        <is>
          <t>Not verified</t>
        </is>
      </c>
      <c r="AI394" s="8" t="inlineStr">
        <is>
          <t>No</t>
        </is>
      </c>
      <c r="AJ394" s="8" t="inlineStr">
        <is>
          <t>Claimed - unverified</t>
        </is>
      </c>
      <c r="AK394" s="8" t="inlineStr">
        <is>
          <t>P1</t>
        </is>
      </c>
      <c r="AL394" s="8" t="n">
        <v>6</v>
      </c>
      <c r="AM394" s="5" t="inlineStr"/>
      <c r="AN394" s="5" t="inlineStr"/>
      <c r="AO394" s="5" t="inlineStr"/>
      <c r="AP394" s="5" t="inlineStr"/>
      <c r="AQ394" s="5" t="inlineStr"/>
      <c r="AR394" s="5" t="inlineStr"/>
      <c r="AS394" s="5" t="inlineStr"/>
      <c r="AT394" s="5" t="inlineStr"/>
      <c r="AU394" s="8" t="inlineStr">
        <is>
          <t>Not run</t>
        </is>
      </c>
    </row>
    <row r="395" ht="32" customHeight="1">
      <c r="A395" s="16" t="inlineStr">
        <is>
          <t>X-0394</t>
        </is>
      </c>
      <c r="B395" s="8" t="inlineStr">
        <is>
          <t>X</t>
        </is>
      </c>
      <c r="C395" s="5" t="inlineStr">
        <is>
          <t>Multiple / Cross-persona</t>
        </is>
      </c>
      <c r="D395" s="5" t="inlineStr">
        <is>
          <t>Reporting &amp; Business Intelligence</t>
        </is>
      </c>
      <c r="E395" s="5" t="inlineStr">
        <is>
          <t>Salesperson sees personal sales performance</t>
        </is>
      </c>
      <c r="F395" s="5" t="inlineStr">
        <is>
          <t>Field Salesperson</t>
        </is>
      </c>
      <c r="G395" s="5" t="inlineStr">
        <is>
          <t>Sales Manager</t>
        </is>
      </c>
      <c r="H395" s="5" t="inlineStr">
        <is>
          <t>Salesperson views personal sales achievement, commission earned, and customer order count</t>
        </is>
      </c>
      <c r="I395" s="5" t="inlineStr">
        <is>
          <t>Filters sales performance metrics specifically for logged-in salesperson's user ID</t>
        </is>
      </c>
      <c r="J395" s="20" t="inlineStr">
        <is>
          <t>P1</t>
        </is>
      </c>
      <c r="K395" s="20" t="inlineStr">
        <is>
          <t>Validated (Supported)</t>
        </is>
      </c>
      <c r="L395" s="5" t="inlineStr">
        <is>
          <t>Supported via Rep Self-Service Performance Card in mobile PWA.</t>
        </is>
      </c>
      <c r="M395" s="8" t="inlineStr">
        <is>
          <t>Baseline</t>
        </is>
      </c>
      <c r="N395" s="8" t="inlineStr">
        <is>
          <t>Cross-persona</t>
        </is>
      </c>
      <c r="O395" s="8" t="inlineStr">
        <is>
          <t>P1</t>
        </is>
      </c>
      <c r="P395" s="5" t="inlineStr">
        <is>
          <t>Unchanged</t>
        </is>
      </c>
      <c r="Q395" s="20" t="inlineStr">
        <is>
          <t>Author assertion</t>
        </is>
      </c>
      <c r="R395" s="5" t="inlineStr"/>
      <c r="S395" s="8" t="inlineStr">
        <is>
          <t>RPT</t>
        </is>
      </c>
      <c r="T395" s="5" t="inlineStr">
        <is>
          <t>Reporting and business intelligence</t>
        </is>
      </c>
      <c r="U395" s="8" t="inlineStr"/>
      <c r="V395" s="8" t="inlineStr">
        <is>
          <t>reporting</t>
        </is>
      </c>
      <c r="W395" s="8" t="inlineStr">
        <is>
          <t>CONTROL</t>
        </is>
      </c>
      <c r="X395" s="5" t="inlineStr">
        <is>
          <t>Core</t>
        </is>
      </c>
      <c r="Y395" s="5" t="inlineStr">
        <is>
          <t>Cross-persona</t>
        </is>
      </c>
      <c r="Z395" s="5" t="inlineStr">
        <is>
          <t>Medium</t>
        </is>
      </c>
      <c r="AA395" s="5" t="inlineStr">
        <is>
          <t>Medium</t>
        </is>
      </c>
      <c r="AB395" s="8" t="inlineStr">
        <is>
          <t>Low</t>
        </is>
      </c>
      <c r="AC395" s="8" t="inlineStr">
        <is>
          <t>Pilot</t>
        </is>
      </c>
      <c r="AD395" s="5" t="inlineStr">
        <is>
          <t>Not independently checked</t>
        </is>
      </c>
      <c r="AE395" s="5" t="inlineStr">
        <is>
          <t>Not verified</t>
        </is>
      </c>
      <c r="AF395" s="5" t="inlineStr">
        <is>
          <t>Not verified</t>
        </is>
      </c>
      <c r="AG395" s="5" t="inlineStr">
        <is>
          <t>Not verified</t>
        </is>
      </c>
      <c r="AH395" s="5" t="inlineStr">
        <is>
          <t>Not verified</t>
        </is>
      </c>
      <c r="AI395" s="8" t="inlineStr">
        <is>
          <t>No</t>
        </is>
      </c>
      <c r="AJ395" s="8" t="inlineStr">
        <is>
          <t>Claimed - unverified</t>
        </is>
      </c>
      <c r="AK395" s="8" t="inlineStr">
        <is>
          <t>P1</t>
        </is>
      </c>
      <c r="AL395" s="8" t="n">
        <v>6</v>
      </c>
      <c r="AM395" s="5" t="inlineStr"/>
      <c r="AN395" s="5" t="inlineStr"/>
      <c r="AO395" s="5" t="inlineStr"/>
      <c r="AP395" s="5" t="inlineStr"/>
      <c r="AQ395" s="5" t="inlineStr"/>
      <c r="AR395" s="5" t="inlineStr"/>
      <c r="AS395" s="5" t="inlineStr"/>
      <c r="AT395" s="5" t="inlineStr"/>
      <c r="AU395" s="8" t="inlineStr">
        <is>
          <t>Not run</t>
        </is>
      </c>
    </row>
    <row r="396" ht="32" customHeight="1">
      <c r="A396" s="16" t="inlineStr">
        <is>
          <t>X-0395</t>
        </is>
      </c>
      <c r="B396" s="8" t="inlineStr">
        <is>
          <t>X</t>
        </is>
      </c>
      <c r="C396" s="5" t="inlineStr">
        <is>
          <t>Multiple / Cross-persona</t>
        </is>
      </c>
      <c r="D396" s="5" t="inlineStr">
        <is>
          <t>Reporting &amp; Business Intelligence</t>
        </is>
      </c>
      <c r="E396" s="5" t="inlineStr">
        <is>
          <t>Manager sees team performance</t>
        </is>
      </c>
      <c r="F396" s="5" t="inlineStr">
        <is>
          <t>Sales Manager</t>
        </is>
      </c>
      <c r="G396" s="5" t="inlineStr">
        <is>
          <t>Sales Team</t>
        </is>
      </c>
      <c r="H396" s="5" t="inlineStr">
        <is>
          <t>Manager monitors sales figures, target completion, and customer visits across all sales reps</t>
        </is>
      </c>
      <c r="I396" s="5" t="inlineStr">
        <is>
          <t>Aggregates sales figures grouped by sales representative with comparative rankings</t>
        </is>
      </c>
      <c r="J396" s="20" t="inlineStr">
        <is>
          <t>P1</t>
        </is>
      </c>
      <c r="K396" s="20" t="inlineStr">
        <is>
          <t>Validated (Supported)</t>
        </is>
      </c>
      <c r="L396" s="5" t="inlineStr">
        <is>
          <t>Supported via Sales Team Leaderboard report.</t>
        </is>
      </c>
      <c r="M396" s="8" t="inlineStr">
        <is>
          <t>Baseline</t>
        </is>
      </c>
      <c r="N396" s="8" t="inlineStr">
        <is>
          <t>Cross-persona</t>
        </is>
      </c>
      <c r="O396" s="8" t="inlineStr">
        <is>
          <t>P1</t>
        </is>
      </c>
      <c r="P396" s="5" t="inlineStr">
        <is>
          <t>Unchanged</t>
        </is>
      </c>
      <c r="Q396" s="20" t="inlineStr">
        <is>
          <t>Author assertion</t>
        </is>
      </c>
      <c r="R396" s="5" t="inlineStr"/>
      <c r="S396" s="8" t="inlineStr">
        <is>
          <t>RPT</t>
        </is>
      </c>
      <c r="T396" s="5" t="inlineStr">
        <is>
          <t>Reporting and business intelligence</t>
        </is>
      </c>
      <c r="U396" s="8" t="inlineStr"/>
      <c r="V396" s="8" t="inlineStr">
        <is>
          <t>reporting</t>
        </is>
      </c>
      <c r="W396" s="8" t="inlineStr">
        <is>
          <t>CONTROL</t>
        </is>
      </c>
      <c r="X396" s="5" t="inlineStr">
        <is>
          <t>Core</t>
        </is>
      </c>
      <c r="Y396" s="5" t="inlineStr">
        <is>
          <t>Cross-persona</t>
        </is>
      </c>
      <c r="Z396" s="5" t="inlineStr">
        <is>
          <t>Medium</t>
        </is>
      </c>
      <c r="AA396" s="5" t="inlineStr">
        <is>
          <t>Medium</t>
        </is>
      </c>
      <c r="AB396" s="8" t="inlineStr">
        <is>
          <t>Low</t>
        </is>
      </c>
      <c r="AC396" s="8" t="inlineStr">
        <is>
          <t>Pilot</t>
        </is>
      </c>
      <c r="AD396" s="5" t="inlineStr">
        <is>
          <t>Not independently checked</t>
        </is>
      </c>
      <c r="AE396" s="5" t="inlineStr">
        <is>
          <t>Not verified</t>
        </is>
      </c>
      <c r="AF396" s="5" t="inlineStr">
        <is>
          <t>Not verified</t>
        </is>
      </c>
      <c r="AG396" s="5" t="inlineStr">
        <is>
          <t>Not verified</t>
        </is>
      </c>
      <c r="AH396" s="5" t="inlineStr">
        <is>
          <t>Not verified</t>
        </is>
      </c>
      <c r="AI396" s="8" t="inlineStr">
        <is>
          <t>No</t>
        </is>
      </c>
      <c r="AJ396" s="8" t="inlineStr">
        <is>
          <t>Claimed - unverified</t>
        </is>
      </c>
      <c r="AK396" s="8" t="inlineStr">
        <is>
          <t>P1</t>
        </is>
      </c>
      <c r="AL396" s="8" t="n">
        <v>6</v>
      </c>
      <c r="AM396" s="5" t="inlineStr"/>
      <c r="AN396" s="5" t="inlineStr"/>
      <c r="AO396" s="5" t="inlineStr"/>
      <c r="AP396" s="5" t="inlineStr"/>
      <c r="AQ396" s="5" t="inlineStr"/>
      <c r="AR396" s="5" t="inlineStr"/>
      <c r="AS396" s="5" t="inlineStr"/>
      <c r="AT396" s="5" t="inlineStr"/>
      <c r="AU396" s="8" t="inlineStr">
        <is>
          <t>Not run</t>
        </is>
      </c>
    </row>
    <row r="397" ht="32" customHeight="1">
      <c r="A397" s="16" t="inlineStr">
        <is>
          <t>X-0396</t>
        </is>
      </c>
      <c r="B397" s="8" t="inlineStr">
        <is>
          <t>X</t>
        </is>
      </c>
      <c r="C397" s="5" t="inlineStr">
        <is>
          <t>Multiple / Cross-persona</t>
        </is>
      </c>
      <c r="D397" s="5" t="inlineStr">
        <is>
          <t>Reporting &amp; Business Intelligence</t>
        </is>
      </c>
      <c r="E397" s="5" t="inlineStr">
        <is>
          <t>Owner sees consolidated business performance</t>
        </is>
      </c>
      <c r="F397" s="5" t="inlineStr">
        <is>
          <t>Business Owner</t>
        </is>
      </c>
      <c r="G397" s="5" t="inlineStr">
        <is>
          <t>Senior Management</t>
        </is>
      </c>
      <c r="H397" s="5" t="inlineStr">
        <is>
          <t>Consolidated overview of all company divisions, outlets, and financial operations</t>
        </is>
      </c>
      <c r="I397" s="5" t="inlineStr">
        <is>
          <t>Renders high-level executive briefing with multi-outlet and multi-department rollups</t>
        </is>
      </c>
      <c r="J397" s="20" t="inlineStr">
        <is>
          <t>P1</t>
        </is>
      </c>
      <c r="K397" s="20" t="inlineStr">
        <is>
          <t>Validated (Supported)</t>
        </is>
      </c>
      <c r="L397" s="5" t="inlineStr">
        <is>
          <t>Supported via Executive Dashboard in Insights module.</t>
        </is>
      </c>
      <c r="M397" s="8" t="inlineStr">
        <is>
          <t>Baseline</t>
        </is>
      </c>
      <c r="N397" s="8" t="inlineStr">
        <is>
          <t>Cross-persona</t>
        </is>
      </c>
      <c r="O397" s="8" t="inlineStr">
        <is>
          <t>P1</t>
        </is>
      </c>
      <c r="P397" s="5" t="inlineStr">
        <is>
          <t>Unchanged</t>
        </is>
      </c>
      <c r="Q397" s="20" t="inlineStr">
        <is>
          <t>Author assertion</t>
        </is>
      </c>
      <c r="R397" s="5" t="inlineStr"/>
      <c r="S397" s="8" t="inlineStr">
        <is>
          <t>RPT</t>
        </is>
      </c>
      <c r="T397" s="5" t="inlineStr">
        <is>
          <t>Reporting and business intelligence</t>
        </is>
      </c>
      <c r="U397" s="8" t="inlineStr"/>
      <c r="V397" s="8" t="inlineStr">
        <is>
          <t>reporting</t>
        </is>
      </c>
      <c r="W397" s="8" t="inlineStr">
        <is>
          <t>CONTROL</t>
        </is>
      </c>
      <c r="X397" s="5" t="inlineStr">
        <is>
          <t>Core</t>
        </is>
      </c>
      <c r="Y397" s="5" t="inlineStr">
        <is>
          <t>Cross-persona</t>
        </is>
      </c>
      <c r="Z397" s="5" t="inlineStr">
        <is>
          <t>Medium</t>
        </is>
      </c>
      <c r="AA397" s="5" t="inlineStr">
        <is>
          <t>Medium</t>
        </is>
      </c>
      <c r="AB397" s="8" t="inlineStr">
        <is>
          <t>Low</t>
        </is>
      </c>
      <c r="AC397" s="8" t="inlineStr">
        <is>
          <t>Pilot</t>
        </is>
      </c>
      <c r="AD397" s="5" t="inlineStr">
        <is>
          <t>Not independently checked</t>
        </is>
      </c>
      <c r="AE397" s="5" t="inlineStr">
        <is>
          <t>Not verified</t>
        </is>
      </c>
      <c r="AF397" s="5" t="inlineStr">
        <is>
          <t>Not verified</t>
        </is>
      </c>
      <c r="AG397" s="5" t="inlineStr">
        <is>
          <t>Not verified</t>
        </is>
      </c>
      <c r="AH397" s="5" t="inlineStr">
        <is>
          <t>Not verified</t>
        </is>
      </c>
      <c r="AI397" s="8" t="inlineStr">
        <is>
          <t>No</t>
        </is>
      </c>
      <c r="AJ397" s="8" t="inlineStr">
        <is>
          <t>Claimed - unverified</t>
        </is>
      </c>
      <c r="AK397" s="8" t="inlineStr">
        <is>
          <t>P1</t>
        </is>
      </c>
      <c r="AL397" s="8" t="n">
        <v>6</v>
      </c>
      <c r="AM397" s="5" t="inlineStr"/>
      <c r="AN397" s="5" t="inlineStr"/>
      <c r="AO397" s="5" t="inlineStr"/>
      <c r="AP397" s="5" t="inlineStr"/>
      <c r="AQ397" s="5" t="inlineStr"/>
      <c r="AR397" s="5" t="inlineStr"/>
      <c r="AS397" s="5" t="inlineStr"/>
      <c r="AT397" s="5" t="inlineStr"/>
      <c r="AU397" s="8" t="inlineStr">
        <is>
          <t>Not run</t>
        </is>
      </c>
    </row>
    <row r="398" ht="32" customHeight="1">
      <c r="A398" s="16" t="inlineStr">
        <is>
          <t>X-0397</t>
        </is>
      </c>
      <c r="B398" s="8" t="inlineStr">
        <is>
          <t>X</t>
        </is>
      </c>
      <c r="C398" s="5" t="inlineStr">
        <is>
          <t>Multiple / Cross-persona</t>
        </is>
      </c>
      <c r="D398" s="5" t="inlineStr">
        <is>
          <t>Reporting &amp; Business Intelligence</t>
        </is>
      </c>
      <c r="E398" s="5" t="inlineStr">
        <is>
          <t>Multi-shop owner compares locations</t>
        </is>
      </c>
      <c r="F398" s="5" t="inlineStr">
        <is>
          <t>Multi-Shop Owner</t>
        </is>
      </c>
      <c r="G398" s="5" t="inlineStr">
        <is>
          <t>Branch Managers</t>
        </is>
      </c>
      <c r="H398" s="5" t="inlineStr">
        <is>
          <t>Side-by-side comparison of revenue, profitability, footfall, and stock across retail stores</t>
        </is>
      </c>
      <c r="I398" s="5" t="inlineStr">
        <is>
          <t>Generates comparative store performance table with revenue and profit metrics</t>
        </is>
      </c>
      <c r="J398" s="20" t="inlineStr">
        <is>
          <t>P1</t>
        </is>
      </c>
      <c r="K398" s="20" t="inlineStr">
        <is>
          <t>Validated (Supported)</t>
        </is>
      </c>
      <c r="L398" s="5" t="inlineStr">
        <is>
          <t>Supported via /reports/multi-store-comparison/.</t>
        </is>
      </c>
      <c r="M398" s="8" t="inlineStr">
        <is>
          <t>Baseline</t>
        </is>
      </c>
      <c r="N398" s="8" t="inlineStr">
        <is>
          <t>Cross-persona</t>
        </is>
      </c>
      <c r="O398" s="8" t="inlineStr">
        <is>
          <t>P1</t>
        </is>
      </c>
      <c r="P398" s="5" t="inlineStr">
        <is>
          <t>Unchanged</t>
        </is>
      </c>
      <c r="Q398" s="20" t="inlineStr">
        <is>
          <t>Author assertion</t>
        </is>
      </c>
      <c r="R398" s="5" t="inlineStr"/>
      <c r="S398" s="8" t="inlineStr">
        <is>
          <t>RPT</t>
        </is>
      </c>
      <c r="T398" s="5" t="inlineStr">
        <is>
          <t>Reporting and business intelligence</t>
        </is>
      </c>
      <c r="U398" s="8" t="inlineStr"/>
      <c r="V398" s="8" t="inlineStr">
        <is>
          <t>reporting</t>
        </is>
      </c>
      <c r="W398" s="8" t="inlineStr">
        <is>
          <t>CONTROL</t>
        </is>
      </c>
      <c r="X398" s="5" t="inlineStr">
        <is>
          <t>Core</t>
        </is>
      </c>
      <c r="Y398" s="5" t="inlineStr">
        <is>
          <t>Cross-persona</t>
        </is>
      </c>
      <c r="Z398" s="5" t="inlineStr">
        <is>
          <t>Medium</t>
        </is>
      </c>
      <c r="AA398" s="5" t="inlineStr">
        <is>
          <t>Medium</t>
        </is>
      </c>
      <c r="AB398" s="8" t="inlineStr">
        <is>
          <t>Low</t>
        </is>
      </c>
      <c r="AC398" s="8" t="inlineStr">
        <is>
          <t>Pilot</t>
        </is>
      </c>
      <c r="AD398" s="5" t="inlineStr">
        <is>
          <t>Not independently checked</t>
        </is>
      </c>
      <c r="AE398" s="5" t="inlineStr">
        <is>
          <t>Not verified</t>
        </is>
      </c>
      <c r="AF398" s="5" t="inlineStr">
        <is>
          <t>Not verified</t>
        </is>
      </c>
      <c r="AG398" s="5" t="inlineStr">
        <is>
          <t>Not verified</t>
        </is>
      </c>
      <c r="AH398" s="5" t="inlineStr">
        <is>
          <t>Not verified</t>
        </is>
      </c>
      <c r="AI398" s="8" t="inlineStr">
        <is>
          <t>No</t>
        </is>
      </c>
      <c r="AJ398" s="8" t="inlineStr">
        <is>
          <t>Claimed - unverified</t>
        </is>
      </c>
      <c r="AK398" s="8" t="inlineStr">
        <is>
          <t>P1</t>
        </is>
      </c>
      <c r="AL398" s="8" t="n">
        <v>6</v>
      </c>
      <c r="AM398" s="5" t="inlineStr"/>
      <c r="AN398" s="5" t="inlineStr"/>
      <c r="AO398" s="5" t="inlineStr"/>
      <c r="AP398" s="5" t="inlineStr"/>
      <c r="AQ398" s="5" t="inlineStr"/>
      <c r="AR398" s="5" t="inlineStr"/>
      <c r="AS398" s="5" t="inlineStr"/>
      <c r="AT398" s="5" t="inlineStr"/>
      <c r="AU398" s="8" t="inlineStr">
        <is>
          <t>Not run</t>
        </is>
      </c>
    </row>
    <row r="399" ht="32" customHeight="1">
      <c r="A399" s="16" t="inlineStr">
        <is>
          <t>X-0398</t>
        </is>
      </c>
      <c r="B399" s="8" t="inlineStr">
        <is>
          <t>X</t>
        </is>
      </c>
      <c r="C399" s="5" t="inlineStr">
        <is>
          <t>Multiple / Cross-persona</t>
        </is>
      </c>
      <c r="D399" s="5" t="inlineStr">
        <is>
          <t>Reporting &amp; Business Intelligence</t>
        </is>
      </c>
      <c r="E399" s="5" t="inlineStr">
        <is>
          <t>Distributor compares customers</t>
        </is>
      </c>
      <c r="F399" s="5" t="inlineStr">
        <is>
          <t>Commercial Director</t>
        </is>
      </c>
      <c r="G399" s="5" t="inlineStr">
        <is>
          <t>Retailer / Dealer</t>
        </is>
      </c>
      <c r="H399" s="5" t="inlineStr">
        <is>
          <t>Rank wholesale dealers by order frequency, revenue volume, payment promptness, and margin</t>
        </is>
      </c>
      <c r="I399" s="5" t="inlineStr">
        <is>
          <t>Computes customer scoring matrix; identifies top tier partners and credit risks</t>
        </is>
      </c>
      <c r="J399" s="20" t="inlineStr">
        <is>
          <t>P1</t>
        </is>
      </c>
      <c r="K399" s="20" t="inlineStr">
        <is>
          <t>Validated (Supported)</t>
        </is>
      </c>
      <c r="L399" s="5" t="inlineStr">
        <is>
          <t>Supported via Customer Ranking Matrix in reporting module.</t>
        </is>
      </c>
      <c r="M399" s="8" t="inlineStr">
        <is>
          <t>Baseline</t>
        </is>
      </c>
      <c r="N399" s="8" t="inlineStr">
        <is>
          <t>Cross-persona</t>
        </is>
      </c>
      <c r="O399" s="8" t="inlineStr">
        <is>
          <t>P1</t>
        </is>
      </c>
      <c r="P399" s="5" t="inlineStr">
        <is>
          <t>Unchanged</t>
        </is>
      </c>
      <c r="Q399" s="20" t="inlineStr">
        <is>
          <t>Author assertion</t>
        </is>
      </c>
      <c r="R399" s="5" t="inlineStr"/>
      <c r="S399" s="8" t="inlineStr">
        <is>
          <t>RPT</t>
        </is>
      </c>
      <c r="T399" s="5" t="inlineStr">
        <is>
          <t>Reporting and business intelligence</t>
        </is>
      </c>
      <c r="U399" s="8" t="inlineStr"/>
      <c r="V399" s="8" t="inlineStr">
        <is>
          <t>reporting</t>
        </is>
      </c>
      <c r="W399" s="8" t="inlineStr">
        <is>
          <t>CONTROL</t>
        </is>
      </c>
      <c r="X399" s="5" t="inlineStr">
        <is>
          <t>Core</t>
        </is>
      </c>
      <c r="Y399" s="5" t="inlineStr">
        <is>
          <t>Cross-persona</t>
        </is>
      </c>
      <c r="Z399" s="5" t="inlineStr">
        <is>
          <t>Medium</t>
        </is>
      </c>
      <c r="AA399" s="5" t="inlineStr">
        <is>
          <t>Medium</t>
        </is>
      </c>
      <c r="AB399" s="8" t="inlineStr">
        <is>
          <t>Low</t>
        </is>
      </c>
      <c r="AC399" s="8" t="inlineStr">
        <is>
          <t>Pilot</t>
        </is>
      </c>
      <c r="AD399" s="5" t="inlineStr">
        <is>
          <t>Not independently checked</t>
        </is>
      </c>
      <c r="AE399" s="5" t="inlineStr">
        <is>
          <t>Not verified</t>
        </is>
      </c>
      <c r="AF399" s="5" t="inlineStr">
        <is>
          <t>Not verified</t>
        </is>
      </c>
      <c r="AG399" s="5" t="inlineStr">
        <is>
          <t>Not verified</t>
        </is>
      </c>
      <c r="AH399" s="5" t="inlineStr">
        <is>
          <t>Not verified</t>
        </is>
      </c>
      <c r="AI399" s="8" t="inlineStr">
        <is>
          <t>No</t>
        </is>
      </c>
      <c r="AJ399" s="8" t="inlineStr">
        <is>
          <t>Claimed - unverified</t>
        </is>
      </c>
      <c r="AK399" s="8" t="inlineStr">
        <is>
          <t>P1</t>
        </is>
      </c>
      <c r="AL399" s="8" t="n">
        <v>6</v>
      </c>
      <c r="AM399" s="5" t="inlineStr"/>
      <c r="AN399" s="5" t="inlineStr"/>
      <c r="AO399" s="5" t="inlineStr"/>
      <c r="AP399" s="5" t="inlineStr"/>
      <c r="AQ399" s="5" t="inlineStr"/>
      <c r="AR399" s="5" t="inlineStr"/>
      <c r="AS399" s="5" t="inlineStr"/>
      <c r="AT399" s="5" t="inlineStr"/>
      <c r="AU399" s="8" t="inlineStr">
        <is>
          <t>Not run</t>
        </is>
      </c>
    </row>
    <row r="400" ht="32" customHeight="1">
      <c r="A400" s="16" t="inlineStr">
        <is>
          <t>X-0399</t>
        </is>
      </c>
      <c r="B400" s="8" t="inlineStr">
        <is>
          <t>X</t>
        </is>
      </c>
      <c r="C400" s="5" t="inlineStr">
        <is>
          <t>Multiple / Cross-persona</t>
        </is>
      </c>
      <c r="D400" s="5" t="inlineStr">
        <is>
          <t>Reporting &amp; Business Intelligence</t>
        </is>
      </c>
      <c r="E400" s="5" t="inlineStr">
        <is>
          <t>Distributor compares products</t>
        </is>
      </c>
      <c r="F400" s="5" t="inlineStr">
        <is>
          <t>Product Manager</t>
        </is>
      </c>
      <c r="G400" s="5" t="inlineStr">
        <is>
          <t>None</t>
        </is>
      </c>
      <c r="H400" s="5" t="inlineStr">
        <is>
          <t>Analyze product catalog velocity, profit margin, and return frequency across brands</t>
        </is>
      </c>
      <c r="I400" s="5" t="inlineStr">
        <is>
          <t>Generates product matrix evaluating sales velocity vs margin contribution</t>
        </is>
      </c>
      <c r="J400" s="20" t="inlineStr">
        <is>
          <t>P1</t>
        </is>
      </c>
      <c r="K400" s="20" t="inlineStr">
        <is>
          <t>Validated (Supported)</t>
        </is>
      </c>
      <c r="L400" s="5" t="inlineStr">
        <is>
          <t>Supported via Product Velocity Matrix (/reports/product-velocity/).</t>
        </is>
      </c>
      <c r="M400" s="8" t="inlineStr">
        <is>
          <t>Baseline</t>
        </is>
      </c>
      <c r="N400" s="8" t="inlineStr">
        <is>
          <t>Cross-persona</t>
        </is>
      </c>
      <c r="O400" s="8" t="inlineStr">
        <is>
          <t>P1</t>
        </is>
      </c>
      <c r="P400" s="5" t="inlineStr">
        <is>
          <t>Unchanged</t>
        </is>
      </c>
      <c r="Q400" s="20" t="inlineStr">
        <is>
          <t>Author assertion</t>
        </is>
      </c>
      <c r="R400" s="5" t="inlineStr"/>
      <c r="S400" s="8" t="inlineStr">
        <is>
          <t>RPT</t>
        </is>
      </c>
      <c r="T400" s="5" t="inlineStr">
        <is>
          <t>Reporting and business intelligence</t>
        </is>
      </c>
      <c r="U400" s="8" t="inlineStr"/>
      <c r="V400" s="8" t="inlineStr">
        <is>
          <t>reporting</t>
        </is>
      </c>
      <c r="W400" s="8" t="inlineStr">
        <is>
          <t>CONTROL</t>
        </is>
      </c>
      <c r="X400" s="5" t="inlineStr">
        <is>
          <t>Core</t>
        </is>
      </c>
      <c r="Y400" s="5" t="inlineStr">
        <is>
          <t>Cross-persona</t>
        </is>
      </c>
      <c r="Z400" s="5" t="inlineStr">
        <is>
          <t>Medium</t>
        </is>
      </c>
      <c r="AA400" s="5" t="inlineStr">
        <is>
          <t>Medium</t>
        </is>
      </c>
      <c r="AB400" s="8" t="inlineStr">
        <is>
          <t>Low</t>
        </is>
      </c>
      <c r="AC400" s="8" t="inlineStr">
        <is>
          <t>Pilot</t>
        </is>
      </c>
      <c r="AD400" s="5" t="inlineStr">
        <is>
          <t>Not independently checked</t>
        </is>
      </c>
      <c r="AE400" s="5" t="inlineStr">
        <is>
          <t>Not verified</t>
        </is>
      </c>
      <c r="AF400" s="5" t="inlineStr">
        <is>
          <t>Not verified</t>
        </is>
      </c>
      <c r="AG400" s="5" t="inlineStr">
        <is>
          <t>Not verified</t>
        </is>
      </c>
      <c r="AH400" s="5" t="inlineStr">
        <is>
          <t>Not verified</t>
        </is>
      </c>
      <c r="AI400" s="8" t="inlineStr">
        <is>
          <t>No</t>
        </is>
      </c>
      <c r="AJ400" s="8" t="inlineStr">
        <is>
          <t>Claimed - unverified</t>
        </is>
      </c>
      <c r="AK400" s="8" t="inlineStr">
        <is>
          <t>P1</t>
        </is>
      </c>
      <c r="AL400" s="8" t="n">
        <v>6</v>
      </c>
      <c r="AM400" s="5" t="inlineStr"/>
      <c r="AN400" s="5" t="inlineStr"/>
      <c r="AO400" s="5" t="inlineStr"/>
      <c r="AP400" s="5" t="inlineStr"/>
      <c r="AQ400" s="5" t="inlineStr"/>
      <c r="AR400" s="5" t="inlineStr"/>
      <c r="AS400" s="5" t="inlineStr"/>
      <c r="AT400" s="5" t="inlineStr"/>
      <c r="AU400" s="8" t="inlineStr">
        <is>
          <t>Not run</t>
        </is>
      </c>
    </row>
    <row r="401" ht="32" customHeight="1">
      <c r="A401" s="16" t="inlineStr">
        <is>
          <t>X-0400</t>
        </is>
      </c>
      <c r="B401" s="8" t="inlineStr">
        <is>
          <t>X</t>
        </is>
      </c>
      <c r="C401" s="5" t="inlineStr">
        <is>
          <t>Multiple / Cross-persona</t>
        </is>
      </c>
      <c r="D401" s="5" t="inlineStr">
        <is>
          <t>Reporting &amp; Business Intelligence</t>
        </is>
      </c>
      <c r="E401" s="5" t="inlineStr">
        <is>
          <t>Owner identifies high-value customers</t>
        </is>
      </c>
      <c r="F401" s="5" t="inlineStr">
        <is>
          <t>Business Owner / Sales Lead</t>
        </is>
      </c>
      <c r="G401" s="5" t="inlineStr">
        <is>
          <t>VIP Customers</t>
        </is>
      </c>
      <c r="H401" s="5" t="inlineStr">
        <is>
          <t>Identify top 20% of customer accounts generating 80% of company revenue (Pareto analysis)</t>
        </is>
      </c>
      <c r="I401" s="5" t="inlineStr">
        <is>
          <t>Ranks customer base by cumulative revenue contribution; flags VIP loyalty status</t>
        </is>
      </c>
      <c r="J401" s="20" t="inlineStr">
        <is>
          <t>P1</t>
        </is>
      </c>
      <c r="K401" s="20" t="inlineStr">
        <is>
          <t>Validated (Supported)</t>
        </is>
      </c>
      <c r="L401" s="5" t="inlineStr">
        <is>
          <t>Supported via Pareto Customer Analysis report.</t>
        </is>
      </c>
      <c r="M401" s="8" t="inlineStr">
        <is>
          <t>Baseline</t>
        </is>
      </c>
      <c r="N401" s="8" t="inlineStr">
        <is>
          <t>Cross-persona</t>
        </is>
      </c>
      <c r="O401" s="8" t="inlineStr">
        <is>
          <t>P1</t>
        </is>
      </c>
      <c r="P401" s="5" t="inlineStr">
        <is>
          <t>Unchanged</t>
        </is>
      </c>
      <c r="Q401" s="20" t="inlineStr">
        <is>
          <t>Author assertion</t>
        </is>
      </c>
      <c r="R401" s="5" t="inlineStr"/>
      <c r="S401" s="8" t="inlineStr">
        <is>
          <t>RPT</t>
        </is>
      </c>
      <c r="T401" s="5" t="inlineStr">
        <is>
          <t>Reporting and business intelligence</t>
        </is>
      </c>
      <c r="U401" s="8" t="inlineStr"/>
      <c r="V401" s="8" t="inlineStr">
        <is>
          <t>reporting</t>
        </is>
      </c>
      <c r="W401" s="8" t="inlineStr">
        <is>
          <t>CONTROL</t>
        </is>
      </c>
      <c r="X401" s="5" t="inlineStr">
        <is>
          <t>Core</t>
        </is>
      </c>
      <c r="Y401" s="5" t="inlineStr">
        <is>
          <t>Cross-persona</t>
        </is>
      </c>
      <c r="Z401" s="5" t="inlineStr">
        <is>
          <t>Medium</t>
        </is>
      </c>
      <c r="AA401" s="5" t="inlineStr">
        <is>
          <t>Medium</t>
        </is>
      </c>
      <c r="AB401" s="8" t="inlineStr">
        <is>
          <t>Low</t>
        </is>
      </c>
      <c r="AC401" s="8" t="inlineStr">
        <is>
          <t>Pilot</t>
        </is>
      </c>
      <c r="AD401" s="5" t="inlineStr">
        <is>
          <t>Not independently checked</t>
        </is>
      </c>
      <c r="AE401" s="5" t="inlineStr">
        <is>
          <t>Not verified</t>
        </is>
      </c>
      <c r="AF401" s="5" t="inlineStr">
        <is>
          <t>Not verified</t>
        </is>
      </c>
      <c r="AG401" s="5" t="inlineStr">
        <is>
          <t>Not verified</t>
        </is>
      </c>
      <c r="AH401" s="5" t="inlineStr">
        <is>
          <t>Not verified</t>
        </is>
      </c>
      <c r="AI401" s="8" t="inlineStr">
        <is>
          <t>No</t>
        </is>
      </c>
      <c r="AJ401" s="8" t="inlineStr">
        <is>
          <t>Claimed - unverified</t>
        </is>
      </c>
      <c r="AK401" s="8" t="inlineStr">
        <is>
          <t>P1</t>
        </is>
      </c>
      <c r="AL401" s="8" t="n">
        <v>6</v>
      </c>
      <c r="AM401" s="5" t="inlineStr"/>
      <c r="AN401" s="5" t="inlineStr"/>
      <c r="AO401" s="5" t="inlineStr"/>
      <c r="AP401" s="5" t="inlineStr"/>
      <c r="AQ401" s="5" t="inlineStr"/>
      <c r="AR401" s="5" t="inlineStr"/>
      <c r="AS401" s="5" t="inlineStr"/>
      <c r="AT401" s="5" t="inlineStr"/>
      <c r="AU401" s="8" t="inlineStr">
        <is>
          <t>Not run</t>
        </is>
      </c>
    </row>
    <row r="402" ht="32" customHeight="1">
      <c r="A402" s="16" t="inlineStr">
        <is>
          <t>X-0401</t>
        </is>
      </c>
      <c r="B402" s="8" t="inlineStr">
        <is>
          <t>X</t>
        </is>
      </c>
      <c r="C402" s="5" t="inlineStr">
        <is>
          <t>Multiple / Cross-persona</t>
        </is>
      </c>
      <c r="D402" s="5" t="inlineStr">
        <is>
          <t>Reporting &amp; Business Intelligence</t>
        </is>
      </c>
      <c r="E402" s="5" t="inlineStr">
        <is>
          <t>Owner identifies low-margin products</t>
        </is>
      </c>
      <c r="F402" s="5" t="inlineStr">
        <is>
          <t>Business Owner / Commercial Lead</t>
        </is>
      </c>
      <c r="G402" s="5" t="inlineStr">
        <is>
          <t>Sales Staff</t>
        </is>
      </c>
      <c r="H402" s="5" t="inlineStr">
        <is>
          <t>Spot products yielding inadequate gross margins after discounting to revise price list</t>
        </is>
      </c>
      <c r="I402" s="5" t="inlineStr">
        <is>
          <t>Filters catalog for SKUs with gross margin percentage below target threshold (e.g. &lt; 8%)</t>
        </is>
      </c>
      <c r="J402" s="20" t="inlineStr">
        <is>
          <t>P1</t>
        </is>
      </c>
      <c r="K402" s="20" t="inlineStr">
        <is>
          <t>Validated (Supported)</t>
        </is>
      </c>
      <c r="L402" s="5" t="inlineStr">
        <is>
          <t>Supported via Low Margin Exception report.</t>
        </is>
      </c>
      <c r="M402" s="8" t="inlineStr">
        <is>
          <t>Baseline</t>
        </is>
      </c>
      <c r="N402" s="8" t="inlineStr">
        <is>
          <t>Cross-persona</t>
        </is>
      </c>
      <c r="O402" s="8" t="inlineStr">
        <is>
          <t>P1</t>
        </is>
      </c>
      <c r="P402" s="5" t="inlineStr">
        <is>
          <t>Unchanged</t>
        </is>
      </c>
      <c r="Q402" s="20" t="inlineStr">
        <is>
          <t>Author assertion</t>
        </is>
      </c>
      <c r="R402" s="5" t="inlineStr"/>
      <c r="S402" s="8" t="inlineStr">
        <is>
          <t>RPT</t>
        </is>
      </c>
      <c r="T402" s="5" t="inlineStr">
        <is>
          <t>Reporting and business intelligence</t>
        </is>
      </c>
      <c r="U402" s="8" t="inlineStr"/>
      <c r="V402" s="8" t="inlineStr">
        <is>
          <t>reporting</t>
        </is>
      </c>
      <c r="W402" s="8" t="inlineStr">
        <is>
          <t>CONTROL</t>
        </is>
      </c>
      <c r="X402" s="5" t="inlineStr">
        <is>
          <t>Core</t>
        </is>
      </c>
      <c r="Y402" s="5" t="inlineStr">
        <is>
          <t>Cross-persona</t>
        </is>
      </c>
      <c r="Z402" s="5" t="inlineStr">
        <is>
          <t>Medium</t>
        </is>
      </c>
      <c r="AA402" s="5" t="inlineStr">
        <is>
          <t>Medium</t>
        </is>
      </c>
      <c r="AB402" s="8" t="inlineStr">
        <is>
          <t>Low</t>
        </is>
      </c>
      <c r="AC402" s="8" t="inlineStr">
        <is>
          <t>Pilot</t>
        </is>
      </c>
      <c r="AD402" s="5" t="inlineStr">
        <is>
          <t>Not independently checked</t>
        </is>
      </c>
      <c r="AE402" s="5" t="inlineStr">
        <is>
          <t>Not verified</t>
        </is>
      </c>
      <c r="AF402" s="5" t="inlineStr">
        <is>
          <t>Not verified</t>
        </is>
      </c>
      <c r="AG402" s="5" t="inlineStr">
        <is>
          <t>Not verified</t>
        </is>
      </c>
      <c r="AH402" s="5" t="inlineStr">
        <is>
          <t>Not verified</t>
        </is>
      </c>
      <c r="AI402" s="8" t="inlineStr">
        <is>
          <t>No</t>
        </is>
      </c>
      <c r="AJ402" s="8" t="inlineStr">
        <is>
          <t>Claimed - unverified</t>
        </is>
      </c>
      <c r="AK402" s="8" t="inlineStr">
        <is>
          <t>P1</t>
        </is>
      </c>
      <c r="AL402" s="8" t="n">
        <v>6</v>
      </c>
      <c r="AM402" s="5" t="inlineStr"/>
      <c r="AN402" s="5" t="inlineStr"/>
      <c r="AO402" s="5" t="inlineStr"/>
      <c r="AP402" s="5" t="inlineStr"/>
      <c r="AQ402" s="5" t="inlineStr"/>
      <c r="AR402" s="5" t="inlineStr"/>
      <c r="AS402" s="5" t="inlineStr"/>
      <c r="AT402" s="5" t="inlineStr"/>
      <c r="AU402" s="8" t="inlineStr">
        <is>
          <t>Not run</t>
        </is>
      </c>
    </row>
    <row r="403" ht="32" customHeight="1">
      <c r="A403" s="16" t="inlineStr">
        <is>
          <t>X-0402</t>
        </is>
      </c>
      <c r="B403" s="8" t="inlineStr">
        <is>
          <t>X</t>
        </is>
      </c>
      <c r="C403" s="5" t="inlineStr">
        <is>
          <t>Multiple / Cross-persona</t>
        </is>
      </c>
      <c r="D403" s="5" t="inlineStr">
        <is>
          <t>Reporting &amp; Business Intelligence</t>
        </is>
      </c>
      <c r="E403" s="5" t="inlineStr">
        <is>
          <t>Owner identifies dead stock</t>
        </is>
      </c>
      <c r="F403" s="5" t="inlineStr">
        <is>
          <t>Business Owner / Warehouse Manager</t>
        </is>
      </c>
      <c r="G403" s="5" t="inlineStr">
        <is>
          <t>Suppliers</t>
        </is>
      </c>
      <c r="H403" s="5" t="inlineStr">
        <is>
          <t>Identify inventory holding zero sales movements over 60/90/180 days to liquidate capital</t>
        </is>
      </c>
      <c r="I403" s="5" t="inlineStr">
        <is>
          <t>Identifies stagnant SKUs; computes total tied-up working capital valuation</t>
        </is>
      </c>
      <c r="J403" s="20" t="inlineStr">
        <is>
          <t>P1</t>
        </is>
      </c>
      <c r="K403" s="20" t="inlineStr">
        <is>
          <t>Validated (Supported)</t>
        </is>
      </c>
      <c r="L403" s="5" t="inlineStr">
        <is>
          <t>Supported via Aging &amp; Dead Stock Report (/reports/inventory-aging/).</t>
        </is>
      </c>
      <c r="M403" s="8" t="inlineStr">
        <is>
          <t>Baseline</t>
        </is>
      </c>
      <c r="N403" s="8" t="inlineStr">
        <is>
          <t>Cross-persona</t>
        </is>
      </c>
      <c r="O403" s="8" t="inlineStr">
        <is>
          <t>P1</t>
        </is>
      </c>
      <c r="P403" s="5" t="inlineStr">
        <is>
          <t>Unchanged</t>
        </is>
      </c>
      <c r="Q403" s="20" t="inlineStr">
        <is>
          <t>Author assertion</t>
        </is>
      </c>
      <c r="R403" s="5" t="inlineStr"/>
      <c r="S403" s="8" t="inlineStr">
        <is>
          <t>RPT</t>
        </is>
      </c>
      <c r="T403" s="5" t="inlineStr">
        <is>
          <t>Reporting and business intelligence</t>
        </is>
      </c>
      <c r="U403" s="8" t="inlineStr"/>
      <c r="V403" s="8" t="inlineStr">
        <is>
          <t>reporting</t>
        </is>
      </c>
      <c r="W403" s="8" t="inlineStr">
        <is>
          <t>CONTROL</t>
        </is>
      </c>
      <c r="X403" s="5" t="inlineStr">
        <is>
          <t>Core</t>
        </is>
      </c>
      <c r="Y403" s="5" t="inlineStr">
        <is>
          <t>Cross-persona</t>
        </is>
      </c>
      <c r="Z403" s="5" t="inlineStr">
        <is>
          <t>Medium</t>
        </is>
      </c>
      <c r="AA403" s="5" t="inlineStr">
        <is>
          <t>Medium</t>
        </is>
      </c>
      <c r="AB403" s="8" t="inlineStr">
        <is>
          <t>Low</t>
        </is>
      </c>
      <c r="AC403" s="8" t="inlineStr">
        <is>
          <t>Pilot</t>
        </is>
      </c>
      <c r="AD403" s="5" t="inlineStr">
        <is>
          <t>Not independently checked</t>
        </is>
      </c>
      <c r="AE403" s="5" t="inlineStr">
        <is>
          <t>Not verified</t>
        </is>
      </c>
      <c r="AF403" s="5" t="inlineStr">
        <is>
          <t>Not verified</t>
        </is>
      </c>
      <c r="AG403" s="5" t="inlineStr">
        <is>
          <t>Not verified</t>
        </is>
      </c>
      <c r="AH403" s="5" t="inlineStr">
        <is>
          <t>Not verified</t>
        </is>
      </c>
      <c r="AI403" s="8" t="inlineStr">
        <is>
          <t>No</t>
        </is>
      </c>
      <c r="AJ403" s="8" t="inlineStr">
        <is>
          <t>Claimed - unverified</t>
        </is>
      </c>
      <c r="AK403" s="8" t="inlineStr">
        <is>
          <t>P1</t>
        </is>
      </c>
      <c r="AL403" s="8" t="n">
        <v>6</v>
      </c>
      <c r="AM403" s="5" t="inlineStr"/>
      <c r="AN403" s="5" t="inlineStr"/>
      <c r="AO403" s="5" t="inlineStr"/>
      <c r="AP403" s="5" t="inlineStr"/>
      <c r="AQ403" s="5" t="inlineStr"/>
      <c r="AR403" s="5" t="inlineStr"/>
      <c r="AS403" s="5" t="inlineStr"/>
      <c r="AT403" s="5" t="inlineStr"/>
      <c r="AU403" s="8" t="inlineStr">
        <is>
          <t>Not run</t>
        </is>
      </c>
    </row>
    <row r="404" ht="32" customHeight="1">
      <c r="A404" s="16" t="inlineStr">
        <is>
          <t>X-0403</t>
        </is>
      </c>
      <c r="B404" s="8" t="inlineStr">
        <is>
          <t>X</t>
        </is>
      </c>
      <c r="C404" s="5" t="inlineStr">
        <is>
          <t>Multiple / Cross-persona</t>
        </is>
      </c>
      <c r="D404" s="5" t="inlineStr">
        <is>
          <t>Reporting &amp; Business Intelligence</t>
        </is>
      </c>
      <c r="E404" s="5" t="inlineStr">
        <is>
          <t>Owner identifies fast-moving products</t>
        </is>
      </c>
      <c r="F404" s="5" t="inlineStr">
        <is>
          <t>Business Owner / Purchase Manager</t>
        </is>
      </c>
      <c r="G404" s="5" t="inlineStr">
        <is>
          <t>Suppliers</t>
        </is>
      </c>
      <c r="H404" s="5" t="inlineStr">
        <is>
          <t>Identify top-velocity SKUs to ensure priority supplier replenishment and bulk discounts</t>
        </is>
      </c>
      <c r="I404" s="5" t="inlineStr">
        <is>
          <t>Ranks items by daily inventory turnover rate and sales frequency</t>
        </is>
      </c>
      <c r="J404" s="20" t="inlineStr">
        <is>
          <t>P1</t>
        </is>
      </c>
      <c r="K404" s="20" t="inlineStr">
        <is>
          <t>Validated (Supported)</t>
        </is>
      </c>
      <c r="L404" s="5" t="inlineStr">
        <is>
          <t>Supported via Fast-Moving SKU Leaderboard.</t>
        </is>
      </c>
      <c r="M404" s="8" t="inlineStr">
        <is>
          <t>Baseline</t>
        </is>
      </c>
      <c r="N404" s="8" t="inlineStr">
        <is>
          <t>Cross-persona</t>
        </is>
      </c>
      <c r="O404" s="8" t="inlineStr">
        <is>
          <t>P1</t>
        </is>
      </c>
      <c r="P404" s="5" t="inlineStr">
        <is>
          <t>Unchanged</t>
        </is>
      </c>
      <c r="Q404" s="20" t="inlineStr">
        <is>
          <t>Author assertion</t>
        </is>
      </c>
      <c r="R404" s="5" t="inlineStr"/>
      <c r="S404" s="8" t="inlineStr">
        <is>
          <t>RPT</t>
        </is>
      </c>
      <c r="T404" s="5" t="inlineStr">
        <is>
          <t>Reporting and business intelligence</t>
        </is>
      </c>
      <c r="U404" s="8" t="inlineStr"/>
      <c r="V404" s="8" t="inlineStr">
        <is>
          <t>reporting</t>
        </is>
      </c>
      <c r="W404" s="8" t="inlineStr">
        <is>
          <t>CONTROL</t>
        </is>
      </c>
      <c r="X404" s="5" t="inlineStr">
        <is>
          <t>Core</t>
        </is>
      </c>
      <c r="Y404" s="5" t="inlineStr">
        <is>
          <t>Cross-persona</t>
        </is>
      </c>
      <c r="Z404" s="5" t="inlineStr">
        <is>
          <t>Medium</t>
        </is>
      </c>
      <c r="AA404" s="5" t="inlineStr">
        <is>
          <t>Medium</t>
        </is>
      </c>
      <c r="AB404" s="8" t="inlineStr">
        <is>
          <t>Low</t>
        </is>
      </c>
      <c r="AC404" s="8" t="inlineStr">
        <is>
          <t>Pilot</t>
        </is>
      </c>
      <c r="AD404" s="5" t="inlineStr">
        <is>
          <t>Not independently checked</t>
        </is>
      </c>
      <c r="AE404" s="5" t="inlineStr">
        <is>
          <t>Not verified</t>
        </is>
      </c>
      <c r="AF404" s="5" t="inlineStr">
        <is>
          <t>Not verified</t>
        </is>
      </c>
      <c r="AG404" s="5" t="inlineStr">
        <is>
          <t>Not verified</t>
        </is>
      </c>
      <c r="AH404" s="5" t="inlineStr">
        <is>
          <t>Not verified</t>
        </is>
      </c>
      <c r="AI404" s="8" t="inlineStr">
        <is>
          <t>No</t>
        </is>
      </c>
      <c r="AJ404" s="8" t="inlineStr">
        <is>
          <t>Claimed - unverified</t>
        </is>
      </c>
      <c r="AK404" s="8" t="inlineStr">
        <is>
          <t>P1</t>
        </is>
      </c>
      <c r="AL404" s="8" t="n">
        <v>6</v>
      </c>
      <c r="AM404" s="5" t="inlineStr"/>
      <c r="AN404" s="5" t="inlineStr"/>
      <c r="AO404" s="5" t="inlineStr"/>
      <c r="AP404" s="5" t="inlineStr"/>
      <c r="AQ404" s="5" t="inlineStr"/>
      <c r="AR404" s="5" t="inlineStr"/>
      <c r="AS404" s="5" t="inlineStr"/>
      <c r="AT404" s="5" t="inlineStr"/>
      <c r="AU404" s="8" t="inlineStr">
        <is>
          <t>Not run</t>
        </is>
      </c>
    </row>
    <row r="405" ht="32" customHeight="1">
      <c r="A405" s="16" t="inlineStr">
        <is>
          <t>X-0404</t>
        </is>
      </c>
      <c r="B405" s="8" t="inlineStr">
        <is>
          <t>X</t>
        </is>
      </c>
      <c r="C405" s="5" t="inlineStr">
        <is>
          <t>Multiple / Cross-persona</t>
        </is>
      </c>
      <c r="D405" s="5" t="inlineStr">
        <is>
          <t>Reporting &amp; Business Intelligence</t>
        </is>
      </c>
      <c r="E405" s="5" t="inlineStr">
        <is>
          <t>Owner identifies overdue receivables</t>
        </is>
      </c>
      <c r="F405" s="5" t="inlineStr">
        <is>
          <t>Business Owner / Credit Controller</t>
        </is>
      </c>
      <c r="G405" s="5" t="inlineStr">
        <is>
          <t>Debtors</t>
        </is>
      </c>
      <c r="H405" s="5" t="inlineStr">
        <is>
          <t>Pinpoint critically overdue accounts requiring legal notice or management debt chasing</t>
        </is>
      </c>
      <c r="I405" s="5" t="inlineStr">
        <is>
          <t>Filters customer accounts with invoices unpaid &gt; 45 days past agreed terms</t>
        </is>
      </c>
      <c r="J405" s="20" t="inlineStr">
        <is>
          <t>P1</t>
        </is>
      </c>
      <c r="K405" s="20" t="inlineStr">
        <is>
          <t>Validated (Supported)</t>
        </is>
      </c>
      <c r="L405" s="5" t="inlineStr">
        <is>
          <t>Supported via Critical Overdue Receivables report.</t>
        </is>
      </c>
      <c r="M405" s="8" t="inlineStr">
        <is>
          <t>Baseline</t>
        </is>
      </c>
      <c r="N405" s="8" t="inlineStr">
        <is>
          <t>Cross-persona</t>
        </is>
      </c>
      <c r="O405" s="8" t="inlineStr">
        <is>
          <t>P1</t>
        </is>
      </c>
      <c r="P405" s="5" t="inlineStr">
        <is>
          <t>Unchanged</t>
        </is>
      </c>
      <c r="Q405" s="20" t="inlineStr">
        <is>
          <t>Author assertion</t>
        </is>
      </c>
      <c r="R405" s="5" t="inlineStr"/>
      <c r="S405" s="8" t="inlineStr">
        <is>
          <t>RPT</t>
        </is>
      </c>
      <c r="T405" s="5" t="inlineStr">
        <is>
          <t>Reporting and business intelligence</t>
        </is>
      </c>
      <c r="U405" s="8" t="inlineStr"/>
      <c r="V405" s="8" t="inlineStr">
        <is>
          <t>reporting</t>
        </is>
      </c>
      <c r="W405" s="8" t="inlineStr">
        <is>
          <t>CONTROL</t>
        </is>
      </c>
      <c r="X405" s="5" t="inlineStr">
        <is>
          <t>Core</t>
        </is>
      </c>
      <c r="Y405" s="5" t="inlineStr">
        <is>
          <t>Cross-persona</t>
        </is>
      </c>
      <c r="Z405" s="5" t="inlineStr">
        <is>
          <t>Medium</t>
        </is>
      </c>
      <c r="AA405" s="5" t="inlineStr">
        <is>
          <t>Medium</t>
        </is>
      </c>
      <c r="AB405" s="8" t="inlineStr">
        <is>
          <t>Low</t>
        </is>
      </c>
      <c r="AC405" s="8" t="inlineStr">
        <is>
          <t>Pilot</t>
        </is>
      </c>
      <c r="AD405" s="5" t="inlineStr">
        <is>
          <t>Not independently checked</t>
        </is>
      </c>
      <c r="AE405" s="5" t="inlineStr">
        <is>
          <t>Not verified</t>
        </is>
      </c>
      <c r="AF405" s="5" t="inlineStr">
        <is>
          <t>Not verified</t>
        </is>
      </c>
      <c r="AG405" s="5" t="inlineStr">
        <is>
          <t>Not verified</t>
        </is>
      </c>
      <c r="AH405" s="5" t="inlineStr">
        <is>
          <t>Not verified</t>
        </is>
      </c>
      <c r="AI405" s="8" t="inlineStr">
        <is>
          <t>No</t>
        </is>
      </c>
      <c r="AJ405" s="8" t="inlineStr">
        <is>
          <t>Claimed - unverified</t>
        </is>
      </c>
      <c r="AK405" s="8" t="inlineStr">
        <is>
          <t>P1</t>
        </is>
      </c>
      <c r="AL405" s="8" t="n">
        <v>6</v>
      </c>
      <c r="AM405" s="5" t="inlineStr"/>
      <c r="AN405" s="5" t="inlineStr"/>
      <c r="AO405" s="5" t="inlineStr"/>
      <c r="AP405" s="5" t="inlineStr"/>
      <c r="AQ405" s="5" t="inlineStr"/>
      <c r="AR405" s="5" t="inlineStr"/>
      <c r="AS405" s="5" t="inlineStr"/>
      <c r="AT405" s="5" t="inlineStr"/>
      <c r="AU405" s="8" t="inlineStr">
        <is>
          <t>Not run</t>
        </is>
      </c>
    </row>
    <row r="406" ht="32" customHeight="1">
      <c r="A406" s="16" t="inlineStr">
        <is>
          <t>X-0405</t>
        </is>
      </c>
      <c r="B406" s="8" t="inlineStr">
        <is>
          <t>X</t>
        </is>
      </c>
      <c r="C406" s="5" t="inlineStr">
        <is>
          <t>Multiple / Cross-persona</t>
        </is>
      </c>
      <c r="D406" s="5" t="inlineStr">
        <is>
          <t>Reporting &amp; Business Intelligence</t>
        </is>
      </c>
      <c r="E406" s="5" t="inlineStr">
        <is>
          <t>Owner identifies supplier concentration</t>
        </is>
      </c>
      <c r="F406" s="5" t="inlineStr">
        <is>
          <t>Business Owner / Purchase Manager</t>
        </is>
      </c>
      <c r="G406" s="5" t="inlineStr">
        <is>
          <t>Suppliers</t>
        </is>
      </c>
      <c r="H406" s="5" t="inlineStr">
        <is>
          <t>Evaluate procurement risk by measuring dependency on top suppliers</t>
        </is>
      </c>
      <c r="I406" s="5" t="inlineStr">
        <is>
          <t>Calculates Herfindahl index and percentage of total procurement spend per vendor</t>
        </is>
      </c>
      <c r="J406" s="20" t="inlineStr">
        <is>
          <t>P1</t>
        </is>
      </c>
      <c r="K406" s="20" t="inlineStr">
        <is>
          <t>Validated (Supported)</t>
        </is>
      </c>
      <c r="L406" s="5" t="inlineStr">
        <is>
          <t>Supported via Supplier Concentration &amp; Risk report.</t>
        </is>
      </c>
      <c r="M406" s="8" t="inlineStr">
        <is>
          <t>Baseline</t>
        </is>
      </c>
      <c r="N406" s="8" t="inlineStr">
        <is>
          <t>Cross-persona</t>
        </is>
      </c>
      <c r="O406" s="8" t="inlineStr">
        <is>
          <t>P1</t>
        </is>
      </c>
      <c r="P406" s="5" t="inlineStr">
        <is>
          <t>Unchanged</t>
        </is>
      </c>
      <c r="Q406" s="20" t="inlineStr">
        <is>
          <t>Author assertion</t>
        </is>
      </c>
      <c r="R406" s="5" t="inlineStr"/>
      <c r="S406" s="8" t="inlineStr">
        <is>
          <t>RPT</t>
        </is>
      </c>
      <c r="T406" s="5" t="inlineStr">
        <is>
          <t>Reporting and business intelligence</t>
        </is>
      </c>
      <c r="U406" s="8" t="inlineStr"/>
      <c r="V406" s="8" t="inlineStr">
        <is>
          <t>reporting</t>
        </is>
      </c>
      <c r="W406" s="8" t="inlineStr">
        <is>
          <t>CONTROL</t>
        </is>
      </c>
      <c r="X406" s="5" t="inlineStr">
        <is>
          <t>Core</t>
        </is>
      </c>
      <c r="Y406" s="5" t="inlineStr">
        <is>
          <t>Cross-persona</t>
        </is>
      </c>
      <c r="Z406" s="5" t="inlineStr">
        <is>
          <t>Medium</t>
        </is>
      </c>
      <c r="AA406" s="5" t="inlineStr">
        <is>
          <t>Medium</t>
        </is>
      </c>
      <c r="AB406" s="8" t="inlineStr">
        <is>
          <t>Low</t>
        </is>
      </c>
      <c r="AC406" s="8" t="inlineStr">
        <is>
          <t>Pilot</t>
        </is>
      </c>
      <c r="AD406" s="5" t="inlineStr">
        <is>
          <t>Not independently checked</t>
        </is>
      </c>
      <c r="AE406" s="5" t="inlineStr">
        <is>
          <t>Not verified</t>
        </is>
      </c>
      <c r="AF406" s="5" t="inlineStr">
        <is>
          <t>Not verified</t>
        </is>
      </c>
      <c r="AG406" s="5" t="inlineStr">
        <is>
          <t>Not verified</t>
        </is>
      </c>
      <c r="AH406" s="5" t="inlineStr">
        <is>
          <t>Not verified</t>
        </is>
      </c>
      <c r="AI406" s="8" t="inlineStr">
        <is>
          <t>No</t>
        </is>
      </c>
      <c r="AJ406" s="8" t="inlineStr">
        <is>
          <t>Claimed - unverified</t>
        </is>
      </c>
      <c r="AK406" s="8" t="inlineStr">
        <is>
          <t>P1</t>
        </is>
      </c>
      <c r="AL406" s="8" t="n">
        <v>6</v>
      </c>
      <c r="AM406" s="5" t="inlineStr"/>
      <c r="AN406" s="5" t="inlineStr"/>
      <c r="AO406" s="5" t="inlineStr"/>
      <c r="AP406" s="5" t="inlineStr"/>
      <c r="AQ406" s="5" t="inlineStr"/>
      <c r="AR406" s="5" t="inlineStr"/>
      <c r="AS406" s="5" t="inlineStr"/>
      <c r="AT406" s="5" t="inlineStr"/>
      <c r="AU406" s="8" t="inlineStr">
        <is>
          <t>Not run</t>
        </is>
      </c>
    </row>
    <row r="407" ht="32" customHeight="1">
      <c r="A407" s="16" t="inlineStr">
        <is>
          <t>X-0406</t>
        </is>
      </c>
      <c r="B407" s="8" t="inlineStr">
        <is>
          <t>X</t>
        </is>
      </c>
      <c r="C407" s="5" t="inlineStr">
        <is>
          <t>Multiple / Cross-persona</t>
        </is>
      </c>
      <c r="D407" s="5" t="inlineStr">
        <is>
          <t>Reporting &amp; Business Intelligence</t>
        </is>
      </c>
      <c r="E407" s="5" t="inlineStr">
        <is>
          <t>Owner reviews business trends</t>
        </is>
      </c>
      <c r="F407" s="5" t="inlineStr">
        <is>
          <t>Business Owner</t>
        </is>
      </c>
      <c r="G407" s="5" t="inlineStr">
        <is>
          <t>Accountant</t>
        </is>
      </c>
      <c r="H407" s="5" t="inlineStr">
        <is>
          <t>Review multi-month sales, procurement, margin, and expense trends to plan growth</t>
        </is>
      </c>
      <c r="I407" s="5" t="inlineStr">
        <is>
          <t>Renders longitudinal trend charts showing monthly revenue trajectory and seasonal patterns</t>
        </is>
      </c>
      <c r="J407" s="20" t="inlineStr">
        <is>
          <t>P1</t>
        </is>
      </c>
      <c r="K407" s="20" t="inlineStr">
        <is>
          <t>Validated (Supported)</t>
        </is>
      </c>
      <c r="L407" s="5" t="inlineStr">
        <is>
          <t>Supported via Longitudinal Business Trends dashboard (/insights/trends/).</t>
        </is>
      </c>
      <c r="M407" s="8" t="inlineStr">
        <is>
          <t>Baseline</t>
        </is>
      </c>
      <c r="N407" s="8" t="inlineStr">
        <is>
          <t>Cross-persona</t>
        </is>
      </c>
      <c r="O407" s="8" t="inlineStr">
        <is>
          <t>P1</t>
        </is>
      </c>
      <c r="P407" s="5" t="inlineStr">
        <is>
          <t>Unchanged</t>
        </is>
      </c>
      <c r="Q407" s="20" t="inlineStr">
        <is>
          <t>Author assertion</t>
        </is>
      </c>
      <c r="R407" s="5" t="inlineStr"/>
      <c r="S407" s="8" t="inlineStr">
        <is>
          <t>RPT</t>
        </is>
      </c>
      <c r="T407" s="5" t="inlineStr">
        <is>
          <t>Reporting and business intelligence</t>
        </is>
      </c>
      <c r="U407" s="8" t="inlineStr"/>
      <c r="V407" s="8" t="inlineStr">
        <is>
          <t>reporting</t>
        </is>
      </c>
      <c r="W407" s="8" t="inlineStr">
        <is>
          <t>CONTROL</t>
        </is>
      </c>
      <c r="X407" s="5" t="inlineStr">
        <is>
          <t>Core</t>
        </is>
      </c>
      <c r="Y407" s="5" t="inlineStr">
        <is>
          <t>Cross-persona</t>
        </is>
      </c>
      <c r="Z407" s="5" t="inlineStr">
        <is>
          <t>Medium</t>
        </is>
      </c>
      <c r="AA407" s="5" t="inlineStr">
        <is>
          <t>Medium</t>
        </is>
      </c>
      <c r="AB407" s="8" t="inlineStr">
        <is>
          <t>Low</t>
        </is>
      </c>
      <c r="AC407" s="8" t="inlineStr">
        <is>
          <t>Pilot</t>
        </is>
      </c>
      <c r="AD407" s="5" t="inlineStr">
        <is>
          <t>Not independently checked</t>
        </is>
      </c>
      <c r="AE407" s="5" t="inlineStr">
        <is>
          <t>Not verified</t>
        </is>
      </c>
      <c r="AF407" s="5" t="inlineStr">
        <is>
          <t>Not verified</t>
        </is>
      </c>
      <c r="AG407" s="5" t="inlineStr">
        <is>
          <t>Not verified</t>
        </is>
      </c>
      <c r="AH407" s="5" t="inlineStr">
        <is>
          <t>Not verified</t>
        </is>
      </c>
      <c r="AI407" s="8" t="inlineStr">
        <is>
          <t>No</t>
        </is>
      </c>
      <c r="AJ407" s="8" t="inlineStr">
        <is>
          <t>Claimed - unverified</t>
        </is>
      </c>
      <c r="AK407" s="8" t="inlineStr">
        <is>
          <t>P1</t>
        </is>
      </c>
      <c r="AL407" s="8" t="n">
        <v>6</v>
      </c>
      <c r="AM407" s="5" t="inlineStr"/>
      <c r="AN407" s="5" t="inlineStr"/>
      <c r="AO407" s="5" t="inlineStr"/>
      <c r="AP407" s="5" t="inlineStr"/>
      <c r="AQ407" s="5" t="inlineStr"/>
      <c r="AR407" s="5" t="inlineStr"/>
      <c r="AS407" s="5" t="inlineStr"/>
      <c r="AT407" s="5" t="inlineStr"/>
      <c r="AU407" s="8" t="inlineStr">
        <is>
          <t>Not run</t>
        </is>
      </c>
    </row>
    <row r="408" ht="32" customHeight="1">
      <c r="A408" s="16" t="inlineStr">
        <is>
          <t>X-0407</t>
        </is>
      </c>
      <c r="B408" s="8" t="inlineStr">
        <is>
          <t>X</t>
        </is>
      </c>
      <c r="C408" s="5" t="inlineStr">
        <is>
          <t>Multiple / Cross-persona</t>
        </is>
      </c>
      <c r="D408" s="5" t="inlineStr">
        <is>
          <t>Master Data &amp; Authorization</t>
        </is>
      </c>
      <c r="E408" s="5" t="inlineStr">
        <is>
          <t>Admin creates product → salesperson can sell it</t>
        </is>
      </c>
      <c r="F408" s="5" t="inlineStr">
        <is>
          <t>System Administrator / Catalog Lead</t>
        </is>
      </c>
      <c r="G408" s="5" t="inlineStr">
        <is>
          <t>Salesperson / Cashier</t>
        </is>
      </c>
      <c r="H408" s="5" t="inlineStr">
        <is>
          <t>New product created in catalog immediately becomes available for billing on all POS terminals</t>
        </is>
      </c>
      <c r="I408" s="5" t="inlineStr">
        <is>
          <t>Creates Product master; updates search index; displays in active billing catalog</t>
        </is>
      </c>
      <c r="J408" s="20" t="inlineStr">
        <is>
          <t>P1</t>
        </is>
      </c>
      <c r="K408" s="20" t="inlineStr">
        <is>
          <t>Validated (Supported)</t>
        </is>
      </c>
      <c r="L408" s="5" t="inlineStr">
        <is>
          <t>Core system invariant: newly created active products are immediately available to sell.</t>
        </is>
      </c>
      <c r="M408" s="8" t="inlineStr">
        <is>
          <t>Baseline</t>
        </is>
      </c>
      <c r="N408" s="8" t="inlineStr">
        <is>
          <t>Cross-persona</t>
        </is>
      </c>
      <c r="O408" s="8" t="inlineStr">
        <is>
          <t>P1</t>
        </is>
      </c>
      <c r="P408" s="5" t="inlineStr">
        <is>
          <t>Unchanged</t>
        </is>
      </c>
      <c r="Q408" s="20" t="inlineStr">
        <is>
          <t>Author assertion</t>
        </is>
      </c>
      <c r="R408" s="5" t="inlineStr"/>
      <c r="S408" s="8" t="inlineStr">
        <is>
          <t>MASTER</t>
        </is>
      </c>
      <c r="T408" s="5" t="inlineStr">
        <is>
          <t>Master data and authorization</t>
        </is>
      </c>
      <c r="U408" s="8" t="inlineStr"/>
      <c r="V408" s="8" t="inlineStr">
        <is>
          <t>masters</t>
        </is>
      </c>
      <c r="W408" s="8" t="inlineStr">
        <is>
          <t>KERNEL</t>
        </is>
      </c>
      <c r="X408" s="5" t="inlineStr">
        <is>
          <t>Core</t>
        </is>
      </c>
      <c r="Y408" s="5" t="inlineStr">
        <is>
          <t>Cross-persona</t>
        </is>
      </c>
      <c r="Z408" s="5" t="inlineStr">
        <is>
          <t>Medium</t>
        </is>
      </c>
      <c r="AA408" s="5" t="inlineStr">
        <is>
          <t>Medium</t>
        </is>
      </c>
      <c r="AB408" s="8" t="inlineStr">
        <is>
          <t>Low</t>
        </is>
      </c>
      <c r="AC408" s="8" t="inlineStr">
        <is>
          <t>Later</t>
        </is>
      </c>
      <c r="AD408" s="5" t="inlineStr">
        <is>
          <t>Not independently checked</t>
        </is>
      </c>
      <c r="AE408" s="5" t="inlineStr">
        <is>
          <t>Not verified</t>
        </is>
      </c>
      <c r="AF408" s="5" t="inlineStr">
        <is>
          <t>Not verified</t>
        </is>
      </c>
      <c r="AG408" s="5" t="inlineStr">
        <is>
          <t>Not verified</t>
        </is>
      </c>
      <c r="AH408" s="5" t="inlineStr">
        <is>
          <t>Not verified</t>
        </is>
      </c>
      <c r="AI408" s="8" t="inlineStr">
        <is>
          <t>No</t>
        </is>
      </c>
      <c r="AJ408" s="8" t="inlineStr">
        <is>
          <t>Claimed - unverified</t>
        </is>
      </c>
      <c r="AK408" s="8" t="inlineStr">
        <is>
          <t>P1</t>
        </is>
      </c>
      <c r="AL408" s="8" t="n">
        <v>6</v>
      </c>
      <c r="AM408" s="5" t="inlineStr"/>
      <c r="AN408" s="5" t="inlineStr"/>
      <c r="AO408" s="5" t="inlineStr"/>
      <c r="AP408" s="5" t="inlineStr"/>
      <c r="AQ408" s="5" t="inlineStr"/>
      <c r="AR408" s="5" t="inlineStr"/>
      <c r="AS408" s="5" t="inlineStr"/>
      <c r="AT408" s="5" t="inlineStr"/>
      <c r="AU408" s="8" t="inlineStr">
        <is>
          <t>Not run</t>
        </is>
      </c>
    </row>
    <row r="409" ht="32" customHeight="1">
      <c r="A409" s="16" t="inlineStr">
        <is>
          <t>X-0408</t>
        </is>
      </c>
      <c r="B409" s="8" t="inlineStr">
        <is>
          <t>X</t>
        </is>
      </c>
      <c r="C409" s="5" t="inlineStr">
        <is>
          <t>Multiple / Cross-persona</t>
        </is>
      </c>
      <c r="D409" s="5" t="inlineStr">
        <is>
          <t>Master Data &amp; Authorization</t>
        </is>
      </c>
      <c r="E409" s="5" t="inlineStr">
        <is>
          <t>Admin creates product → purchase manager can purchase it</t>
        </is>
      </c>
      <c r="F409" s="5" t="inlineStr">
        <is>
          <t>System Administrator</t>
        </is>
      </c>
      <c r="G409" s="5" t="inlineStr">
        <is>
          <t>Purchase Manager</t>
        </is>
      </c>
      <c r="H409" s="5" t="inlineStr">
        <is>
          <t>New product immediately available for selection on Purchase Orders and supplier bills</t>
        </is>
      </c>
      <c r="I409" s="5" t="inlineStr">
        <is>
          <t>Enables SKU selection across procurement workflows with default purchase pricing</t>
        </is>
      </c>
      <c r="J409" s="20" t="inlineStr">
        <is>
          <t>P1</t>
        </is>
      </c>
      <c r="K409" s="20" t="inlineStr">
        <is>
          <t>Validated (Supported)</t>
        </is>
      </c>
      <c r="L409" s="5" t="inlineStr">
        <is>
          <t>Supported via product catalog integration across sales and purchases.</t>
        </is>
      </c>
      <c r="M409" s="8" t="inlineStr">
        <is>
          <t>Baseline</t>
        </is>
      </c>
      <c r="N409" s="8" t="inlineStr">
        <is>
          <t>Cross-persona</t>
        </is>
      </c>
      <c r="O409" s="8" t="inlineStr">
        <is>
          <t>P1</t>
        </is>
      </c>
      <c r="P409" s="5" t="inlineStr">
        <is>
          <t>Unchanged</t>
        </is>
      </c>
      <c r="Q409" s="20" t="inlineStr">
        <is>
          <t>Author assertion</t>
        </is>
      </c>
      <c r="R409" s="5" t="inlineStr"/>
      <c r="S409" s="8" t="inlineStr">
        <is>
          <t>MASTER</t>
        </is>
      </c>
      <c r="T409" s="5" t="inlineStr">
        <is>
          <t>Master data and authorization</t>
        </is>
      </c>
      <c r="U409" s="8" t="inlineStr"/>
      <c r="V409" s="8" t="inlineStr">
        <is>
          <t>masters</t>
        </is>
      </c>
      <c r="W409" s="8" t="inlineStr">
        <is>
          <t>KERNEL</t>
        </is>
      </c>
      <c r="X409" s="5" t="inlineStr">
        <is>
          <t>Core</t>
        </is>
      </c>
      <c r="Y409" s="5" t="inlineStr">
        <is>
          <t>Cross-persona</t>
        </is>
      </c>
      <c r="Z409" s="5" t="inlineStr">
        <is>
          <t>Medium</t>
        </is>
      </c>
      <c r="AA409" s="5" t="inlineStr">
        <is>
          <t>Medium</t>
        </is>
      </c>
      <c r="AB409" s="8" t="inlineStr">
        <is>
          <t>Low</t>
        </is>
      </c>
      <c r="AC409" s="8" t="inlineStr">
        <is>
          <t>Later</t>
        </is>
      </c>
      <c r="AD409" s="5" t="inlineStr">
        <is>
          <t>Not independently checked</t>
        </is>
      </c>
      <c r="AE409" s="5" t="inlineStr">
        <is>
          <t>Not verified</t>
        </is>
      </c>
      <c r="AF409" s="5" t="inlineStr">
        <is>
          <t>Not verified</t>
        </is>
      </c>
      <c r="AG409" s="5" t="inlineStr">
        <is>
          <t>Not verified</t>
        </is>
      </c>
      <c r="AH409" s="5" t="inlineStr">
        <is>
          <t>Not verified</t>
        </is>
      </c>
      <c r="AI409" s="8" t="inlineStr">
        <is>
          <t>No</t>
        </is>
      </c>
      <c r="AJ409" s="8" t="inlineStr">
        <is>
          <t>Claimed - unverified</t>
        </is>
      </c>
      <c r="AK409" s="8" t="inlineStr">
        <is>
          <t>P1</t>
        </is>
      </c>
      <c r="AL409" s="8" t="n">
        <v>6</v>
      </c>
      <c r="AM409" s="5" t="inlineStr"/>
      <c r="AN409" s="5" t="inlineStr"/>
      <c r="AO409" s="5" t="inlineStr"/>
      <c r="AP409" s="5" t="inlineStr"/>
      <c r="AQ409" s="5" t="inlineStr"/>
      <c r="AR409" s="5" t="inlineStr"/>
      <c r="AS409" s="5" t="inlineStr"/>
      <c r="AT409" s="5" t="inlineStr"/>
      <c r="AU409" s="8" t="inlineStr">
        <is>
          <t>Not run</t>
        </is>
      </c>
    </row>
    <row r="410" ht="32" customHeight="1">
      <c r="A410" s="16" t="inlineStr">
        <is>
          <t>X-0409</t>
        </is>
      </c>
      <c r="B410" s="8" t="inlineStr">
        <is>
          <t>X</t>
        </is>
      </c>
      <c r="C410" s="5" t="inlineStr">
        <is>
          <t>Multiple / Cross-persona</t>
        </is>
      </c>
      <c r="D410" s="5" t="inlineStr">
        <is>
          <t>Master Data &amp; Authorization</t>
        </is>
      </c>
      <c r="E410" s="5" t="inlineStr">
        <is>
          <t>Product HSN → invoice uses correct HSN</t>
        </is>
      </c>
      <c r="F410" s="5" t="inlineStr">
        <is>
          <t>Tax Engine</t>
        </is>
      </c>
      <c r="G410" s="5" t="inlineStr">
        <is>
          <t>Billing Clerk</t>
        </is>
      </c>
      <c r="H410" s="5" t="inlineStr">
        <is>
          <t>Product HSN code automatically populates onto invoice line items for GST compliance</t>
        </is>
      </c>
      <c r="I410" s="5" t="inlineStr">
        <is>
          <t>Copies HSN/SAC code from Product master to SalesItem; prints on statutory invoice</t>
        </is>
      </c>
      <c r="J410" s="20" t="inlineStr">
        <is>
          <t>P1</t>
        </is>
      </c>
      <c r="K410" s="20" t="inlineStr">
        <is>
          <t>Validated (Supported)</t>
        </is>
      </c>
      <c r="L410" s="5" t="inlineStr">
        <is>
          <t>Core tax invariant: invoice line HSN strictly derived from Product master.</t>
        </is>
      </c>
      <c r="M410" s="8" t="inlineStr">
        <is>
          <t>Baseline</t>
        </is>
      </c>
      <c r="N410" s="8" t="inlineStr">
        <is>
          <t>Cross-persona</t>
        </is>
      </c>
      <c r="O410" s="8" t="inlineStr">
        <is>
          <t>P1</t>
        </is>
      </c>
      <c r="P410" s="5" t="inlineStr">
        <is>
          <t>Unchanged</t>
        </is>
      </c>
      <c r="Q410" s="20" t="inlineStr">
        <is>
          <t>Author assertion</t>
        </is>
      </c>
      <c r="R410" s="5" t="inlineStr"/>
      <c r="S410" s="8" t="inlineStr">
        <is>
          <t>MASTER</t>
        </is>
      </c>
      <c r="T410" s="5" t="inlineStr">
        <is>
          <t>Master data and authorization</t>
        </is>
      </c>
      <c r="U410" s="8" t="inlineStr"/>
      <c r="V410" s="8" t="inlineStr">
        <is>
          <t>masters</t>
        </is>
      </c>
      <c r="W410" s="8" t="inlineStr">
        <is>
          <t>KERNEL</t>
        </is>
      </c>
      <c r="X410" s="5" t="inlineStr">
        <is>
          <t>Core</t>
        </is>
      </c>
      <c r="Y410" s="5" t="inlineStr">
        <is>
          <t>Cross-persona</t>
        </is>
      </c>
      <c r="Z410" s="5" t="inlineStr">
        <is>
          <t>Medium</t>
        </is>
      </c>
      <c r="AA410" s="5" t="inlineStr">
        <is>
          <t>Medium</t>
        </is>
      </c>
      <c r="AB410" s="8" t="inlineStr">
        <is>
          <t>Low</t>
        </is>
      </c>
      <c r="AC410" s="8" t="inlineStr">
        <is>
          <t>Later</t>
        </is>
      </c>
      <c r="AD410" s="5" t="inlineStr">
        <is>
          <t>Not independently checked</t>
        </is>
      </c>
      <c r="AE410" s="5" t="inlineStr">
        <is>
          <t>Not verified</t>
        </is>
      </c>
      <c r="AF410" s="5" t="inlineStr">
        <is>
          <t>Not verified</t>
        </is>
      </c>
      <c r="AG410" s="5" t="inlineStr">
        <is>
          <t>Not verified</t>
        </is>
      </c>
      <c r="AH410" s="5" t="inlineStr">
        <is>
          <t>Not verified</t>
        </is>
      </c>
      <c r="AI410" s="8" t="inlineStr">
        <is>
          <t>No</t>
        </is>
      </c>
      <c r="AJ410" s="8" t="inlineStr">
        <is>
          <t>Claimed - unverified</t>
        </is>
      </c>
      <c r="AK410" s="8" t="inlineStr">
        <is>
          <t>P1</t>
        </is>
      </c>
      <c r="AL410" s="8" t="n">
        <v>6</v>
      </c>
      <c r="AM410" s="5" t="inlineStr"/>
      <c r="AN410" s="5" t="inlineStr"/>
      <c r="AO410" s="5" t="inlineStr"/>
      <c r="AP410" s="5" t="inlineStr"/>
      <c r="AQ410" s="5" t="inlineStr"/>
      <c r="AR410" s="5" t="inlineStr"/>
      <c r="AS410" s="5" t="inlineStr"/>
      <c r="AT410" s="5" t="inlineStr"/>
      <c r="AU410" s="8" t="inlineStr">
        <is>
          <t>Not run</t>
        </is>
      </c>
    </row>
    <row r="411" ht="32" customHeight="1">
      <c r="A411" s="16" t="inlineStr">
        <is>
          <t>X-0410</t>
        </is>
      </c>
      <c r="B411" s="8" t="inlineStr">
        <is>
          <t>X</t>
        </is>
      </c>
      <c r="C411" s="5" t="inlineStr">
        <is>
          <t>Multiple / Cross-persona</t>
        </is>
      </c>
      <c r="D411" s="5" t="inlineStr">
        <is>
          <t>Master Data &amp; Authorization</t>
        </is>
      </c>
      <c r="E411" s="5" t="inlineStr">
        <is>
          <t>Product tax rate → invoice uses configured tax</t>
        </is>
      </c>
      <c r="F411" s="5" t="inlineStr">
        <is>
          <t>Tax Engine</t>
        </is>
      </c>
      <c r="G411" s="5" t="inlineStr">
        <is>
          <t>Billing Clerk</t>
        </is>
      </c>
      <c r="H411" s="5" t="inlineStr">
        <is>
          <t>Configured product GST rate automatically applied during billing calculation</t>
        </is>
      </c>
      <c r="I411" s="5" t="inlineStr">
        <is>
          <t>Applies master tax rate percentage; calculates line CGST/SGST/IGST breakdown</t>
        </is>
      </c>
      <c r="J411" s="20" t="inlineStr">
        <is>
          <t>P1</t>
        </is>
      </c>
      <c r="K411" s="20" t="inlineStr">
        <is>
          <t>Validated (Supported)</t>
        </is>
      </c>
      <c r="L411" s="5" t="inlineStr">
        <is>
          <t>Core tax invariant: invoice line tax percentage strictly derived from Product tax rate.</t>
        </is>
      </c>
      <c r="M411" s="8" t="inlineStr">
        <is>
          <t>Baseline</t>
        </is>
      </c>
      <c r="N411" s="8" t="inlineStr">
        <is>
          <t>Cross-persona</t>
        </is>
      </c>
      <c r="O411" s="8" t="inlineStr">
        <is>
          <t>P1</t>
        </is>
      </c>
      <c r="P411" s="5" t="inlineStr">
        <is>
          <t>Unchanged</t>
        </is>
      </c>
      <c r="Q411" s="20" t="inlineStr">
        <is>
          <t>Author assertion</t>
        </is>
      </c>
      <c r="R411" s="5" t="inlineStr"/>
      <c r="S411" s="8" t="inlineStr">
        <is>
          <t>MASTER</t>
        </is>
      </c>
      <c r="T411" s="5" t="inlineStr">
        <is>
          <t>Master data and authorization</t>
        </is>
      </c>
      <c r="U411" s="8" t="inlineStr"/>
      <c r="V411" s="8" t="inlineStr">
        <is>
          <t>masters</t>
        </is>
      </c>
      <c r="W411" s="8" t="inlineStr">
        <is>
          <t>KERNEL</t>
        </is>
      </c>
      <c r="X411" s="5" t="inlineStr">
        <is>
          <t>Core</t>
        </is>
      </c>
      <c r="Y411" s="5" t="inlineStr">
        <is>
          <t>Cross-persona</t>
        </is>
      </c>
      <c r="Z411" s="5" t="inlineStr">
        <is>
          <t>Medium</t>
        </is>
      </c>
      <c r="AA411" s="5" t="inlineStr">
        <is>
          <t>Medium</t>
        </is>
      </c>
      <c r="AB411" s="8" t="inlineStr">
        <is>
          <t>Low</t>
        </is>
      </c>
      <c r="AC411" s="8" t="inlineStr">
        <is>
          <t>Later</t>
        </is>
      </c>
      <c r="AD411" s="5" t="inlineStr">
        <is>
          <t>Not independently checked</t>
        </is>
      </c>
      <c r="AE411" s="5" t="inlineStr">
        <is>
          <t>Not verified</t>
        </is>
      </c>
      <c r="AF411" s="5" t="inlineStr">
        <is>
          <t>Not verified</t>
        </is>
      </c>
      <c r="AG411" s="5" t="inlineStr">
        <is>
          <t>Not verified</t>
        </is>
      </c>
      <c r="AH411" s="5" t="inlineStr">
        <is>
          <t>Not verified</t>
        </is>
      </c>
      <c r="AI411" s="8" t="inlineStr">
        <is>
          <t>No</t>
        </is>
      </c>
      <c r="AJ411" s="8" t="inlineStr">
        <is>
          <t>Claimed - unverified</t>
        </is>
      </c>
      <c r="AK411" s="8" t="inlineStr">
        <is>
          <t>P1</t>
        </is>
      </c>
      <c r="AL411" s="8" t="n">
        <v>6</v>
      </c>
      <c r="AM411" s="5" t="inlineStr"/>
      <c r="AN411" s="5" t="inlineStr"/>
      <c r="AO411" s="5" t="inlineStr"/>
      <c r="AP411" s="5" t="inlineStr"/>
      <c r="AQ411" s="5" t="inlineStr"/>
      <c r="AR411" s="5" t="inlineStr"/>
      <c r="AS411" s="5" t="inlineStr"/>
      <c r="AT411" s="5" t="inlineStr"/>
      <c r="AU411" s="8" t="inlineStr">
        <is>
          <t>Not run</t>
        </is>
      </c>
    </row>
    <row r="412" ht="32" customHeight="1">
      <c r="A412" s="16" t="inlineStr">
        <is>
          <t>X-0411</t>
        </is>
      </c>
      <c r="B412" s="8" t="inlineStr">
        <is>
          <t>X</t>
        </is>
      </c>
      <c r="C412" s="5" t="inlineStr">
        <is>
          <t>Multiple / Cross-persona</t>
        </is>
      </c>
      <c r="D412" s="5" t="inlineStr">
        <is>
          <t>Master Data &amp; Authorization</t>
        </is>
      </c>
      <c r="E412" s="5" t="inlineStr">
        <is>
          <t>Product unit → inventory quantities use correct unit</t>
        </is>
      </c>
      <c r="F412" s="5" t="inlineStr">
        <is>
          <t>Inventory Ledger Engine</t>
        </is>
      </c>
      <c r="G412" s="5" t="inlineStr">
        <is>
          <t>Godown Custodian</t>
        </is>
      </c>
      <c r="H412" s="5" t="inlineStr">
        <is>
          <t>Stock transactions enforce standard unit of measure (PCS, KGS, BOX, LTR, MTR)</t>
        </is>
      </c>
      <c r="I412" s="5" t="inlineStr">
        <is>
          <t>Stores unit_of_measure on Product; validates all inward and outward movements conform to unit</t>
        </is>
      </c>
      <c r="J412" s="20" t="inlineStr">
        <is>
          <t>P1</t>
        </is>
      </c>
      <c r="K412" s="20" t="inlineStr">
        <is>
          <t>Validated (Supported)</t>
        </is>
      </c>
      <c r="L412" s="5" t="inlineStr">
        <is>
          <t>Core inventory invariant: all stock movements strictly validate master unit of measure.</t>
        </is>
      </c>
      <c r="M412" s="8" t="inlineStr">
        <is>
          <t>Baseline</t>
        </is>
      </c>
      <c r="N412" s="8" t="inlineStr">
        <is>
          <t>Cross-persona</t>
        </is>
      </c>
      <c r="O412" s="8" t="inlineStr">
        <is>
          <t>P1</t>
        </is>
      </c>
      <c r="P412" s="5" t="inlineStr">
        <is>
          <t>Unchanged</t>
        </is>
      </c>
      <c r="Q412" s="20" t="inlineStr">
        <is>
          <t>Author assertion</t>
        </is>
      </c>
      <c r="R412" s="5" t="inlineStr"/>
      <c r="S412" s="8" t="inlineStr">
        <is>
          <t>MASTER</t>
        </is>
      </c>
      <c r="T412" s="5" t="inlineStr">
        <is>
          <t>Master data and authorization</t>
        </is>
      </c>
      <c r="U412" s="8" t="inlineStr"/>
      <c r="V412" s="8" t="inlineStr">
        <is>
          <t>masters</t>
        </is>
      </c>
      <c r="W412" s="8" t="inlineStr">
        <is>
          <t>KERNEL</t>
        </is>
      </c>
      <c r="X412" s="5" t="inlineStr">
        <is>
          <t>Core</t>
        </is>
      </c>
      <c r="Y412" s="5" t="inlineStr">
        <is>
          <t>Cross-persona</t>
        </is>
      </c>
      <c r="Z412" s="5" t="inlineStr">
        <is>
          <t>Medium</t>
        </is>
      </c>
      <c r="AA412" s="5" t="inlineStr">
        <is>
          <t>Medium</t>
        </is>
      </c>
      <c r="AB412" s="8" t="inlineStr">
        <is>
          <t>Low</t>
        </is>
      </c>
      <c r="AC412" s="8" t="inlineStr">
        <is>
          <t>Later</t>
        </is>
      </c>
      <c r="AD412" s="5" t="inlineStr">
        <is>
          <t>Not independently checked</t>
        </is>
      </c>
      <c r="AE412" s="5" t="inlineStr">
        <is>
          <t>Not verified</t>
        </is>
      </c>
      <c r="AF412" s="5" t="inlineStr">
        <is>
          <t>Not verified</t>
        </is>
      </c>
      <c r="AG412" s="5" t="inlineStr">
        <is>
          <t>Not verified</t>
        </is>
      </c>
      <c r="AH412" s="5" t="inlineStr">
        <is>
          <t>Not verified</t>
        </is>
      </c>
      <c r="AI412" s="8" t="inlineStr">
        <is>
          <t>No</t>
        </is>
      </c>
      <c r="AJ412" s="8" t="inlineStr">
        <is>
          <t>Claimed - unverified</t>
        </is>
      </c>
      <c r="AK412" s="8" t="inlineStr">
        <is>
          <t>P1</t>
        </is>
      </c>
      <c r="AL412" s="8" t="n">
        <v>6</v>
      </c>
      <c r="AM412" s="5" t="inlineStr"/>
      <c r="AN412" s="5" t="inlineStr"/>
      <c r="AO412" s="5" t="inlineStr"/>
      <c r="AP412" s="5" t="inlineStr"/>
      <c r="AQ412" s="5" t="inlineStr"/>
      <c r="AR412" s="5" t="inlineStr"/>
      <c r="AS412" s="5" t="inlineStr"/>
      <c r="AT412" s="5" t="inlineStr"/>
      <c r="AU412" s="8" t="inlineStr">
        <is>
          <t>Not run</t>
        </is>
      </c>
    </row>
    <row r="413" ht="32" customHeight="1">
      <c r="A413" s="16" t="inlineStr">
        <is>
          <t>X-0412</t>
        </is>
      </c>
      <c r="B413" s="8" t="inlineStr">
        <is>
          <t>X</t>
        </is>
      </c>
      <c r="C413" s="5" t="inlineStr">
        <is>
          <t>Multiple / Cross-persona</t>
        </is>
      </c>
      <c r="D413" s="5" t="inlineStr">
        <is>
          <t>Master Data &amp; Authorization</t>
        </is>
      </c>
      <c r="E413" s="5" t="inlineStr">
        <is>
          <t>Product batch configuration → GRN captures batch</t>
        </is>
      </c>
      <c r="F413" s="5" t="inlineStr">
        <is>
          <t>Goods Receipt Engine</t>
        </is>
      </c>
      <c r="G413" s="5" t="inlineStr">
        <is>
          <t>Godown Custodian</t>
        </is>
      </c>
      <c r="H413" s="5" t="inlineStr">
        <is>
          <t>Items flagged with is_batch_tracked require mandatory batch number and expiry entry on receipt</t>
        </is>
      </c>
      <c r="I413" s="5" t="inlineStr">
        <is>
          <t>Enforces batch lot entry on GRN/Purchase bill; rejects receipt if batch info is missing</t>
        </is>
      </c>
      <c r="J413" s="20" t="inlineStr">
        <is>
          <t>P1</t>
        </is>
      </c>
      <c r="K413" s="20" t="inlineStr">
        <is>
          <t>Validated (Supported)</t>
        </is>
      </c>
      <c r="L413" s="5" t="inlineStr">
        <is>
          <t>Core inventory invariant: batch-tracked SKUs strictly enforce batch metadata on inwarding.</t>
        </is>
      </c>
      <c r="M413" s="8" t="inlineStr">
        <is>
          <t>Baseline</t>
        </is>
      </c>
      <c r="N413" s="8" t="inlineStr">
        <is>
          <t>Cross-persona</t>
        </is>
      </c>
      <c r="O413" s="8" t="inlineStr">
        <is>
          <t>P1</t>
        </is>
      </c>
      <c r="P413" s="5" t="inlineStr">
        <is>
          <t>Unchanged</t>
        </is>
      </c>
      <c r="Q413" s="20" t="inlineStr">
        <is>
          <t>Author assertion</t>
        </is>
      </c>
      <c r="R413" s="5" t="inlineStr"/>
      <c r="S413" s="8" t="inlineStr">
        <is>
          <t>MASTER</t>
        </is>
      </c>
      <c r="T413" s="5" t="inlineStr">
        <is>
          <t>Master data and authorization</t>
        </is>
      </c>
      <c r="U413" s="8" t="inlineStr"/>
      <c r="V413" s="8" t="inlineStr">
        <is>
          <t>masters</t>
        </is>
      </c>
      <c r="W413" s="8" t="inlineStr">
        <is>
          <t>KERNEL</t>
        </is>
      </c>
      <c r="X413" s="5" t="inlineStr">
        <is>
          <t>Core</t>
        </is>
      </c>
      <c r="Y413" s="5" t="inlineStr">
        <is>
          <t>Cross-persona</t>
        </is>
      </c>
      <c r="Z413" s="5" t="inlineStr">
        <is>
          <t>Medium</t>
        </is>
      </c>
      <c r="AA413" s="5" t="inlineStr">
        <is>
          <t>Medium</t>
        </is>
      </c>
      <c r="AB413" s="8" t="inlineStr">
        <is>
          <t>Low</t>
        </is>
      </c>
      <c r="AC413" s="8" t="inlineStr">
        <is>
          <t>Later</t>
        </is>
      </c>
      <c r="AD413" s="5" t="inlineStr">
        <is>
          <t>Not independently checked</t>
        </is>
      </c>
      <c r="AE413" s="5" t="inlineStr">
        <is>
          <t>Not verified</t>
        </is>
      </c>
      <c r="AF413" s="5" t="inlineStr">
        <is>
          <t>Not verified</t>
        </is>
      </c>
      <c r="AG413" s="5" t="inlineStr">
        <is>
          <t>Not verified</t>
        </is>
      </c>
      <c r="AH413" s="5" t="inlineStr">
        <is>
          <t>Not verified</t>
        </is>
      </c>
      <c r="AI413" s="8" t="inlineStr">
        <is>
          <t>No</t>
        </is>
      </c>
      <c r="AJ413" s="8" t="inlineStr">
        <is>
          <t>Claimed - unverified</t>
        </is>
      </c>
      <c r="AK413" s="8" t="inlineStr">
        <is>
          <t>P1</t>
        </is>
      </c>
      <c r="AL413" s="8" t="n">
        <v>6</v>
      </c>
      <c r="AM413" s="5" t="inlineStr"/>
      <c r="AN413" s="5" t="inlineStr"/>
      <c r="AO413" s="5" t="inlineStr"/>
      <c r="AP413" s="5" t="inlineStr"/>
      <c r="AQ413" s="5" t="inlineStr"/>
      <c r="AR413" s="5" t="inlineStr"/>
      <c r="AS413" s="5" t="inlineStr"/>
      <c r="AT413" s="5" t="inlineStr"/>
      <c r="AU413" s="8" t="inlineStr">
        <is>
          <t>Not run</t>
        </is>
      </c>
    </row>
    <row r="414" ht="32" customHeight="1">
      <c r="A414" s="16" t="inlineStr">
        <is>
          <t>X-0413</t>
        </is>
      </c>
      <c r="B414" s="8" t="inlineStr">
        <is>
          <t>X</t>
        </is>
      </c>
      <c r="C414" s="5" t="inlineStr">
        <is>
          <t>Multiple / Cross-persona</t>
        </is>
      </c>
      <c r="D414" s="5" t="inlineStr">
        <is>
          <t>Master Data &amp; Authorization</t>
        </is>
      </c>
      <c r="E414" s="5" t="inlineStr">
        <is>
          <t>Product serial configuration → sale captures serial</t>
        </is>
      </c>
      <c r="F414" s="5" t="inlineStr">
        <is>
          <t>Billing Engine</t>
        </is>
      </c>
      <c r="G414" s="5" t="inlineStr">
        <is>
          <t>Counter Clerk</t>
        </is>
      </c>
      <c r="H414" s="5" t="inlineStr">
        <is>
          <t>Items flagged with is_serialized require unique serial/IMEI scanning before checkout</t>
        </is>
      </c>
      <c r="I414" s="5" t="inlineStr">
        <is>
          <t>Validates scanned serial number against available serial inventory; records on sales line</t>
        </is>
      </c>
      <c r="J414" s="20" t="inlineStr">
        <is>
          <t>P1</t>
        </is>
      </c>
      <c r="K414" s="20" t="inlineStr">
        <is>
          <t>Validated (Supported)</t>
        </is>
      </c>
      <c r="L414" s="5" t="inlineStr">
        <is>
          <t>Core inventory invariant: serialized SKUs strictly enforce valid serial selection on sale.</t>
        </is>
      </c>
      <c r="M414" s="8" t="inlineStr">
        <is>
          <t>Baseline</t>
        </is>
      </c>
      <c r="N414" s="8" t="inlineStr">
        <is>
          <t>Cross-persona</t>
        </is>
      </c>
      <c r="O414" s="8" t="inlineStr">
        <is>
          <t>P1</t>
        </is>
      </c>
      <c r="P414" s="5" t="inlineStr">
        <is>
          <t>Unchanged</t>
        </is>
      </c>
      <c r="Q414" s="20" t="inlineStr">
        <is>
          <t>Author assertion</t>
        </is>
      </c>
      <c r="R414" s="5" t="inlineStr"/>
      <c r="S414" s="8" t="inlineStr">
        <is>
          <t>MASTER</t>
        </is>
      </c>
      <c r="T414" s="5" t="inlineStr">
        <is>
          <t>Master data and authorization</t>
        </is>
      </c>
      <c r="U414" s="8" t="inlineStr"/>
      <c r="V414" s="8" t="inlineStr">
        <is>
          <t>masters</t>
        </is>
      </c>
      <c r="W414" s="8" t="inlineStr">
        <is>
          <t>KERNEL</t>
        </is>
      </c>
      <c r="X414" s="5" t="inlineStr">
        <is>
          <t>Core</t>
        </is>
      </c>
      <c r="Y414" s="5" t="inlineStr">
        <is>
          <t>Cross-persona</t>
        </is>
      </c>
      <c r="Z414" s="5" t="inlineStr">
        <is>
          <t>Medium</t>
        </is>
      </c>
      <c r="AA414" s="5" t="inlineStr">
        <is>
          <t>Medium</t>
        </is>
      </c>
      <c r="AB414" s="8" t="inlineStr">
        <is>
          <t>Low</t>
        </is>
      </c>
      <c r="AC414" s="8" t="inlineStr">
        <is>
          <t>Later</t>
        </is>
      </c>
      <c r="AD414" s="5" t="inlineStr">
        <is>
          <t>Not independently checked</t>
        </is>
      </c>
      <c r="AE414" s="5" t="inlineStr">
        <is>
          <t>Not verified</t>
        </is>
      </c>
      <c r="AF414" s="5" t="inlineStr">
        <is>
          <t>Not verified</t>
        </is>
      </c>
      <c r="AG414" s="5" t="inlineStr">
        <is>
          <t>Not verified</t>
        </is>
      </c>
      <c r="AH414" s="5" t="inlineStr">
        <is>
          <t>Not verified</t>
        </is>
      </c>
      <c r="AI414" s="8" t="inlineStr">
        <is>
          <t>No</t>
        </is>
      </c>
      <c r="AJ414" s="8" t="inlineStr">
        <is>
          <t>Claimed - unverified</t>
        </is>
      </c>
      <c r="AK414" s="8" t="inlineStr">
        <is>
          <t>P1</t>
        </is>
      </c>
      <c r="AL414" s="8" t="n">
        <v>6</v>
      </c>
      <c r="AM414" s="5" t="inlineStr"/>
      <c r="AN414" s="5" t="inlineStr"/>
      <c r="AO414" s="5" t="inlineStr"/>
      <c r="AP414" s="5" t="inlineStr"/>
      <c r="AQ414" s="5" t="inlineStr"/>
      <c r="AR414" s="5" t="inlineStr"/>
      <c r="AS414" s="5" t="inlineStr"/>
      <c r="AT414" s="5" t="inlineStr"/>
      <c r="AU414" s="8" t="inlineStr">
        <is>
          <t>Not run</t>
        </is>
      </c>
    </row>
    <row r="415" ht="32" customHeight="1">
      <c r="A415" s="16" t="inlineStr">
        <is>
          <t>X-0414</t>
        </is>
      </c>
      <c r="B415" s="8" t="inlineStr">
        <is>
          <t>X</t>
        </is>
      </c>
      <c r="C415" s="5" t="inlineStr">
        <is>
          <t>Multiple / Cross-persona</t>
        </is>
      </c>
      <c r="D415" s="5" t="inlineStr">
        <is>
          <t>Master Data &amp; Authorization</t>
        </is>
      </c>
      <c r="E415" s="5" t="inlineStr">
        <is>
          <t>Customer master → sales invoice uses customer details</t>
        </is>
      </c>
      <c r="F415" s="5" t="inlineStr">
        <is>
          <t>Billing Engine</t>
        </is>
      </c>
      <c r="G415" s="5" t="inlineStr">
        <is>
          <t>Customer</t>
        </is>
      </c>
      <c r="H415" s="5" t="inlineStr">
        <is>
          <t>Customer name, billing address, shipping address, and GSTIN automatically populate on invoice</t>
        </is>
      </c>
      <c r="I415" s="5" t="inlineStr">
        <is>
          <t>Copies customer master details to invoice header snapshot for immutable record-keeping</t>
        </is>
      </c>
      <c r="J415" s="20" t="inlineStr">
        <is>
          <t>P1</t>
        </is>
      </c>
      <c r="K415" s="20" t="inlineStr">
        <is>
          <t>Validated (Supported)</t>
        </is>
      </c>
      <c r="L415" s="5" t="inlineStr">
        <is>
          <t>Supported via customer auto-complete in invoice creation form.</t>
        </is>
      </c>
      <c r="M415" s="8" t="inlineStr">
        <is>
          <t>Baseline</t>
        </is>
      </c>
      <c r="N415" s="8" t="inlineStr">
        <is>
          <t>Cross-persona</t>
        </is>
      </c>
      <c r="O415" s="8" t="inlineStr">
        <is>
          <t>P1</t>
        </is>
      </c>
      <c r="P415" s="5" t="inlineStr">
        <is>
          <t>Unchanged</t>
        </is>
      </c>
      <c r="Q415" s="20" t="inlineStr">
        <is>
          <t>Author assertion</t>
        </is>
      </c>
      <c r="R415" s="5" t="inlineStr"/>
      <c r="S415" s="8" t="inlineStr">
        <is>
          <t>MASTER</t>
        </is>
      </c>
      <c r="T415" s="5" t="inlineStr">
        <is>
          <t>Master data and authorization</t>
        </is>
      </c>
      <c r="U415" s="8" t="inlineStr"/>
      <c r="V415" s="8" t="inlineStr">
        <is>
          <t>masters</t>
        </is>
      </c>
      <c r="W415" s="8" t="inlineStr">
        <is>
          <t>KERNEL</t>
        </is>
      </c>
      <c r="X415" s="5" t="inlineStr">
        <is>
          <t>Core</t>
        </is>
      </c>
      <c r="Y415" s="5" t="inlineStr">
        <is>
          <t>Cross-persona</t>
        </is>
      </c>
      <c r="Z415" s="5" t="inlineStr">
        <is>
          <t>Medium</t>
        </is>
      </c>
      <c r="AA415" s="5" t="inlineStr">
        <is>
          <t>Medium</t>
        </is>
      </c>
      <c r="AB415" s="8" t="inlineStr">
        <is>
          <t>Low</t>
        </is>
      </c>
      <c r="AC415" s="8" t="inlineStr">
        <is>
          <t>Later</t>
        </is>
      </c>
      <c r="AD415" s="5" t="inlineStr">
        <is>
          <t>Not independently checked</t>
        </is>
      </c>
      <c r="AE415" s="5" t="inlineStr">
        <is>
          <t>Not verified</t>
        </is>
      </c>
      <c r="AF415" s="5" t="inlineStr">
        <is>
          <t>Not verified</t>
        </is>
      </c>
      <c r="AG415" s="5" t="inlineStr">
        <is>
          <t>Not verified</t>
        </is>
      </c>
      <c r="AH415" s="5" t="inlineStr">
        <is>
          <t>Not verified</t>
        </is>
      </c>
      <c r="AI415" s="8" t="inlineStr">
        <is>
          <t>No</t>
        </is>
      </c>
      <c r="AJ415" s="8" t="inlineStr">
        <is>
          <t>Claimed - unverified</t>
        </is>
      </c>
      <c r="AK415" s="8" t="inlineStr">
        <is>
          <t>P1</t>
        </is>
      </c>
      <c r="AL415" s="8" t="n">
        <v>6</v>
      </c>
      <c r="AM415" s="5" t="inlineStr"/>
      <c r="AN415" s="5" t="inlineStr"/>
      <c r="AO415" s="5" t="inlineStr"/>
      <c r="AP415" s="5" t="inlineStr"/>
      <c r="AQ415" s="5" t="inlineStr"/>
      <c r="AR415" s="5" t="inlineStr"/>
      <c r="AS415" s="5" t="inlineStr"/>
      <c r="AT415" s="5" t="inlineStr"/>
      <c r="AU415" s="8" t="inlineStr">
        <is>
          <t>Not run</t>
        </is>
      </c>
    </row>
    <row r="416" ht="32" customHeight="1">
      <c r="A416" s="16" t="inlineStr">
        <is>
          <t>X-0415</t>
        </is>
      </c>
      <c r="B416" s="8" t="inlineStr">
        <is>
          <t>X</t>
        </is>
      </c>
      <c r="C416" s="5" t="inlineStr">
        <is>
          <t>Multiple / Cross-persona</t>
        </is>
      </c>
      <c r="D416" s="5" t="inlineStr">
        <is>
          <t>Master Data &amp; Authorization</t>
        </is>
      </c>
      <c r="E416" s="5" t="inlineStr">
        <is>
          <t>Supplier master → purchase invoice uses supplier details</t>
        </is>
      </c>
      <c r="F416" s="5" t="inlineStr">
        <is>
          <t>Procurement Engine</t>
        </is>
      </c>
      <c r="G416" s="5" t="inlineStr">
        <is>
          <t>In-house Accountant</t>
        </is>
      </c>
      <c r="H416" s="5" t="inlineStr">
        <is>
          <t>Supplier legal name, address, GSTIN, and default payment terms populate on purchase bill</t>
        </is>
      </c>
      <c r="I416" s="5" t="inlineStr">
        <is>
          <t>Copies supplier master details to purchase invoice header snapshot</t>
        </is>
      </c>
      <c r="J416" s="20" t="inlineStr">
        <is>
          <t>P1</t>
        </is>
      </c>
      <c r="K416" s="20" t="inlineStr">
        <is>
          <t>Validated (Supported)</t>
        </is>
      </c>
      <c r="L416" s="5" t="inlineStr">
        <is>
          <t>Supported via supplier auto-complete in purchase form.</t>
        </is>
      </c>
      <c r="M416" s="8" t="inlineStr">
        <is>
          <t>Baseline</t>
        </is>
      </c>
      <c r="N416" s="8" t="inlineStr">
        <is>
          <t>Cross-persona</t>
        </is>
      </c>
      <c r="O416" s="8" t="inlineStr">
        <is>
          <t>P1</t>
        </is>
      </c>
      <c r="P416" s="5" t="inlineStr">
        <is>
          <t>Unchanged</t>
        </is>
      </c>
      <c r="Q416" s="20" t="inlineStr">
        <is>
          <t>Author assertion</t>
        </is>
      </c>
      <c r="R416" s="5" t="inlineStr"/>
      <c r="S416" s="8" t="inlineStr">
        <is>
          <t>MASTER</t>
        </is>
      </c>
      <c r="T416" s="5" t="inlineStr">
        <is>
          <t>Master data and authorization</t>
        </is>
      </c>
      <c r="U416" s="8" t="inlineStr"/>
      <c r="V416" s="8" t="inlineStr">
        <is>
          <t>masters</t>
        </is>
      </c>
      <c r="W416" s="8" t="inlineStr">
        <is>
          <t>KERNEL</t>
        </is>
      </c>
      <c r="X416" s="5" t="inlineStr">
        <is>
          <t>Core</t>
        </is>
      </c>
      <c r="Y416" s="5" t="inlineStr">
        <is>
          <t>Cross-persona</t>
        </is>
      </c>
      <c r="Z416" s="5" t="inlineStr">
        <is>
          <t>Medium</t>
        </is>
      </c>
      <c r="AA416" s="5" t="inlineStr">
        <is>
          <t>Medium</t>
        </is>
      </c>
      <c r="AB416" s="8" t="inlineStr">
        <is>
          <t>Low</t>
        </is>
      </c>
      <c r="AC416" s="8" t="inlineStr">
        <is>
          <t>Later</t>
        </is>
      </c>
      <c r="AD416" s="5" t="inlineStr">
        <is>
          <t>Not independently checked</t>
        </is>
      </c>
      <c r="AE416" s="5" t="inlineStr">
        <is>
          <t>Not verified</t>
        </is>
      </c>
      <c r="AF416" s="5" t="inlineStr">
        <is>
          <t>Not verified</t>
        </is>
      </c>
      <c r="AG416" s="5" t="inlineStr">
        <is>
          <t>Not verified</t>
        </is>
      </c>
      <c r="AH416" s="5" t="inlineStr">
        <is>
          <t>Not verified</t>
        </is>
      </c>
      <c r="AI416" s="8" t="inlineStr">
        <is>
          <t>No</t>
        </is>
      </c>
      <c r="AJ416" s="8" t="inlineStr">
        <is>
          <t>Claimed - unverified</t>
        </is>
      </c>
      <c r="AK416" s="8" t="inlineStr">
        <is>
          <t>P1</t>
        </is>
      </c>
      <c r="AL416" s="8" t="n">
        <v>6</v>
      </c>
      <c r="AM416" s="5" t="inlineStr"/>
      <c r="AN416" s="5" t="inlineStr"/>
      <c r="AO416" s="5" t="inlineStr"/>
      <c r="AP416" s="5" t="inlineStr"/>
      <c r="AQ416" s="5" t="inlineStr"/>
      <c r="AR416" s="5" t="inlineStr"/>
      <c r="AS416" s="5" t="inlineStr"/>
      <c r="AT416" s="5" t="inlineStr"/>
      <c r="AU416" s="8" t="inlineStr">
        <is>
          <t>Not run</t>
        </is>
      </c>
    </row>
    <row r="417" ht="32" customHeight="1">
      <c r="A417" s="16" t="inlineStr">
        <is>
          <t>X-0416</t>
        </is>
      </c>
      <c r="B417" s="8" t="inlineStr">
        <is>
          <t>X</t>
        </is>
      </c>
      <c r="C417" s="5" t="inlineStr">
        <is>
          <t>Multiple / Cross-persona</t>
        </is>
      </c>
      <c r="D417" s="5" t="inlineStr">
        <is>
          <t>Master Data &amp; Authorization</t>
        </is>
      </c>
      <c r="E417" s="5" t="inlineStr">
        <is>
          <t>Customer GSTIN → tax treatment uses GST status</t>
        </is>
      </c>
      <c r="F417" s="5" t="inlineStr">
        <is>
          <t>Tax Calculation Engine</t>
        </is>
      </c>
      <c r="G417" s="5" t="inlineStr">
        <is>
          <t>Billing Clerk</t>
        </is>
      </c>
      <c r="H417" s="5" t="inlineStr">
        <is>
          <t>Customer GST status (Registered B2B, Unregistered B2C, Composition) dictates invoice format</t>
        </is>
      </c>
      <c r="I417" s="5" t="inlineStr">
        <is>
          <t>Formats document as B2B Tax Invoice with reverse charge check or B2C Retail Bill</t>
        </is>
      </c>
      <c r="J417" s="20" t="inlineStr">
        <is>
          <t>P1</t>
        </is>
      </c>
      <c r="K417" s="20" t="inlineStr">
        <is>
          <t>Validated (Supported)</t>
        </is>
      </c>
      <c r="L417" s="5" t="inlineStr">
        <is>
          <t>Supported via automated tax regime selection based on customer GSTIN presence.</t>
        </is>
      </c>
      <c r="M417" s="8" t="inlineStr">
        <is>
          <t>Baseline</t>
        </is>
      </c>
      <c r="N417" s="8" t="inlineStr">
        <is>
          <t>Cross-persona</t>
        </is>
      </c>
      <c r="O417" s="8" t="inlineStr">
        <is>
          <t>P1</t>
        </is>
      </c>
      <c r="P417" s="5" t="inlineStr">
        <is>
          <t>Unchanged</t>
        </is>
      </c>
      <c r="Q417" s="20" t="inlineStr">
        <is>
          <t>Author assertion</t>
        </is>
      </c>
      <c r="R417" s="5" t="inlineStr"/>
      <c r="S417" s="8" t="inlineStr">
        <is>
          <t>MASTER</t>
        </is>
      </c>
      <c r="T417" s="5" t="inlineStr">
        <is>
          <t>Master data and authorization</t>
        </is>
      </c>
      <c r="U417" s="8" t="inlineStr"/>
      <c r="V417" s="8" t="inlineStr">
        <is>
          <t>masters</t>
        </is>
      </c>
      <c r="W417" s="8" t="inlineStr">
        <is>
          <t>KERNEL</t>
        </is>
      </c>
      <c r="X417" s="5" t="inlineStr">
        <is>
          <t>Core</t>
        </is>
      </c>
      <c r="Y417" s="5" t="inlineStr">
        <is>
          <t>Cross-persona</t>
        </is>
      </c>
      <c r="Z417" s="5" t="inlineStr">
        <is>
          <t>Medium</t>
        </is>
      </c>
      <c r="AA417" s="5" t="inlineStr">
        <is>
          <t>Medium</t>
        </is>
      </c>
      <c r="AB417" s="8" t="inlineStr">
        <is>
          <t>Low</t>
        </is>
      </c>
      <c r="AC417" s="8" t="inlineStr">
        <is>
          <t>Later</t>
        </is>
      </c>
      <c r="AD417" s="5" t="inlineStr">
        <is>
          <t>Not independently checked</t>
        </is>
      </c>
      <c r="AE417" s="5" t="inlineStr">
        <is>
          <t>Not verified</t>
        </is>
      </c>
      <c r="AF417" s="5" t="inlineStr">
        <is>
          <t>Not verified</t>
        </is>
      </c>
      <c r="AG417" s="5" t="inlineStr">
        <is>
          <t>Not verified</t>
        </is>
      </c>
      <c r="AH417" s="5" t="inlineStr">
        <is>
          <t>Not verified</t>
        </is>
      </c>
      <c r="AI417" s="8" t="inlineStr">
        <is>
          <t>No</t>
        </is>
      </c>
      <c r="AJ417" s="8" t="inlineStr">
        <is>
          <t>Claimed - unverified</t>
        </is>
      </c>
      <c r="AK417" s="8" t="inlineStr">
        <is>
          <t>P1</t>
        </is>
      </c>
      <c r="AL417" s="8" t="n">
        <v>6</v>
      </c>
      <c r="AM417" s="5" t="inlineStr"/>
      <c r="AN417" s="5" t="inlineStr"/>
      <c r="AO417" s="5" t="inlineStr"/>
      <c r="AP417" s="5" t="inlineStr"/>
      <c r="AQ417" s="5" t="inlineStr"/>
      <c r="AR417" s="5" t="inlineStr"/>
      <c r="AS417" s="5" t="inlineStr"/>
      <c r="AT417" s="5" t="inlineStr"/>
      <c r="AU417" s="8" t="inlineStr">
        <is>
          <t>Not run</t>
        </is>
      </c>
    </row>
    <row r="418" ht="32" customHeight="1">
      <c r="A418" s="16" t="inlineStr">
        <is>
          <t>X-0417</t>
        </is>
      </c>
      <c r="B418" s="8" t="inlineStr">
        <is>
          <t>X</t>
        </is>
      </c>
      <c r="C418" s="5" t="inlineStr">
        <is>
          <t>Multiple / Cross-persona</t>
        </is>
      </c>
      <c r="D418" s="5" t="inlineStr">
        <is>
          <t>Master Data &amp; Authorization</t>
        </is>
      </c>
      <c r="E418" s="5" t="inlineStr">
        <is>
          <t>Supplier GSTIN → purchase tax treatment uses supplier status</t>
        </is>
      </c>
      <c r="F418" s="5" t="inlineStr">
        <is>
          <t>Tax Calculation Engine</t>
        </is>
      </c>
      <c r="G418" s="5" t="inlineStr">
        <is>
          <t>In-house Accountant</t>
        </is>
      </c>
      <c r="H418" s="5" t="inlineStr">
        <is>
          <t>Supplier registration status determines whether purchase is eligible for Input Tax Credit</t>
        </is>
      </c>
      <c r="I418" s="5" t="inlineStr">
        <is>
          <t>Determines ITC eligibility; flags unregistered supplier purchases for Reverse Charge (RCM)</t>
        </is>
      </c>
      <c r="J418" s="20" t="inlineStr">
        <is>
          <t>P1</t>
        </is>
      </c>
      <c r="K418" s="20" t="inlineStr">
        <is>
          <t>Validated (Supported)</t>
        </is>
      </c>
      <c r="L418" s="5" t="inlineStr">
        <is>
          <t>Supported via supplier GSTIN validation during purchase bill intake.</t>
        </is>
      </c>
      <c r="M418" s="8" t="inlineStr">
        <is>
          <t>Baseline</t>
        </is>
      </c>
      <c r="N418" s="8" t="inlineStr">
        <is>
          <t>Cross-persona</t>
        </is>
      </c>
      <c r="O418" s="8" t="inlineStr">
        <is>
          <t>P1</t>
        </is>
      </c>
      <c r="P418" s="5" t="inlineStr">
        <is>
          <t>Unchanged</t>
        </is>
      </c>
      <c r="Q418" s="20" t="inlineStr">
        <is>
          <t>Author assertion</t>
        </is>
      </c>
      <c r="R418" s="5" t="inlineStr"/>
      <c r="S418" s="8" t="inlineStr">
        <is>
          <t>MASTER</t>
        </is>
      </c>
      <c r="T418" s="5" t="inlineStr">
        <is>
          <t>Master data and authorization</t>
        </is>
      </c>
      <c r="U418" s="8" t="inlineStr"/>
      <c r="V418" s="8" t="inlineStr">
        <is>
          <t>masters</t>
        </is>
      </c>
      <c r="W418" s="8" t="inlineStr">
        <is>
          <t>KERNEL</t>
        </is>
      </c>
      <c r="X418" s="5" t="inlineStr">
        <is>
          <t>Core</t>
        </is>
      </c>
      <c r="Y418" s="5" t="inlineStr">
        <is>
          <t>Cross-persona</t>
        </is>
      </c>
      <c r="Z418" s="5" t="inlineStr">
        <is>
          <t>Medium</t>
        </is>
      </c>
      <c r="AA418" s="5" t="inlineStr">
        <is>
          <t>Medium</t>
        </is>
      </c>
      <c r="AB418" s="8" t="inlineStr">
        <is>
          <t>Low</t>
        </is>
      </c>
      <c r="AC418" s="8" t="inlineStr">
        <is>
          <t>Later</t>
        </is>
      </c>
      <c r="AD418" s="5" t="inlineStr">
        <is>
          <t>Not independently checked</t>
        </is>
      </c>
      <c r="AE418" s="5" t="inlineStr">
        <is>
          <t>Not verified</t>
        </is>
      </c>
      <c r="AF418" s="5" t="inlineStr">
        <is>
          <t>Not verified</t>
        </is>
      </c>
      <c r="AG418" s="5" t="inlineStr">
        <is>
          <t>Not verified</t>
        </is>
      </c>
      <c r="AH418" s="5" t="inlineStr">
        <is>
          <t>Not verified</t>
        </is>
      </c>
      <c r="AI418" s="8" t="inlineStr">
        <is>
          <t>No</t>
        </is>
      </c>
      <c r="AJ418" s="8" t="inlineStr">
        <is>
          <t>Claimed - unverified</t>
        </is>
      </c>
      <c r="AK418" s="8" t="inlineStr">
        <is>
          <t>P1</t>
        </is>
      </c>
      <c r="AL418" s="8" t="n">
        <v>6</v>
      </c>
      <c r="AM418" s="5" t="inlineStr"/>
      <c r="AN418" s="5" t="inlineStr"/>
      <c r="AO418" s="5" t="inlineStr"/>
      <c r="AP418" s="5" t="inlineStr"/>
      <c r="AQ418" s="5" t="inlineStr"/>
      <c r="AR418" s="5" t="inlineStr"/>
      <c r="AS418" s="5" t="inlineStr"/>
      <c r="AT418" s="5" t="inlineStr"/>
      <c r="AU418" s="8" t="inlineStr">
        <is>
          <t>Not run</t>
        </is>
      </c>
    </row>
    <row r="419" ht="32" customHeight="1">
      <c r="A419" s="16" t="inlineStr">
        <is>
          <t>X-0418</t>
        </is>
      </c>
      <c r="B419" s="8" t="inlineStr">
        <is>
          <t>X</t>
        </is>
      </c>
      <c r="C419" s="5" t="inlineStr">
        <is>
          <t>Multiple / Cross-persona</t>
        </is>
      </c>
      <c r="D419" s="5" t="inlineStr">
        <is>
          <t>Master Data &amp; Authorization</t>
        </is>
      </c>
      <c r="E419" s="5" t="inlineStr">
        <is>
          <t>Price list → salesperson sees appropriate price</t>
        </is>
      </c>
      <c r="F419" s="5" t="inlineStr">
        <is>
          <t>Pricing Engine</t>
        </is>
      </c>
      <c r="G419" s="5" t="inlineStr">
        <is>
          <t>Salesperson / Counter Clerk</t>
        </is>
      </c>
      <c r="H419" s="5" t="inlineStr">
        <is>
          <t>Assigned price list (Retail, Wholesale, Distributor) dictates unit price on order line</t>
        </is>
      </c>
      <c r="I419" s="5" t="inlineStr">
        <is>
          <t>Applies customer's assigned PriceList; automatically sets approved tiered unit rate</t>
        </is>
      </c>
      <c r="J419" s="20" t="inlineStr">
        <is>
          <t>P1</t>
        </is>
      </c>
      <c r="K419" s="20" t="inlineStr">
        <is>
          <t>Validated (Supported)</t>
        </is>
      </c>
      <c r="L419" s="5" t="inlineStr">
        <is>
          <t>Supported via PriceList engine (/settings/price-lists/).</t>
        </is>
      </c>
      <c r="M419" s="8" t="inlineStr">
        <is>
          <t>Baseline</t>
        </is>
      </c>
      <c r="N419" s="8" t="inlineStr">
        <is>
          <t>Cross-persona</t>
        </is>
      </c>
      <c r="O419" s="8" t="inlineStr">
        <is>
          <t>P1</t>
        </is>
      </c>
      <c r="P419" s="5" t="inlineStr">
        <is>
          <t>Unchanged</t>
        </is>
      </c>
      <c r="Q419" s="21" t="inlineStr">
        <is>
          <t>Code symbol found</t>
        </is>
      </c>
      <c r="R419" s="5" t="inlineStr">
        <is>
          <t>Matched PriceList in product code. This is not a functional test.</t>
        </is>
      </c>
      <c r="S419" s="8" t="inlineStr">
        <is>
          <t>MASTER</t>
        </is>
      </c>
      <c r="T419" s="5" t="inlineStr">
        <is>
          <t>Master data and authorization</t>
        </is>
      </c>
      <c r="U419" s="8" t="inlineStr"/>
      <c r="V419" s="8" t="inlineStr">
        <is>
          <t>masters</t>
        </is>
      </c>
      <c r="W419" s="8" t="inlineStr">
        <is>
          <t>KERNEL</t>
        </is>
      </c>
      <c r="X419" s="5" t="inlineStr">
        <is>
          <t>Core</t>
        </is>
      </c>
      <c r="Y419" s="5" t="inlineStr">
        <is>
          <t>Cross-persona</t>
        </is>
      </c>
      <c r="Z419" s="5" t="inlineStr">
        <is>
          <t>Medium</t>
        </is>
      </c>
      <c r="AA419" s="5" t="inlineStr">
        <is>
          <t>Medium</t>
        </is>
      </c>
      <c r="AB419" s="8" t="inlineStr">
        <is>
          <t>Low</t>
        </is>
      </c>
      <c r="AC419" s="8" t="inlineStr">
        <is>
          <t>Later</t>
        </is>
      </c>
      <c r="AD419" s="5" t="inlineStr">
        <is>
          <t>Cited in code</t>
        </is>
      </c>
      <c r="AE419" s="5" t="inlineStr">
        <is>
          <t>Not verified</t>
        </is>
      </c>
      <c r="AF419" s="5" t="inlineStr">
        <is>
          <t>Not verified</t>
        </is>
      </c>
      <c r="AG419" s="5" t="inlineStr">
        <is>
          <t>Not verified</t>
        </is>
      </c>
      <c r="AH419" s="5" t="inlineStr">
        <is>
          <t>Not verified</t>
        </is>
      </c>
      <c r="AI419" s="8" t="inlineStr">
        <is>
          <t>No</t>
        </is>
      </c>
      <c r="AJ419" s="8" t="inlineStr">
        <is>
          <t>Built - unverified</t>
        </is>
      </c>
      <c r="AK419" s="8" t="inlineStr">
        <is>
          <t>P1</t>
        </is>
      </c>
      <c r="AL419" s="8" t="n">
        <v>6</v>
      </c>
      <c r="AM419" s="5" t="inlineStr"/>
      <c r="AN419" s="5" t="inlineStr"/>
      <c r="AO419" s="5" t="inlineStr"/>
      <c r="AP419" s="5" t="inlineStr"/>
      <c r="AQ419" s="5" t="inlineStr"/>
      <c r="AR419" s="5" t="inlineStr"/>
      <c r="AS419" s="5" t="inlineStr"/>
      <c r="AT419" s="5" t="inlineStr"/>
      <c r="AU419" s="8" t="inlineStr">
        <is>
          <t>Not run</t>
        </is>
      </c>
    </row>
    <row r="420" ht="32" customHeight="1">
      <c r="A420" s="16" t="inlineStr">
        <is>
          <t>X-0419</t>
        </is>
      </c>
      <c r="B420" s="8" t="inlineStr">
        <is>
          <t>X</t>
        </is>
      </c>
      <c r="C420" s="5" t="inlineStr">
        <is>
          <t>Multiple / Cross-persona</t>
        </is>
      </c>
      <c r="D420" s="5" t="inlineStr">
        <is>
          <t>Master Data &amp; Authorization</t>
        </is>
      </c>
      <c r="E420" s="5" t="inlineStr">
        <is>
          <t>Customer-specific pricing → correct price appears</t>
        </is>
      </c>
      <c r="F420" s="5" t="inlineStr">
        <is>
          <t>Pricing Engine</t>
        </is>
      </c>
      <c r="G420" s="5" t="inlineStr">
        <is>
          <t>Salesperson</t>
        </is>
      </c>
      <c r="H420" s="5" t="inlineStr">
        <is>
          <t>Special contracted rates for specific key customer automatically override standard list price</t>
        </is>
      </c>
      <c r="I420" s="5" t="inlineStr">
        <is>
          <t>Checks CustomerProductPrice contract table; applies negotiated rate if present</t>
        </is>
      </c>
      <c r="J420" s="20" t="inlineStr">
        <is>
          <t>P1</t>
        </is>
      </c>
      <c r="K420" s="20" t="inlineStr">
        <is>
          <t>Validated (Supported)</t>
        </is>
      </c>
      <c r="L420" s="5" t="inlineStr">
        <is>
          <t>Supported via customer-specific contracted price overrides.</t>
        </is>
      </c>
      <c r="M420" s="8" t="inlineStr">
        <is>
          <t>Baseline</t>
        </is>
      </c>
      <c r="N420" s="8" t="inlineStr">
        <is>
          <t>Cross-persona</t>
        </is>
      </c>
      <c r="O420" s="8" t="inlineStr">
        <is>
          <t>P1</t>
        </is>
      </c>
      <c r="P420" s="5" t="inlineStr">
        <is>
          <t>Unchanged</t>
        </is>
      </c>
      <c r="Q420" s="20" t="inlineStr">
        <is>
          <t>Author assertion</t>
        </is>
      </c>
      <c r="R420" s="5" t="inlineStr"/>
      <c r="S420" s="8" t="inlineStr">
        <is>
          <t>MASTER</t>
        </is>
      </c>
      <c r="T420" s="5" t="inlineStr">
        <is>
          <t>Master data and authorization</t>
        </is>
      </c>
      <c r="U420" s="8" t="inlineStr"/>
      <c r="V420" s="8" t="inlineStr">
        <is>
          <t>masters</t>
        </is>
      </c>
      <c r="W420" s="8" t="inlineStr">
        <is>
          <t>KERNEL</t>
        </is>
      </c>
      <c r="X420" s="5" t="inlineStr">
        <is>
          <t>Core</t>
        </is>
      </c>
      <c r="Y420" s="5" t="inlineStr">
        <is>
          <t>Cross-persona</t>
        </is>
      </c>
      <c r="Z420" s="5" t="inlineStr">
        <is>
          <t>Medium</t>
        </is>
      </c>
      <c r="AA420" s="5" t="inlineStr">
        <is>
          <t>Medium</t>
        </is>
      </c>
      <c r="AB420" s="8" t="inlineStr">
        <is>
          <t>Low</t>
        </is>
      </c>
      <c r="AC420" s="8" t="inlineStr">
        <is>
          <t>Later</t>
        </is>
      </c>
      <c r="AD420" s="5" t="inlineStr">
        <is>
          <t>Not independently checked</t>
        </is>
      </c>
      <c r="AE420" s="5" t="inlineStr">
        <is>
          <t>Not verified</t>
        </is>
      </c>
      <c r="AF420" s="5" t="inlineStr">
        <is>
          <t>Not verified</t>
        </is>
      </c>
      <c r="AG420" s="5" t="inlineStr">
        <is>
          <t>Not verified</t>
        </is>
      </c>
      <c r="AH420" s="5" t="inlineStr">
        <is>
          <t>Not verified</t>
        </is>
      </c>
      <c r="AI420" s="8" t="inlineStr">
        <is>
          <t>No</t>
        </is>
      </c>
      <c r="AJ420" s="8" t="inlineStr">
        <is>
          <t>Claimed - unverified</t>
        </is>
      </c>
      <c r="AK420" s="8" t="inlineStr">
        <is>
          <t>P1</t>
        </is>
      </c>
      <c r="AL420" s="8" t="n">
        <v>6</v>
      </c>
      <c r="AM420" s="5" t="inlineStr"/>
      <c r="AN420" s="5" t="inlineStr"/>
      <c r="AO420" s="5" t="inlineStr"/>
      <c r="AP420" s="5" t="inlineStr"/>
      <c r="AQ420" s="5" t="inlineStr"/>
      <c r="AR420" s="5" t="inlineStr"/>
      <c r="AS420" s="5" t="inlineStr"/>
      <c r="AT420" s="5" t="inlineStr"/>
      <c r="AU420" s="8" t="inlineStr">
        <is>
          <t>Not run</t>
        </is>
      </c>
    </row>
    <row r="421" ht="32" customHeight="1">
      <c r="A421" s="16" t="inlineStr">
        <is>
          <t>X-0420</t>
        </is>
      </c>
      <c r="B421" s="8" t="inlineStr">
        <is>
          <t>X</t>
        </is>
      </c>
      <c r="C421" s="5" t="inlineStr">
        <is>
          <t>Multiple / Cross-persona</t>
        </is>
      </c>
      <c r="D421" s="5" t="inlineStr">
        <is>
          <t>Master Data &amp; Authorization</t>
        </is>
      </c>
      <c r="E421" s="5" t="inlineStr">
        <is>
          <t>User role → permitted actions are enforced</t>
        </is>
      </c>
      <c r="F421" s="5" t="inlineStr">
        <is>
          <t>Security / Access Control</t>
        </is>
      </c>
      <c r="G421" s="5" t="inlineStr">
        <is>
          <t>All Users</t>
        </is>
      </c>
      <c r="H421" s="5" t="inlineStr">
        <is>
          <t>User role (Owner, Manager, Billing Clerk, Godown Staff, Accountant) strictly governs system access</t>
        </is>
      </c>
      <c r="I421" s="5" t="inlineStr">
        <is>
          <t>Enforces permission checks across UI buttons, navigation links, and REST API endpoints</t>
        </is>
      </c>
      <c r="J421" s="20" t="inlineStr">
        <is>
          <t>P1</t>
        </is>
      </c>
      <c r="K421" s="20" t="inlineStr">
        <is>
          <t>Validated (Supported)</t>
        </is>
      </c>
      <c r="L421" s="5" t="inlineStr">
        <is>
          <t>Core security invariant: RBAC enforced at Django view and DRF permission class levels.</t>
        </is>
      </c>
      <c r="M421" s="8" t="inlineStr">
        <is>
          <t>Baseline</t>
        </is>
      </c>
      <c r="N421" s="8" t="inlineStr">
        <is>
          <t>Cross-persona</t>
        </is>
      </c>
      <c r="O421" s="8" t="inlineStr">
        <is>
          <t>P1</t>
        </is>
      </c>
      <c r="P421" s="5" t="inlineStr">
        <is>
          <t>Unchanged</t>
        </is>
      </c>
      <c r="Q421" s="20" t="inlineStr">
        <is>
          <t>Author assertion</t>
        </is>
      </c>
      <c r="R421" s="5" t="inlineStr"/>
      <c r="S421" s="8" t="inlineStr">
        <is>
          <t>MASTER</t>
        </is>
      </c>
      <c r="T421" s="5" t="inlineStr">
        <is>
          <t>Master data and authorization</t>
        </is>
      </c>
      <c r="U421" s="8" t="inlineStr"/>
      <c r="V421" s="8" t="inlineStr">
        <is>
          <t>masters</t>
        </is>
      </c>
      <c r="W421" s="8" t="inlineStr">
        <is>
          <t>KERNEL</t>
        </is>
      </c>
      <c r="X421" s="5" t="inlineStr">
        <is>
          <t>Core</t>
        </is>
      </c>
      <c r="Y421" s="5" t="inlineStr">
        <is>
          <t>Cross-persona</t>
        </is>
      </c>
      <c r="Z421" s="5" t="inlineStr">
        <is>
          <t>Medium</t>
        </is>
      </c>
      <c r="AA421" s="5" t="inlineStr">
        <is>
          <t>Medium</t>
        </is>
      </c>
      <c r="AB421" s="8" t="inlineStr">
        <is>
          <t>Low</t>
        </is>
      </c>
      <c r="AC421" s="8" t="inlineStr">
        <is>
          <t>Later</t>
        </is>
      </c>
      <c r="AD421" s="5" t="inlineStr">
        <is>
          <t>Not independently checked</t>
        </is>
      </c>
      <c r="AE421" s="5" t="inlineStr">
        <is>
          <t>Not verified</t>
        </is>
      </c>
      <c r="AF421" s="5" t="inlineStr">
        <is>
          <t>Not verified</t>
        </is>
      </c>
      <c r="AG421" s="5" t="inlineStr">
        <is>
          <t>Not verified</t>
        </is>
      </c>
      <c r="AH421" s="5" t="inlineStr">
        <is>
          <t>Not verified</t>
        </is>
      </c>
      <c r="AI421" s="8" t="inlineStr">
        <is>
          <t>No</t>
        </is>
      </c>
      <c r="AJ421" s="8" t="inlineStr">
        <is>
          <t>Claimed - unverified</t>
        </is>
      </c>
      <c r="AK421" s="8" t="inlineStr">
        <is>
          <t>P1</t>
        </is>
      </c>
      <c r="AL421" s="8" t="n">
        <v>6</v>
      </c>
      <c r="AM421" s="5" t="inlineStr"/>
      <c r="AN421" s="5" t="inlineStr"/>
      <c r="AO421" s="5" t="inlineStr"/>
      <c r="AP421" s="5" t="inlineStr"/>
      <c r="AQ421" s="5" t="inlineStr"/>
      <c r="AR421" s="5" t="inlineStr"/>
      <c r="AS421" s="5" t="inlineStr"/>
      <c r="AT421" s="5" t="inlineStr"/>
      <c r="AU421" s="8" t="inlineStr">
        <is>
          <t>Not run</t>
        </is>
      </c>
    </row>
    <row r="422" ht="32" customHeight="1">
      <c r="A422" s="16" t="inlineStr">
        <is>
          <t>X-0421</t>
        </is>
      </c>
      <c r="B422" s="8" t="inlineStr">
        <is>
          <t>X</t>
        </is>
      </c>
      <c r="C422" s="5" t="inlineStr">
        <is>
          <t>Multiple / Cross-persona</t>
        </is>
      </c>
      <c r="D422" s="5" t="inlineStr">
        <is>
          <t>Master Data &amp; Authorization</t>
        </is>
      </c>
      <c r="E422" s="5" t="inlineStr">
        <is>
          <t>Location assignment → user sees authorized location data</t>
        </is>
      </c>
      <c r="F422" s="5" t="inlineStr">
        <is>
          <t>Security / Access Control</t>
        </is>
      </c>
      <c r="G422" s="5" t="inlineStr">
        <is>
          <t>Branch Staff</t>
        </is>
      </c>
      <c r="H422" s="5" t="inlineStr">
        <is>
          <t>Store employees restricted to viewing inventory, sales, and registers of assigned store</t>
        </is>
      </c>
      <c r="I422" s="5" t="inlineStr">
        <is>
          <t>Applies warehouse filter in database queries based on user's authorized warehouse list</t>
        </is>
      </c>
      <c r="J422" s="20" t="inlineStr">
        <is>
          <t>P1</t>
        </is>
      </c>
      <c r="K422" s="20" t="inlineStr">
        <is>
          <t>Validated (Supported)</t>
        </is>
      </c>
      <c r="L422" s="5" t="inlineStr">
        <is>
          <t>Core security invariant: multi-location data isolation enforced via company user scope.</t>
        </is>
      </c>
      <c r="M422" s="8" t="inlineStr">
        <is>
          <t>Baseline</t>
        </is>
      </c>
      <c r="N422" s="8" t="inlineStr">
        <is>
          <t>Cross-persona</t>
        </is>
      </c>
      <c r="O422" s="8" t="inlineStr">
        <is>
          <t>P1</t>
        </is>
      </c>
      <c r="P422" s="5" t="inlineStr">
        <is>
          <t>Unchanged</t>
        </is>
      </c>
      <c r="Q422" s="20" t="inlineStr">
        <is>
          <t>Author assertion</t>
        </is>
      </c>
      <c r="R422" s="5" t="inlineStr"/>
      <c r="S422" s="8" t="inlineStr">
        <is>
          <t>MASTER</t>
        </is>
      </c>
      <c r="T422" s="5" t="inlineStr">
        <is>
          <t>Master data and authorization</t>
        </is>
      </c>
      <c r="U422" s="8" t="inlineStr"/>
      <c r="V422" s="8" t="inlineStr">
        <is>
          <t>masters</t>
        </is>
      </c>
      <c r="W422" s="8" t="inlineStr">
        <is>
          <t>KERNEL</t>
        </is>
      </c>
      <c r="X422" s="5" t="inlineStr">
        <is>
          <t>Core</t>
        </is>
      </c>
      <c r="Y422" s="5" t="inlineStr">
        <is>
          <t>Cross-persona</t>
        </is>
      </c>
      <c r="Z422" s="5" t="inlineStr">
        <is>
          <t>Medium</t>
        </is>
      </c>
      <c r="AA422" s="5" t="inlineStr">
        <is>
          <t>Medium</t>
        </is>
      </c>
      <c r="AB422" s="8" t="inlineStr">
        <is>
          <t>Low</t>
        </is>
      </c>
      <c r="AC422" s="8" t="inlineStr">
        <is>
          <t>Later</t>
        </is>
      </c>
      <c r="AD422" s="5" t="inlineStr">
        <is>
          <t>Not independently checked</t>
        </is>
      </c>
      <c r="AE422" s="5" t="inlineStr">
        <is>
          <t>Not verified</t>
        </is>
      </c>
      <c r="AF422" s="5" t="inlineStr">
        <is>
          <t>Not verified</t>
        </is>
      </c>
      <c r="AG422" s="5" t="inlineStr">
        <is>
          <t>Not verified</t>
        </is>
      </c>
      <c r="AH422" s="5" t="inlineStr">
        <is>
          <t>Not verified</t>
        </is>
      </c>
      <c r="AI422" s="8" t="inlineStr">
        <is>
          <t>No</t>
        </is>
      </c>
      <c r="AJ422" s="8" t="inlineStr">
        <is>
          <t>Claimed - unverified</t>
        </is>
      </c>
      <c r="AK422" s="8" t="inlineStr">
        <is>
          <t>P1</t>
        </is>
      </c>
      <c r="AL422" s="8" t="n">
        <v>6</v>
      </c>
      <c r="AM422" s="5" t="inlineStr"/>
      <c r="AN422" s="5" t="inlineStr"/>
      <c r="AO422" s="5" t="inlineStr"/>
      <c r="AP422" s="5" t="inlineStr"/>
      <c r="AQ422" s="5" t="inlineStr"/>
      <c r="AR422" s="5" t="inlineStr"/>
      <c r="AS422" s="5" t="inlineStr"/>
      <c r="AT422" s="5" t="inlineStr"/>
      <c r="AU422" s="8" t="inlineStr">
        <is>
          <t>Not run</t>
        </is>
      </c>
    </row>
    <row r="423" ht="32" customHeight="1">
      <c r="A423" s="16" t="inlineStr">
        <is>
          <t>X-0422</t>
        </is>
      </c>
      <c r="B423" s="8" t="inlineStr">
        <is>
          <t>X</t>
        </is>
      </c>
      <c r="C423" s="5" t="inlineStr">
        <is>
          <t>Multiple / Cross-persona</t>
        </is>
      </c>
      <c r="D423" s="5" t="inlineStr">
        <is>
          <t>Security / Exception / Recovery</t>
        </is>
      </c>
      <c r="E423" s="5" t="inlineStr">
        <is>
          <t>Salesperson creates invoice → cannot modify restricted accounting fields</t>
        </is>
      </c>
      <c r="F423" s="5" t="inlineStr">
        <is>
          <t>Security / Access Control</t>
        </is>
      </c>
      <c r="G423" s="5" t="inlineStr">
        <is>
          <t>Billing Clerk</t>
        </is>
      </c>
      <c r="H423" s="5" t="inlineStr">
        <is>
          <t>Billing clerks prevented from altering ledger accounts, cost centers, or tax overrides</t>
        </is>
      </c>
      <c r="I423" s="5" t="inlineStr">
        <is>
          <t>Disables restricted accounting fields on billing UI; rejects tampered API requests</t>
        </is>
      </c>
      <c r="J423" s="20" t="inlineStr">
        <is>
          <t>P1</t>
        </is>
      </c>
      <c r="K423" s="20" t="inlineStr">
        <is>
          <t>Validated (Supported)</t>
        </is>
      </c>
      <c r="L423" s="5" t="inlineStr">
        <is>
          <t>Core security invariant: field-level permission checks block unauthorized field mutation.</t>
        </is>
      </c>
      <c r="M423" s="8" t="inlineStr">
        <is>
          <t>Baseline</t>
        </is>
      </c>
      <c r="N423" s="8" t="inlineStr">
        <is>
          <t>Cross-persona</t>
        </is>
      </c>
      <c r="O423" s="8" t="inlineStr">
        <is>
          <t>P1</t>
        </is>
      </c>
      <c r="P423" s="5" t="inlineStr">
        <is>
          <t>Unchanged</t>
        </is>
      </c>
      <c r="Q423" s="20" t="inlineStr">
        <is>
          <t>Author assertion</t>
        </is>
      </c>
      <c r="R423" s="5" t="inlineStr"/>
      <c r="S423" s="8" t="inlineStr">
        <is>
          <t>OTHER</t>
        </is>
      </c>
      <c r="T423" s="5" t="inlineStr">
        <is>
          <t>Security / Exception / Recovery</t>
        </is>
      </c>
      <c r="U423" s="8" t="inlineStr"/>
      <c r="V423" s="8" t="inlineStr"/>
      <c r="W423" s="8" t="inlineStr">
        <is>
          <t>CONTROL</t>
        </is>
      </c>
      <c r="X423" s="5" t="inlineStr">
        <is>
          <t>Core</t>
        </is>
      </c>
      <c r="Y423" s="5" t="inlineStr">
        <is>
          <t>Cross-persona</t>
        </is>
      </c>
      <c r="Z423" s="5" t="inlineStr">
        <is>
          <t>High</t>
        </is>
      </c>
      <c r="AA423" s="5" t="inlineStr">
        <is>
          <t>Medium</t>
        </is>
      </c>
      <c r="AB423" s="8" t="inlineStr">
        <is>
          <t>Medium</t>
        </is>
      </c>
      <c r="AC423" s="8" t="inlineStr">
        <is>
          <t>Pilot</t>
        </is>
      </c>
      <c r="AD423" s="5" t="inlineStr">
        <is>
          <t>Not independently checked</t>
        </is>
      </c>
      <c r="AE423" s="5" t="inlineStr">
        <is>
          <t>Not verified</t>
        </is>
      </c>
      <c r="AF423" s="5" t="inlineStr">
        <is>
          <t>Not verified</t>
        </is>
      </c>
      <c r="AG423" s="5" t="inlineStr">
        <is>
          <t>Not verified</t>
        </is>
      </c>
      <c r="AH423" s="5" t="inlineStr">
        <is>
          <t>Not verified</t>
        </is>
      </c>
      <c r="AI423" s="8" t="inlineStr">
        <is>
          <t>No</t>
        </is>
      </c>
      <c r="AJ423" s="8" t="inlineStr">
        <is>
          <t>Claimed - unverified</t>
        </is>
      </c>
      <c r="AK423" s="8" t="inlineStr">
        <is>
          <t>P1</t>
        </is>
      </c>
      <c r="AL423" s="8" t="n">
        <v>12</v>
      </c>
      <c r="AM423" s="5" t="inlineStr"/>
      <c r="AN423" s="5" t="inlineStr"/>
      <c r="AO423" s="5" t="inlineStr"/>
      <c r="AP423" s="5" t="inlineStr"/>
      <c r="AQ423" s="5" t="inlineStr"/>
      <c r="AR423" s="5" t="inlineStr"/>
      <c r="AS423" s="5" t="inlineStr"/>
      <c r="AT423" s="5" t="inlineStr"/>
      <c r="AU423" s="8" t="inlineStr">
        <is>
          <t>Not run</t>
        </is>
      </c>
    </row>
    <row r="424" ht="32" customHeight="1">
      <c r="A424" s="16" t="inlineStr">
        <is>
          <t>X-0423</t>
        </is>
      </c>
      <c r="B424" s="8" t="inlineStr">
        <is>
          <t>X</t>
        </is>
      </c>
      <c r="C424" s="5" t="inlineStr">
        <is>
          <t>Multiple / Cross-persona</t>
        </is>
      </c>
      <c r="D424" s="5" t="inlineStr">
        <is>
          <t>Security / Exception / Recovery</t>
        </is>
      </c>
      <c r="E424" s="5" t="inlineStr">
        <is>
          <t>Inventory user adjusts stock → authorization is enforced</t>
        </is>
      </c>
      <c r="F424" s="5" t="inlineStr">
        <is>
          <t>Security / Access Control</t>
        </is>
      </c>
      <c r="G424" s="5" t="inlineStr">
        <is>
          <t>Inventory Staff</t>
        </is>
      </c>
      <c r="H424" s="5" t="inlineStr">
        <is>
          <t>Warehouse staff cannot execute inventory write-offs without manager approval</t>
        </is>
      </c>
      <c r="I424" s="5" t="inlineStr">
        <is>
          <t>Requires manager sign-off token before executing manual stock adjustment</t>
        </is>
      </c>
      <c r="J424" s="20" t="inlineStr">
        <is>
          <t>P1</t>
        </is>
      </c>
      <c r="K424" s="20" t="inlineStr">
        <is>
          <t>Validated (Supported)</t>
        </is>
      </c>
      <c r="L424" s="5" t="inlineStr">
        <is>
          <t>Supported via dual-authorization requirement for StockAdjustment.</t>
        </is>
      </c>
      <c r="M424" s="8" t="inlineStr">
        <is>
          <t>Baseline</t>
        </is>
      </c>
      <c r="N424" s="8" t="inlineStr">
        <is>
          <t>Cross-persona</t>
        </is>
      </c>
      <c r="O424" s="8" t="inlineStr">
        <is>
          <t>P1</t>
        </is>
      </c>
      <c r="P424" s="5" t="inlineStr">
        <is>
          <t>Unchanged</t>
        </is>
      </c>
      <c r="Q424" s="21" t="inlineStr">
        <is>
          <t>Code symbol found</t>
        </is>
      </c>
      <c r="R424" s="5" t="inlineStr">
        <is>
          <t>Matched StockAdjustment in product code. This is not a functional test.</t>
        </is>
      </c>
      <c r="S424" s="8" t="inlineStr">
        <is>
          <t>OTHER</t>
        </is>
      </c>
      <c r="T424" s="5" t="inlineStr">
        <is>
          <t>Security / Exception / Recovery</t>
        </is>
      </c>
      <c r="U424" s="8" t="inlineStr"/>
      <c r="V424" s="8" t="inlineStr"/>
      <c r="W424" s="8" t="inlineStr">
        <is>
          <t>CONTROL</t>
        </is>
      </c>
      <c r="X424" s="5" t="inlineStr">
        <is>
          <t>Core</t>
        </is>
      </c>
      <c r="Y424" s="5" t="inlineStr">
        <is>
          <t>Cross-persona</t>
        </is>
      </c>
      <c r="Z424" s="5" t="inlineStr">
        <is>
          <t>High</t>
        </is>
      </c>
      <c r="AA424" s="5" t="inlineStr">
        <is>
          <t>Medium</t>
        </is>
      </c>
      <c r="AB424" s="8" t="inlineStr">
        <is>
          <t>Medium</t>
        </is>
      </c>
      <c r="AC424" s="8" t="inlineStr">
        <is>
          <t>Pilot</t>
        </is>
      </c>
      <c r="AD424" s="5" t="inlineStr">
        <is>
          <t>Cited in code</t>
        </is>
      </c>
      <c r="AE424" s="5" t="inlineStr">
        <is>
          <t>Not verified</t>
        </is>
      </c>
      <c r="AF424" s="5" t="inlineStr">
        <is>
          <t>Not verified</t>
        </is>
      </c>
      <c r="AG424" s="5" t="inlineStr">
        <is>
          <t>Not verified</t>
        </is>
      </c>
      <c r="AH424" s="5" t="inlineStr">
        <is>
          <t>Not verified</t>
        </is>
      </c>
      <c r="AI424" s="8" t="inlineStr">
        <is>
          <t>No</t>
        </is>
      </c>
      <c r="AJ424" s="8" t="inlineStr">
        <is>
          <t>Built - unverified</t>
        </is>
      </c>
      <c r="AK424" s="8" t="inlineStr">
        <is>
          <t>P1</t>
        </is>
      </c>
      <c r="AL424" s="8" t="n">
        <v>12</v>
      </c>
      <c r="AM424" s="5" t="inlineStr"/>
      <c r="AN424" s="5" t="inlineStr"/>
      <c r="AO424" s="5" t="inlineStr"/>
      <c r="AP424" s="5" t="inlineStr"/>
      <c r="AQ424" s="5" t="inlineStr"/>
      <c r="AR424" s="5" t="inlineStr"/>
      <c r="AS424" s="5" t="inlineStr"/>
      <c r="AT424" s="5" t="inlineStr"/>
      <c r="AU424" s="8" t="inlineStr">
        <is>
          <t>Not run</t>
        </is>
      </c>
    </row>
    <row r="425" ht="32" customHeight="1">
      <c r="A425" s="16" t="inlineStr">
        <is>
          <t>X-0424</t>
        </is>
      </c>
      <c r="B425" s="8" t="inlineStr">
        <is>
          <t>X</t>
        </is>
      </c>
      <c r="C425" s="5" t="inlineStr">
        <is>
          <t>Multiple / Cross-persona</t>
        </is>
      </c>
      <c r="D425" s="5" t="inlineStr">
        <is>
          <t>Security / Exception / Recovery</t>
        </is>
      </c>
      <c r="E425" s="5" t="inlineStr">
        <is>
          <t>Accountant modifies GST data → audit trail is created</t>
        </is>
      </c>
      <c r="F425" s="5" t="inlineStr">
        <is>
          <t>Security / Access Control</t>
        </is>
      </c>
      <c r="G425" s="5" t="inlineStr">
        <is>
          <t>In-house Accountant / Auditor</t>
        </is>
      </c>
      <c r="H425" s="5" t="inlineStr">
        <is>
          <t>Any manual override of tax data automatically logs user ID, old value, new value, and reason</t>
        </is>
      </c>
      <c r="I425" s="5" t="inlineStr">
        <is>
          <t>Creates immutable audit log row; satisfies statutory MCA audit trail requirements</t>
        </is>
      </c>
      <c r="J425" s="20" t="inlineStr">
        <is>
          <t>P1</t>
        </is>
      </c>
      <c r="K425" s="20" t="inlineStr">
        <is>
          <t>Validated (Supported)</t>
        </is>
      </c>
      <c r="L425" s="5" t="inlineStr">
        <is>
          <t>Core compliance invariant: all tax data adjustments logged permanently in ActivityLog.</t>
        </is>
      </c>
      <c r="M425" s="8" t="inlineStr">
        <is>
          <t>Baseline</t>
        </is>
      </c>
      <c r="N425" s="8" t="inlineStr">
        <is>
          <t>Cross-persona</t>
        </is>
      </c>
      <c r="O425" s="8" t="inlineStr">
        <is>
          <t>P1</t>
        </is>
      </c>
      <c r="P425" s="5" t="inlineStr">
        <is>
          <t>Unchanged</t>
        </is>
      </c>
      <c r="Q425" s="20" t="inlineStr">
        <is>
          <t>Author assertion</t>
        </is>
      </c>
      <c r="R425" s="5" t="inlineStr"/>
      <c r="S425" s="8" t="inlineStr">
        <is>
          <t>OTHER</t>
        </is>
      </c>
      <c r="T425" s="5" t="inlineStr">
        <is>
          <t>Security / Exception / Recovery</t>
        </is>
      </c>
      <c r="U425" s="8" t="inlineStr"/>
      <c r="V425" s="8" t="inlineStr"/>
      <c r="W425" s="8" t="inlineStr">
        <is>
          <t>CONTROL</t>
        </is>
      </c>
      <c r="X425" s="5" t="inlineStr">
        <is>
          <t>Core</t>
        </is>
      </c>
      <c r="Y425" s="5" t="inlineStr">
        <is>
          <t>Cross-persona</t>
        </is>
      </c>
      <c r="Z425" s="5" t="inlineStr">
        <is>
          <t>High</t>
        </is>
      </c>
      <c r="AA425" s="5" t="inlineStr">
        <is>
          <t>Medium</t>
        </is>
      </c>
      <c r="AB425" s="8" t="inlineStr">
        <is>
          <t>Medium</t>
        </is>
      </c>
      <c r="AC425" s="8" t="inlineStr">
        <is>
          <t>Pilot</t>
        </is>
      </c>
      <c r="AD425" s="5" t="inlineStr">
        <is>
          <t>Not independently checked</t>
        </is>
      </c>
      <c r="AE425" s="5" t="inlineStr">
        <is>
          <t>Not verified</t>
        </is>
      </c>
      <c r="AF425" s="5" t="inlineStr">
        <is>
          <t>Not verified</t>
        </is>
      </c>
      <c r="AG425" s="5" t="inlineStr">
        <is>
          <t>Not verified</t>
        </is>
      </c>
      <c r="AH425" s="5" t="inlineStr">
        <is>
          <t>Not verified</t>
        </is>
      </c>
      <c r="AI425" s="8" t="inlineStr">
        <is>
          <t>No</t>
        </is>
      </c>
      <c r="AJ425" s="8" t="inlineStr">
        <is>
          <t>Claimed - unverified</t>
        </is>
      </c>
      <c r="AK425" s="8" t="inlineStr">
        <is>
          <t>P1</t>
        </is>
      </c>
      <c r="AL425" s="8" t="n">
        <v>12</v>
      </c>
      <c r="AM425" s="5" t="inlineStr"/>
      <c r="AN425" s="5" t="inlineStr"/>
      <c r="AO425" s="5" t="inlineStr"/>
      <c r="AP425" s="5" t="inlineStr"/>
      <c r="AQ425" s="5" t="inlineStr"/>
      <c r="AR425" s="5" t="inlineStr"/>
      <c r="AS425" s="5" t="inlineStr"/>
      <c r="AT425" s="5" t="inlineStr"/>
      <c r="AU425" s="8" t="inlineStr">
        <is>
          <t>Not run</t>
        </is>
      </c>
    </row>
    <row r="426" ht="32" customHeight="1">
      <c r="A426" s="16" t="inlineStr">
        <is>
          <t>X-0425</t>
        </is>
      </c>
      <c r="B426" s="8" t="inlineStr">
        <is>
          <t>X</t>
        </is>
      </c>
      <c r="C426" s="5" t="inlineStr">
        <is>
          <t>Multiple / Cross-persona</t>
        </is>
      </c>
      <c r="D426" s="5" t="inlineStr">
        <is>
          <t>Security / Exception / Recovery</t>
        </is>
      </c>
      <c r="E426" s="5" t="inlineStr">
        <is>
          <t>Manager approves adjustment → approval identity is recorded</t>
        </is>
      </c>
      <c r="F426" s="5" t="inlineStr">
        <is>
          <t>Security / Access Control</t>
        </is>
      </c>
      <c r="G426" s="5" t="inlineStr">
        <is>
          <t>Manager / Auditor</t>
        </is>
      </c>
      <c r="H426" s="5" t="inlineStr">
        <is>
          <t>Digital identity of approving manager permanently stamped onto approved adjustment voucher</t>
        </is>
      </c>
      <c r="I426" s="5" t="inlineStr">
        <is>
          <t>Records approved_by_user_id and approval_timestamp on the adjustment document</t>
        </is>
      </c>
      <c r="J426" s="20" t="inlineStr">
        <is>
          <t>P1</t>
        </is>
      </c>
      <c r="K426" s="20" t="inlineStr">
        <is>
          <t>Validated (Supported)</t>
        </is>
      </c>
      <c r="L426" s="5" t="inlineStr">
        <is>
          <t>Supported via approval signature stamping on all approved exception documents.</t>
        </is>
      </c>
      <c r="M426" s="8" t="inlineStr">
        <is>
          <t>Baseline</t>
        </is>
      </c>
      <c r="N426" s="8" t="inlineStr">
        <is>
          <t>Cross-persona</t>
        </is>
      </c>
      <c r="O426" s="8" t="inlineStr">
        <is>
          <t>P1</t>
        </is>
      </c>
      <c r="P426" s="5" t="inlineStr">
        <is>
          <t>Unchanged</t>
        </is>
      </c>
      <c r="Q426" s="20" t="inlineStr">
        <is>
          <t>Author assertion</t>
        </is>
      </c>
      <c r="R426" s="5" t="inlineStr"/>
      <c r="S426" s="8" t="inlineStr">
        <is>
          <t>OTHER</t>
        </is>
      </c>
      <c r="T426" s="5" t="inlineStr">
        <is>
          <t>Security / Exception / Recovery</t>
        </is>
      </c>
      <c r="U426" s="8" t="inlineStr"/>
      <c r="V426" s="8" t="inlineStr"/>
      <c r="W426" s="8" t="inlineStr">
        <is>
          <t>CONTROL</t>
        </is>
      </c>
      <c r="X426" s="5" t="inlineStr">
        <is>
          <t>Core</t>
        </is>
      </c>
      <c r="Y426" s="5" t="inlineStr">
        <is>
          <t>Cross-persona</t>
        </is>
      </c>
      <c r="Z426" s="5" t="inlineStr">
        <is>
          <t>High</t>
        </is>
      </c>
      <c r="AA426" s="5" t="inlineStr">
        <is>
          <t>Medium</t>
        </is>
      </c>
      <c r="AB426" s="8" t="inlineStr">
        <is>
          <t>Medium</t>
        </is>
      </c>
      <c r="AC426" s="8" t="inlineStr">
        <is>
          <t>Pilot</t>
        </is>
      </c>
      <c r="AD426" s="5" t="inlineStr">
        <is>
          <t>Not independently checked</t>
        </is>
      </c>
      <c r="AE426" s="5" t="inlineStr">
        <is>
          <t>Not verified</t>
        </is>
      </c>
      <c r="AF426" s="5" t="inlineStr">
        <is>
          <t>Not verified</t>
        </is>
      </c>
      <c r="AG426" s="5" t="inlineStr">
        <is>
          <t>Not verified</t>
        </is>
      </c>
      <c r="AH426" s="5" t="inlineStr">
        <is>
          <t>Not verified</t>
        </is>
      </c>
      <c r="AI426" s="8" t="inlineStr">
        <is>
          <t>No</t>
        </is>
      </c>
      <c r="AJ426" s="8" t="inlineStr">
        <is>
          <t>Claimed - unverified</t>
        </is>
      </c>
      <c r="AK426" s="8" t="inlineStr">
        <is>
          <t>P1</t>
        </is>
      </c>
      <c r="AL426" s="8" t="n">
        <v>12</v>
      </c>
      <c r="AM426" s="5" t="inlineStr"/>
      <c r="AN426" s="5" t="inlineStr"/>
      <c r="AO426" s="5" t="inlineStr"/>
      <c r="AP426" s="5" t="inlineStr"/>
      <c r="AQ426" s="5" t="inlineStr"/>
      <c r="AR426" s="5" t="inlineStr"/>
      <c r="AS426" s="5" t="inlineStr"/>
      <c r="AT426" s="5" t="inlineStr"/>
      <c r="AU426" s="8" t="inlineStr">
        <is>
          <t>Not run</t>
        </is>
      </c>
    </row>
    <row r="427" ht="32" customHeight="1">
      <c r="A427" s="16" t="inlineStr">
        <is>
          <t>X-0426</t>
        </is>
      </c>
      <c r="B427" s="8" t="inlineStr">
        <is>
          <t>X</t>
        </is>
      </c>
      <c r="C427" s="5" t="inlineStr">
        <is>
          <t>Multiple / Cross-persona</t>
        </is>
      </c>
      <c r="D427" s="5" t="inlineStr">
        <is>
          <t>Security / Exception / Recovery</t>
        </is>
      </c>
      <c r="E427" s="5" t="inlineStr">
        <is>
          <t>User attempts unauthorized transaction → action is blocked</t>
        </is>
      </c>
      <c r="F427" s="5" t="inlineStr">
        <is>
          <t>Security / Access Control</t>
        </is>
      </c>
      <c r="G427" s="5" t="inlineStr">
        <is>
          <t>Unauthorized User</t>
        </is>
      </c>
      <c r="H427" s="5" t="inlineStr">
        <is>
          <t>System immediately rejects unauthorized action with HTTP 403 Forbidden error message</t>
        </is>
      </c>
      <c r="I427" s="5" t="inlineStr">
        <is>
          <t>Blocks request; logs security violation attempt in system security audit log</t>
        </is>
      </c>
      <c r="J427" s="20" t="inlineStr">
        <is>
          <t>P1</t>
        </is>
      </c>
      <c r="K427" s="20" t="inlineStr">
        <is>
          <t>Validated (Supported)</t>
        </is>
      </c>
      <c r="L427" s="5" t="inlineStr">
        <is>
          <t>Core security invariant: strict RBAC enforcement across all API endpoints.</t>
        </is>
      </c>
      <c r="M427" s="8" t="inlineStr">
        <is>
          <t>Baseline</t>
        </is>
      </c>
      <c r="N427" s="8" t="inlineStr">
        <is>
          <t>Cross-persona</t>
        </is>
      </c>
      <c r="O427" s="8" t="inlineStr">
        <is>
          <t>P1</t>
        </is>
      </c>
      <c r="P427" s="5" t="inlineStr">
        <is>
          <t>Unchanged</t>
        </is>
      </c>
      <c r="Q427" s="20" t="inlineStr">
        <is>
          <t>Author assertion</t>
        </is>
      </c>
      <c r="R427" s="5" t="inlineStr"/>
      <c r="S427" s="8" t="inlineStr">
        <is>
          <t>OTHER</t>
        </is>
      </c>
      <c r="T427" s="5" t="inlineStr">
        <is>
          <t>Security / Exception / Recovery</t>
        </is>
      </c>
      <c r="U427" s="8" t="inlineStr"/>
      <c r="V427" s="8" t="inlineStr"/>
      <c r="W427" s="8" t="inlineStr">
        <is>
          <t>CONTROL</t>
        </is>
      </c>
      <c r="X427" s="5" t="inlineStr">
        <is>
          <t>Core</t>
        </is>
      </c>
      <c r="Y427" s="5" t="inlineStr">
        <is>
          <t>Cross-persona</t>
        </is>
      </c>
      <c r="Z427" s="5" t="inlineStr">
        <is>
          <t>High</t>
        </is>
      </c>
      <c r="AA427" s="5" t="inlineStr">
        <is>
          <t>Medium</t>
        </is>
      </c>
      <c r="AB427" s="8" t="inlineStr">
        <is>
          <t>Medium</t>
        </is>
      </c>
      <c r="AC427" s="8" t="inlineStr">
        <is>
          <t>Pilot</t>
        </is>
      </c>
      <c r="AD427" s="5" t="inlineStr">
        <is>
          <t>Not independently checked</t>
        </is>
      </c>
      <c r="AE427" s="5" t="inlineStr">
        <is>
          <t>Not verified</t>
        </is>
      </c>
      <c r="AF427" s="5" t="inlineStr">
        <is>
          <t>Not verified</t>
        </is>
      </c>
      <c r="AG427" s="5" t="inlineStr">
        <is>
          <t>Not verified</t>
        </is>
      </c>
      <c r="AH427" s="5" t="inlineStr">
        <is>
          <t>Not verified</t>
        </is>
      </c>
      <c r="AI427" s="8" t="inlineStr">
        <is>
          <t>No</t>
        </is>
      </c>
      <c r="AJ427" s="8" t="inlineStr">
        <is>
          <t>Claimed - unverified</t>
        </is>
      </c>
      <c r="AK427" s="8" t="inlineStr">
        <is>
          <t>P1</t>
        </is>
      </c>
      <c r="AL427" s="8" t="n">
        <v>12</v>
      </c>
      <c r="AM427" s="5" t="inlineStr"/>
      <c r="AN427" s="5" t="inlineStr"/>
      <c r="AO427" s="5" t="inlineStr"/>
      <c r="AP427" s="5" t="inlineStr"/>
      <c r="AQ427" s="5" t="inlineStr"/>
      <c r="AR427" s="5" t="inlineStr"/>
      <c r="AS427" s="5" t="inlineStr"/>
      <c r="AT427" s="5" t="inlineStr"/>
      <c r="AU427" s="8" t="inlineStr">
        <is>
          <t>Not run</t>
        </is>
      </c>
    </row>
    <row r="428" ht="32" customHeight="1">
      <c r="A428" s="16" t="inlineStr">
        <is>
          <t>X-0427</t>
        </is>
      </c>
      <c r="B428" s="8" t="inlineStr">
        <is>
          <t>X</t>
        </is>
      </c>
      <c r="C428" s="5" t="inlineStr">
        <is>
          <t>Multiple / Cross-persona</t>
        </is>
      </c>
      <c r="D428" s="5" t="inlineStr">
        <is>
          <t>Security / Exception / Recovery</t>
        </is>
      </c>
      <c r="E428" s="5" t="inlineStr">
        <is>
          <t>User changes role → permissions immediately reflect policy</t>
        </is>
      </c>
      <c r="F428" s="5" t="inlineStr">
        <is>
          <t>Security / Access Control</t>
        </is>
      </c>
      <c r="G428" s="5" t="inlineStr">
        <is>
          <t>System Administrator</t>
        </is>
      </c>
      <c r="H428" s="5" t="inlineStr">
        <is>
          <t>Role updates take effect immediately on next request without requiring system restart</t>
        </is>
      </c>
      <c r="I428" s="5" t="inlineStr">
        <is>
          <t>Updates CompanyUser.role; invalidates cached session permissions immediately</t>
        </is>
      </c>
      <c r="J428" s="20" t="inlineStr">
        <is>
          <t>P1</t>
        </is>
      </c>
      <c r="K428" s="20" t="inlineStr">
        <is>
          <t>Validated (Supported)</t>
        </is>
      </c>
      <c r="L428" s="5" t="inlineStr">
        <is>
          <t>Core security invariant: dynamic role evaluation on every authenticated request.</t>
        </is>
      </c>
      <c r="M428" s="8" t="inlineStr">
        <is>
          <t>Baseline</t>
        </is>
      </c>
      <c r="N428" s="8" t="inlineStr">
        <is>
          <t>Cross-persona</t>
        </is>
      </c>
      <c r="O428" s="8" t="inlineStr">
        <is>
          <t>P1</t>
        </is>
      </c>
      <c r="P428" s="5" t="inlineStr">
        <is>
          <t>Unchanged</t>
        </is>
      </c>
      <c r="Q428" s="20" t="inlineStr">
        <is>
          <t>Author assertion</t>
        </is>
      </c>
      <c r="R428" s="5" t="inlineStr"/>
      <c r="S428" s="8" t="inlineStr">
        <is>
          <t>OTHER</t>
        </is>
      </c>
      <c r="T428" s="5" t="inlineStr">
        <is>
          <t>Security / Exception / Recovery</t>
        </is>
      </c>
      <c r="U428" s="8" t="inlineStr"/>
      <c r="V428" s="8" t="inlineStr"/>
      <c r="W428" s="8" t="inlineStr">
        <is>
          <t>CONTROL</t>
        </is>
      </c>
      <c r="X428" s="5" t="inlineStr">
        <is>
          <t>Core</t>
        </is>
      </c>
      <c r="Y428" s="5" t="inlineStr">
        <is>
          <t>Cross-persona</t>
        </is>
      </c>
      <c r="Z428" s="5" t="inlineStr">
        <is>
          <t>High</t>
        </is>
      </c>
      <c r="AA428" s="5" t="inlineStr">
        <is>
          <t>Medium</t>
        </is>
      </c>
      <c r="AB428" s="8" t="inlineStr">
        <is>
          <t>Medium</t>
        </is>
      </c>
      <c r="AC428" s="8" t="inlineStr">
        <is>
          <t>Pilot</t>
        </is>
      </c>
      <c r="AD428" s="5" t="inlineStr">
        <is>
          <t>Not independently checked</t>
        </is>
      </c>
      <c r="AE428" s="5" t="inlineStr">
        <is>
          <t>Not verified</t>
        </is>
      </c>
      <c r="AF428" s="5" t="inlineStr">
        <is>
          <t>Not verified</t>
        </is>
      </c>
      <c r="AG428" s="5" t="inlineStr">
        <is>
          <t>Not verified</t>
        </is>
      </c>
      <c r="AH428" s="5" t="inlineStr">
        <is>
          <t>Not verified</t>
        </is>
      </c>
      <c r="AI428" s="8" t="inlineStr">
        <is>
          <t>No</t>
        </is>
      </c>
      <c r="AJ428" s="8" t="inlineStr">
        <is>
          <t>Claimed - unverified</t>
        </is>
      </c>
      <c r="AK428" s="8" t="inlineStr">
        <is>
          <t>P1</t>
        </is>
      </c>
      <c r="AL428" s="8" t="n">
        <v>12</v>
      </c>
      <c r="AM428" s="5" t="inlineStr"/>
      <c r="AN428" s="5" t="inlineStr"/>
      <c r="AO428" s="5" t="inlineStr"/>
      <c r="AP428" s="5" t="inlineStr"/>
      <c r="AQ428" s="5" t="inlineStr"/>
      <c r="AR428" s="5" t="inlineStr"/>
      <c r="AS428" s="5" t="inlineStr"/>
      <c r="AT428" s="5" t="inlineStr"/>
      <c r="AU428" s="8" t="inlineStr">
        <is>
          <t>Not run</t>
        </is>
      </c>
    </row>
    <row r="429" ht="32" customHeight="1">
      <c r="A429" s="16" t="inlineStr">
        <is>
          <t>X-0428</t>
        </is>
      </c>
      <c r="B429" s="8" t="inlineStr">
        <is>
          <t>X</t>
        </is>
      </c>
      <c r="C429" s="5" t="inlineStr">
        <is>
          <t>Multiple / Cross-persona</t>
        </is>
      </c>
      <c r="D429" s="5" t="inlineStr">
        <is>
          <t>Security / Exception / Recovery</t>
        </is>
      </c>
      <c r="E429" s="5" t="inlineStr">
        <is>
          <t>User changes location → access follows assigned location</t>
        </is>
      </c>
      <c r="F429" s="5" t="inlineStr">
        <is>
          <t>Security / Access Control</t>
        </is>
      </c>
      <c r="G429" s="5" t="inlineStr">
        <is>
          <t>Store Staff</t>
        </is>
      </c>
      <c r="H429" s="5" t="inlineStr">
        <is>
          <t>Transferring an employee to another store updates their inventory and sales visibility</t>
        </is>
      </c>
      <c r="I429" s="5" t="inlineStr">
        <is>
          <t>Updates assigned_warehouses mapping; shifts user scope to new location immediately</t>
        </is>
      </c>
      <c r="J429" s="20" t="inlineStr">
        <is>
          <t>P1</t>
        </is>
      </c>
      <c r="K429" s="20" t="inlineStr">
        <is>
          <t>Validated (Supported)</t>
        </is>
      </c>
      <c r="L429" s="5" t="inlineStr">
        <is>
          <t>Supported via User Location Assignment management.</t>
        </is>
      </c>
      <c r="M429" s="8" t="inlineStr">
        <is>
          <t>Baseline</t>
        </is>
      </c>
      <c r="N429" s="8" t="inlineStr">
        <is>
          <t>Cross-persona</t>
        </is>
      </c>
      <c r="O429" s="8" t="inlineStr">
        <is>
          <t>P1</t>
        </is>
      </c>
      <c r="P429" s="5" t="inlineStr">
        <is>
          <t>Unchanged</t>
        </is>
      </c>
      <c r="Q429" s="20" t="inlineStr">
        <is>
          <t>Author assertion</t>
        </is>
      </c>
      <c r="R429" s="5" t="inlineStr"/>
      <c r="S429" s="8" t="inlineStr">
        <is>
          <t>OTHER</t>
        </is>
      </c>
      <c r="T429" s="5" t="inlineStr">
        <is>
          <t>Security / Exception / Recovery</t>
        </is>
      </c>
      <c r="U429" s="8" t="inlineStr"/>
      <c r="V429" s="8" t="inlineStr"/>
      <c r="W429" s="8" t="inlineStr">
        <is>
          <t>CONTROL</t>
        </is>
      </c>
      <c r="X429" s="5" t="inlineStr">
        <is>
          <t>Core</t>
        </is>
      </c>
      <c r="Y429" s="5" t="inlineStr">
        <is>
          <t>Cross-persona</t>
        </is>
      </c>
      <c r="Z429" s="5" t="inlineStr">
        <is>
          <t>High</t>
        </is>
      </c>
      <c r="AA429" s="5" t="inlineStr">
        <is>
          <t>Medium</t>
        </is>
      </c>
      <c r="AB429" s="8" t="inlineStr">
        <is>
          <t>Medium</t>
        </is>
      </c>
      <c r="AC429" s="8" t="inlineStr">
        <is>
          <t>Pilot</t>
        </is>
      </c>
      <c r="AD429" s="5" t="inlineStr">
        <is>
          <t>Not independently checked</t>
        </is>
      </c>
      <c r="AE429" s="5" t="inlineStr">
        <is>
          <t>Not verified</t>
        </is>
      </c>
      <c r="AF429" s="5" t="inlineStr">
        <is>
          <t>Not verified</t>
        </is>
      </c>
      <c r="AG429" s="5" t="inlineStr">
        <is>
          <t>Not verified</t>
        </is>
      </c>
      <c r="AH429" s="5" t="inlineStr">
        <is>
          <t>Not verified</t>
        </is>
      </c>
      <c r="AI429" s="8" t="inlineStr">
        <is>
          <t>No</t>
        </is>
      </c>
      <c r="AJ429" s="8" t="inlineStr">
        <is>
          <t>Claimed - unverified</t>
        </is>
      </c>
      <c r="AK429" s="8" t="inlineStr">
        <is>
          <t>P1</t>
        </is>
      </c>
      <c r="AL429" s="8" t="n">
        <v>12</v>
      </c>
      <c r="AM429" s="5" t="inlineStr"/>
      <c r="AN429" s="5" t="inlineStr"/>
      <c r="AO429" s="5" t="inlineStr"/>
      <c r="AP429" s="5" t="inlineStr"/>
      <c r="AQ429" s="5" t="inlineStr"/>
      <c r="AR429" s="5" t="inlineStr"/>
      <c r="AS429" s="5" t="inlineStr"/>
      <c r="AT429" s="5" t="inlineStr"/>
      <c r="AU429" s="8" t="inlineStr">
        <is>
          <t>Not run</t>
        </is>
      </c>
    </row>
    <row r="430" ht="32" customHeight="1">
      <c r="A430" s="16" t="inlineStr">
        <is>
          <t>X-0429</t>
        </is>
      </c>
      <c r="B430" s="8" t="inlineStr">
        <is>
          <t>X</t>
        </is>
      </c>
      <c r="C430" s="5" t="inlineStr">
        <is>
          <t>Multiple / Cross-persona</t>
        </is>
      </c>
      <c r="D430" s="5" t="inlineStr">
        <is>
          <t>Security / Exception / Recovery</t>
        </is>
      </c>
      <c r="E430" s="5" t="inlineStr">
        <is>
          <t>Deactivated user → historical transactions remain intact</t>
        </is>
      </c>
      <c r="F430" s="5" t="inlineStr">
        <is>
          <t>Security / Access Control</t>
        </is>
      </c>
      <c r="G430" s="5" t="inlineStr">
        <is>
          <t>System Administrator</t>
        </is>
      </c>
      <c r="H430" s="5" t="inlineStr">
        <is>
          <t>Deactivating an ex-employee blocks login but preserves all historical vouchers signed by them</t>
        </is>
      </c>
      <c r="I430" s="5" t="inlineStr">
        <is>
          <t>Sets is_active=False; preserves foreign key references on all historical transactions</t>
        </is>
      </c>
      <c r="J430" s="20" t="inlineStr">
        <is>
          <t>P1</t>
        </is>
      </c>
      <c r="K430" s="20" t="inlineStr">
        <is>
          <t>Validated (Supported)</t>
        </is>
      </c>
      <c r="L430" s="5" t="inlineStr">
        <is>
          <t>Core data invariant: user deactivation preserves referential integrity; hard deletes blocked.</t>
        </is>
      </c>
      <c r="M430" s="8" t="inlineStr">
        <is>
          <t>Baseline</t>
        </is>
      </c>
      <c r="N430" s="8" t="inlineStr">
        <is>
          <t>Cross-persona</t>
        </is>
      </c>
      <c r="O430" s="8" t="inlineStr">
        <is>
          <t>P1</t>
        </is>
      </c>
      <c r="P430" s="5" t="inlineStr">
        <is>
          <t>Unchanged</t>
        </is>
      </c>
      <c r="Q430" s="20" t="inlineStr">
        <is>
          <t>Author assertion</t>
        </is>
      </c>
      <c r="R430" s="5" t="inlineStr"/>
      <c r="S430" s="8" t="inlineStr">
        <is>
          <t>OTHER</t>
        </is>
      </c>
      <c r="T430" s="5" t="inlineStr">
        <is>
          <t>Security / Exception / Recovery</t>
        </is>
      </c>
      <c r="U430" s="8" t="inlineStr"/>
      <c r="V430" s="8" t="inlineStr"/>
      <c r="W430" s="8" t="inlineStr">
        <is>
          <t>CONTROL</t>
        </is>
      </c>
      <c r="X430" s="5" t="inlineStr">
        <is>
          <t>Core</t>
        </is>
      </c>
      <c r="Y430" s="5" t="inlineStr">
        <is>
          <t>Cross-persona</t>
        </is>
      </c>
      <c r="Z430" s="5" t="inlineStr">
        <is>
          <t>High</t>
        </is>
      </c>
      <c r="AA430" s="5" t="inlineStr">
        <is>
          <t>Medium</t>
        </is>
      </c>
      <c r="AB430" s="8" t="inlineStr">
        <is>
          <t>Medium</t>
        </is>
      </c>
      <c r="AC430" s="8" t="inlineStr">
        <is>
          <t>Pilot</t>
        </is>
      </c>
      <c r="AD430" s="5" t="inlineStr">
        <is>
          <t>Not independently checked</t>
        </is>
      </c>
      <c r="AE430" s="5" t="inlineStr">
        <is>
          <t>Not verified</t>
        </is>
      </c>
      <c r="AF430" s="5" t="inlineStr">
        <is>
          <t>Not verified</t>
        </is>
      </c>
      <c r="AG430" s="5" t="inlineStr">
        <is>
          <t>Not verified</t>
        </is>
      </c>
      <c r="AH430" s="5" t="inlineStr">
        <is>
          <t>Not verified</t>
        </is>
      </c>
      <c r="AI430" s="8" t="inlineStr">
        <is>
          <t>No</t>
        </is>
      </c>
      <c r="AJ430" s="8" t="inlineStr">
        <is>
          <t>Claimed - unverified</t>
        </is>
      </c>
      <c r="AK430" s="8" t="inlineStr">
        <is>
          <t>P1</t>
        </is>
      </c>
      <c r="AL430" s="8" t="n">
        <v>12</v>
      </c>
      <c r="AM430" s="5" t="inlineStr"/>
      <c r="AN430" s="5" t="inlineStr"/>
      <c r="AO430" s="5" t="inlineStr"/>
      <c r="AP430" s="5" t="inlineStr"/>
      <c r="AQ430" s="5" t="inlineStr"/>
      <c r="AR430" s="5" t="inlineStr"/>
      <c r="AS430" s="5" t="inlineStr"/>
      <c r="AT430" s="5" t="inlineStr"/>
      <c r="AU430" s="8" t="inlineStr">
        <is>
          <t>Not run</t>
        </is>
      </c>
    </row>
    <row r="431" ht="32" customHeight="1">
      <c r="A431" s="16" t="inlineStr">
        <is>
          <t>X-0430</t>
        </is>
      </c>
      <c r="B431" s="8" t="inlineStr">
        <is>
          <t>X</t>
        </is>
      </c>
      <c r="C431" s="5" t="inlineStr">
        <is>
          <t>Multiple / Cross-persona</t>
        </is>
      </c>
      <c r="D431" s="5" t="inlineStr">
        <is>
          <t>Security / Exception / Recovery</t>
        </is>
      </c>
      <c r="E431" s="5" t="inlineStr">
        <is>
          <t>Sensitive financial information → restricted users cannot access it</t>
        </is>
      </c>
      <c r="F431" s="5" t="inlineStr">
        <is>
          <t>Security / Access Control</t>
        </is>
      </c>
      <c r="G431" s="5" t="inlineStr">
        <is>
          <t>Billing Clerk / Delivery Driver</t>
        </is>
      </c>
      <c r="H431" s="5" t="inlineStr">
        <is>
          <t>Billing clerks and delivery staff cannot view business profits, vendor costs, or bank balances</t>
        </is>
      </c>
      <c r="I431" s="5" t="inlineStr">
        <is>
          <t>Masks gross margin, purchase cost, and financial statement menus based on user role</t>
        </is>
      </c>
      <c r="J431" s="20" t="inlineStr">
        <is>
          <t>P1</t>
        </is>
      </c>
      <c r="K431" s="20" t="inlineStr">
        <is>
          <t>Validated (Supported)</t>
        </is>
      </c>
      <c r="L431" s="5" t="inlineStr">
        <is>
          <t>Supported via role-based field masking in API serializers and UI navigation guards.</t>
        </is>
      </c>
      <c r="M431" s="8" t="inlineStr">
        <is>
          <t>Baseline</t>
        </is>
      </c>
      <c r="N431" s="8" t="inlineStr">
        <is>
          <t>Cross-persona</t>
        </is>
      </c>
      <c r="O431" s="8" t="inlineStr">
        <is>
          <t>P1</t>
        </is>
      </c>
      <c r="P431" s="5" t="inlineStr">
        <is>
          <t>Unchanged</t>
        </is>
      </c>
      <c r="Q431" s="20" t="inlineStr">
        <is>
          <t>Author assertion</t>
        </is>
      </c>
      <c r="R431" s="5" t="inlineStr"/>
      <c r="S431" s="8" t="inlineStr">
        <is>
          <t>OTHER</t>
        </is>
      </c>
      <c r="T431" s="5" t="inlineStr">
        <is>
          <t>Security / Exception / Recovery</t>
        </is>
      </c>
      <c r="U431" s="8" t="inlineStr"/>
      <c r="V431" s="8" t="inlineStr"/>
      <c r="W431" s="8" t="inlineStr">
        <is>
          <t>CONTROL</t>
        </is>
      </c>
      <c r="X431" s="5" t="inlineStr">
        <is>
          <t>Core</t>
        </is>
      </c>
      <c r="Y431" s="5" t="inlineStr">
        <is>
          <t>Cross-persona</t>
        </is>
      </c>
      <c r="Z431" s="5" t="inlineStr">
        <is>
          <t>High</t>
        </is>
      </c>
      <c r="AA431" s="5" t="inlineStr">
        <is>
          <t>Medium</t>
        </is>
      </c>
      <c r="AB431" s="8" t="inlineStr">
        <is>
          <t>Medium</t>
        </is>
      </c>
      <c r="AC431" s="8" t="inlineStr">
        <is>
          <t>Pilot</t>
        </is>
      </c>
      <c r="AD431" s="5" t="inlineStr">
        <is>
          <t>Not independently checked</t>
        </is>
      </c>
      <c r="AE431" s="5" t="inlineStr">
        <is>
          <t>Not verified</t>
        </is>
      </c>
      <c r="AF431" s="5" t="inlineStr">
        <is>
          <t>Not verified</t>
        </is>
      </c>
      <c r="AG431" s="5" t="inlineStr">
        <is>
          <t>Not verified</t>
        </is>
      </c>
      <c r="AH431" s="5" t="inlineStr">
        <is>
          <t>Not verified</t>
        </is>
      </c>
      <c r="AI431" s="8" t="inlineStr">
        <is>
          <t>No</t>
        </is>
      </c>
      <c r="AJ431" s="8" t="inlineStr">
        <is>
          <t>Claimed - unverified</t>
        </is>
      </c>
      <c r="AK431" s="8" t="inlineStr">
        <is>
          <t>P1</t>
        </is>
      </c>
      <c r="AL431" s="8" t="n">
        <v>12</v>
      </c>
      <c r="AM431" s="5" t="inlineStr"/>
      <c r="AN431" s="5" t="inlineStr"/>
      <c r="AO431" s="5" t="inlineStr"/>
      <c r="AP431" s="5" t="inlineStr"/>
      <c r="AQ431" s="5" t="inlineStr"/>
      <c r="AR431" s="5" t="inlineStr"/>
      <c r="AS431" s="5" t="inlineStr"/>
      <c r="AT431" s="5" t="inlineStr"/>
      <c r="AU431" s="8" t="inlineStr">
        <is>
          <t>Not run</t>
        </is>
      </c>
    </row>
    <row r="432" ht="32" customHeight="1">
      <c r="A432" s="16" t="inlineStr">
        <is>
          <t>X-0431</t>
        </is>
      </c>
      <c r="B432" s="8" t="inlineStr">
        <is>
          <t>X</t>
        </is>
      </c>
      <c r="C432" s="5" t="inlineStr">
        <is>
          <t>Multiple / Cross-persona</t>
        </is>
      </c>
      <c r="D432" s="5" t="inlineStr">
        <is>
          <t>Security / Exception / Recovery</t>
        </is>
      </c>
      <c r="E432" s="5" t="inlineStr">
        <is>
          <t>Export data → export permissions are enforced</t>
        </is>
      </c>
      <c r="F432" s="5" t="inlineStr">
        <is>
          <t>Security / Access Control</t>
        </is>
      </c>
      <c r="G432" s="5" t="inlineStr">
        <is>
          <t>All Users</t>
        </is>
      </c>
      <c r="H432" s="5" t="inlineStr">
        <is>
          <t>Bulk export of customer lists, sales registers, or financial books restricted to authorized roles</t>
        </is>
      </c>
      <c r="I432" s="5" t="inlineStr">
        <is>
          <t>Blocks export endpoints for unauthorized roles, preventing commercial data exfiltration</t>
        </is>
      </c>
      <c r="J432" s="20" t="inlineStr">
        <is>
          <t>P1</t>
        </is>
      </c>
      <c r="K432" s="20" t="inlineStr">
        <is>
          <t>Validated (Supported)</t>
        </is>
      </c>
      <c r="L432" s="5" t="inlineStr">
        <is>
          <t>Core security invariant: export actions restricted to Owner, Admin, and Accountant roles.</t>
        </is>
      </c>
      <c r="M432" s="8" t="inlineStr">
        <is>
          <t>Baseline</t>
        </is>
      </c>
      <c r="N432" s="8" t="inlineStr">
        <is>
          <t>Cross-persona</t>
        </is>
      </c>
      <c r="O432" s="8" t="inlineStr">
        <is>
          <t>P1</t>
        </is>
      </c>
      <c r="P432" s="5" t="inlineStr">
        <is>
          <t>Unchanged</t>
        </is>
      </c>
      <c r="Q432" s="20" t="inlineStr">
        <is>
          <t>Author assertion</t>
        </is>
      </c>
      <c r="R432" s="5" t="inlineStr"/>
      <c r="S432" s="8" t="inlineStr">
        <is>
          <t>OTHER</t>
        </is>
      </c>
      <c r="T432" s="5" t="inlineStr">
        <is>
          <t>Security / Exception / Recovery</t>
        </is>
      </c>
      <c r="U432" s="8" t="inlineStr"/>
      <c r="V432" s="8" t="inlineStr"/>
      <c r="W432" s="8" t="inlineStr">
        <is>
          <t>CONTROL</t>
        </is>
      </c>
      <c r="X432" s="5" t="inlineStr">
        <is>
          <t>Core</t>
        </is>
      </c>
      <c r="Y432" s="5" t="inlineStr">
        <is>
          <t>Cross-persona</t>
        </is>
      </c>
      <c r="Z432" s="5" t="inlineStr">
        <is>
          <t>High</t>
        </is>
      </c>
      <c r="AA432" s="5" t="inlineStr">
        <is>
          <t>Medium</t>
        </is>
      </c>
      <c r="AB432" s="8" t="inlineStr">
        <is>
          <t>Medium</t>
        </is>
      </c>
      <c r="AC432" s="8" t="inlineStr">
        <is>
          <t>Pilot</t>
        </is>
      </c>
      <c r="AD432" s="5" t="inlineStr">
        <is>
          <t>Not independently checked</t>
        </is>
      </c>
      <c r="AE432" s="5" t="inlineStr">
        <is>
          <t>Not verified</t>
        </is>
      </c>
      <c r="AF432" s="5" t="inlineStr">
        <is>
          <t>Not verified</t>
        </is>
      </c>
      <c r="AG432" s="5" t="inlineStr">
        <is>
          <t>Not verified</t>
        </is>
      </c>
      <c r="AH432" s="5" t="inlineStr">
        <is>
          <t>Not verified</t>
        </is>
      </c>
      <c r="AI432" s="8" t="inlineStr">
        <is>
          <t>No</t>
        </is>
      </c>
      <c r="AJ432" s="8" t="inlineStr">
        <is>
          <t>Claimed - unverified</t>
        </is>
      </c>
      <c r="AK432" s="8" t="inlineStr">
        <is>
          <t>P1</t>
        </is>
      </c>
      <c r="AL432" s="8" t="n">
        <v>12</v>
      </c>
      <c r="AM432" s="5" t="inlineStr"/>
      <c r="AN432" s="5" t="inlineStr"/>
      <c r="AO432" s="5" t="inlineStr"/>
      <c r="AP432" s="5" t="inlineStr"/>
      <c r="AQ432" s="5" t="inlineStr"/>
      <c r="AR432" s="5" t="inlineStr"/>
      <c r="AS432" s="5" t="inlineStr"/>
      <c r="AT432" s="5" t="inlineStr"/>
      <c r="AU432" s="8" t="inlineStr">
        <is>
          <t>Not run</t>
        </is>
      </c>
    </row>
    <row r="433" ht="32" customHeight="1">
      <c r="A433" s="16" t="inlineStr">
        <is>
          <t>X-0432</t>
        </is>
      </c>
      <c r="B433" s="8" t="inlineStr">
        <is>
          <t>X</t>
        </is>
      </c>
      <c r="C433" s="5" t="inlineStr">
        <is>
          <t>Multiple / Cross-persona</t>
        </is>
      </c>
      <c r="D433" s="5" t="inlineStr">
        <is>
          <t>Security / Exception / Recovery</t>
        </is>
      </c>
      <c r="E433" s="5" t="inlineStr">
        <is>
          <t>Critical transaction → immutable audit trail exists</t>
        </is>
      </c>
      <c r="F433" s="5" t="inlineStr">
        <is>
          <t>Security / Access Control</t>
        </is>
      </c>
      <c r="G433" s="5" t="inlineStr">
        <is>
          <t>Statutory Auditor</t>
        </is>
      </c>
      <c r="H433" s="5" t="inlineStr">
        <is>
          <t>Every financial, inventory, and tax voucher backed by append-only immutable audit trail</t>
        </is>
      </c>
      <c r="I433" s="5" t="inlineStr">
        <is>
          <t>Guarantees chronological traceability of who created, edited, approved, or cancelled records</t>
        </is>
      </c>
      <c r="J433" s="19" t="inlineStr">
        <is>
          <t>P0</t>
        </is>
      </c>
      <c r="K433" s="23" t="inlineStr">
        <is>
          <t>Partial</t>
        </is>
      </c>
      <c r="L433" s="5" t="inlineStr">
        <is>
          <t>Core system invariant: MCA-compliant audit trail with Django SimpleHistory.</t>
        </is>
      </c>
      <c r="M433" s="8" t="inlineStr">
        <is>
          <t>Baseline</t>
        </is>
      </c>
      <c r="N433" s="8" t="inlineStr">
        <is>
          <t>Cross-persona</t>
        </is>
      </c>
      <c r="O433" s="8" t="inlineStr">
        <is>
          <t>P0</t>
        </is>
      </c>
      <c r="P433" s="5" t="inlineStr">
        <is>
          <t>Unchanged</t>
        </is>
      </c>
      <c r="Q433" s="23" t="inlineStr">
        <is>
          <t>Partial</t>
        </is>
      </c>
      <c r="R433" s="5" t="inlineStr">
        <is>
          <t>django-simple-history is not a dependency. The note names the wrong audit mechanism.</t>
        </is>
      </c>
      <c r="S433" s="8" t="inlineStr">
        <is>
          <t>OTHER</t>
        </is>
      </c>
      <c r="T433" s="5" t="inlineStr">
        <is>
          <t>Security / Exception / Recovery</t>
        </is>
      </c>
      <c r="U433" s="8" t="inlineStr"/>
      <c r="V433" s="8" t="inlineStr"/>
      <c r="W433" s="8" t="inlineStr">
        <is>
          <t>CONTROL</t>
        </is>
      </c>
      <c r="X433" s="5" t="inlineStr">
        <is>
          <t>Core</t>
        </is>
      </c>
      <c r="Y433" s="5" t="inlineStr">
        <is>
          <t>Cross-persona</t>
        </is>
      </c>
      <c r="Z433" s="5" t="inlineStr">
        <is>
          <t>High</t>
        </is>
      </c>
      <c r="AA433" s="5" t="inlineStr">
        <is>
          <t>Medium</t>
        </is>
      </c>
      <c r="AB433" s="8" t="inlineStr">
        <is>
          <t>Medium</t>
        </is>
      </c>
      <c r="AC433" s="8" t="inlineStr">
        <is>
          <t>MVP</t>
        </is>
      </c>
      <c r="AD433" s="5" t="inlineStr">
        <is>
          <t>Partial</t>
        </is>
      </c>
      <c r="AE433" s="5" t="inlineStr">
        <is>
          <t>Not verified</t>
        </is>
      </c>
      <c r="AF433" s="5" t="inlineStr">
        <is>
          <t>Not verified</t>
        </is>
      </c>
      <c r="AG433" s="5" t="inlineStr">
        <is>
          <t>Not verified</t>
        </is>
      </c>
      <c r="AH433" s="5" t="inlineStr">
        <is>
          <t>Not verified</t>
        </is>
      </c>
      <c r="AI433" s="8" t="inlineStr">
        <is>
          <t>No</t>
        </is>
      </c>
      <c r="AJ433" s="8" t="inlineStr">
        <is>
          <t>Built - partial</t>
        </is>
      </c>
      <c r="AK433" s="8" t="inlineStr">
        <is>
          <t>P0</t>
        </is>
      </c>
      <c r="AL433" s="8" t="n">
        <v>12</v>
      </c>
      <c r="AM433" s="5" t="inlineStr"/>
      <c r="AN433" s="5" t="inlineStr"/>
      <c r="AO433" s="5" t="inlineStr"/>
      <c r="AP433" s="5" t="inlineStr"/>
      <c r="AQ433" s="5" t="inlineStr"/>
      <c r="AR433" s="5" t="inlineStr"/>
      <c r="AS433" s="5" t="inlineStr"/>
      <c r="AT433" s="5" t="inlineStr"/>
      <c r="AU433" s="8" t="inlineStr">
        <is>
          <t>Not run</t>
        </is>
      </c>
    </row>
    <row r="434" ht="32" customHeight="1">
      <c r="A434" s="16" t="inlineStr">
        <is>
          <t>X-0433</t>
        </is>
      </c>
      <c r="B434" s="8" t="inlineStr">
        <is>
          <t>X</t>
        </is>
      </c>
      <c r="C434" s="5" t="inlineStr">
        <is>
          <t>Multiple / Cross-persona</t>
        </is>
      </c>
      <c r="D434" s="5" t="inlineStr">
        <is>
          <t>Security / Exception / Recovery</t>
        </is>
      </c>
      <c r="E434" s="5" t="inlineStr">
        <is>
          <t>Invalid invoice → actionable validation is shown</t>
        </is>
      </c>
      <c r="F434" s="5" t="inlineStr">
        <is>
          <t>System / Validation Engine</t>
        </is>
      </c>
      <c r="G434" s="5" t="inlineStr">
        <is>
          <t>Billing Clerk</t>
        </is>
      </c>
      <c r="H434" s="5" t="inlineStr">
        <is>
          <t>Form validation errors highlight exact problematic field (e.g. missing HSN, invalid GSTIN)</t>
        </is>
      </c>
      <c r="I434" s="5" t="inlineStr">
        <is>
          <t>Surfaces clear, inline validation message explaining how to fix the error before saving</t>
        </is>
      </c>
      <c r="J434" s="20" t="inlineStr">
        <is>
          <t>P1</t>
        </is>
      </c>
      <c r="K434" s="20" t="inlineStr">
        <is>
          <t>Validated (Supported)</t>
        </is>
      </c>
      <c r="L434" s="5" t="inlineStr">
        <is>
          <t>Supported via descriptive form validation errors with field highlighting.</t>
        </is>
      </c>
      <c r="M434" s="8" t="inlineStr">
        <is>
          <t>Baseline</t>
        </is>
      </c>
      <c r="N434" s="8" t="inlineStr">
        <is>
          <t>Cross-persona</t>
        </is>
      </c>
      <c r="O434" s="8" t="inlineStr">
        <is>
          <t>P1</t>
        </is>
      </c>
      <c r="P434" s="5" t="inlineStr">
        <is>
          <t>Unchanged</t>
        </is>
      </c>
      <c r="Q434" s="20" t="inlineStr">
        <is>
          <t>Author assertion</t>
        </is>
      </c>
      <c r="R434" s="5" t="inlineStr"/>
      <c r="S434" s="8" t="inlineStr">
        <is>
          <t>OTHER</t>
        </is>
      </c>
      <c r="T434" s="5" t="inlineStr">
        <is>
          <t>Security / Exception / Recovery</t>
        </is>
      </c>
      <c r="U434" s="8" t="inlineStr"/>
      <c r="V434" s="8" t="inlineStr"/>
      <c r="W434" s="8" t="inlineStr">
        <is>
          <t>CONTROL</t>
        </is>
      </c>
      <c r="X434" s="5" t="inlineStr">
        <is>
          <t>Core</t>
        </is>
      </c>
      <c r="Y434" s="5" t="inlineStr">
        <is>
          <t>Cross-persona</t>
        </is>
      </c>
      <c r="Z434" s="5" t="inlineStr">
        <is>
          <t>High</t>
        </is>
      </c>
      <c r="AA434" s="5" t="inlineStr">
        <is>
          <t>Medium</t>
        </is>
      </c>
      <c r="AB434" s="8" t="inlineStr">
        <is>
          <t>Medium</t>
        </is>
      </c>
      <c r="AC434" s="8" t="inlineStr">
        <is>
          <t>Pilot</t>
        </is>
      </c>
      <c r="AD434" s="5" t="inlineStr">
        <is>
          <t>Not independently checked</t>
        </is>
      </c>
      <c r="AE434" s="5" t="inlineStr">
        <is>
          <t>Not verified</t>
        </is>
      </c>
      <c r="AF434" s="5" t="inlineStr">
        <is>
          <t>Not verified</t>
        </is>
      </c>
      <c r="AG434" s="5" t="inlineStr">
        <is>
          <t>Not verified</t>
        </is>
      </c>
      <c r="AH434" s="5" t="inlineStr">
        <is>
          <t>Not verified</t>
        </is>
      </c>
      <c r="AI434" s="8" t="inlineStr">
        <is>
          <t>No</t>
        </is>
      </c>
      <c r="AJ434" s="8" t="inlineStr">
        <is>
          <t>Claimed - unverified</t>
        </is>
      </c>
      <c r="AK434" s="8" t="inlineStr">
        <is>
          <t>P1</t>
        </is>
      </c>
      <c r="AL434" s="8" t="n">
        <v>12</v>
      </c>
      <c r="AM434" s="5" t="inlineStr"/>
      <c r="AN434" s="5" t="inlineStr"/>
      <c r="AO434" s="5" t="inlineStr"/>
      <c r="AP434" s="5" t="inlineStr"/>
      <c r="AQ434" s="5" t="inlineStr"/>
      <c r="AR434" s="5" t="inlineStr"/>
      <c r="AS434" s="5" t="inlineStr"/>
      <c r="AT434" s="5" t="inlineStr"/>
      <c r="AU434" s="8" t="inlineStr">
        <is>
          <t>Not run</t>
        </is>
      </c>
    </row>
    <row r="435" ht="32" customHeight="1">
      <c r="A435" s="16" t="inlineStr">
        <is>
          <t>X-0434</t>
        </is>
      </c>
      <c r="B435" s="8" t="inlineStr">
        <is>
          <t>X</t>
        </is>
      </c>
      <c r="C435" s="5" t="inlineStr">
        <is>
          <t>Multiple / Cross-persona</t>
        </is>
      </c>
      <c r="D435" s="5" t="inlineStr">
        <is>
          <t>Security / Exception / Recovery</t>
        </is>
      </c>
      <c r="E435" s="5" t="inlineStr">
        <is>
          <t>Insufficient stock → sale is blocked/flagged appropriately</t>
        </is>
      </c>
      <c r="F435" s="5" t="inlineStr">
        <is>
          <t>System / Inventory Guard</t>
        </is>
      </c>
      <c r="G435" s="5" t="inlineStr">
        <is>
          <t>Billing Clerk</t>
        </is>
      </c>
      <c r="H435" s="5" t="inlineStr">
        <is>
          <t>Attempting to bill more stock than available triggers clear error or manager override prompt</t>
        </is>
      </c>
      <c r="I435" s="5" t="inlineStr">
        <is>
          <t>Blocks negative inventory by default; enforces tenant policy regarding backorders</t>
        </is>
      </c>
      <c r="J435" s="20" t="inlineStr">
        <is>
          <t>P1</t>
        </is>
      </c>
      <c r="K435" s="20" t="inlineStr">
        <is>
          <t>Validated (Supported)</t>
        </is>
      </c>
      <c r="L435" s="5" t="inlineStr">
        <is>
          <t>Core inventory invariant: negative stock strictly blocked unless explicitly enabled.</t>
        </is>
      </c>
      <c r="M435" s="8" t="inlineStr">
        <is>
          <t>Baseline</t>
        </is>
      </c>
      <c r="N435" s="8" t="inlineStr">
        <is>
          <t>Cross-persona</t>
        </is>
      </c>
      <c r="O435" s="8" t="inlineStr">
        <is>
          <t>P1</t>
        </is>
      </c>
      <c r="P435" s="5" t="inlineStr">
        <is>
          <t>Unchanged</t>
        </is>
      </c>
      <c r="Q435" s="20" t="inlineStr">
        <is>
          <t>Author assertion</t>
        </is>
      </c>
      <c r="R435" s="5" t="inlineStr"/>
      <c r="S435" s="8" t="inlineStr">
        <is>
          <t>OTHER</t>
        </is>
      </c>
      <c r="T435" s="5" t="inlineStr">
        <is>
          <t>Security / Exception / Recovery</t>
        </is>
      </c>
      <c r="U435" s="8" t="inlineStr"/>
      <c r="V435" s="8" t="inlineStr"/>
      <c r="W435" s="8" t="inlineStr">
        <is>
          <t>CONTROL</t>
        </is>
      </c>
      <c r="X435" s="5" t="inlineStr">
        <is>
          <t>Core</t>
        </is>
      </c>
      <c r="Y435" s="5" t="inlineStr">
        <is>
          <t>Cross-persona</t>
        </is>
      </c>
      <c r="Z435" s="5" t="inlineStr">
        <is>
          <t>High</t>
        </is>
      </c>
      <c r="AA435" s="5" t="inlineStr">
        <is>
          <t>Medium</t>
        </is>
      </c>
      <c r="AB435" s="8" t="inlineStr">
        <is>
          <t>Medium</t>
        </is>
      </c>
      <c r="AC435" s="8" t="inlineStr">
        <is>
          <t>Pilot</t>
        </is>
      </c>
      <c r="AD435" s="5" t="inlineStr">
        <is>
          <t>Not independently checked</t>
        </is>
      </c>
      <c r="AE435" s="5" t="inlineStr">
        <is>
          <t>Not verified</t>
        </is>
      </c>
      <c r="AF435" s="5" t="inlineStr">
        <is>
          <t>Not verified</t>
        </is>
      </c>
      <c r="AG435" s="5" t="inlineStr">
        <is>
          <t>Not verified</t>
        </is>
      </c>
      <c r="AH435" s="5" t="inlineStr">
        <is>
          <t>Not verified</t>
        </is>
      </c>
      <c r="AI435" s="8" t="inlineStr">
        <is>
          <t>No</t>
        </is>
      </c>
      <c r="AJ435" s="8" t="inlineStr">
        <is>
          <t>Claimed - unverified</t>
        </is>
      </c>
      <c r="AK435" s="8" t="inlineStr">
        <is>
          <t>P1</t>
        </is>
      </c>
      <c r="AL435" s="8" t="n">
        <v>12</v>
      </c>
      <c r="AM435" s="5" t="inlineStr"/>
      <c r="AN435" s="5" t="inlineStr"/>
      <c r="AO435" s="5" t="inlineStr"/>
      <c r="AP435" s="5" t="inlineStr"/>
      <c r="AQ435" s="5" t="inlineStr"/>
      <c r="AR435" s="5" t="inlineStr"/>
      <c r="AS435" s="5" t="inlineStr"/>
      <c r="AT435" s="5" t="inlineStr"/>
      <c r="AU435" s="8" t="inlineStr">
        <is>
          <t>Not run</t>
        </is>
      </c>
    </row>
    <row r="436" ht="32" customHeight="1">
      <c r="A436" s="16" t="inlineStr">
        <is>
          <t>X-0435</t>
        </is>
      </c>
      <c r="B436" s="8" t="inlineStr">
        <is>
          <t>X</t>
        </is>
      </c>
      <c r="C436" s="5" t="inlineStr">
        <is>
          <t>Multiple / Cross-persona</t>
        </is>
      </c>
      <c r="D436" s="5" t="inlineStr">
        <is>
          <t>Security / Exception / Recovery</t>
        </is>
      </c>
      <c r="E436" s="5" t="inlineStr">
        <is>
          <t>Invalid GSTIN → invoice validation catches it</t>
        </is>
      </c>
      <c r="F436" s="5" t="inlineStr">
        <is>
          <t>System / GST Guard</t>
        </is>
      </c>
      <c r="G436" s="5" t="inlineStr">
        <is>
          <t>Billing Clerk</t>
        </is>
      </c>
      <c r="H436" s="5" t="inlineStr">
        <is>
          <t>Typing an invalid or malformed GSTIN triggers checksum error before saving invoice</t>
        </is>
      </c>
      <c r="I436" s="5" t="inlineStr">
        <is>
          <t>Validates 15-character GSTIN structure, state code, and Luhn checksum algorithm</t>
        </is>
      </c>
      <c r="J436" s="20" t="inlineStr">
        <is>
          <t>P1</t>
        </is>
      </c>
      <c r="K436" s="20" t="inlineStr">
        <is>
          <t>Validated (Supported)</t>
        </is>
      </c>
      <c r="L436" s="5" t="inlineStr">
        <is>
          <t>Supported via client-side and server-side GSTIN checksum validator.</t>
        </is>
      </c>
      <c r="M436" s="8" t="inlineStr">
        <is>
          <t>Baseline</t>
        </is>
      </c>
      <c r="N436" s="8" t="inlineStr">
        <is>
          <t>Cross-persona</t>
        </is>
      </c>
      <c r="O436" s="8" t="inlineStr">
        <is>
          <t>P1</t>
        </is>
      </c>
      <c r="P436" s="5" t="inlineStr">
        <is>
          <t>Unchanged</t>
        </is>
      </c>
      <c r="Q436" s="20" t="inlineStr">
        <is>
          <t>Author assertion</t>
        </is>
      </c>
      <c r="R436" s="5" t="inlineStr"/>
      <c r="S436" s="8" t="inlineStr">
        <is>
          <t>OTHER</t>
        </is>
      </c>
      <c r="T436" s="5" t="inlineStr">
        <is>
          <t>Security / Exception / Recovery</t>
        </is>
      </c>
      <c r="U436" s="8" t="inlineStr"/>
      <c r="V436" s="8" t="inlineStr"/>
      <c r="W436" s="8" t="inlineStr">
        <is>
          <t>CONTROL</t>
        </is>
      </c>
      <c r="X436" s="5" t="inlineStr">
        <is>
          <t>Core</t>
        </is>
      </c>
      <c r="Y436" s="5" t="inlineStr">
        <is>
          <t>Cross-persona</t>
        </is>
      </c>
      <c r="Z436" s="5" t="inlineStr">
        <is>
          <t>High</t>
        </is>
      </c>
      <c r="AA436" s="5" t="inlineStr">
        <is>
          <t>Medium</t>
        </is>
      </c>
      <c r="AB436" s="8" t="inlineStr">
        <is>
          <t>Medium</t>
        </is>
      </c>
      <c r="AC436" s="8" t="inlineStr">
        <is>
          <t>Pilot</t>
        </is>
      </c>
      <c r="AD436" s="5" t="inlineStr">
        <is>
          <t>Not independently checked</t>
        </is>
      </c>
      <c r="AE436" s="5" t="inlineStr">
        <is>
          <t>Not verified</t>
        </is>
      </c>
      <c r="AF436" s="5" t="inlineStr">
        <is>
          <t>Not verified</t>
        </is>
      </c>
      <c r="AG436" s="5" t="inlineStr">
        <is>
          <t>Not verified</t>
        </is>
      </c>
      <c r="AH436" s="5" t="inlineStr">
        <is>
          <t>Not verified</t>
        </is>
      </c>
      <c r="AI436" s="8" t="inlineStr">
        <is>
          <t>No</t>
        </is>
      </c>
      <c r="AJ436" s="8" t="inlineStr">
        <is>
          <t>Claimed - unverified</t>
        </is>
      </c>
      <c r="AK436" s="8" t="inlineStr">
        <is>
          <t>P1</t>
        </is>
      </c>
      <c r="AL436" s="8" t="n">
        <v>12</v>
      </c>
      <c r="AM436" s="5" t="inlineStr"/>
      <c r="AN436" s="5" t="inlineStr"/>
      <c r="AO436" s="5" t="inlineStr"/>
      <c r="AP436" s="5" t="inlineStr"/>
      <c r="AQ436" s="5" t="inlineStr"/>
      <c r="AR436" s="5" t="inlineStr"/>
      <c r="AS436" s="5" t="inlineStr"/>
      <c r="AT436" s="5" t="inlineStr"/>
      <c r="AU436" s="8" t="inlineStr">
        <is>
          <t>Not run</t>
        </is>
      </c>
    </row>
    <row r="437" ht="32" customHeight="1">
      <c r="A437" s="16" t="inlineStr">
        <is>
          <t>X-0436</t>
        </is>
      </c>
      <c r="B437" s="8" t="inlineStr">
        <is>
          <t>X</t>
        </is>
      </c>
      <c r="C437" s="5" t="inlineStr">
        <is>
          <t>Multiple / Cross-persona</t>
        </is>
      </c>
      <c r="D437" s="5" t="inlineStr">
        <is>
          <t>Security / Exception / Recovery</t>
        </is>
      </c>
      <c r="E437" s="5" t="inlineStr">
        <is>
          <t>Duplicate invoice → duplicate detection</t>
        </is>
      </c>
      <c r="F437" s="5" t="inlineStr">
        <is>
          <t>System / Validation Engine</t>
        </is>
      </c>
      <c r="G437" s="5" t="inlineStr">
        <is>
          <t>In-house Accountant</t>
        </is>
      </c>
      <c r="H437" s="5" t="inlineStr">
        <is>
          <t>System prevents saving two invoices with identical invoice number for the same financial year</t>
        </is>
      </c>
      <c r="I437" s="5" t="inlineStr">
        <is>
          <t>Raises UniqueConstraint violation; warns user of existing invoice duplicate</t>
        </is>
      </c>
      <c r="J437" s="20" t="inlineStr">
        <is>
          <t>P1</t>
        </is>
      </c>
      <c r="K437" s="20" t="inlineStr">
        <is>
          <t>Validated (Supported)</t>
        </is>
      </c>
      <c r="L437" s="5" t="inlineStr">
        <is>
          <t>Core data invariant: database unique constraint on (company_id, invoice_number, financial_year).</t>
        </is>
      </c>
      <c r="M437" s="8" t="inlineStr">
        <is>
          <t>Baseline</t>
        </is>
      </c>
      <c r="N437" s="8" t="inlineStr">
        <is>
          <t>Cross-persona</t>
        </is>
      </c>
      <c r="O437" s="8" t="inlineStr">
        <is>
          <t>P1</t>
        </is>
      </c>
      <c r="P437" s="5" t="inlineStr">
        <is>
          <t>Unchanged</t>
        </is>
      </c>
      <c r="Q437" s="21" t="inlineStr">
        <is>
          <t>Code symbol found</t>
        </is>
      </c>
      <c r="R437" s="5" t="inlineStr">
        <is>
          <t>Matched invoice_number in product code. This is not a functional test.</t>
        </is>
      </c>
      <c r="S437" s="8" t="inlineStr">
        <is>
          <t>OTHER</t>
        </is>
      </c>
      <c r="T437" s="5" t="inlineStr">
        <is>
          <t>Security / Exception / Recovery</t>
        </is>
      </c>
      <c r="U437" s="8" t="inlineStr"/>
      <c r="V437" s="8" t="inlineStr"/>
      <c r="W437" s="8" t="inlineStr">
        <is>
          <t>CONTROL</t>
        </is>
      </c>
      <c r="X437" s="5" t="inlineStr">
        <is>
          <t>Core</t>
        </is>
      </c>
      <c r="Y437" s="5" t="inlineStr">
        <is>
          <t>Cross-persona</t>
        </is>
      </c>
      <c r="Z437" s="5" t="inlineStr">
        <is>
          <t>High</t>
        </is>
      </c>
      <c r="AA437" s="5" t="inlineStr">
        <is>
          <t>Medium</t>
        </is>
      </c>
      <c r="AB437" s="8" t="inlineStr">
        <is>
          <t>Medium</t>
        </is>
      </c>
      <c r="AC437" s="8" t="inlineStr">
        <is>
          <t>Pilot</t>
        </is>
      </c>
      <c r="AD437" s="5" t="inlineStr">
        <is>
          <t>Cited in code</t>
        </is>
      </c>
      <c r="AE437" s="5" t="inlineStr">
        <is>
          <t>Not verified</t>
        </is>
      </c>
      <c r="AF437" s="5" t="inlineStr">
        <is>
          <t>Not verified</t>
        </is>
      </c>
      <c r="AG437" s="5" t="inlineStr">
        <is>
          <t>Not verified</t>
        </is>
      </c>
      <c r="AH437" s="5" t="inlineStr">
        <is>
          <t>Not verified</t>
        </is>
      </c>
      <c r="AI437" s="8" t="inlineStr">
        <is>
          <t>No</t>
        </is>
      </c>
      <c r="AJ437" s="8" t="inlineStr">
        <is>
          <t>Built - unverified</t>
        </is>
      </c>
      <c r="AK437" s="8" t="inlineStr">
        <is>
          <t>P1</t>
        </is>
      </c>
      <c r="AL437" s="8" t="n">
        <v>12</v>
      </c>
      <c r="AM437" s="5" t="inlineStr"/>
      <c r="AN437" s="5" t="inlineStr"/>
      <c r="AO437" s="5" t="inlineStr"/>
      <c r="AP437" s="5" t="inlineStr"/>
      <c r="AQ437" s="5" t="inlineStr"/>
      <c r="AR437" s="5" t="inlineStr"/>
      <c r="AS437" s="5" t="inlineStr"/>
      <c r="AT437" s="5" t="inlineStr"/>
      <c r="AU437" s="8" t="inlineStr">
        <is>
          <t>Not run</t>
        </is>
      </c>
    </row>
    <row r="438" ht="32" customHeight="1">
      <c r="A438" s="16" t="inlineStr">
        <is>
          <t>X-0437</t>
        </is>
      </c>
      <c r="B438" s="8" t="inlineStr">
        <is>
          <t>X</t>
        </is>
      </c>
      <c r="C438" s="5" t="inlineStr">
        <is>
          <t>Multiple / Cross-persona</t>
        </is>
      </c>
      <c r="D438" s="5" t="inlineStr">
        <is>
          <t>Security / Exception / Recovery</t>
        </is>
      </c>
      <c r="E438" s="5" t="inlineStr">
        <is>
          <t>Network failure during save → no duplicate transaction is created</t>
        </is>
      </c>
      <c r="F438" s="5" t="inlineStr">
        <is>
          <t>System / Resilience</t>
        </is>
      </c>
      <c r="G438" s="5" t="inlineStr">
        <is>
          <t>POS Operator</t>
        </is>
      </c>
      <c r="H438" s="5" t="inlineStr">
        <is>
          <t>Network drop during checkout does not cause duplicate billing or double inventory deduction</t>
        </is>
      </c>
      <c r="I438" s="5" t="inlineStr">
        <is>
          <t>Enforces client-generated idempotency key; duplicate submission returns existing result</t>
        </is>
      </c>
      <c r="J438" s="20" t="inlineStr">
        <is>
          <t>P1</t>
        </is>
      </c>
      <c r="K438" s="20" t="inlineStr">
        <is>
          <t>Validated (Supported)</t>
        </is>
      </c>
      <c r="L438" s="5" t="inlineStr">
        <is>
          <t>Supported via Idempotency-Key header on all critical creation endpoints.</t>
        </is>
      </c>
      <c r="M438" s="8" t="inlineStr">
        <is>
          <t>Baseline</t>
        </is>
      </c>
      <c r="N438" s="8" t="inlineStr">
        <is>
          <t>Cross-persona</t>
        </is>
      </c>
      <c r="O438" s="8" t="inlineStr">
        <is>
          <t>P1</t>
        </is>
      </c>
      <c r="P438" s="5" t="inlineStr">
        <is>
          <t>Unchanged</t>
        </is>
      </c>
      <c r="Q438" s="20" t="inlineStr">
        <is>
          <t>Author assertion</t>
        </is>
      </c>
      <c r="R438" s="5" t="inlineStr"/>
      <c r="S438" s="8" t="inlineStr">
        <is>
          <t>OTHER</t>
        </is>
      </c>
      <c r="T438" s="5" t="inlineStr">
        <is>
          <t>Security / Exception / Recovery</t>
        </is>
      </c>
      <c r="U438" s="8" t="inlineStr"/>
      <c r="V438" s="8" t="inlineStr"/>
      <c r="W438" s="8" t="inlineStr">
        <is>
          <t>CONTROL</t>
        </is>
      </c>
      <c r="X438" s="5" t="inlineStr">
        <is>
          <t>Core</t>
        </is>
      </c>
      <c r="Y438" s="5" t="inlineStr">
        <is>
          <t>Cross-persona</t>
        </is>
      </c>
      <c r="Z438" s="5" t="inlineStr">
        <is>
          <t>High</t>
        </is>
      </c>
      <c r="AA438" s="5" t="inlineStr">
        <is>
          <t>Medium</t>
        </is>
      </c>
      <c r="AB438" s="8" t="inlineStr">
        <is>
          <t>Medium</t>
        </is>
      </c>
      <c r="AC438" s="8" t="inlineStr">
        <is>
          <t>Pilot</t>
        </is>
      </c>
      <c r="AD438" s="5" t="inlineStr">
        <is>
          <t>Not independently checked</t>
        </is>
      </c>
      <c r="AE438" s="5" t="inlineStr">
        <is>
          <t>Not verified</t>
        </is>
      </c>
      <c r="AF438" s="5" t="inlineStr">
        <is>
          <t>Not verified</t>
        </is>
      </c>
      <c r="AG438" s="5" t="inlineStr">
        <is>
          <t>Not verified</t>
        </is>
      </c>
      <c r="AH438" s="5" t="inlineStr">
        <is>
          <t>Not verified</t>
        </is>
      </c>
      <c r="AI438" s="8" t="inlineStr">
        <is>
          <t>No</t>
        </is>
      </c>
      <c r="AJ438" s="8" t="inlineStr">
        <is>
          <t>Claimed - unverified</t>
        </is>
      </c>
      <c r="AK438" s="8" t="inlineStr">
        <is>
          <t>P1</t>
        </is>
      </c>
      <c r="AL438" s="8" t="n">
        <v>12</v>
      </c>
      <c r="AM438" s="5" t="inlineStr"/>
      <c r="AN438" s="5" t="inlineStr"/>
      <c r="AO438" s="5" t="inlineStr"/>
      <c r="AP438" s="5" t="inlineStr"/>
      <c r="AQ438" s="5" t="inlineStr"/>
      <c r="AR438" s="5" t="inlineStr"/>
      <c r="AS438" s="5" t="inlineStr"/>
      <c r="AT438" s="5" t="inlineStr"/>
      <c r="AU438" s="8" t="inlineStr">
        <is>
          <t>Not run</t>
        </is>
      </c>
    </row>
    <row r="439" ht="32" customHeight="1">
      <c r="A439" s="16" t="inlineStr">
        <is>
          <t>X-0438</t>
        </is>
      </c>
      <c r="B439" s="8" t="inlineStr">
        <is>
          <t>X</t>
        </is>
      </c>
      <c r="C439" s="5" t="inlineStr">
        <is>
          <t>Multiple / Cross-persona</t>
        </is>
      </c>
      <c r="D439" s="5" t="inlineStr">
        <is>
          <t>Security / Exception / Recovery</t>
        </is>
      </c>
      <c r="E439" s="5" t="inlineStr">
        <is>
          <t>Concurrent edits → conflict is handled</t>
        </is>
      </c>
      <c r="F439" s="5" t="inlineStr">
        <is>
          <t>System / Concurrency Engine</t>
        </is>
      </c>
      <c r="G439" s="5" t="inlineStr">
        <is>
          <t>Two Concurrent Editors</t>
        </is>
      </c>
      <c r="H439" s="5" t="inlineStr">
        <is>
          <t>Simultaneous edits to the same document detected safely without silent overwrites</t>
        </is>
      </c>
      <c r="I439" s="5" t="inlineStr">
        <is>
          <t>Uses optimistic locking (version / updated_at check); alerts second user to refresh</t>
        </is>
      </c>
      <c r="J439" s="20" t="inlineStr">
        <is>
          <t>P1</t>
        </is>
      </c>
      <c r="K439" s="20" t="inlineStr">
        <is>
          <t>Validated (Supported)</t>
        </is>
      </c>
      <c r="L439" s="5" t="inlineStr">
        <is>
          <t>Supported via optimistic concurrency locking on master and document models.</t>
        </is>
      </c>
      <c r="M439" s="8" t="inlineStr">
        <is>
          <t>Baseline</t>
        </is>
      </c>
      <c r="N439" s="8" t="inlineStr">
        <is>
          <t>Cross-persona</t>
        </is>
      </c>
      <c r="O439" s="8" t="inlineStr">
        <is>
          <t>P1</t>
        </is>
      </c>
      <c r="P439" s="5" t="inlineStr">
        <is>
          <t>Unchanged</t>
        </is>
      </c>
      <c r="Q439" s="20" t="inlineStr">
        <is>
          <t>Author assertion</t>
        </is>
      </c>
      <c r="R439" s="5" t="inlineStr"/>
      <c r="S439" s="8" t="inlineStr">
        <is>
          <t>OTHER</t>
        </is>
      </c>
      <c r="T439" s="5" t="inlineStr">
        <is>
          <t>Security / Exception / Recovery</t>
        </is>
      </c>
      <c r="U439" s="8" t="inlineStr"/>
      <c r="V439" s="8" t="inlineStr"/>
      <c r="W439" s="8" t="inlineStr">
        <is>
          <t>CONTROL</t>
        </is>
      </c>
      <c r="X439" s="5" t="inlineStr">
        <is>
          <t>Core</t>
        </is>
      </c>
      <c r="Y439" s="5" t="inlineStr">
        <is>
          <t>Cross-persona</t>
        </is>
      </c>
      <c r="Z439" s="5" t="inlineStr">
        <is>
          <t>High</t>
        </is>
      </c>
      <c r="AA439" s="5" t="inlineStr">
        <is>
          <t>Medium</t>
        </is>
      </c>
      <c r="AB439" s="8" t="inlineStr">
        <is>
          <t>Medium</t>
        </is>
      </c>
      <c r="AC439" s="8" t="inlineStr">
        <is>
          <t>Pilot</t>
        </is>
      </c>
      <c r="AD439" s="5" t="inlineStr">
        <is>
          <t>Not independently checked</t>
        </is>
      </c>
      <c r="AE439" s="5" t="inlineStr">
        <is>
          <t>Not verified</t>
        </is>
      </c>
      <c r="AF439" s="5" t="inlineStr">
        <is>
          <t>Not verified</t>
        </is>
      </c>
      <c r="AG439" s="5" t="inlineStr">
        <is>
          <t>Not verified</t>
        </is>
      </c>
      <c r="AH439" s="5" t="inlineStr">
        <is>
          <t>Not verified</t>
        </is>
      </c>
      <c r="AI439" s="8" t="inlineStr">
        <is>
          <t>No</t>
        </is>
      </c>
      <c r="AJ439" s="8" t="inlineStr">
        <is>
          <t>Claimed - unverified</t>
        </is>
      </c>
      <c r="AK439" s="8" t="inlineStr">
        <is>
          <t>P1</t>
        </is>
      </c>
      <c r="AL439" s="8" t="n">
        <v>12</v>
      </c>
      <c r="AM439" s="5" t="inlineStr"/>
      <c r="AN439" s="5" t="inlineStr"/>
      <c r="AO439" s="5" t="inlineStr"/>
      <c r="AP439" s="5" t="inlineStr"/>
      <c r="AQ439" s="5" t="inlineStr"/>
      <c r="AR439" s="5" t="inlineStr"/>
      <c r="AS439" s="5" t="inlineStr"/>
      <c r="AT439" s="5" t="inlineStr"/>
      <c r="AU439" s="8" t="inlineStr">
        <is>
          <t>Not run</t>
        </is>
      </c>
    </row>
    <row r="440" ht="32" customHeight="1">
      <c r="A440" s="16" t="inlineStr">
        <is>
          <t>X-0439</t>
        </is>
      </c>
      <c r="B440" s="8" t="inlineStr">
        <is>
          <t>X</t>
        </is>
      </c>
      <c r="C440" s="5" t="inlineStr">
        <is>
          <t>Multiple / Cross-persona</t>
        </is>
      </c>
      <c r="D440" s="5" t="inlineStr">
        <is>
          <t>Security / Exception / Recovery</t>
        </is>
      </c>
      <c r="E440" s="5" t="inlineStr">
        <is>
          <t>Integration failure → transaction is not silently lost</t>
        </is>
      </c>
      <c r="F440" s="5" t="inlineStr">
        <is>
          <t>System / Integration Queue</t>
        </is>
      </c>
      <c r="G440" s="5" t="inlineStr">
        <is>
          <t>System Administrator</t>
        </is>
      </c>
      <c r="H440" s="5" t="inlineStr">
        <is>
          <t>WhatsApp or payment gateway network failure queued for automatic background retry</t>
        </is>
      </c>
      <c r="I440" s="5" t="inlineStr">
        <is>
          <t>Records failed payload in IntegrationOutbox queue; retries with exponential backoff</t>
        </is>
      </c>
      <c r="J440" s="20" t="inlineStr">
        <is>
          <t>P1</t>
        </is>
      </c>
      <c r="K440" s="20" t="inlineStr">
        <is>
          <t>Validated (Supported)</t>
        </is>
      </c>
      <c r="L440" s="5" t="inlineStr">
        <is>
          <t>Supported via Celery background task retry queue for external integrations.</t>
        </is>
      </c>
      <c r="M440" s="8" t="inlineStr">
        <is>
          <t>Baseline</t>
        </is>
      </c>
      <c r="N440" s="8" t="inlineStr">
        <is>
          <t>Cross-persona</t>
        </is>
      </c>
      <c r="O440" s="8" t="inlineStr">
        <is>
          <t>P1</t>
        </is>
      </c>
      <c r="P440" s="5" t="inlineStr">
        <is>
          <t>Unchanged</t>
        </is>
      </c>
      <c r="Q440" s="20" t="inlineStr">
        <is>
          <t>Author assertion</t>
        </is>
      </c>
      <c r="R440" s="5" t="inlineStr"/>
      <c r="S440" s="8" t="inlineStr">
        <is>
          <t>OTHER</t>
        </is>
      </c>
      <c r="T440" s="5" t="inlineStr">
        <is>
          <t>Security / Exception / Recovery</t>
        </is>
      </c>
      <c r="U440" s="8" t="inlineStr"/>
      <c r="V440" s="8" t="inlineStr"/>
      <c r="W440" s="8" t="inlineStr">
        <is>
          <t>CONTROL</t>
        </is>
      </c>
      <c r="X440" s="5" t="inlineStr">
        <is>
          <t>Core</t>
        </is>
      </c>
      <c r="Y440" s="5" t="inlineStr">
        <is>
          <t>Cross-persona</t>
        </is>
      </c>
      <c r="Z440" s="5" t="inlineStr">
        <is>
          <t>High</t>
        </is>
      </c>
      <c r="AA440" s="5" t="inlineStr">
        <is>
          <t>Medium</t>
        </is>
      </c>
      <c r="AB440" s="8" t="inlineStr">
        <is>
          <t>Medium</t>
        </is>
      </c>
      <c r="AC440" s="8" t="inlineStr">
        <is>
          <t>Pilot</t>
        </is>
      </c>
      <c r="AD440" s="5" t="inlineStr">
        <is>
          <t>Not independently checked</t>
        </is>
      </c>
      <c r="AE440" s="5" t="inlineStr">
        <is>
          <t>Not verified</t>
        </is>
      </c>
      <c r="AF440" s="5" t="inlineStr">
        <is>
          <t>Not verified</t>
        </is>
      </c>
      <c r="AG440" s="5" t="inlineStr">
        <is>
          <t>Not verified</t>
        </is>
      </c>
      <c r="AH440" s="5" t="inlineStr">
        <is>
          <t>Not verified</t>
        </is>
      </c>
      <c r="AI440" s="8" t="inlineStr">
        <is>
          <t>No</t>
        </is>
      </c>
      <c r="AJ440" s="8" t="inlineStr">
        <is>
          <t>Claimed - unverified</t>
        </is>
      </c>
      <c r="AK440" s="8" t="inlineStr">
        <is>
          <t>P1</t>
        </is>
      </c>
      <c r="AL440" s="8" t="n">
        <v>12</v>
      </c>
      <c r="AM440" s="5" t="inlineStr"/>
      <c r="AN440" s="5" t="inlineStr"/>
      <c r="AO440" s="5" t="inlineStr"/>
      <c r="AP440" s="5" t="inlineStr"/>
      <c r="AQ440" s="5" t="inlineStr"/>
      <c r="AR440" s="5" t="inlineStr"/>
      <c r="AS440" s="5" t="inlineStr"/>
      <c r="AT440" s="5" t="inlineStr"/>
      <c r="AU440" s="8" t="inlineStr">
        <is>
          <t>Not run</t>
        </is>
      </c>
    </row>
    <row r="441" ht="32" customHeight="1">
      <c r="A441" s="16" t="inlineStr">
        <is>
          <t>X-0440</t>
        </is>
      </c>
      <c r="B441" s="8" t="inlineStr">
        <is>
          <t>X</t>
        </is>
      </c>
      <c r="C441" s="5" t="inlineStr">
        <is>
          <t>Multiple / Cross-persona</t>
        </is>
      </c>
      <c r="D441" s="5" t="inlineStr">
        <is>
          <t>Security / Exception / Recovery</t>
        </is>
      </c>
      <c r="E441" s="5" t="inlineStr">
        <is>
          <t>GST integration failure → exception is visible</t>
        </is>
      </c>
      <c r="F441" s="5" t="inlineStr">
        <is>
          <t>System / GST Engine</t>
        </is>
      </c>
      <c r="G441" s="5" t="inlineStr">
        <is>
          <t>In-house Accountant</t>
        </is>
      </c>
      <c r="H441" s="5" t="inlineStr">
        <is>
          <t>Errors during government portal sync surfaced with actionable error descriptions</t>
        </is>
      </c>
      <c r="I441" s="5" t="inlineStr">
        <is>
          <t>Logs exact government error code (e.g. Invalid Token, Duplicate IRN) in GST Error Queue</t>
        </is>
      </c>
      <c r="J441" s="20" t="inlineStr">
        <is>
          <t>P1</t>
        </is>
      </c>
      <c r="K441" s="20" t="inlineStr">
        <is>
          <t>Validated (Supported)</t>
        </is>
      </c>
      <c r="L441" s="5" t="inlineStr">
        <is>
          <t>Supported via GST Integration Exception Dashboard.</t>
        </is>
      </c>
      <c r="M441" s="8" t="inlineStr">
        <is>
          <t>Baseline</t>
        </is>
      </c>
      <c r="N441" s="8" t="inlineStr">
        <is>
          <t>Cross-persona</t>
        </is>
      </c>
      <c r="O441" s="8" t="inlineStr">
        <is>
          <t>P1</t>
        </is>
      </c>
      <c r="P441" s="5" t="inlineStr">
        <is>
          <t>Unchanged</t>
        </is>
      </c>
      <c r="Q441" s="20" t="inlineStr">
        <is>
          <t>Author assertion</t>
        </is>
      </c>
      <c r="R441" s="5" t="inlineStr"/>
      <c r="S441" s="8" t="inlineStr">
        <is>
          <t>OTHER</t>
        </is>
      </c>
      <c r="T441" s="5" t="inlineStr">
        <is>
          <t>Security / Exception / Recovery</t>
        </is>
      </c>
      <c r="U441" s="8" t="inlineStr"/>
      <c r="V441" s="8" t="inlineStr"/>
      <c r="W441" s="8" t="inlineStr">
        <is>
          <t>CONTROL</t>
        </is>
      </c>
      <c r="X441" s="5" t="inlineStr">
        <is>
          <t>Core</t>
        </is>
      </c>
      <c r="Y441" s="5" t="inlineStr">
        <is>
          <t>Cross-persona</t>
        </is>
      </c>
      <c r="Z441" s="5" t="inlineStr">
        <is>
          <t>High</t>
        </is>
      </c>
      <c r="AA441" s="5" t="inlineStr">
        <is>
          <t>Medium</t>
        </is>
      </c>
      <c r="AB441" s="8" t="inlineStr">
        <is>
          <t>Medium</t>
        </is>
      </c>
      <c r="AC441" s="8" t="inlineStr">
        <is>
          <t>Pilot</t>
        </is>
      </c>
      <c r="AD441" s="5" t="inlineStr">
        <is>
          <t>Not independently checked</t>
        </is>
      </c>
      <c r="AE441" s="5" t="inlineStr">
        <is>
          <t>Not verified</t>
        </is>
      </c>
      <c r="AF441" s="5" t="inlineStr">
        <is>
          <t>Not verified</t>
        </is>
      </c>
      <c r="AG441" s="5" t="inlineStr">
        <is>
          <t>Not verified</t>
        </is>
      </c>
      <c r="AH441" s="5" t="inlineStr">
        <is>
          <t>Not verified</t>
        </is>
      </c>
      <c r="AI441" s="8" t="inlineStr">
        <is>
          <t>No</t>
        </is>
      </c>
      <c r="AJ441" s="8" t="inlineStr">
        <is>
          <t>Claimed - unverified</t>
        </is>
      </c>
      <c r="AK441" s="8" t="inlineStr">
        <is>
          <t>P1</t>
        </is>
      </c>
      <c r="AL441" s="8" t="n">
        <v>12</v>
      </c>
      <c r="AM441" s="5" t="inlineStr"/>
      <c r="AN441" s="5" t="inlineStr"/>
      <c r="AO441" s="5" t="inlineStr"/>
      <c r="AP441" s="5" t="inlineStr"/>
      <c r="AQ441" s="5" t="inlineStr"/>
      <c r="AR441" s="5" t="inlineStr"/>
      <c r="AS441" s="5" t="inlineStr"/>
      <c r="AT441" s="5" t="inlineStr"/>
      <c r="AU441" s="8" t="inlineStr">
        <is>
          <t>Not run</t>
        </is>
      </c>
    </row>
    <row r="442" ht="32" customHeight="1">
      <c r="A442" s="16" t="inlineStr">
        <is>
          <t>X-0441</t>
        </is>
      </c>
      <c r="B442" s="8" t="inlineStr">
        <is>
          <t>X</t>
        </is>
      </c>
      <c r="C442" s="5" t="inlineStr">
        <is>
          <t>Multiple / Cross-persona</t>
        </is>
      </c>
      <c r="D442" s="5" t="inlineStr">
        <is>
          <t>Security / Exception / Recovery</t>
        </is>
      </c>
      <c r="E442" s="5" t="inlineStr">
        <is>
          <t>Bulk operation failure → successful and failed records are separated</t>
        </is>
      </c>
      <c r="F442" s="5" t="inlineStr">
        <is>
          <t>System / Import Engine</t>
        </is>
      </c>
      <c r="G442" s="5" t="inlineStr">
        <is>
          <t>In-house Accountant</t>
        </is>
      </c>
      <c r="H442" s="5" t="inlineStr">
        <is>
          <t>Bulk CSV import processes valid rows while isolating invalid rows into downloadable error CSV</t>
        </is>
      </c>
      <c r="I442" s="5" t="inlineStr">
        <is>
          <t>Commits valid records; generates error spreadsheet showing exact row and column failures</t>
        </is>
      </c>
      <c r="J442" s="20" t="inlineStr">
        <is>
          <t>P1</t>
        </is>
      </c>
      <c r="K442" s="20" t="inlineStr">
        <is>
          <t>Validated (Supported)</t>
        </is>
      </c>
      <c r="L442" s="5" t="inlineStr">
        <is>
          <t>Supported via transactional bulk import engine with error CSV download.</t>
        </is>
      </c>
      <c r="M442" s="8" t="inlineStr">
        <is>
          <t>Baseline</t>
        </is>
      </c>
      <c r="N442" s="8" t="inlineStr">
        <is>
          <t>Cross-persona</t>
        </is>
      </c>
      <c r="O442" s="8" t="inlineStr">
        <is>
          <t>P1</t>
        </is>
      </c>
      <c r="P442" s="5" t="inlineStr">
        <is>
          <t>Unchanged</t>
        </is>
      </c>
      <c r="Q442" s="20" t="inlineStr">
        <is>
          <t>Author assertion</t>
        </is>
      </c>
      <c r="R442" s="5" t="inlineStr"/>
      <c r="S442" s="8" t="inlineStr">
        <is>
          <t>OTHER</t>
        </is>
      </c>
      <c r="T442" s="5" t="inlineStr">
        <is>
          <t>Security / Exception / Recovery</t>
        </is>
      </c>
      <c r="U442" s="8" t="inlineStr"/>
      <c r="V442" s="8" t="inlineStr"/>
      <c r="W442" s="8" t="inlineStr">
        <is>
          <t>CONTROL</t>
        </is>
      </c>
      <c r="X442" s="5" t="inlineStr">
        <is>
          <t>Core</t>
        </is>
      </c>
      <c r="Y442" s="5" t="inlineStr">
        <is>
          <t>Cross-persona</t>
        </is>
      </c>
      <c r="Z442" s="5" t="inlineStr">
        <is>
          <t>High</t>
        </is>
      </c>
      <c r="AA442" s="5" t="inlineStr">
        <is>
          <t>Medium</t>
        </is>
      </c>
      <c r="AB442" s="8" t="inlineStr">
        <is>
          <t>Medium</t>
        </is>
      </c>
      <c r="AC442" s="8" t="inlineStr">
        <is>
          <t>Pilot</t>
        </is>
      </c>
      <c r="AD442" s="5" t="inlineStr">
        <is>
          <t>Not independently checked</t>
        </is>
      </c>
      <c r="AE442" s="5" t="inlineStr">
        <is>
          <t>Not verified</t>
        </is>
      </c>
      <c r="AF442" s="5" t="inlineStr">
        <is>
          <t>Not verified</t>
        </is>
      </c>
      <c r="AG442" s="5" t="inlineStr">
        <is>
          <t>Not verified</t>
        </is>
      </c>
      <c r="AH442" s="5" t="inlineStr">
        <is>
          <t>Not verified</t>
        </is>
      </c>
      <c r="AI442" s="8" t="inlineStr">
        <is>
          <t>No</t>
        </is>
      </c>
      <c r="AJ442" s="8" t="inlineStr">
        <is>
          <t>Claimed - unverified</t>
        </is>
      </c>
      <c r="AK442" s="8" t="inlineStr">
        <is>
          <t>P1</t>
        </is>
      </c>
      <c r="AL442" s="8" t="n">
        <v>12</v>
      </c>
      <c r="AM442" s="5" t="inlineStr"/>
      <c r="AN442" s="5" t="inlineStr"/>
      <c r="AO442" s="5" t="inlineStr"/>
      <c r="AP442" s="5" t="inlineStr"/>
      <c r="AQ442" s="5" t="inlineStr"/>
      <c r="AR442" s="5" t="inlineStr"/>
      <c r="AS442" s="5" t="inlineStr"/>
      <c r="AT442" s="5" t="inlineStr"/>
      <c r="AU442" s="8" t="inlineStr">
        <is>
          <t>Not run</t>
        </is>
      </c>
    </row>
    <row r="443" ht="32" customHeight="1">
      <c r="A443" s="16" t="inlineStr">
        <is>
          <t>X-0442</t>
        </is>
      </c>
      <c r="B443" s="8" t="inlineStr">
        <is>
          <t>X</t>
        </is>
      </c>
      <c r="C443" s="5" t="inlineStr">
        <is>
          <t>Multiple / Cross-persona</t>
        </is>
      </c>
      <c r="D443" s="5" t="inlineStr">
        <is>
          <t>Security / Exception / Recovery</t>
        </is>
      </c>
      <c r="E443" s="5" t="inlineStr">
        <is>
          <t>Incorrect transaction → authorized correction mechanism exists</t>
        </is>
      </c>
      <c r="F443" s="5" t="inlineStr">
        <is>
          <t>In-house Accountant</t>
        </is>
      </c>
      <c r="G443" s="5" t="inlineStr">
        <is>
          <t>Business Owner</t>
        </is>
      </c>
      <c r="H443" s="5" t="inlineStr">
        <is>
          <t>Legitimate mechanism to void, cancel, or amend wrong bills while preserving audit history</t>
        </is>
      </c>
      <c r="I443" s="5" t="inlineStr">
        <is>
          <t>Generates offsetting reversal voucher; prompts user for mandatory cancellation reason</t>
        </is>
      </c>
      <c r="J443" s="20" t="inlineStr">
        <is>
          <t>P1</t>
        </is>
      </c>
      <c r="K443" s="20" t="inlineStr">
        <is>
          <t>Validated (Supported)</t>
        </is>
      </c>
      <c r="L443" s="5" t="inlineStr">
        <is>
          <t>Supported via formal Document Cancellation and Credit/Debit Note workflows.</t>
        </is>
      </c>
      <c r="M443" s="8" t="inlineStr">
        <is>
          <t>Baseline</t>
        </is>
      </c>
      <c r="N443" s="8" t="inlineStr">
        <is>
          <t>Cross-persona</t>
        </is>
      </c>
      <c r="O443" s="8" t="inlineStr">
        <is>
          <t>P1</t>
        </is>
      </c>
      <c r="P443" s="5" t="inlineStr">
        <is>
          <t>Unchanged</t>
        </is>
      </c>
      <c r="Q443" s="20" t="inlineStr">
        <is>
          <t>Author assertion</t>
        </is>
      </c>
      <c r="R443" s="5" t="inlineStr"/>
      <c r="S443" s="8" t="inlineStr">
        <is>
          <t>OTHER</t>
        </is>
      </c>
      <c r="T443" s="5" t="inlineStr">
        <is>
          <t>Security / Exception / Recovery</t>
        </is>
      </c>
      <c r="U443" s="8" t="inlineStr"/>
      <c r="V443" s="8" t="inlineStr"/>
      <c r="W443" s="8" t="inlineStr">
        <is>
          <t>CONTROL</t>
        </is>
      </c>
      <c r="X443" s="5" t="inlineStr">
        <is>
          <t>Core</t>
        </is>
      </c>
      <c r="Y443" s="5" t="inlineStr">
        <is>
          <t>Cross-persona</t>
        </is>
      </c>
      <c r="Z443" s="5" t="inlineStr">
        <is>
          <t>High</t>
        </is>
      </c>
      <c r="AA443" s="5" t="inlineStr">
        <is>
          <t>Medium</t>
        </is>
      </c>
      <c r="AB443" s="8" t="inlineStr">
        <is>
          <t>Medium</t>
        </is>
      </c>
      <c r="AC443" s="8" t="inlineStr">
        <is>
          <t>Pilot</t>
        </is>
      </c>
      <c r="AD443" s="5" t="inlineStr">
        <is>
          <t>Not independently checked</t>
        </is>
      </c>
      <c r="AE443" s="5" t="inlineStr">
        <is>
          <t>Not verified</t>
        </is>
      </c>
      <c r="AF443" s="5" t="inlineStr">
        <is>
          <t>Not verified</t>
        </is>
      </c>
      <c r="AG443" s="5" t="inlineStr">
        <is>
          <t>Not verified</t>
        </is>
      </c>
      <c r="AH443" s="5" t="inlineStr">
        <is>
          <t>Not verified</t>
        </is>
      </c>
      <c r="AI443" s="8" t="inlineStr">
        <is>
          <t>No</t>
        </is>
      </c>
      <c r="AJ443" s="8" t="inlineStr">
        <is>
          <t>Claimed - unverified</t>
        </is>
      </c>
      <c r="AK443" s="8" t="inlineStr">
        <is>
          <t>P1</t>
        </is>
      </c>
      <c r="AL443" s="8" t="n">
        <v>12</v>
      </c>
      <c r="AM443" s="5" t="inlineStr"/>
      <c r="AN443" s="5" t="inlineStr"/>
      <c r="AO443" s="5" t="inlineStr"/>
      <c r="AP443" s="5" t="inlineStr"/>
      <c r="AQ443" s="5" t="inlineStr"/>
      <c r="AR443" s="5" t="inlineStr"/>
      <c r="AS443" s="5" t="inlineStr"/>
      <c r="AT443" s="5" t="inlineStr"/>
      <c r="AU443" s="8" t="inlineStr">
        <is>
          <t>Not run</t>
        </is>
      </c>
    </row>
    <row r="444" ht="32" customHeight="1">
      <c r="A444" s="16" t="inlineStr">
        <is>
          <t>X-0443</t>
        </is>
      </c>
      <c r="B444" s="8" t="inlineStr">
        <is>
          <t>X</t>
        </is>
      </c>
      <c r="C444" s="5" t="inlineStr">
        <is>
          <t>Multiple / Cross-persona</t>
        </is>
      </c>
      <c r="D444" s="5" t="inlineStr">
        <is>
          <t>Security / Exception / Recovery</t>
        </is>
      </c>
      <c r="E444" s="5" t="inlineStr">
        <is>
          <t>Cancellation → downstream impacts are correctly reversed</t>
        </is>
      </c>
      <c r="F444" s="5" t="inlineStr">
        <is>
          <t>System / Ledger Engine</t>
        </is>
      </c>
      <c r="G444" s="5" t="inlineStr">
        <is>
          <t>In-house Accountant</t>
        </is>
      </c>
      <c r="H444" s="5" t="inlineStr">
        <is>
          <t>Cancelling an invoice completely reverses stock decrements, AR debits, and tax liabilities</t>
        </is>
      </c>
      <c r="I444" s="5" t="inlineStr">
        <is>
          <t>Atomically posts reversal movements and GL vouchers in single database transaction</t>
        </is>
      </c>
      <c r="J444" s="20" t="inlineStr">
        <is>
          <t>P1</t>
        </is>
      </c>
      <c r="K444" s="20" t="inlineStr">
        <is>
          <t>Validated (Supported)</t>
        </is>
      </c>
      <c r="L444" s="5" t="inlineStr">
        <is>
          <t>Core system invariant: cancellation atomically reverses stock, receivables, and taxes.</t>
        </is>
      </c>
      <c r="M444" s="8" t="inlineStr">
        <is>
          <t>Baseline</t>
        </is>
      </c>
      <c r="N444" s="8" t="inlineStr">
        <is>
          <t>Cross-persona</t>
        </is>
      </c>
      <c r="O444" s="8" t="inlineStr">
        <is>
          <t>P1</t>
        </is>
      </c>
      <c r="P444" s="5" t="inlineStr">
        <is>
          <t>Restored to authored P1. The previous workbook had P0 after a keyword rebalance.</t>
        </is>
      </c>
      <c r="Q444" s="20" t="inlineStr">
        <is>
          <t>Author assertion</t>
        </is>
      </c>
      <c r="R444" s="5" t="inlineStr">
        <is>
          <t>Restored to authored P1. The previous workbook had P0 after a keyword rebalance.</t>
        </is>
      </c>
      <c r="S444" s="8" t="inlineStr">
        <is>
          <t>OTHER</t>
        </is>
      </c>
      <c r="T444" s="5" t="inlineStr">
        <is>
          <t>Security / Exception / Recovery</t>
        </is>
      </c>
      <c r="U444" s="8" t="inlineStr"/>
      <c r="V444" s="8" t="inlineStr"/>
      <c r="W444" s="8" t="inlineStr">
        <is>
          <t>CONTROL</t>
        </is>
      </c>
      <c r="X444" s="5" t="inlineStr">
        <is>
          <t>Core</t>
        </is>
      </c>
      <c r="Y444" s="5" t="inlineStr">
        <is>
          <t>Cross-persona</t>
        </is>
      </c>
      <c r="Z444" s="5" t="inlineStr">
        <is>
          <t>High</t>
        </is>
      </c>
      <c r="AA444" s="5" t="inlineStr">
        <is>
          <t>Medium</t>
        </is>
      </c>
      <c r="AB444" s="8" t="inlineStr">
        <is>
          <t>Medium</t>
        </is>
      </c>
      <c r="AC444" s="8" t="inlineStr">
        <is>
          <t>Pilot</t>
        </is>
      </c>
      <c r="AD444" s="5" t="inlineStr">
        <is>
          <t>Not independently checked</t>
        </is>
      </c>
      <c r="AE444" s="5" t="inlineStr">
        <is>
          <t>Not verified</t>
        </is>
      </c>
      <c r="AF444" s="5" t="inlineStr">
        <is>
          <t>Not verified</t>
        </is>
      </c>
      <c r="AG444" s="5" t="inlineStr">
        <is>
          <t>Not verified</t>
        </is>
      </c>
      <c r="AH444" s="5" t="inlineStr">
        <is>
          <t>Not verified</t>
        </is>
      </c>
      <c r="AI444" s="8" t="inlineStr">
        <is>
          <t>No</t>
        </is>
      </c>
      <c r="AJ444" s="8" t="inlineStr">
        <is>
          <t>Claimed - unverified</t>
        </is>
      </c>
      <c r="AK444" s="8" t="inlineStr">
        <is>
          <t>P1</t>
        </is>
      </c>
      <c r="AL444" s="8" t="n">
        <v>12</v>
      </c>
      <c r="AM444" s="5" t="inlineStr"/>
      <c r="AN444" s="5" t="inlineStr"/>
      <c r="AO444" s="5" t="inlineStr"/>
      <c r="AP444" s="5" t="inlineStr"/>
      <c r="AQ444" s="5" t="inlineStr"/>
      <c r="AR444" s="5" t="inlineStr"/>
      <c r="AS444" s="5" t="inlineStr"/>
      <c r="AT444" s="5" t="inlineStr"/>
      <c r="AU444" s="8" t="inlineStr">
        <is>
          <t>Not run</t>
        </is>
      </c>
    </row>
    <row r="445" ht="32" customHeight="1">
      <c r="A445" s="16" t="inlineStr">
        <is>
          <t>X-0444</t>
        </is>
      </c>
      <c r="B445" s="8" t="inlineStr">
        <is>
          <t>X</t>
        </is>
      </c>
      <c r="C445" s="5" t="inlineStr">
        <is>
          <t>Multiple / Cross-persona</t>
        </is>
      </c>
      <c r="D445" s="5" t="inlineStr">
        <is>
          <t>Security / Exception / Recovery</t>
        </is>
      </c>
      <c r="E445" s="5" t="inlineStr">
        <is>
          <t>System recovery → financial/inventory integrity is preserved</t>
        </is>
      </c>
      <c r="F445" s="5" t="inlineStr">
        <is>
          <t>System Administrator</t>
        </is>
      </c>
      <c r="G445" s="5" t="inlineStr">
        <is>
          <t>Statutory Auditor</t>
        </is>
      </c>
      <c r="H445" s="5" t="inlineStr">
        <is>
          <t>Unplanned server crash or power cut leaves zero corrupted half-completed transactions</t>
        </is>
      </c>
      <c r="I445" s="5" t="inlineStr">
        <is>
          <t>Enforces ACID compliance; uncommitted transactions rolled back completely by PostgreSQL</t>
        </is>
      </c>
      <c r="J445" s="20" t="inlineStr">
        <is>
          <t>P1</t>
        </is>
      </c>
      <c r="K445" s="20" t="inlineStr">
        <is>
          <t>Validated (Supported)</t>
        </is>
      </c>
      <c r="L445" s="5" t="inlineStr">
        <is>
          <t>Core architectural invariant: all operations wrapped in atomic database transactions.</t>
        </is>
      </c>
      <c r="M445" s="8" t="inlineStr">
        <is>
          <t>Baseline</t>
        </is>
      </c>
      <c r="N445" s="8" t="inlineStr">
        <is>
          <t>Cross-persona</t>
        </is>
      </c>
      <c r="O445" s="8" t="inlineStr">
        <is>
          <t>P1</t>
        </is>
      </c>
      <c r="P445" s="5" t="inlineStr">
        <is>
          <t>Restored to authored P1. The previous workbook had P0 after a keyword rebalance.</t>
        </is>
      </c>
      <c r="Q445" s="20" t="inlineStr">
        <is>
          <t>Author assertion</t>
        </is>
      </c>
      <c r="R445" s="5" t="inlineStr">
        <is>
          <t>Restored to authored P1. The previous workbook had P0 after a keyword rebalance.</t>
        </is>
      </c>
      <c r="S445" s="8" t="inlineStr">
        <is>
          <t>OTHER</t>
        </is>
      </c>
      <c r="T445" s="5" t="inlineStr">
        <is>
          <t>Security / Exception / Recovery</t>
        </is>
      </c>
      <c r="U445" s="8" t="inlineStr"/>
      <c r="V445" s="8" t="inlineStr"/>
      <c r="W445" s="8" t="inlineStr">
        <is>
          <t>CONTROL</t>
        </is>
      </c>
      <c r="X445" s="5" t="inlineStr">
        <is>
          <t>Core</t>
        </is>
      </c>
      <c r="Y445" s="5" t="inlineStr">
        <is>
          <t>Cross-persona</t>
        </is>
      </c>
      <c r="Z445" s="5" t="inlineStr">
        <is>
          <t>High</t>
        </is>
      </c>
      <c r="AA445" s="5" t="inlineStr">
        <is>
          <t>Medium</t>
        </is>
      </c>
      <c r="AB445" s="8" t="inlineStr">
        <is>
          <t>Medium</t>
        </is>
      </c>
      <c r="AC445" s="8" t="inlineStr">
        <is>
          <t>Pilot</t>
        </is>
      </c>
      <c r="AD445" s="5" t="inlineStr">
        <is>
          <t>Not independently checked</t>
        </is>
      </c>
      <c r="AE445" s="5" t="inlineStr">
        <is>
          <t>Not verified</t>
        </is>
      </c>
      <c r="AF445" s="5" t="inlineStr">
        <is>
          <t>Not verified</t>
        </is>
      </c>
      <c r="AG445" s="5" t="inlineStr">
        <is>
          <t>Not verified</t>
        </is>
      </c>
      <c r="AH445" s="5" t="inlineStr">
        <is>
          <t>Not verified</t>
        </is>
      </c>
      <c r="AI445" s="8" t="inlineStr">
        <is>
          <t>No</t>
        </is>
      </c>
      <c r="AJ445" s="8" t="inlineStr">
        <is>
          <t>Claimed - unverified</t>
        </is>
      </c>
      <c r="AK445" s="8" t="inlineStr">
        <is>
          <t>P1</t>
        </is>
      </c>
      <c r="AL445" s="8" t="n">
        <v>12</v>
      </c>
      <c r="AM445" s="5" t="inlineStr"/>
      <c r="AN445" s="5" t="inlineStr"/>
      <c r="AO445" s="5" t="inlineStr"/>
      <c r="AP445" s="5" t="inlineStr"/>
      <c r="AQ445" s="5" t="inlineStr"/>
      <c r="AR445" s="5" t="inlineStr"/>
      <c r="AS445" s="5" t="inlineStr"/>
      <c r="AT445" s="5" t="inlineStr"/>
      <c r="AU445" s="8" t="inlineStr">
        <is>
          <t>Not run</t>
        </is>
      </c>
    </row>
    <row r="446" ht="32" customHeight="1">
      <c r="A446" s="16" t="inlineStr">
        <is>
          <t>X-0445</t>
        </is>
      </c>
      <c r="B446" s="8" t="inlineStr">
        <is>
          <t>X</t>
        </is>
      </c>
      <c r="C446" s="5" t="inlineStr">
        <is>
          <t>Multiple / Cross-persona</t>
        </is>
      </c>
      <c r="D446" s="5" t="inlineStr">
        <is>
          <t>Communication &amp; Integrations</t>
        </is>
      </c>
      <c r="E446" s="5" t="inlineStr">
        <is>
          <t>Invoice generated → invoice sent to customer through WhatsApp</t>
        </is>
      </c>
      <c r="F446" s="5" t="inlineStr">
        <is>
          <t>Counter Clerk / Salesperson</t>
        </is>
      </c>
      <c r="G446" s="5" t="inlineStr">
        <is>
          <t>Customer</t>
        </is>
      </c>
      <c r="H446" s="5" t="inlineStr">
        <is>
          <t>Deliver professional invoice PDF and summary directly to customer's WhatsApp</t>
        </is>
      </c>
      <c r="I446" s="5" t="inlineStr">
        <is>
          <t>Opens WhatsApp Web / app with pre-filled message and secure invoice download link</t>
        </is>
      </c>
      <c r="J446" s="20" t="inlineStr">
        <is>
          <t>P1</t>
        </is>
      </c>
      <c r="K446" s="20" t="inlineStr">
        <is>
          <t>Validated (Supported)</t>
        </is>
      </c>
      <c r="L446" s="5" t="inlineStr">
        <is>
          <t>Supported via WhatsApp click-to-chat API integration and shareable link.</t>
        </is>
      </c>
      <c r="M446" s="8" t="inlineStr">
        <is>
          <t>Baseline</t>
        </is>
      </c>
      <c r="N446" s="8" t="inlineStr">
        <is>
          <t>Cross-persona</t>
        </is>
      </c>
      <c r="O446" s="8" t="inlineStr">
        <is>
          <t>P1</t>
        </is>
      </c>
      <c r="P446" s="5" t="inlineStr">
        <is>
          <t>Unchanged</t>
        </is>
      </c>
      <c r="Q446" s="21" t="inlineStr">
        <is>
          <t>Code symbol found</t>
        </is>
      </c>
      <c r="R446" s="5" t="inlineStr">
        <is>
          <t>Matched WhatsApp in product code. This is not a functional test.</t>
        </is>
      </c>
      <c r="S446" s="8" t="inlineStr">
        <is>
          <t>INT</t>
        </is>
      </c>
      <c r="T446" s="5" t="inlineStr">
        <is>
          <t>Communication and integrations</t>
        </is>
      </c>
      <c r="U446" s="8" t="inlineStr"/>
      <c r="V446" s="8" t="inlineStr">
        <is>
          <t>integrations</t>
        </is>
      </c>
      <c r="W446" s="8" t="inlineStr">
        <is>
          <t>KERNEL</t>
        </is>
      </c>
      <c r="X446" s="5" t="inlineStr">
        <is>
          <t>Core</t>
        </is>
      </c>
      <c r="Y446" s="5" t="inlineStr">
        <is>
          <t>Cross-persona</t>
        </is>
      </c>
      <c r="Z446" s="5" t="inlineStr">
        <is>
          <t>Medium</t>
        </is>
      </c>
      <c r="AA446" s="5" t="inlineStr">
        <is>
          <t>Medium</t>
        </is>
      </c>
      <c r="AB446" s="8" t="inlineStr">
        <is>
          <t>Low</t>
        </is>
      </c>
      <c r="AC446" s="8" t="inlineStr">
        <is>
          <t>Later</t>
        </is>
      </c>
      <c r="AD446" s="5" t="inlineStr">
        <is>
          <t>Cited in code</t>
        </is>
      </c>
      <c r="AE446" s="5" t="inlineStr">
        <is>
          <t>Not verified</t>
        </is>
      </c>
      <c r="AF446" s="5" t="inlineStr">
        <is>
          <t>Not verified</t>
        </is>
      </c>
      <c r="AG446" s="5" t="inlineStr">
        <is>
          <t>Not verified</t>
        </is>
      </c>
      <c r="AH446" s="5" t="inlineStr">
        <is>
          <t>Not verified</t>
        </is>
      </c>
      <c r="AI446" s="8" t="inlineStr">
        <is>
          <t>No</t>
        </is>
      </c>
      <c r="AJ446" s="8" t="inlineStr">
        <is>
          <t>Built - unverified</t>
        </is>
      </c>
      <c r="AK446" s="8" t="inlineStr">
        <is>
          <t>P1</t>
        </is>
      </c>
      <c r="AL446" s="8" t="n">
        <v>6</v>
      </c>
      <c r="AM446" s="5" t="inlineStr"/>
      <c r="AN446" s="5" t="inlineStr"/>
      <c r="AO446" s="5" t="inlineStr"/>
      <c r="AP446" s="5" t="inlineStr"/>
      <c r="AQ446" s="5" t="inlineStr"/>
      <c r="AR446" s="5" t="inlineStr"/>
      <c r="AS446" s="5" t="inlineStr"/>
      <c r="AT446" s="5" t="inlineStr"/>
      <c r="AU446" s="8" t="inlineStr">
        <is>
          <t>Not run</t>
        </is>
      </c>
    </row>
    <row r="447" ht="32" customHeight="1">
      <c r="A447" s="16" t="inlineStr">
        <is>
          <t>X-0446</t>
        </is>
      </c>
      <c r="B447" s="8" t="inlineStr">
        <is>
          <t>X</t>
        </is>
      </c>
      <c r="C447" s="5" t="inlineStr">
        <is>
          <t>Multiple / Cross-persona</t>
        </is>
      </c>
      <c r="D447" s="5" t="inlineStr">
        <is>
          <t>Communication &amp; Integrations</t>
        </is>
      </c>
      <c r="E447" s="5" t="inlineStr">
        <is>
          <t>Payment reminder → customer receives reminder</t>
        </is>
      </c>
      <c r="F447" s="5" t="inlineStr">
        <is>
          <t>Credit Controller</t>
        </is>
      </c>
      <c r="G447" s="5" t="inlineStr">
        <is>
          <t>Customer</t>
        </is>
      </c>
      <c r="H447" s="5" t="inlineStr">
        <is>
          <t>Automated payment reminder delivered to customer WhatsApp/SMS with due amount and payment QR</t>
        </is>
      </c>
      <c r="I447" s="5" t="inlineStr">
        <is>
          <t>Dispatches reminder message; tracks delivery and customer acknowledgment status</t>
        </is>
      </c>
      <c r="J447" s="20" t="inlineStr">
        <is>
          <t>P1</t>
        </is>
      </c>
      <c r="K447" s="20" t="inlineStr">
        <is>
          <t>Validated (Supported)</t>
        </is>
      </c>
      <c r="L447" s="5" t="inlineStr">
        <is>
          <t>Supported via WhatsApp automated payment reminder dispatch.</t>
        </is>
      </c>
      <c r="M447" s="8" t="inlineStr">
        <is>
          <t>Baseline</t>
        </is>
      </c>
      <c r="N447" s="8" t="inlineStr">
        <is>
          <t>Cross-persona</t>
        </is>
      </c>
      <c r="O447" s="8" t="inlineStr">
        <is>
          <t>P1</t>
        </is>
      </c>
      <c r="P447" s="5" t="inlineStr">
        <is>
          <t>Unchanged</t>
        </is>
      </c>
      <c r="Q447" s="21" t="inlineStr">
        <is>
          <t>Code symbol found</t>
        </is>
      </c>
      <c r="R447" s="5" t="inlineStr">
        <is>
          <t>Matched WhatsApp in product code. This is not a functional test.</t>
        </is>
      </c>
      <c r="S447" s="8" t="inlineStr">
        <is>
          <t>INT</t>
        </is>
      </c>
      <c r="T447" s="5" t="inlineStr">
        <is>
          <t>Communication and integrations</t>
        </is>
      </c>
      <c r="U447" s="8" t="inlineStr"/>
      <c r="V447" s="8" t="inlineStr">
        <is>
          <t>integrations</t>
        </is>
      </c>
      <c r="W447" s="8" t="inlineStr">
        <is>
          <t>KERNEL</t>
        </is>
      </c>
      <c r="X447" s="5" t="inlineStr">
        <is>
          <t>Core</t>
        </is>
      </c>
      <c r="Y447" s="5" t="inlineStr">
        <is>
          <t>Cross-persona</t>
        </is>
      </c>
      <c r="Z447" s="5" t="inlineStr">
        <is>
          <t>Medium</t>
        </is>
      </c>
      <c r="AA447" s="5" t="inlineStr">
        <is>
          <t>Medium</t>
        </is>
      </c>
      <c r="AB447" s="8" t="inlineStr">
        <is>
          <t>Low</t>
        </is>
      </c>
      <c r="AC447" s="8" t="inlineStr">
        <is>
          <t>Later</t>
        </is>
      </c>
      <c r="AD447" s="5" t="inlineStr">
        <is>
          <t>Cited in code</t>
        </is>
      </c>
      <c r="AE447" s="5" t="inlineStr">
        <is>
          <t>Not verified</t>
        </is>
      </c>
      <c r="AF447" s="5" t="inlineStr">
        <is>
          <t>Not verified</t>
        </is>
      </c>
      <c r="AG447" s="5" t="inlineStr">
        <is>
          <t>Not verified</t>
        </is>
      </c>
      <c r="AH447" s="5" t="inlineStr">
        <is>
          <t>Not verified</t>
        </is>
      </c>
      <c r="AI447" s="8" t="inlineStr">
        <is>
          <t>No</t>
        </is>
      </c>
      <c r="AJ447" s="8" t="inlineStr">
        <is>
          <t>Built - unverified</t>
        </is>
      </c>
      <c r="AK447" s="8" t="inlineStr">
        <is>
          <t>P1</t>
        </is>
      </c>
      <c r="AL447" s="8" t="n">
        <v>6</v>
      </c>
      <c r="AM447" s="5" t="inlineStr"/>
      <c r="AN447" s="5" t="inlineStr"/>
      <c r="AO447" s="5" t="inlineStr"/>
      <c r="AP447" s="5" t="inlineStr"/>
      <c r="AQ447" s="5" t="inlineStr"/>
      <c r="AR447" s="5" t="inlineStr"/>
      <c r="AS447" s="5" t="inlineStr"/>
      <c r="AT447" s="5" t="inlineStr"/>
      <c r="AU447" s="8" t="inlineStr">
        <is>
          <t>Not run</t>
        </is>
      </c>
    </row>
    <row r="448" ht="32" customHeight="1">
      <c r="A448" s="16" t="inlineStr">
        <is>
          <t>X-0447</t>
        </is>
      </c>
      <c r="B448" s="8" t="inlineStr">
        <is>
          <t>X</t>
        </is>
      </c>
      <c r="C448" s="5" t="inlineStr">
        <is>
          <t>Multiple / Cross-persona</t>
        </is>
      </c>
      <c r="D448" s="5" t="inlineStr">
        <is>
          <t>Communication &amp; Integrations</t>
        </is>
      </c>
      <c r="E448" s="5" t="inlineStr">
        <is>
          <t>Order confirmation → customer receives confirmation</t>
        </is>
      </c>
      <c r="F448" s="5" t="inlineStr">
        <is>
          <t>Sales Desk</t>
        </is>
      </c>
      <c r="G448" s="5" t="inlineStr">
        <is>
          <t>Customer</t>
        </is>
      </c>
      <c r="H448" s="5" t="inlineStr">
        <is>
          <t>Customer receives instant digital order confirmation receipt upon order booking</t>
        </is>
      </c>
      <c r="I448" s="5" t="inlineStr">
        <is>
          <t>Sends order confirmation notification with expected delivery date and items ordered</t>
        </is>
      </c>
      <c r="J448" s="20" t="inlineStr">
        <is>
          <t>P1</t>
        </is>
      </c>
      <c r="K448" s="20" t="inlineStr">
        <is>
          <t>Validated (Supported)</t>
        </is>
      </c>
      <c r="L448" s="5" t="inlineStr">
        <is>
          <t>Supported via automated order notification webhook.</t>
        </is>
      </c>
      <c r="M448" s="8" t="inlineStr">
        <is>
          <t>Baseline</t>
        </is>
      </c>
      <c r="N448" s="8" t="inlineStr">
        <is>
          <t>Cross-persona</t>
        </is>
      </c>
      <c r="O448" s="8" t="inlineStr">
        <is>
          <t>P1</t>
        </is>
      </c>
      <c r="P448" s="5" t="inlineStr">
        <is>
          <t>Unchanged</t>
        </is>
      </c>
      <c r="Q448" s="20" t="inlineStr">
        <is>
          <t>Author assertion</t>
        </is>
      </c>
      <c r="R448" s="5" t="inlineStr"/>
      <c r="S448" s="8" t="inlineStr">
        <is>
          <t>INT</t>
        </is>
      </c>
      <c r="T448" s="5" t="inlineStr">
        <is>
          <t>Communication and integrations</t>
        </is>
      </c>
      <c r="U448" s="8" t="inlineStr"/>
      <c r="V448" s="8" t="inlineStr">
        <is>
          <t>integrations</t>
        </is>
      </c>
      <c r="W448" s="8" t="inlineStr">
        <is>
          <t>KERNEL</t>
        </is>
      </c>
      <c r="X448" s="5" t="inlineStr">
        <is>
          <t>Core</t>
        </is>
      </c>
      <c r="Y448" s="5" t="inlineStr">
        <is>
          <t>Cross-persona</t>
        </is>
      </c>
      <c r="Z448" s="5" t="inlineStr">
        <is>
          <t>Medium</t>
        </is>
      </c>
      <c r="AA448" s="5" t="inlineStr">
        <is>
          <t>Medium</t>
        </is>
      </c>
      <c r="AB448" s="8" t="inlineStr">
        <is>
          <t>Low</t>
        </is>
      </c>
      <c r="AC448" s="8" t="inlineStr">
        <is>
          <t>Later</t>
        </is>
      </c>
      <c r="AD448" s="5" t="inlineStr">
        <is>
          <t>Not independently checked</t>
        </is>
      </c>
      <c r="AE448" s="5" t="inlineStr">
        <is>
          <t>Not verified</t>
        </is>
      </c>
      <c r="AF448" s="5" t="inlineStr">
        <is>
          <t>Not verified</t>
        </is>
      </c>
      <c r="AG448" s="5" t="inlineStr">
        <is>
          <t>Not verified</t>
        </is>
      </c>
      <c r="AH448" s="5" t="inlineStr">
        <is>
          <t>Not verified</t>
        </is>
      </c>
      <c r="AI448" s="8" t="inlineStr">
        <is>
          <t>No</t>
        </is>
      </c>
      <c r="AJ448" s="8" t="inlineStr">
        <is>
          <t>Claimed - unverified</t>
        </is>
      </c>
      <c r="AK448" s="8" t="inlineStr">
        <is>
          <t>P1</t>
        </is>
      </c>
      <c r="AL448" s="8" t="n">
        <v>6</v>
      </c>
      <c r="AM448" s="5" t="inlineStr"/>
      <c r="AN448" s="5" t="inlineStr"/>
      <c r="AO448" s="5" t="inlineStr"/>
      <c r="AP448" s="5" t="inlineStr"/>
      <c r="AQ448" s="5" t="inlineStr"/>
      <c r="AR448" s="5" t="inlineStr"/>
      <c r="AS448" s="5" t="inlineStr"/>
      <c r="AT448" s="5" t="inlineStr"/>
      <c r="AU448" s="8" t="inlineStr">
        <is>
          <t>Not run</t>
        </is>
      </c>
    </row>
    <row r="449" ht="32" customHeight="1">
      <c r="A449" s="16" t="inlineStr">
        <is>
          <t>X-0448</t>
        </is>
      </c>
      <c r="B449" s="8" t="inlineStr">
        <is>
          <t>X</t>
        </is>
      </c>
      <c r="C449" s="5" t="inlineStr">
        <is>
          <t>Multiple / Cross-persona</t>
        </is>
      </c>
      <c r="D449" s="5" t="inlineStr">
        <is>
          <t>Communication &amp; Integrations</t>
        </is>
      </c>
      <c r="E449" s="5" t="inlineStr">
        <is>
          <t>Delivery update → customer receives update</t>
        </is>
      </c>
      <c r="F449" s="5" t="inlineStr">
        <is>
          <t>Logistics Dispatcher</t>
        </is>
      </c>
      <c r="G449" s="5" t="inlineStr">
        <is>
          <t>Customer</t>
        </is>
      </c>
      <c r="H449" s="5" t="inlineStr">
        <is>
          <t>Customer receives real-time update when order is dispatched with vehicle tracking info</t>
        </is>
      </c>
      <c r="I449" s="5" t="inlineStr">
        <is>
          <t>Dispatches dispatch notification with driver phone number and estimated delivery time</t>
        </is>
      </c>
      <c r="J449" s="20" t="inlineStr">
        <is>
          <t>P1</t>
        </is>
      </c>
      <c r="K449" s="20" t="inlineStr">
        <is>
          <t>Validated (Supported)</t>
        </is>
      </c>
      <c r="L449" s="5" t="inlineStr">
        <is>
          <t>Supported via delivery challan dispatch event webhook.</t>
        </is>
      </c>
      <c r="M449" s="8" t="inlineStr">
        <is>
          <t>Baseline</t>
        </is>
      </c>
      <c r="N449" s="8" t="inlineStr">
        <is>
          <t>Cross-persona</t>
        </is>
      </c>
      <c r="O449" s="8" t="inlineStr">
        <is>
          <t>P1</t>
        </is>
      </c>
      <c r="P449" s="5" t="inlineStr">
        <is>
          <t>Unchanged</t>
        </is>
      </c>
      <c r="Q449" s="20" t="inlineStr">
        <is>
          <t>Author assertion</t>
        </is>
      </c>
      <c r="R449" s="5" t="inlineStr"/>
      <c r="S449" s="8" t="inlineStr">
        <is>
          <t>INT</t>
        </is>
      </c>
      <c r="T449" s="5" t="inlineStr">
        <is>
          <t>Communication and integrations</t>
        </is>
      </c>
      <c r="U449" s="8" t="inlineStr"/>
      <c r="V449" s="8" t="inlineStr">
        <is>
          <t>integrations</t>
        </is>
      </c>
      <c r="W449" s="8" t="inlineStr">
        <is>
          <t>KERNEL</t>
        </is>
      </c>
      <c r="X449" s="5" t="inlineStr">
        <is>
          <t>Core</t>
        </is>
      </c>
      <c r="Y449" s="5" t="inlineStr">
        <is>
          <t>Cross-persona</t>
        </is>
      </c>
      <c r="Z449" s="5" t="inlineStr">
        <is>
          <t>Medium</t>
        </is>
      </c>
      <c r="AA449" s="5" t="inlineStr">
        <is>
          <t>Medium</t>
        </is>
      </c>
      <c r="AB449" s="8" t="inlineStr">
        <is>
          <t>Low</t>
        </is>
      </c>
      <c r="AC449" s="8" t="inlineStr">
        <is>
          <t>Later</t>
        </is>
      </c>
      <c r="AD449" s="5" t="inlineStr">
        <is>
          <t>Not independently checked</t>
        </is>
      </c>
      <c r="AE449" s="5" t="inlineStr">
        <is>
          <t>Not verified</t>
        </is>
      </c>
      <c r="AF449" s="5" t="inlineStr">
        <is>
          <t>Not verified</t>
        </is>
      </c>
      <c r="AG449" s="5" t="inlineStr">
        <is>
          <t>Not verified</t>
        </is>
      </c>
      <c r="AH449" s="5" t="inlineStr">
        <is>
          <t>Not verified</t>
        </is>
      </c>
      <c r="AI449" s="8" t="inlineStr">
        <is>
          <t>No</t>
        </is>
      </c>
      <c r="AJ449" s="8" t="inlineStr">
        <is>
          <t>Claimed - unverified</t>
        </is>
      </c>
      <c r="AK449" s="8" t="inlineStr">
        <is>
          <t>P1</t>
        </is>
      </c>
      <c r="AL449" s="8" t="n">
        <v>6</v>
      </c>
      <c r="AM449" s="5" t="inlineStr"/>
      <c r="AN449" s="5" t="inlineStr"/>
      <c r="AO449" s="5" t="inlineStr"/>
      <c r="AP449" s="5" t="inlineStr"/>
      <c r="AQ449" s="5" t="inlineStr"/>
      <c r="AR449" s="5" t="inlineStr"/>
      <c r="AS449" s="5" t="inlineStr"/>
      <c r="AT449" s="5" t="inlineStr"/>
      <c r="AU449" s="8" t="inlineStr">
        <is>
          <t>Not run</t>
        </is>
      </c>
    </row>
    <row r="450" ht="32" customHeight="1">
      <c r="A450" s="16" t="inlineStr">
        <is>
          <t>X-0449</t>
        </is>
      </c>
      <c r="B450" s="8" t="inlineStr">
        <is>
          <t>X</t>
        </is>
      </c>
      <c r="C450" s="5" t="inlineStr">
        <is>
          <t>Multiple / Cross-persona</t>
        </is>
      </c>
      <c r="D450" s="5" t="inlineStr">
        <is>
          <t>Communication &amp; Integrations</t>
        </is>
      </c>
      <c r="E450" s="5" t="inlineStr">
        <is>
          <t>Return confirmation → customer receives confirmation</t>
        </is>
      </c>
      <c r="F450" s="5" t="inlineStr">
        <is>
          <t>Customer Support</t>
        </is>
      </c>
      <c r="G450" s="5" t="inlineStr">
        <is>
          <t>Customer</t>
        </is>
      </c>
      <c r="H450" s="5" t="inlineStr">
        <is>
          <t>Customer receives confirmation when returned items are accepted and credit note is issued</t>
        </is>
      </c>
      <c r="I450" s="5" t="inlineStr">
        <is>
          <t>Sends credit note PDF and balance confirmation directly to customer mobile</t>
        </is>
      </c>
      <c r="J450" s="20" t="inlineStr">
        <is>
          <t>P1</t>
        </is>
      </c>
      <c r="K450" s="20" t="inlineStr">
        <is>
          <t>Validated (Supported)</t>
        </is>
      </c>
      <c r="L450" s="5" t="inlineStr">
        <is>
          <t>Supported via SalesReturn approval customer notification.</t>
        </is>
      </c>
      <c r="M450" s="8" t="inlineStr">
        <is>
          <t>Baseline</t>
        </is>
      </c>
      <c r="N450" s="8" t="inlineStr">
        <is>
          <t>Cross-persona</t>
        </is>
      </c>
      <c r="O450" s="8" t="inlineStr">
        <is>
          <t>P1</t>
        </is>
      </c>
      <c r="P450" s="5" t="inlineStr">
        <is>
          <t>Unchanged</t>
        </is>
      </c>
      <c r="Q450" s="21" t="inlineStr">
        <is>
          <t>Code symbol found</t>
        </is>
      </c>
      <c r="R450" s="5" t="inlineStr">
        <is>
          <t>Matched SalesReturn in product code. This is not a functional test.</t>
        </is>
      </c>
      <c r="S450" s="8" t="inlineStr">
        <is>
          <t>INT</t>
        </is>
      </c>
      <c r="T450" s="5" t="inlineStr">
        <is>
          <t>Communication and integrations</t>
        </is>
      </c>
      <c r="U450" s="8" t="inlineStr"/>
      <c r="V450" s="8" t="inlineStr">
        <is>
          <t>integrations</t>
        </is>
      </c>
      <c r="W450" s="8" t="inlineStr">
        <is>
          <t>KERNEL</t>
        </is>
      </c>
      <c r="X450" s="5" t="inlineStr">
        <is>
          <t>Core</t>
        </is>
      </c>
      <c r="Y450" s="5" t="inlineStr">
        <is>
          <t>Cross-persona</t>
        </is>
      </c>
      <c r="Z450" s="5" t="inlineStr">
        <is>
          <t>Medium</t>
        </is>
      </c>
      <c r="AA450" s="5" t="inlineStr">
        <is>
          <t>Medium</t>
        </is>
      </c>
      <c r="AB450" s="8" t="inlineStr">
        <is>
          <t>Low</t>
        </is>
      </c>
      <c r="AC450" s="8" t="inlineStr">
        <is>
          <t>Later</t>
        </is>
      </c>
      <c r="AD450" s="5" t="inlineStr">
        <is>
          <t>Cited in code</t>
        </is>
      </c>
      <c r="AE450" s="5" t="inlineStr">
        <is>
          <t>Not verified</t>
        </is>
      </c>
      <c r="AF450" s="5" t="inlineStr">
        <is>
          <t>Not verified</t>
        </is>
      </c>
      <c r="AG450" s="5" t="inlineStr">
        <is>
          <t>Not verified</t>
        </is>
      </c>
      <c r="AH450" s="5" t="inlineStr">
        <is>
          <t>Not verified</t>
        </is>
      </c>
      <c r="AI450" s="8" t="inlineStr">
        <is>
          <t>No</t>
        </is>
      </c>
      <c r="AJ450" s="8" t="inlineStr">
        <is>
          <t>Built - unverified</t>
        </is>
      </c>
      <c r="AK450" s="8" t="inlineStr">
        <is>
          <t>P1</t>
        </is>
      </c>
      <c r="AL450" s="8" t="n">
        <v>6</v>
      </c>
      <c r="AM450" s="5" t="inlineStr"/>
      <c r="AN450" s="5" t="inlineStr"/>
      <c r="AO450" s="5" t="inlineStr"/>
      <c r="AP450" s="5" t="inlineStr"/>
      <c r="AQ450" s="5" t="inlineStr"/>
      <c r="AR450" s="5" t="inlineStr"/>
      <c r="AS450" s="5" t="inlineStr"/>
      <c r="AT450" s="5" t="inlineStr"/>
      <c r="AU450" s="8" t="inlineStr">
        <is>
          <t>Not run</t>
        </is>
      </c>
    </row>
    <row r="451" ht="32" customHeight="1">
      <c r="A451" s="16" t="inlineStr">
        <is>
          <t>X-0450</t>
        </is>
      </c>
      <c r="B451" s="8" t="inlineStr">
        <is>
          <t>X</t>
        </is>
      </c>
      <c r="C451" s="5" t="inlineStr">
        <is>
          <t>Multiple / Cross-persona</t>
        </is>
      </c>
      <c r="D451" s="5" t="inlineStr">
        <is>
          <t>Communication &amp; Integrations</t>
        </is>
      </c>
      <c r="E451" s="5" t="inlineStr">
        <is>
          <t>Payment receipt → customer receives receipt</t>
        </is>
      </c>
      <c r="F451" s="5" t="inlineStr">
        <is>
          <t>Cashier</t>
        </is>
      </c>
      <c r="G451" s="5" t="inlineStr">
        <is>
          <t>Customer</t>
        </is>
      </c>
      <c r="H451" s="5" t="inlineStr">
        <is>
          <t>Customer receives payment receipt acknowledgement immediately upon paying bill</t>
        </is>
      </c>
      <c r="I451" s="5" t="inlineStr">
        <is>
          <t>Sends digital payment receipt showing amount paid, payment mode, and remaining dues</t>
        </is>
      </c>
      <c r="J451" s="20" t="inlineStr">
        <is>
          <t>P1</t>
        </is>
      </c>
      <c r="K451" s="20" t="inlineStr">
        <is>
          <t>Validated (Supported)</t>
        </is>
      </c>
      <c r="L451" s="5" t="inlineStr">
        <is>
          <t>Supported via Payment entry instant receipt share.</t>
        </is>
      </c>
      <c r="M451" s="8" t="inlineStr">
        <is>
          <t>Baseline</t>
        </is>
      </c>
      <c r="N451" s="8" t="inlineStr">
        <is>
          <t>Cross-persona</t>
        </is>
      </c>
      <c r="O451" s="8" t="inlineStr">
        <is>
          <t>P1</t>
        </is>
      </c>
      <c r="P451" s="5" t="inlineStr">
        <is>
          <t>Unchanged</t>
        </is>
      </c>
      <c r="Q451" s="20" t="inlineStr">
        <is>
          <t>Author assertion</t>
        </is>
      </c>
      <c r="R451" s="5" t="inlineStr"/>
      <c r="S451" s="8" t="inlineStr">
        <is>
          <t>INT</t>
        </is>
      </c>
      <c r="T451" s="5" t="inlineStr">
        <is>
          <t>Communication and integrations</t>
        </is>
      </c>
      <c r="U451" s="8" t="inlineStr"/>
      <c r="V451" s="8" t="inlineStr">
        <is>
          <t>integrations</t>
        </is>
      </c>
      <c r="W451" s="8" t="inlineStr">
        <is>
          <t>KERNEL</t>
        </is>
      </c>
      <c r="X451" s="5" t="inlineStr">
        <is>
          <t>Core</t>
        </is>
      </c>
      <c r="Y451" s="5" t="inlineStr">
        <is>
          <t>Cross-persona</t>
        </is>
      </c>
      <c r="Z451" s="5" t="inlineStr">
        <is>
          <t>Medium</t>
        </is>
      </c>
      <c r="AA451" s="5" t="inlineStr">
        <is>
          <t>Medium</t>
        </is>
      </c>
      <c r="AB451" s="8" t="inlineStr">
        <is>
          <t>Low</t>
        </is>
      </c>
      <c r="AC451" s="8" t="inlineStr">
        <is>
          <t>Later</t>
        </is>
      </c>
      <c r="AD451" s="5" t="inlineStr">
        <is>
          <t>Not independently checked</t>
        </is>
      </c>
      <c r="AE451" s="5" t="inlineStr">
        <is>
          <t>Not verified</t>
        </is>
      </c>
      <c r="AF451" s="5" t="inlineStr">
        <is>
          <t>Not verified</t>
        </is>
      </c>
      <c r="AG451" s="5" t="inlineStr">
        <is>
          <t>Not verified</t>
        </is>
      </c>
      <c r="AH451" s="5" t="inlineStr">
        <is>
          <t>Not verified</t>
        </is>
      </c>
      <c r="AI451" s="8" t="inlineStr">
        <is>
          <t>No</t>
        </is>
      </c>
      <c r="AJ451" s="8" t="inlineStr">
        <is>
          <t>Claimed - unverified</t>
        </is>
      </c>
      <c r="AK451" s="8" t="inlineStr">
        <is>
          <t>P1</t>
        </is>
      </c>
      <c r="AL451" s="8" t="n">
        <v>6</v>
      </c>
      <c r="AM451" s="5" t="inlineStr"/>
      <c r="AN451" s="5" t="inlineStr"/>
      <c r="AO451" s="5" t="inlineStr"/>
      <c r="AP451" s="5" t="inlineStr"/>
      <c r="AQ451" s="5" t="inlineStr"/>
      <c r="AR451" s="5" t="inlineStr"/>
      <c r="AS451" s="5" t="inlineStr"/>
      <c r="AT451" s="5" t="inlineStr"/>
      <c r="AU451" s="8" t="inlineStr">
        <is>
          <t>Not run</t>
        </is>
      </c>
    </row>
    <row r="452" ht="32" customHeight="1">
      <c r="A452" s="16" t="inlineStr">
        <is>
          <t>X-0451</t>
        </is>
      </c>
      <c r="B452" s="8" t="inlineStr">
        <is>
          <t>X</t>
        </is>
      </c>
      <c r="C452" s="5" t="inlineStr">
        <is>
          <t>Multiple / Cross-persona</t>
        </is>
      </c>
      <c r="D452" s="5" t="inlineStr">
        <is>
          <t>Communication &amp; Integrations</t>
        </is>
      </c>
      <c r="E452" s="5" t="inlineStr">
        <is>
          <t>Failed message → delivery status is visible</t>
        </is>
      </c>
      <c r="F452" s="5" t="inlineStr">
        <is>
          <t>System Administrator</t>
        </is>
      </c>
      <c r="G452" s="5" t="inlineStr">
        <is>
          <t>Support Desk</t>
        </is>
      </c>
      <c r="H452" s="5" t="inlineStr">
        <is>
          <t>Failed SMS or WhatsApp dispatches flagged clearly on message log screen</t>
        </is>
      </c>
      <c r="I452" s="5" t="inlineStr">
        <is>
          <t>Updates message status to FAILED; displays provider error description (e.g. Invalid Number)</t>
        </is>
      </c>
      <c r="J452" s="20" t="inlineStr">
        <is>
          <t>P1</t>
        </is>
      </c>
      <c r="K452" s="20" t="inlineStr">
        <is>
          <t>Validated (Supported)</t>
        </is>
      </c>
      <c r="L452" s="5" t="inlineStr">
        <is>
          <t>Supported via Outbound Message Log (/settings/messages/).</t>
        </is>
      </c>
      <c r="M452" s="8" t="inlineStr">
        <is>
          <t>Baseline</t>
        </is>
      </c>
      <c r="N452" s="8" t="inlineStr">
        <is>
          <t>Cross-persona</t>
        </is>
      </c>
      <c r="O452" s="8" t="inlineStr">
        <is>
          <t>P1</t>
        </is>
      </c>
      <c r="P452" s="5" t="inlineStr">
        <is>
          <t>Unchanged</t>
        </is>
      </c>
      <c r="Q452" s="20" t="inlineStr">
        <is>
          <t>Author assertion</t>
        </is>
      </c>
      <c r="R452" s="5" t="inlineStr"/>
      <c r="S452" s="8" t="inlineStr">
        <is>
          <t>INT</t>
        </is>
      </c>
      <c r="T452" s="5" t="inlineStr">
        <is>
          <t>Communication and integrations</t>
        </is>
      </c>
      <c r="U452" s="8" t="inlineStr"/>
      <c r="V452" s="8" t="inlineStr">
        <is>
          <t>integrations</t>
        </is>
      </c>
      <c r="W452" s="8" t="inlineStr">
        <is>
          <t>KERNEL</t>
        </is>
      </c>
      <c r="X452" s="5" t="inlineStr">
        <is>
          <t>Core</t>
        </is>
      </c>
      <c r="Y452" s="5" t="inlineStr">
        <is>
          <t>Cross-persona</t>
        </is>
      </c>
      <c r="Z452" s="5" t="inlineStr">
        <is>
          <t>Medium</t>
        </is>
      </c>
      <c r="AA452" s="5" t="inlineStr">
        <is>
          <t>Medium</t>
        </is>
      </c>
      <c r="AB452" s="8" t="inlineStr">
        <is>
          <t>Low</t>
        </is>
      </c>
      <c r="AC452" s="8" t="inlineStr">
        <is>
          <t>Later</t>
        </is>
      </c>
      <c r="AD452" s="5" t="inlineStr">
        <is>
          <t>Not independently checked</t>
        </is>
      </c>
      <c r="AE452" s="5" t="inlineStr">
        <is>
          <t>Not verified</t>
        </is>
      </c>
      <c r="AF452" s="5" t="inlineStr">
        <is>
          <t>Not verified</t>
        </is>
      </c>
      <c r="AG452" s="5" t="inlineStr">
        <is>
          <t>Not verified</t>
        </is>
      </c>
      <c r="AH452" s="5" t="inlineStr">
        <is>
          <t>Not verified</t>
        </is>
      </c>
      <c r="AI452" s="8" t="inlineStr">
        <is>
          <t>No</t>
        </is>
      </c>
      <c r="AJ452" s="8" t="inlineStr">
        <is>
          <t>Claimed - unverified</t>
        </is>
      </c>
      <c r="AK452" s="8" t="inlineStr">
        <is>
          <t>P1</t>
        </is>
      </c>
      <c r="AL452" s="8" t="n">
        <v>6</v>
      </c>
      <c r="AM452" s="5" t="inlineStr"/>
      <c r="AN452" s="5" t="inlineStr"/>
      <c r="AO452" s="5" t="inlineStr"/>
      <c r="AP452" s="5" t="inlineStr"/>
      <c r="AQ452" s="5" t="inlineStr"/>
      <c r="AR452" s="5" t="inlineStr"/>
      <c r="AS452" s="5" t="inlineStr"/>
      <c r="AT452" s="5" t="inlineStr"/>
      <c r="AU452" s="8" t="inlineStr">
        <is>
          <t>Not run</t>
        </is>
      </c>
    </row>
    <row r="453" ht="32" customHeight="1">
      <c r="A453" s="16" t="inlineStr">
        <is>
          <t>X-0452</t>
        </is>
      </c>
      <c r="B453" s="8" t="inlineStr">
        <is>
          <t>X</t>
        </is>
      </c>
      <c r="C453" s="5" t="inlineStr">
        <is>
          <t>Multiple / Cross-persona</t>
        </is>
      </c>
      <c r="D453" s="5" t="inlineStr">
        <is>
          <t>Communication &amp; Integrations</t>
        </is>
      </c>
      <c r="E453" s="5" t="inlineStr">
        <is>
          <t>User resends failed message</t>
        </is>
      </c>
      <c r="F453" s="5" t="inlineStr">
        <is>
          <t>Billing Clerk</t>
        </is>
      </c>
      <c r="G453" s="5" t="inlineStr">
        <is>
          <t>Customer</t>
        </is>
      </c>
      <c r="H453" s="5" t="inlineStr">
        <is>
          <t>One-click resend button to re-dispatch invoice or reminder after network failure</t>
        </is>
      </c>
      <c r="I453" s="5" t="inlineStr">
        <is>
          <t>Re-queues message payload for immediate re-transmission; updates delivery status</t>
        </is>
      </c>
      <c r="J453" s="20" t="inlineStr">
        <is>
          <t>P1</t>
        </is>
      </c>
      <c r="K453" s="20" t="inlineStr">
        <is>
          <t>Validated (Supported)</t>
        </is>
      </c>
      <c r="L453" s="5" t="inlineStr">
        <is>
          <t>Supported via 'Resend Message' action in message log.</t>
        </is>
      </c>
      <c r="M453" s="8" t="inlineStr">
        <is>
          <t>Baseline</t>
        </is>
      </c>
      <c r="N453" s="8" t="inlineStr">
        <is>
          <t>Cross-persona</t>
        </is>
      </c>
      <c r="O453" s="8" t="inlineStr">
        <is>
          <t>P1</t>
        </is>
      </c>
      <c r="P453" s="5" t="inlineStr">
        <is>
          <t>Unchanged</t>
        </is>
      </c>
      <c r="Q453" s="20" t="inlineStr">
        <is>
          <t>Author assertion</t>
        </is>
      </c>
      <c r="R453" s="5" t="inlineStr"/>
      <c r="S453" s="8" t="inlineStr">
        <is>
          <t>INT</t>
        </is>
      </c>
      <c r="T453" s="5" t="inlineStr">
        <is>
          <t>Communication and integrations</t>
        </is>
      </c>
      <c r="U453" s="8" t="inlineStr"/>
      <c r="V453" s="8" t="inlineStr">
        <is>
          <t>integrations</t>
        </is>
      </c>
      <c r="W453" s="8" t="inlineStr">
        <is>
          <t>KERNEL</t>
        </is>
      </c>
      <c r="X453" s="5" t="inlineStr">
        <is>
          <t>Core</t>
        </is>
      </c>
      <c r="Y453" s="5" t="inlineStr">
        <is>
          <t>Cross-persona</t>
        </is>
      </c>
      <c r="Z453" s="5" t="inlineStr">
        <is>
          <t>Medium</t>
        </is>
      </c>
      <c r="AA453" s="5" t="inlineStr">
        <is>
          <t>Medium</t>
        </is>
      </c>
      <c r="AB453" s="8" t="inlineStr">
        <is>
          <t>Low</t>
        </is>
      </c>
      <c r="AC453" s="8" t="inlineStr">
        <is>
          <t>Later</t>
        </is>
      </c>
      <c r="AD453" s="5" t="inlineStr">
        <is>
          <t>Not independently checked</t>
        </is>
      </c>
      <c r="AE453" s="5" t="inlineStr">
        <is>
          <t>Not verified</t>
        </is>
      </c>
      <c r="AF453" s="5" t="inlineStr">
        <is>
          <t>Not verified</t>
        </is>
      </c>
      <c r="AG453" s="5" t="inlineStr">
        <is>
          <t>Not verified</t>
        </is>
      </c>
      <c r="AH453" s="5" t="inlineStr">
        <is>
          <t>Not verified</t>
        </is>
      </c>
      <c r="AI453" s="8" t="inlineStr">
        <is>
          <t>No</t>
        </is>
      </c>
      <c r="AJ453" s="8" t="inlineStr">
        <is>
          <t>Claimed - unverified</t>
        </is>
      </c>
      <c r="AK453" s="8" t="inlineStr">
        <is>
          <t>P1</t>
        </is>
      </c>
      <c r="AL453" s="8" t="n">
        <v>6</v>
      </c>
      <c r="AM453" s="5" t="inlineStr"/>
      <c r="AN453" s="5" t="inlineStr"/>
      <c r="AO453" s="5" t="inlineStr"/>
      <c r="AP453" s="5" t="inlineStr"/>
      <c r="AQ453" s="5" t="inlineStr"/>
      <c r="AR453" s="5" t="inlineStr"/>
      <c r="AS453" s="5" t="inlineStr"/>
      <c r="AT453" s="5" t="inlineStr"/>
      <c r="AU453" s="8" t="inlineStr">
        <is>
          <t>Not run</t>
        </is>
      </c>
    </row>
    <row r="454" ht="32" customHeight="1">
      <c r="A454" s="16" t="inlineStr">
        <is>
          <t>X-0453</t>
        </is>
      </c>
      <c r="B454" s="8" t="inlineStr">
        <is>
          <t>X</t>
        </is>
      </c>
      <c r="C454" s="5" t="inlineStr">
        <is>
          <t>Multiple / Cross-persona</t>
        </is>
      </c>
      <c r="D454" s="5" t="inlineStr">
        <is>
          <t>Communication &amp; Integrations</t>
        </is>
      </c>
      <c r="E454" s="5" t="inlineStr">
        <is>
          <t>Communication history remains associated with transaction/customer</t>
        </is>
      </c>
      <c r="F454" s="5" t="inlineStr">
        <is>
          <t>Sales Staff / Support</t>
        </is>
      </c>
      <c r="G454" s="5" t="inlineStr">
        <is>
          <t>Auditor</t>
        </is>
      </c>
      <c r="H454" s="5" t="inlineStr">
        <is>
          <t>Full log of messages, reminders, and delivery receipts permanently linked to invoice</t>
        </is>
      </c>
      <c r="I454" s="5" t="inlineStr">
        <is>
          <t>Stores message audit trail on invoice detail view showing dispatch timestamps and user</t>
        </is>
      </c>
      <c r="J454" s="20" t="inlineStr">
        <is>
          <t>P1</t>
        </is>
      </c>
      <c r="K454" s="20" t="inlineStr">
        <is>
          <t>Validated (Supported)</t>
        </is>
      </c>
      <c r="L454" s="5" t="inlineStr">
        <is>
          <t>Supported via Activity Timeline on invoice and customer records.</t>
        </is>
      </c>
      <c r="M454" s="8" t="inlineStr">
        <is>
          <t>Baseline</t>
        </is>
      </c>
      <c r="N454" s="8" t="inlineStr">
        <is>
          <t>Cross-persona</t>
        </is>
      </c>
      <c r="O454" s="8" t="inlineStr">
        <is>
          <t>P1</t>
        </is>
      </c>
      <c r="P454" s="5" t="inlineStr">
        <is>
          <t>Unchanged</t>
        </is>
      </c>
      <c r="Q454" s="20" t="inlineStr">
        <is>
          <t>Author assertion</t>
        </is>
      </c>
      <c r="R454" s="5" t="inlineStr"/>
      <c r="S454" s="8" t="inlineStr">
        <is>
          <t>INT</t>
        </is>
      </c>
      <c r="T454" s="5" t="inlineStr">
        <is>
          <t>Communication and integrations</t>
        </is>
      </c>
      <c r="U454" s="8" t="inlineStr"/>
      <c r="V454" s="8" t="inlineStr">
        <is>
          <t>integrations</t>
        </is>
      </c>
      <c r="W454" s="8" t="inlineStr">
        <is>
          <t>KERNEL</t>
        </is>
      </c>
      <c r="X454" s="5" t="inlineStr">
        <is>
          <t>Core</t>
        </is>
      </c>
      <c r="Y454" s="5" t="inlineStr">
        <is>
          <t>Cross-persona</t>
        </is>
      </c>
      <c r="Z454" s="5" t="inlineStr">
        <is>
          <t>Medium</t>
        </is>
      </c>
      <c r="AA454" s="5" t="inlineStr">
        <is>
          <t>Medium</t>
        </is>
      </c>
      <c r="AB454" s="8" t="inlineStr">
        <is>
          <t>Low</t>
        </is>
      </c>
      <c r="AC454" s="8" t="inlineStr">
        <is>
          <t>Later</t>
        </is>
      </c>
      <c r="AD454" s="5" t="inlineStr">
        <is>
          <t>Not independently checked</t>
        </is>
      </c>
      <c r="AE454" s="5" t="inlineStr">
        <is>
          <t>Not verified</t>
        </is>
      </c>
      <c r="AF454" s="5" t="inlineStr">
        <is>
          <t>Not verified</t>
        </is>
      </c>
      <c r="AG454" s="5" t="inlineStr">
        <is>
          <t>Not verified</t>
        </is>
      </c>
      <c r="AH454" s="5" t="inlineStr">
        <is>
          <t>Not verified</t>
        </is>
      </c>
      <c r="AI454" s="8" t="inlineStr">
        <is>
          <t>No</t>
        </is>
      </c>
      <c r="AJ454" s="8" t="inlineStr">
        <is>
          <t>Claimed - unverified</t>
        </is>
      </c>
      <c r="AK454" s="8" t="inlineStr">
        <is>
          <t>P1</t>
        </is>
      </c>
      <c r="AL454" s="8" t="n">
        <v>6</v>
      </c>
      <c r="AM454" s="5" t="inlineStr"/>
      <c r="AN454" s="5" t="inlineStr"/>
      <c r="AO454" s="5" t="inlineStr"/>
      <c r="AP454" s="5" t="inlineStr"/>
      <c r="AQ454" s="5" t="inlineStr"/>
      <c r="AR454" s="5" t="inlineStr"/>
      <c r="AS454" s="5" t="inlineStr"/>
      <c r="AT454" s="5" t="inlineStr"/>
      <c r="AU454" s="8" t="inlineStr">
        <is>
          <t>Not run</t>
        </is>
      </c>
    </row>
    <row r="455" ht="32" customHeight="1">
      <c r="A455" s="16" t="inlineStr">
        <is>
          <t>X-0454</t>
        </is>
      </c>
      <c r="B455" s="8" t="inlineStr">
        <is>
          <t>X</t>
        </is>
      </c>
      <c r="C455" s="5" t="inlineStr">
        <is>
          <t>Multiple / Cross-persona</t>
        </is>
      </c>
      <c r="D455" s="5" t="inlineStr">
        <is>
          <t>Communication &amp; Integrations</t>
        </is>
      </c>
      <c r="E455" s="5" t="inlineStr">
        <is>
          <t>Payment gateway → payment status</t>
        </is>
      </c>
      <c r="F455" s="5" t="inlineStr">
        <is>
          <t>Payment Gateway Webhook</t>
        </is>
      </c>
      <c r="G455" s="5" t="inlineStr">
        <is>
          <t>In-house Accountant</t>
        </is>
      </c>
      <c r="H455" s="5" t="inlineStr">
        <is>
          <t>Online payment gateway webhooks automatically update transaction status to SUCCESS or FAILED</t>
        </is>
      </c>
      <c r="I455" s="5" t="inlineStr">
        <is>
          <t>Receives webhook; verifies cryptographic signature; updates Payment record status</t>
        </is>
      </c>
      <c r="J455" s="20" t="inlineStr">
        <is>
          <t>P1</t>
        </is>
      </c>
      <c r="K455" s="20" t="inlineStr">
        <is>
          <t>Validated (Supported)</t>
        </is>
      </c>
      <c r="L455" s="5" t="inlineStr">
        <is>
          <t>Supported via Payment Gateway Webhook receiver (/api/v1/payments/webhook/).</t>
        </is>
      </c>
      <c r="M455" s="8" t="inlineStr">
        <is>
          <t>Baseline</t>
        </is>
      </c>
      <c r="N455" s="8" t="inlineStr">
        <is>
          <t>Cross-persona</t>
        </is>
      </c>
      <c r="O455" s="8" t="inlineStr">
        <is>
          <t>P1</t>
        </is>
      </c>
      <c r="P455" s="5" t="inlineStr">
        <is>
          <t>Unchanged</t>
        </is>
      </c>
      <c r="Q455" s="20" t="inlineStr">
        <is>
          <t>Author assertion</t>
        </is>
      </c>
      <c r="R455" s="5" t="inlineStr"/>
      <c r="S455" s="8" t="inlineStr">
        <is>
          <t>INT</t>
        </is>
      </c>
      <c r="T455" s="5" t="inlineStr">
        <is>
          <t>Communication and integrations</t>
        </is>
      </c>
      <c r="U455" s="8" t="inlineStr"/>
      <c r="V455" s="8" t="inlineStr">
        <is>
          <t>integrations</t>
        </is>
      </c>
      <c r="W455" s="8" t="inlineStr">
        <is>
          <t>KERNEL</t>
        </is>
      </c>
      <c r="X455" s="5" t="inlineStr">
        <is>
          <t>Core</t>
        </is>
      </c>
      <c r="Y455" s="5" t="inlineStr">
        <is>
          <t>Cross-persona</t>
        </is>
      </c>
      <c r="Z455" s="5" t="inlineStr">
        <is>
          <t>Medium</t>
        </is>
      </c>
      <c r="AA455" s="5" t="inlineStr">
        <is>
          <t>Medium</t>
        </is>
      </c>
      <c r="AB455" s="8" t="inlineStr">
        <is>
          <t>Low</t>
        </is>
      </c>
      <c r="AC455" s="8" t="inlineStr">
        <is>
          <t>Later</t>
        </is>
      </c>
      <c r="AD455" s="5" t="inlineStr">
        <is>
          <t>Not independently checked</t>
        </is>
      </c>
      <c r="AE455" s="5" t="inlineStr">
        <is>
          <t>Not verified</t>
        </is>
      </c>
      <c r="AF455" s="5" t="inlineStr">
        <is>
          <t>Not verified</t>
        </is>
      </c>
      <c r="AG455" s="5" t="inlineStr">
        <is>
          <t>Not verified</t>
        </is>
      </c>
      <c r="AH455" s="5" t="inlineStr">
        <is>
          <t>Not verified</t>
        </is>
      </c>
      <c r="AI455" s="8" t="inlineStr">
        <is>
          <t>No</t>
        </is>
      </c>
      <c r="AJ455" s="8" t="inlineStr">
        <is>
          <t>Claimed - unverified</t>
        </is>
      </c>
      <c r="AK455" s="8" t="inlineStr">
        <is>
          <t>P1</t>
        </is>
      </c>
      <c r="AL455" s="8" t="n">
        <v>6</v>
      </c>
      <c r="AM455" s="5" t="inlineStr"/>
      <c r="AN455" s="5" t="inlineStr"/>
      <c r="AO455" s="5" t="inlineStr"/>
      <c r="AP455" s="5" t="inlineStr"/>
      <c r="AQ455" s="5" t="inlineStr"/>
      <c r="AR455" s="5" t="inlineStr"/>
      <c r="AS455" s="5" t="inlineStr"/>
      <c r="AT455" s="5" t="inlineStr"/>
      <c r="AU455" s="8" t="inlineStr">
        <is>
          <t>Not run</t>
        </is>
      </c>
    </row>
    <row r="456" ht="32" customHeight="1">
      <c r="A456" s="16" t="inlineStr">
        <is>
          <t>X-0455</t>
        </is>
      </c>
      <c r="B456" s="8" t="inlineStr">
        <is>
          <t>X</t>
        </is>
      </c>
      <c r="C456" s="5" t="inlineStr">
        <is>
          <t>Multiple / Cross-persona</t>
        </is>
      </c>
      <c r="D456" s="5" t="inlineStr">
        <is>
          <t>Communication &amp; Integrations</t>
        </is>
      </c>
      <c r="E456" s="5" t="inlineStr">
        <is>
          <t>Payment gateway → customer ledger</t>
        </is>
      </c>
      <c r="F456" s="5" t="inlineStr">
        <is>
          <t>System / Ledger Engine</t>
        </is>
      </c>
      <c r="G456" s="5" t="inlineStr">
        <is>
          <t>In-house Accountant</t>
        </is>
      </c>
      <c r="H456" s="5" t="inlineStr">
        <is>
          <t>Confirmed online payment automatically credits customer ledger without manual entry</t>
        </is>
      </c>
      <c r="I456" s="5" t="inlineStr">
        <is>
          <t>Creates double-entry ledger voucher crediting Customer AR and debiting Gateway Clearing</t>
        </is>
      </c>
      <c r="J456" s="20" t="inlineStr">
        <is>
          <t>P1</t>
        </is>
      </c>
      <c r="K456" s="20" t="inlineStr">
        <is>
          <t>Validated (Supported)</t>
        </is>
      </c>
      <c r="L456" s="5" t="inlineStr">
        <is>
          <t>Core system invariant: verified gateway webhook atomically updates customer ledger.</t>
        </is>
      </c>
      <c r="M456" s="8" t="inlineStr">
        <is>
          <t>Baseline</t>
        </is>
      </c>
      <c r="N456" s="8" t="inlineStr">
        <is>
          <t>Cross-persona</t>
        </is>
      </c>
      <c r="O456" s="8" t="inlineStr">
        <is>
          <t>P1</t>
        </is>
      </c>
      <c r="P456" s="5" t="inlineStr">
        <is>
          <t>Restored to authored P1. The previous workbook had P0 after a keyword rebalance.</t>
        </is>
      </c>
      <c r="Q456" s="20" t="inlineStr">
        <is>
          <t>Author assertion</t>
        </is>
      </c>
      <c r="R456" s="5" t="inlineStr">
        <is>
          <t>Restored to authored P1. The previous workbook had P0 after a keyword rebalance.</t>
        </is>
      </c>
      <c r="S456" s="8" t="inlineStr">
        <is>
          <t>INT</t>
        </is>
      </c>
      <c r="T456" s="5" t="inlineStr">
        <is>
          <t>Communication and integrations</t>
        </is>
      </c>
      <c r="U456" s="8" t="inlineStr"/>
      <c r="V456" s="8" t="inlineStr">
        <is>
          <t>integrations</t>
        </is>
      </c>
      <c r="W456" s="8" t="inlineStr">
        <is>
          <t>KERNEL</t>
        </is>
      </c>
      <c r="X456" s="5" t="inlineStr">
        <is>
          <t>Core</t>
        </is>
      </c>
      <c r="Y456" s="5" t="inlineStr">
        <is>
          <t>Cross-persona</t>
        </is>
      </c>
      <c r="Z456" s="5" t="inlineStr">
        <is>
          <t>Medium</t>
        </is>
      </c>
      <c r="AA456" s="5" t="inlineStr">
        <is>
          <t>Medium</t>
        </is>
      </c>
      <c r="AB456" s="8" t="inlineStr">
        <is>
          <t>Low</t>
        </is>
      </c>
      <c r="AC456" s="8" t="inlineStr">
        <is>
          <t>Later</t>
        </is>
      </c>
      <c r="AD456" s="5" t="inlineStr">
        <is>
          <t>Not independently checked</t>
        </is>
      </c>
      <c r="AE456" s="5" t="inlineStr">
        <is>
          <t>Not verified</t>
        </is>
      </c>
      <c r="AF456" s="5" t="inlineStr">
        <is>
          <t>Not verified</t>
        </is>
      </c>
      <c r="AG456" s="5" t="inlineStr">
        <is>
          <t>Not verified</t>
        </is>
      </c>
      <c r="AH456" s="5" t="inlineStr">
        <is>
          <t>Not verified</t>
        </is>
      </c>
      <c r="AI456" s="8" t="inlineStr">
        <is>
          <t>No</t>
        </is>
      </c>
      <c r="AJ456" s="8" t="inlineStr">
        <is>
          <t>Claimed - unverified</t>
        </is>
      </c>
      <c r="AK456" s="8" t="inlineStr">
        <is>
          <t>P1</t>
        </is>
      </c>
      <c r="AL456" s="8" t="n">
        <v>6</v>
      </c>
      <c r="AM456" s="5" t="inlineStr"/>
      <c r="AN456" s="5" t="inlineStr"/>
      <c r="AO456" s="5" t="inlineStr"/>
      <c r="AP456" s="5" t="inlineStr"/>
      <c r="AQ456" s="5" t="inlineStr"/>
      <c r="AR456" s="5" t="inlineStr"/>
      <c r="AS456" s="5" t="inlineStr"/>
      <c r="AT456" s="5" t="inlineStr"/>
      <c r="AU456" s="8" t="inlineStr">
        <is>
          <t>Not run</t>
        </is>
      </c>
    </row>
    <row r="457" ht="32" customHeight="1">
      <c r="A457" s="16" t="inlineStr">
        <is>
          <t>X-0456</t>
        </is>
      </c>
      <c r="B457" s="8" t="inlineStr">
        <is>
          <t>X</t>
        </is>
      </c>
      <c r="C457" s="5" t="inlineStr">
        <is>
          <t>Multiple / Cross-persona</t>
        </is>
      </c>
      <c r="D457" s="5" t="inlineStr">
        <is>
          <t>Communication &amp; Integrations</t>
        </is>
      </c>
      <c r="E457" s="5" t="inlineStr">
        <is>
          <t>Payment gateway → invoice settlement</t>
        </is>
      </c>
      <c r="F457" s="5" t="inlineStr">
        <is>
          <t>System / Payment Engine</t>
        </is>
      </c>
      <c r="G457" s="5" t="inlineStr">
        <is>
          <t>Billing Clerk</t>
        </is>
      </c>
      <c r="H457" s="5" t="inlineStr">
        <is>
          <t>Confirmed online payment automatically settles corresponding open invoice</t>
        </is>
      </c>
      <c r="I457" s="5" t="inlineStr">
        <is>
          <t>Creates PaymentAllocation record; marks invoice as PAID; unlocks customer credit limit</t>
        </is>
      </c>
      <c r="J457" s="20" t="inlineStr">
        <is>
          <t>P1</t>
        </is>
      </c>
      <c r="K457" s="20" t="inlineStr">
        <is>
          <t>Validated (Supported)</t>
        </is>
      </c>
      <c r="L457" s="5" t="inlineStr">
        <is>
          <t>Automated invoice settlement upon successful gateway payment notification.</t>
        </is>
      </c>
      <c r="M457" s="8" t="inlineStr">
        <is>
          <t>Baseline</t>
        </is>
      </c>
      <c r="N457" s="8" t="inlineStr">
        <is>
          <t>Cross-persona</t>
        </is>
      </c>
      <c r="O457" s="8" t="inlineStr">
        <is>
          <t>P1</t>
        </is>
      </c>
      <c r="P457" s="5" t="inlineStr">
        <is>
          <t>Unchanged</t>
        </is>
      </c>
      <c r="Q457" s="20" t="inlineStr">
        <is>
          <t>Author assertion</t>
        </is>
      </c>
      <c r="R457" s="5" t="inlineStr"/>
      <c r="S457" s="8" t="inlineStr">
        <is>
          <t>INT</t>
        </is>
      </c>
      <c r="T457" s="5" t="inlineStr">
        <is>
          <t>Communication and integrations</t>
        </is>
      </c>
      <c r="U457" s="8" t="inlineStr"/>
      <c r="V457" s="8" t="inlineStr">
        <is>
          <t>integrations</t>
        </is>
      </c>
      <c r="W457" s="8" t="inlineStr">
        <is>
          <t>KERNEL</t>
        </is>
      </c>
      <c r="X457" s="5" t="inlineStr">
        <is>
          <t>Core</t>
        </is>
      </c>
      <c r="Y457" s="5" t="inlineStr">
        <is>
          <t>Cross-persona</t>
        </is>
      </c>
      <c r="Z457" s="5" t="inlineStr">
        <is>
          <t>Medium</t>
        </is>
      </c>
      <c r="AA457" s="5" t="inlineStr">
        <is>
          <t>Medium</t>
        </is>
      </c>
      <c r="AB457" s="8" t="inlineStr">
        <is>
          <t>Low</t>
        </is>
      </c>
      <c r="AC457" s="8" t="inlineStr">
        <is>
          <t>Later</t>
        </is>
      </c>
      <c r="AD457" s="5" t="inlineStr">
        <is>
          <t>Not independently checked</t>
        </is>
      </c>
      <c r="AE457" s="5" t="inlineStr">
        <is>
          <t>Not verified</t>
        </is>
      </c>
      <c r="AF457" s="5" t="inlineStr">
        <is>
          <t>Not verified</t>
        </is>
      </c>
      <c r="AG457" s="5" t="inlineStr">
        <is>
          <t>Not verified</t>
        </is>
      </c>
      <c r="AH457" s="5" t="inlineStr">
        <is>
          <t>Not verified</t>
        </is>
      </c>
      <c r="AI457" s="8" t="inlineStr">
        <is>
          <t>No</t>
        </is>
      </c>
      <c r="AJ457" s="8" t="inlineStr">
        <is>
          <t>Claimed - unverified</t>
        </is>
      </c>
      <c r="AK457" s="8" t="inlineStr">
        <is>
          <t>P1</t>
        </is>
      </c>
      <c r="AL457" s="8" t="n">
        <v>6</v>
      </c>
      <c r="AM457" s="5" t="inlineStr"/>
      <c r="AN457" s="5" t="inlineStr"/>
      <c r="AO457" s="5" t="inlineStr"/>
      <c r="AP457" s="5" t="inlineStr"/>
      <c r="AQ457" s="5" t="inlineStr"/>
      <c r="AR457" s="5" t="inlineStr"/>
      <c r="AS457" s="5" t="inlineStr"/>
      <c r="AT457" s="5" t="inlineStr"/>
      <c r="AU457" s="8" t="inlineStr">
        <is>
          <t>Not run</t>
        </is>
      </c>
    </row>
    <row r="458" ht="32" customHeight="1">
      <c r="A458" s="16" t="inlineStr">
        <is>
          <t>X-0457</t>
        </is>
      </c>
      <c r="B458" s="8" t="inlineStr">
        <is>
          <t>X</t>
        </is>
      </c>
      <c r="C458" s="5" t="inlineStr">
        <is>
          <t>Multiple / Cross-persona</t>
        </is>
      </c>
      <c r="D458" s="5" t="inlineStr">
        <is>
          <t>Communication &amp; Integrations</t>
        </is>
      </c>
      <c r="E458" s="5" t="inlineStr">
        <is>
          <t>Accounting export → downstream accounting</t>
        </is>
      </c>
      <c r="F458" s="5" t="inlineStr">
        <is>
          <t>In-house Accountant</t>
        </is>
      </c>
      <c r="G458" s="5" t="inlineStr">
        <is>
          <t>External CA</t>
        </is>
      </c>
      <c r="H458" s="5" t="inlineStr">
        <is>
          <t>Export sales, purchases, and payments into standardized format for external accounting software</t>
        </is>
      </c>
      <c r="I458" s="5" t="inlineStr">
        <is>
          <t>Generates structured XML/Excel export compatible with Tally, Busy, or Zoho Books</t>
        </is>
      </c>
      <c r="J458" s="20" t="inlineStr">
        <is>
          <t>P1</t>
        </is>
      </c>
      <c r="K458" s="20" t="inlineStr">
        <is>
          <t>Validated (Supported)</t>
        </is>
      </c>
      <c r="L458" s="5" t="inlineStr">
        <is>
          <t>Supported via /accounting/export/tally-xml/ and standard CSV exports.</t>
        </is>
      </c>
      <c r="M458" s="8" t="inlineStr">
        <is>
          <t>Baseline</t>
        </is>
      </c>
      <c r="N458" s="8" t="inlineStr">
        <is>
          <t>Cross-persona</t>
        </is>
      </c>
      <c r="O458" s="8" t="inlineStr">
        <is>
          <t>P1</t>
        </is>
      </c>
      <c r="P458" s="5" t="inlineStr">
        <is>
          <t>Unchanged</t>
        </is>
      </c>
      <c r="Q458" s="20" t="inlineStr">
        <is>
          <t>Author assertion</t>
        </is>
      </c>
      <c r="R458" s="5" t="inlineStr"/>
      <c r="S458" s="8" t="inlineStr">
        <is>
          <t>INT</t>
        </is>
      </c>
      <c r="T458" s="5" t="inlineStr">
        <is>
          <t>Communication and integrations</t>
        </is>
      </c>
      <c r="U458" s="8" t="inlineStr"/>
      <c r="V458" s="8" t="inlineStr">
        <is>
          <t>integrations</t>
        </is>
      </c>
      <c r="W458" s="8" t="inlineStr">
        <is>
          <t>KERNEL</t>
        </is>
      </c>
      <c r="X458" s="5" t="inlineStr">
        <is>
          <t>Core</t>
        </is>
      </c>
      <c r="Y458" s="5" t="inlineStr">
        <is>
          <t>Cross-persona</t>
        </is>
      </c>
      <c r="Z458" s="5" t="inlineStr">
        <is>
          <t>Medium</t>
        </is>
      </c>
      <c r="AA458" s="5" t="inlineStr">
        <is>
          <t>Medium</t>
        </is>
      </c>
      <c r="AB458" s="8" t="inlineStr">
        <is>
          <t>Low</t>
        </is>
      </c>
      <c r="AC458" s="8" t="inlineStr">
        <is>
          <t>Later</t>
        </is>
      </c>
      <c r="AD458" s="5" t="inlineStr">
        <is>
          <t>Not independently checked</t>
        </is>
      </c>
      <c r="AE458" s="5" t="inlineStr">
        <is>
          <t>Not verified</t>
        </is>
      </c>
      <c r="AF458" s="5" t="inlineStr">
        <is>
          <t>Not verified</t>
        </is>
      </c>
      <c r="AG458" s="5" t="inlineStr">
        <is>
          <t>Not verified</t>
        </is>
      </c>
      <c r="AH458" s="5" t="inlineStr">
        <is>
          <t>Not verified</t>
        </is>
      </c>
      <c r="AI458" s="8" t="inlineStr">
        <is>
          <t>No</t>
        </is>
      </c>
      <c r="AJ458" s="8" t="inlineStr">
        <is>
          <t>Claimed - unverified</t>
        </is>
      </c>
      <c r="AK458" s="8" t="inlineStr">
        <is>
          <t>P1</t>
        </is>
      </c>
      <c r="AL458" s="8" t="n">
        <v>6</v>
      </c>
      <c r="AM458" s="5" t="inlineStr"/>
      <c r="AN458" s="5" t="inlineStr"/>
      <c r="AO458" s="5" t="inlineStr"/>
      <c r="AP458" s="5" t="inlineStr"/>
      <c r="AQ458" s="5" t="inlineStr"/>
      <c r="AR458" s="5" t="inlineStr"/>
      <c r="AS458" s="5" t="inlineStr"/>
      <c r="AT458" s="5" t="inlineStr"/>
      <c r="AU458" s="8" t="inlineStr">
        <is>
          <t>Not run</t>
        </is>
      </c>
    </row>
    <row r="459" ht="32" customHeight="1">
      <c r="A459" s="16" t="inlineStr">
        <is>
          <t>X-0458</t>
        </is>
      </c>
      <c r="B459" s="8" t="inlineStr">
        <is>
          <t>X</t>
        </is>
      </c>
      <c r="C459" s="5" t="inlineStr">
        <is>
          <t>Multiple / Cross-persona</t>
        </is>
      </c>
      <c r="D459" s="5" t="inlineStr">
        <is>
          <t>Communication &amp; Integrations</t>
        </is>
      </c>
      <c r="E459" s="5" t="inlineStr">
        <is>
          <t>Accounting data → reconciliation</t>
        </is>
      </c>
      <c r="F459" s="5" t="inlineStr">
        <is>
          <t>In-house Accountant</t>
        </is>
      </c>
      <c r="G459" s="5" t="inlineStr">
        <is>
          <t>External CA</t>
        </is>
      </c>
      <c r="H459" s="5" t="inlineStr">
        <is>
          <t>Verify that exported accounting records match external Tally balance sheet figures</t>
        </is>
      </c>
      <c r="I459" s="5" t="inlineStr">
        <is>
          <t>Provides Trial Balance reconciliation checksum comparing internal books with external export</t>
        </is>
      </c>
      <c r="J459" s="20" t="inlineStr">
        <is>
          <t>P1</t>
        </is>
      </c>
      <c r="K459" s="20" t="inlineStr">
        <is>
          <t>Validated (Supported)</t>
        </is>
      </c>
      <c r="L459" s="5" t="inlineStr">
        <is>
          <t>Supported via Trial Balance export reconciliation report.</t>
        </is>
      </c>
      <c r="M459" s="8" t="inlineStr">
        <is>
          <t>Baseline</t>
        </is>
      </c>
      <c r="N459" s="8" t="inlineStr">
        <is>
          <t>Cross-persona</t>
        </is>
      </c>
      <c r="O459" s="8" t="inlineStr">
        <is>
          <t>P1</t>
        </is>
      </c>
      <c r="P459" s="5" t="inlineStr">
        <is>
          <t>Unchanged</t>
        </is>
      </c>
      <c r="Q459" s="20" t="inlineStr">
        <is>
          <t>Author assertion</t>
        </is>
      </c>
      <c r="R459" s="5" t="inlineStr"/>
      <c r="S459" s="8" t="inlineStr">
        <is>
          <t>INT</t>
        </is>
      </c>
      <c r="T459" s="5" t="inlineStr">
        <is>
          <t>Communication and integrations</t>
        </is>
      </c>
      <c r="U459" s="8" t="inlineStr"/>
      <c r="V459" s="8" t="inlineStr">
        <is>
          <t>integrations</t>
        </is>
      </c>
      <c r="W459" s="8" t="inlineStr">
        <is>
          <t>KERNEL</t>
        </is>
      </c>
      <c r="X459" s="5" t="inlineStr">
        <is>
          <t>Core</t>
        </is>
      </c>
      <c r="Y459" s="5" t="inlineStr">
        <is>
          <t>Cross-persona</t>
        </is>
      </c>
      <c r="Z459" s="5" t="inlineStr">
        <is>
          <t>Medium</t>
        </is>
      </c>
      <c r="AA459" s="5" t="inlineStr">
        <is>
          <t>Medium</t>
        </is>
      </c>
      <c r="AB459" s="8" t="inlineStr">
        <is>
          <t>Low</t>
        </is>
      </c>
      <c r="AC459" s="8" t="inlineStr">
        <is>
          <t>Later</t>
        </is>
      </c>
      <c r="AD459" s="5" t="inlineStr">
        <is>
          <t>Not independently checked</t>
        </is>
      </c>
      <c r="AE459" s="5" t="inlineStr">
        <is>
          <t>Not verified</t>
        </is>
      </c>
      <c r="AF459" s="5" t="inlineStr">
        <is>
          <t>Not verified</t>
        </is>
      </c>
      <c r="AG459" s="5" t="inlineStr">
        <is>
          <t>Not verified</t>
        </is>
      </c>
      <c r="AH459" s="5" t="inlineStr">
        <is>
          <t>Not verified</t>
        </is>
      </c>
      <c r="AI459" s="8" t="inlineStr">
        <is>
          <t>No</t>
        </is>
      </c>
      <c r="AJ459" s="8" t="inlineStr">
        <is>
          <t>Claimed - unverified</t>
        </is>
      </c>
      <c r="AK459" s="8" t="inlineStr">
        <is>
          <t>P1</t>
        </is>
      </c>
      <c r="AL459" s="8" t="n">
        <v>6</v>
      </c>
      <c r="AM459" s="5" t="inlineStr"/>
      <c r="AN459" s="5" t="inlineStr"/>
      <c r="AO459" s="5" t="inlineStr"/>
      <c r="AP459" s="5" t="inlineStr"/>
      <c r="AQ459" s="5" t="inlineStr"/>
      <c r="AR459" s="5" t="inlineStr"/>
      <c r="AS459" s="5" t="inlineStr"/>
      <c r="AT459" s="5" t="inlineStr"/>
      <c r="AU459" s="8" t="inlineStr">
        <is>
          <t>Not run</t>
        </is>
      </c>
    </row>
    <row r="460" ht="32" customHeight="1">
      <c r="A460" s="16" t="inlineStr">
        <is>
          <t>X-0459</t>
        </is>
      </c>
      <c r="B460" s="8" t="inlineStr">
        <is>
          <t>X</t>
        </is>
      </c>
      <c r="C460" s="5" t="inlineStr">
        <is>
          <t>Multiple / Cross-persona</t>
        </is>
      </c>
      <c r="D460" s="5" t="inlineStr">
        <is>
          <t>Communication &amp; Integrations</t>
        </is>
      </c>
      <c r="E460" s="5" t="inlineStr">
        <is>
          <t>Integration failure → retry</t>
        </is>
      </c>
      <c r="F460" s="5" t="inlineStr">
        <is>
          <t>System / Celery Worker</t>
        </is>
      </c>
      <c r="G460" s="5" t="inlineStr">
        <is>
          <t>System Administrator</t>
        </is>
      </c>
      <c r="H460" s="5" t="inlineStr">
        <is>
          <t>Transient external API failures automatically retried with exponential backoff</t>
        </is>
      </c>
      <c r="I460" s="5" t="inlineStr">
        <is>
          <t>Celery task retries up to 5 times with exponential backoff delay before alerting admin</t>
        </is>
      </c>
      <c r="J460" s="20" t="inlineStr">
        <is>
          <t>P1</t>
        </is>
      </c>
      <c r="K460" s="20" t="inlineStr">
        <is>
          <t>Validated (Supported)</t>
        </is>
      </c>
      <c r="L460" s="5" t="inlineStr">
        <is>
          <t>Supported via Celery integration retry decorator with exponential backoff.</t>
        </is>
      </c>
      <c r="M460" s="8" t="inlineStr">
        <is>
          <t>Baseline</t>
        </is>
      </c>
      <c r="N460" s="8" t="inlineStr">
        <is>
          <t>Cross-persona</t>
        </is>
      </c>
      <c r="O460" s="8" t="inlineStr">
        <is>
          <t>P1</t>
        </is>
      </c>
      <c r="P460" s="5" t="inlineStr">
        <is>
          <t>Unchanged</t>
        </is>
      </c>
      <c r="Q460" s="20" t="inlineStr">
        <is>
          <t>Author assertion</t>
        </is>
      </c>
      <c r="R460" s="5" t="inlineStr"/>
      <c r="S460" s="8" t="inlineStr">
        <is>
          <t>INT</t>
        </is>
      </c>
      <c r="T460" s="5" t="inlineStr">
        <is>
          <t>Communication and integrations</t>
        </is>
      </c>
      <c r="U460" s="8" t="inlineStr"/>
      <c r="V460" s="8" t="inlineStr">
        <is>
          <t>integrations</t>
        </is>
      </c>
      <c r="W460" s="8" t="inlineStr">
        <is>
          <t>KERNEL</t>
        </is>
      </c>
      <c r="X460" s="5" t="inlineStr">
        <is>
          <t>Core</t>
        </is>
      </c>
      <c r="Y460" s="5" t="inlineStr">
        <is>
          <t>Cross-persona</t>
        </is>
      </c>
      <c r="Z460" s="5" t="inlineStr">
        <is>
          <t>Medium</t>
        </is>
      </c>
      <c r="AA460" s="5" t="inlineStr">
        <is>
          <t>Medium</t>
        </is>
      </c>
      <c r="AB460" s="8" t="inlineStr">
        <is>
          <t>Low</t>
        </is>
      </c>
      <c r="AC460" s="8" t="inlineStr">
        <is>
          <t>Later</t>
        </is>
      </c>
      <c r="AD460" s="5" t="inlineStr">
        <is>
          <t>Not independently checked</t>
        </is>
      </c>
      <c r="AE460" s="5" t="inlineStr">
        <is>
          <t>Not verified</t>
        </is>
      </c>
      <c r="AF460" s="5" t="inlineStr">
        <is>
          <t>Not verified</t>
        </is>
      </c>
      <c r="AG460" s="5" t="inlineStr">
        <is>
          <t>Not verified</t>
        </is>
      </c>
      <c r="AH460" s="5" t="inlineStr">
        <is>
          <t>Not verified</t>
        </is>
      </c>
      <c r="AI460" s="8" t="inlineStr">
        <is>
          <t>No</t>
        </is>
      </c>
      <c r="AJ460" s="8" t="inlineStr">
        <is>
          <t>Claimed - unverified</t>
        </is>
      </c>
      <c r="AK460" s="8" t="inlineStr">
        <is>
          <t>P1</t>
        </is>
      </c>
      <c r="AL460" s="8" t="n">
        <v>6</v>
      </c>
      <c r="AM460" s="5" t="inlineStr"/>
      <c r="AN460" s="5" t="inlineStr"/>
      <c r="AO460" s="5" t="inlineStr"/>
      <c r="AP460" s="5" t="inlineStr"/>
      <c r="AQ460" s="5" t="inlineStr"/>
      <c r="AR460" s="5" t="inlineStr"/>
      <c r="AS460" s="5" t="inlineStr"/>
      <c r="AT460" s="5" t="inlineStr"/>
      <c r="AU460" s="8" t="inlineStr">
        <is>
          <t>Not run</t>
        </is>
      </c>
    </row>
    <row r="461" ht="32" customHeight="1">
      <c r="A461" s="16" t="inlineStr">
        <is>
          <t>X-0460</t>
        </is>
      </c>
      <c r="B461" s="8" t="inlineStr">
        <is>
          <t>X</t>
        </is>
      </c>
      <c r="C461" s="5" t="inlineStr">
        <is>
          <t>Multiple / Cross-persona</t>
        </is>
      </c>
      <c r="D461" s="5" t="inlineStr">
        <is>
          <t>Communication &amp; Integrations</t>
        </is>
      </c>
      <c r="E461" s="5" t="inlineStr">
        <is>
          <t>Integration retry → idempotent result</t>
        </is>
      </c>
      <c r="F461" s="5" t="inlineStr">
        <is>
          <t>System / Integration Engine</t>
        </is>
      </c>
      <c r="G461" s="5" t="inlineStr">
        <is>
          <t>External Service</t>
        </is>
      </c>
      <c r="H461" s="5" t="inlineStr">
        <is>
          <t>Retried integration requests guarantee zero duplicate records on external services</t>
        </is>
      </c>
      <c r="I461" s="5" t="inlineStr">
        <is>
          <t>Passes unique idempotency token to external service to prevent duplicate charges or messages</t>
        </is>
      </c>
      <c r="J461" s="20" t="inlineStr">
        <is>
          <t>P1</t>
        </is>
      </c>
      <c r="K461" s="20" t="inlineStr">
        <is>
          <t>Validated (Supported)</t>
        </is>
      </c>
      <c r="L461" s="5" t="inlineStr">
        <is>
          <t>Core architectural invariant: all external integration calls enforce idempotency keys.</t>
        </is>
      </c>
      <c r="M461" s="8" t="inlineStr">
        <is>
          <t>Baseline</t>
        </is>
      </c>
      <c r="N461" s="8" t="inlineStr">
        <is>
          <t>Cross-persona</t>
        </is>
      </c>
      <c r="O461" s="8" t="inlineStr">
        <is>
          <t>P1</t>
        </is>
      </c>
      <c r="P461" s="5" t="inlineStr">
        <is>
          <t>Restored to authored P1. The previous workbook had P0 after a keyword rebalance.</t>
        </is>
      </c>
      <c r="Q461" s="20" t="inlineStr">
        <is>
          <t>Author assertion</t>
        </is>
      </c>
      <c r="R461" s="5" t="inlineStr">
        <is>
          <t>Restored to authored P1. The previous workbook had P0 after a keyword rebalance.</t>
        </is>
      </c>
      <c r="S461" s="8" t="inlineStr">
        <is>
          <t>INT</t>
        </is>
      </c>
      <c r="T461" s="5" t="inlineStr">
        <is>
          <t>Communication and integrations</t>
        </is>
      </c>
      <c r="U461" s="8" t="inlineStr"/>
      <c r="V461" s="8" t="inlineStr">
        <is>
          <t>integrations</t>
        </is>
      </c>
      <c r="W461" s="8" t="inlineStr">
        <is>
          <t>KERNEL</t>
        </is>
      </c>
      <c r="X461" s="5" t="inlineStr">
        <is>
          <t>Core</t>
        </is>
      </c>
      <c r="Y461" s="5" t="inlineStr">
        <is>
          <t>Cross-persona</t>
        </is>
      </c>
      <c r="Z461" s="5" t="inlineStr">
        <is>
          <t>Medium</t>
        </is>
      </c>
      <c r="AA461" s="5" t="inlineStr">
        <is>
          <t>Medium</t>
        </is>
      </c>
      <c r="AB461" s="8" t="inlineStr">
        <is>
          <t>Low</t>
        </is>
      </c>
      <c r="AC461" s="8" t="inlineStr">
        <is>
          <t>Later</t>
        </is>
      </c>
      <c r="AD461" s="5" t="inlineStr">
        <is>
          <t>Not independently checked</t>
        </is>
      </c>
      <c r="AE461" s="5" t="inlineStr">
        <is>
          <t>Not verified</t>
        </is>
      </c>
      <c r="AF461" s="5" t="inlineStr">
        <is>
          <t>Not verified</t>
        </is>
      </c>
      <c r="AG461" s="5" t="inlineStr">
        <is>
          <t>Not verified</t>
        </is>
      </c>
      <c r="AH461" s="5" t="inlineStr">
        <is>
          <t>Not verified</t>
        </is>
      </c>
      <c r="AI461" s="8" t="inlineStr">
        <is>
          <t>No</t>
        </is>
      </c>
      <c r="AJ461" s="8" t="inlineStr">
        <is>
          <t>Claimed - unverified</t>
        </is>
      </c>
      <c r="AK461" s="8" t="inlineStr">
        <is>
          <t>P1</t>
        </is>
      </c>
      <c r="AL461" s="8" t="n">
        <v>6</v>
      </c>
      <c r="AM461" s="5" t="inlineStr"/>
      <c r="AN461" s="5" t="inlineStr"/>
      <c r="AO461" s="5" t="inlineStr"/>
      <c r="AP461" s="5" t="inlineStr"/>
      <c r="AQ461" s="5" t="inlineStr"/>
      <c r="AR461" s="5" t="inlineStr"/>
      <c r="AS461" s="5" t="inlineStr"/>
      <c r="AT461" s="5" t="inlineStr"/>
      <c r="AU461" s="8" t="inlineStr">
        <is>
          <t>Not run</t>
        </is>
      </c>
    </row>
    <row r="462" ht="32" customHeight="1">
      <c r="A462" s="16" t="inlineStr">
        <is>
          <t>X-0461</t>
        </is>
      </c>
      <c r="B462" s="8" t="inlineStr">
        <is>
          <t>X</t>
        </is>
      </c>
      <c r="C462" s="5" t="inlineStr">
        <is>
          <t>Multiple / Cross-persona</t>
        </is>
      </c>
      <c r="D462" s="5" t="inlineStr">
        <is>
          <t>Communication &amp; Integrations</t>
        </is>
      </c>
      <c r="E462" s="5" t="inlineStr">
        <is>
          <t>External reference ID → BizBoard transaction traceability</t>
        </is>
      </c>
      <c r="F462" s="5" t="inlineStr">
        <is>
          <t>In-house Accountant</t>
        </is>
      </c>
      <c r="G462" s="5" t="inlineStr">
        <is>
          <t>Auditor</t>
        </is>
      </c>
      <c r="H462" s="5" t="inlineStr">
        <is>
          <t>Bank UTR, payment gateway payment ID, or e-way bill number permanently linked to voucher</t>
        </is>
      </c>
      <c r="I462" s="5" t="inlineStr">
        <is>
          <t>Stores external reference string on Payment/Invoice model; searchable across system</t>
        </is>
      </c>
      <c r="J462" s="20" t="inlineStr">
        <is>
          <t>P1</t>
        </is>
      </c>
      <c r="K462" s="20" t="inlineStr">
        <is>
          <t>Validated (Supported)</t>
        </is>
      </c>
      <c r="L462" s="5" t="inlineStr">
        <is>
          <t>Supported via external_reference_id field indexed across all transaction models.</t>
        </is>
      </c>
      <c r="M462" s="8" t="inlineStr">
        <is>
          <t>Baseline</t>
        </is>
      </c>
      <c r="N462" s="8" t="inlineStr">
        <is>
          <t>Cross-persona</t>
        </is>
      </c>
      <c r="O462" s="8" t="inlineStr">
        <is>
          <t>P1</t>
        </is>
      </c>
      <c r="P462" s="5" t="inlineStr">
        <is>
          <t>Restored to authored P1. The previous workbook had P0 after a keyword rebalance.</t>
        </is>
      </c>
      <c r="Q462" s="20" t="inlineStr">
        <is>
          <t>Author assertion</t>
        </is>
      </c>
      <c r="R462" s="5" t="inlineStr">
        <is>
          <t>Restored to authored P1. The previous workbook had P0 after a keyword rebalance.</t>
        </is>
      </c>
      <c r="S462" s="8" t="inlineStr">
        <is>
          <t>INT</t>
        </is>
      </c>
      <c r="T462" s="5" t="inlineStr">
        <is>
          <t>Communication and integrations</t>
        </is>
      </c>
      <c r="U462" s="8" t="inlineStr"/>
      <c r="V462" s="8" t="inlineStr">
        <is>
          <t>integrations</t>
        </is>
      </c>
      <c r="W462" s="8" t="inlineStr">
        <is>
          <t>KERNEL</t>
        </is>
      </c>
      <c r="X462" s="5" t="inlineStr">
        <is>
          <t>Core</t>
        </is>
      </c>
      <c r="Y462" s="5" t="inlineStr">
        <is>
          <t>Cross-persona</t>
        </is>
      </c>
      <c r="Z462" s="5" t="inlineStr">
        <is>
          <t>Medium</t>
        </is>
      </c>
      <c r="AA462" s="5" t="inlineStr">
        <is>
          <t>Medium</t>
        </is>
      </c>
      <c r="AB462" s="8" t="inlineStr">
        <is>
          <t>Low</t>
        </is>
      </c>
      <c r="AC462" s="8" t="inlineStr">
        <is>
          <t>Later</t>
        </is>
      </c>
      <c r="AD462" s="5" t="inlineStr">
        <is>
          <t>Not independently checked</t>
        </is>
      </c>
      <c r="AE462" s="5" t="inlineStr">
        <is>
          <t>Not verified</t>
        </is>
      </c>
      <c r="AF462" s="5" t="inlineStr">
        <is>
          <t>Not verified</t>
        </is>
      </c>
      <c r="AG462" s="5" t="inlineStr">
        <is>
          <t>Not verified</t>
        </is>
      </c>
      <c r="AH462" s="5" t="inlineStr">
        <is>
          <t>Not verified</t>
        </is>
      </c>
      <c r="AI462" s="8" t="inlineStr">
        <is>
          <t>No</t>
        </is>
      </c>
      <c r="AJ462" s="8" t="inlineStr">
        <is>
          <t>Claimed - unverified</t>
        </is>
      </c>
      <c r="AK462" s="8" t="inlineStr">
        <is>
          <t>P1</t>
        </is>
      </c>
      <c r="AL462" s="8" t="n">
        <v>6</v>
      </c>
      <c r="AM462" s="5" t="inlineStr"/>
      <c r="AN462" s="5" t="inlineStr"/>
      <c r="AO462" s="5" t="inlineStr"/>
      <c r="AP462" s="5" t="inlineStr"/>
      <c r="AQ462" s="5" t="inlineStr"/>
      <c r="AR462" s="5" t="inlineStr"/>
      <c r="AS462" s="5" t="inlineStr"/>
      <c r="AT462" s="5" t="inlineStr"/>
      <c r="AU462" s="8" t="inlineStr">
        <is>
          <t>Not run</t>
        </is>
      </c>
    </row>
    <row r="463" ht="32" customHeight="1">
      <c r="A463" s="16" t="inlineStr">
        <is>
          <t>X-0462</t>
        </is>
      </c>
      <c r="B463" s="8" t="inlineStr">
        <is>
          <t>X</t>
        </is>
      </c>
      <c r="C463" s="5" t="inlineStr">
        <is>
          <t>Multiple / Cross-persona</t>
        </is>
      </c>
      <c r="D463" s="5" t="inlineStr">
        <is>
          <t>Import / Export / Period Close</t>
        </is>
      </c>
      <c r="E463" s="5" t="inlineStr">
        <is>
          <t>Import customer master</t>
        </is>
      </c>
      <c r="F463" s="5" t="inlineStr">
        <is>
          <t>System Administrator / Accountant</t>
        </is>
      </c>
      <c r="G463" s="5" t="inlineStr">
        <is>
          <t>Sales Team</t>
        </is>
      </c>
      <c r="H463" s="5" t="inlineStr">
        <is>
          <t>Bulk import customer contact list, GSTINs, addresses, and credit limits from Excel/CSV</t>
        </is>
      </c>
      <c r="I463" s="5" t="inlineStr">
        <is>
          <t>Validates schema and GSTINs; inserts Customer master records in bulk transaction</t>
        </is>
      </c>
      <c r="J463" s="20" t="inlineStr">
        <is>
          <t>P1</t>
        </is>
      </c>
      <c r="K463" s="20" t="inlineStr">
        <is>
          <t>Validated (Supported)</t>
        </is>
      </c>
      <c r="L463" s="5" t="inlineStr">
        <is>
          <t>Supported via /imports/customers/ with sample template and dry-run preview.</t>
        </is>
      </c>
      <c r="M463" s="8" t="inlineStr">
        <is>
          <t>Baseline</t>
        </is>
      </c>
      <c r="N463" s="8" t="inlineStr">
        <is>
          <t>Cross-persona</t>
        </is>
      </c>
      <c r="O463" s="8" t="inlineStr">
        <is>
          <t>P1</t>
        </is>
      </c>
      <c r="P463" s="5" t="inlineStr">
        <is>
          <t>Restored to authored P1. The previous workbook had P0 after a keyword rebalance.</t>
        </is>
      </c>
      <c r="Q463" s="20" t="inlineStr">
        <is>
          <t>Author assertion</t>
        </is>
      </c>
      <c r="R463" s="5" t="inlineStr">
        <is>
          <t>Restored to authored P1. The previous workbook had P0 after a keyword rebalance.</t>
        </is>
      </c>
      <c r="S463" s="8" t="inlineStr">
        <is>
          <t>CLOSE</t>
        </is>
      </c>
      <c r="T463" s="5" t="inlineStr">
        <is>
          <t>Import, export, and period close</t>
        </is>
      </c>
      <c r="U463" s="8" t="inlineStr"/>
      <c r="V463" s="8" t="inlineStr">
        <is>
          <t>accounting</t>
        </is>
      </c>
      <c r="W463" s="8" t="inlineStr">
        <is>
          <t>CONTROL</t>
        </is>
      </c>
      <c r="X463" s="5" t="inlineStr">
        <is>
          <t>Core</t>
        </is>
      </c>
      <c r="Y463" s="5" t="inlineStr">
        <is>
          <t>Cross-persona</t>
        </is>
      </c>
      <c r="Z463" s="5" t="inlineStr">
        <is>
          <t>Medium</t>
        </is>
      </c>
      <c r="AA463" s="5" t="inlineStr">
        <is>
          <t>Medium</t>
        </is>
      </c>
      <c r="AB463" s="8" t="inlineStr">
        <is>
          <t>Low</t>
        </is>
      </c>
      <c r="AC463" s="8" t="inlineStr">
        <is>
          <t>Pilot</t>
        </is>
      </c>
      <c r="AD463" s="5" t="inlineStr">
        <is>
          <t>Not independently checked</t>
        </is>
      </c>
      <c r="AE463" s="5" t="inlineStr">
        <is>
          <t>Not verified</t>
        </is>
      </c>
      <c r="AF463" s="5" t="inlineStr">
        <is>
          <t>Not verified</t>
        </is>
      </c>
      <c r="AG463" s="5" t="inlineStr">
        <is>
          <t>Not verified</t>
        </is>
      </c>
      <c r="AH463" s="5" t="inlineStr">
        <is>
          <t>Not verified</t>
        </is>
      </c>
      <c r="AI463" s="8" t="inlineStr">
        <is>
          <t>No</t>
        </is>
      </c>
      <c r="AJ463" s="8" t="inlineStr">
        <is>
          <t>Claimed - unverified</t>
        </is>
      </c>
      <c r="AK463" s="8" t="inlineStr">
        <is>
          <t>P1</t>
        </is>
      </c>
      <c r="AL463" s="8" t="n">
        <v>6</v>
      </c>
      <c r="AM463" s="5" t="inlineStr"/>
      <c r="AN463" s="5" t="inlineStr"/>
      <c r="AO463" s="5" t="inlineStr"/>
      <c r="AP463" s="5" t="inlineStr"/>
      <c r="AQ463" s="5" t="inlineStr"/>
      <c r="AR463" s="5" t="inlineStr"/>
      <c r="AS463" s="5" t="inlineStr"/>
      <c r="AT463" s="5" t="inlineStr"/>
      <c r="AU463" s="8" t="inlineStr">
        <is>
          <t>Not run</t>
        </is>
      </c>
    </row>
    <row r="464" ht="32" customHeight="1">
      <c r="A464" s="16" t="inlineStr">
        <is>
          <t>X-0463</t>
        </is>
      </c>
      <c r="B464" s="8" t="inlineStr">
        <is>
          <t>X</t>
        </is>
      </c>
      <c r="C464" s="5" t="inlineStr">
        <is>
          <t>Multiple / Cross-persona</t>
        </is>
      </c>
      <c r="D464" s="5" t="inlineStr">
        <is>
          <t>Import / Export / Period Close</t>
        </is>
      </c>
      <c r="E464" s="5" t="inlineStr">
        <is>
          <t>Import supplier master</t>
        </is>
      </c>
      <c r="F464" s="5" t="inlineStr">
        <is>
          <t>System Administrator / Accountant</t>
        </is>
      </c>
      <c r="G464" s="5" t="inlineStr">
        <is>
          <t>Purchase Team</t>
        </is>
      </c>
      <c r="H464" s="5" t="inlineStr">
        <is>
          <t>Bulk import vendor directory, GSTINs, payment terms, and contact details from Excel/CSV</t>
        </is>
      </c>
      <c r="I464" s="5" t="inlineStr">
        <is>
          <t>Inserts Supplier master records in bulk transaction; flags duplicate vendor GSTINs</t>
        </is>
      </c>
      <c r="J464" s="20" t="inlineStr">
        <is>
          <t>P1</t>
        </is>
      </c>
      <c r="K464" s="20" t="inlineStr">
        <is>
          <t>Validated (Supported)</t>
        </is>
      </c>
      <c r="L464" s="5" t="inlineStr">
        <is>
          <t>Supported via /imports/suppliers/ with sample CSV template.</t>
        </is>
      </c>
      <c r="M464" s="8" t="inlineStr">
        <is>
          <t>Baseline</t>
        </is>
      </c>
      <c r="N464" s="8" t="inlineStr">
        <is>
          <t>Cross-persona</t>
        </is>
      </c>
      <c r="O464" s="8" t="inlineStr">
        <is>
          <t>P1</t>
        </is>
      </c>
      <c r="P464" s="5" t="inlineStr">
        <is>
          <t>Unchanged</t>
        </is>
      </c>
      <c r="Q464" s="20" t="inlineStr">
        <is>
          <t>Author assertion</t>
        </is>
      </c>
      <c r="R464" s="5" t="inlineStr"/>
      <c r="S464" s="8" t="inlineStr">
        <is>
          <t>CLOSE</t>
        </is>
      </c>
      <c r="T464" s="5" t="inlineStr">
        <is>
          <t>Import, export, and period close</t>
        </is>
      </c>
      <c r="U464" s="8" t="inlineStr"/>
      <c r="V464" s="8" t="inlineStr">
        <is>
          <t>accounting</t>
        </is>
      </c>
      <c r="W464" s="8" t="inlineStr">
        <is>
          <t>CONTROL</t>
        </is>
      </c>
      <c r="X464" s="5" t="inlineStr">
        <is>
          <t>Core</t>
        </is>
      </c>
      <c r="Y464" s="5" t="inlineStr">
        <is>
          <t>Cross-persona</t>
        </is>
      </c>
      <c r="Z464" s="5" t="inlineStr">
        <is>
          <t>Medium</t>
        </is>
      </c>
      <c r="AA464" s="5" t="inlineStr">
        <is>
          <t>Medium</t>
        </is>
      </c>
      <c r="AB464" s="8" t="inlineStr">
        <is>
          <t>Low</t>
        </is>
      </c>
      <c r="AC464" s="8" t="inlineStr">
        <is>
          <t>Pilot</t>
        </is>
      </c>
      <c r="AD464" s="5" t="inlineStr">
        <is>
          <t>Not independently checked</t>
        </is>
      </c>
      <c r="AE464" s="5" t="inlineStr">
        <is>
          <t>Not verified</t>
        </is>
      </c>
      <c r="AF464" s="5" t="inlineStr">
        <is>
          <t>Not verified</t>
        </is>
      </c>
      <c r="AG464" s="5" t="inlineStr">
        <is>
          <t>Not verified</t>
        </is>
      </c>
      <c r="AH464" s="5" t="inlineStr">
        <is>
          <t>Not verified</t>
        </is>
      </c>
      <c r="AI464" s="8" t="inlineStr">
        <is>
          <t>No</t>
        </is>
      </c>
      <c r="AJ464" s="8" t="inlineStr">
        <is>
          <t>Claimed - unverified</t>
        </is>
      </c>
      <c r="AK464" s="8" t="inlineStr">
        <is>
          <t>P1</t>
        </is>
      </c>
      <c r="AL464" s="8" t="n">
        <v>6</v>
      </c>
      <c r="AM464" s="5" t="inlineStr"/>
      <c r="AN464" s="5" t="inlineStr"/>
      <c r="AO464" s="5" t="inlineStr"/>
      <c r="AP464" s="5" t="inlineStr"/>
      <c r="AQ464" s="5" t="inlineStr"/>
      <c r="AR464" s="5" t="inlineStr"/>
      <c r="AS464" s="5" t="inlineStr"/>
      <c r="AT464" s="5" t="inlineStr"/>
      <c r="AU464" s="8" t="inlineStr">
        <is>
          <t>Not run</t>
        </is>
      </c>
    </row>
    <row r="465" ht="32" customHeight="1">
      <c r="A465" s="16" t="inlineStr">
        <is>
          <t>X-0464</t>
        </is>
      </c>
      <c r="B465" s="8" t="inlineStr">
        <is>
          <t>X</t>
        </is>
      </c>
      <c r="C465" s="5" t="inlineStr">
        <is>
          <t>Multiple / Cross-persona</t>
        </is>
      </c>
      <c r="D465" s="5" t="inlineStr">
        <is>
          <t>Import / Export / Period Close</t>
        </is>
      </c>
      <c r="E465" s="5" t="inlineStr">
        <is>
          <t>Import product master</t>
        </is>
      </c>
      <c r="F465" s="5" t="inlineStr">
        <is>
          <t>Catalog Lead / Admin</t>
        </is>
      </c>
      <c r="G465" s="5" t="inlineStr">
        <is>
          <t>Sales &amp; Inventory Teams</t>
        </is>
      </c>
      <c r="H465" s="5" t="inlineStr">
        <is>
          <t>Bulk import full product catalog including barcodes, HSN codes, tax rates, and prices</t>
        </is>
      </c>
      <c r="I465" s="5" t="inlineStr">
        <is>
          <t>Inserts Product master records in bulk; validates HSN format and pricing consistency</t>
        </is>
      </c>
      <c r="J465" s="20" t="inlineStr">
        <is>
          <t>P1</t>
        </is>
      </c>
      <c r="K465" s="20" t="inlineStr">
        <is>
          <t>Validated (Supported)</t>
        </is>
      </c>
      <c r="L465" s="5" t="inlineStr">
        <is>
          <t>Supported via /imports/products/ with multi-warehouse opening stock option.</t>
        </is>
      </c>
      <c r="M465" s="8" t="inlineStr">
        <is>
          <t>Baseline</t>
        </is>
      </c>
      <c r="N465" s="8" t="inlineStr">
        <is>
          <t>Cross-persona</t>
        </is>
      </c>
      <c r="O465" s="8" t="inlineStr">
        <is>
          <t>P1</t>
        </is>
      </c>
      <c r="P465" s="5" t="inlineStr">
        <is>
          <t>Unchanged</t>
        </is>
      </c>
      <c r="Q465" s="20" t="inlineStr">
        <is>
          <t>Author assertion</t>
        </is>
      </c>
      <c r="R465" s="5" t="inlineStr"/>
      <c r="S465" s="8" t="inlineStr">
        <is>
          <t>CLOSE</t>
        </is>
      </c>
      <c r="T465" s="5" t="inlineStr">
        <is>
          <t>Import, export, and period close</t>
        </is>
      </c>
      <c r="U465" s="8" t="inlineStr"/>
      <c r="V465" s="8" t="inlineStr">
        <is>
          <t>accounting</t>
        </is>
      </c>
      <c r="W465" s="8" t="inlineStr">
        <is>
          <t>CONTROL</t>
        </is>
      </c>
      <c r="X465" s="5" t="inlineStr">
        <is>
          <t>Core</t>
        </is>
      </c>
      <c r="Y465" s="5" t="inlineStr">
        <is>
          <t>Cross-persona</t>
        </is>
      </c>
      <c r="Z465" s="5" t="inlineStr">
        <is>
          <t>Medium</t>
        </is>
      </c>
      <c r="AA465" s="5" t="inlineStr">
        <is>
          <t>Medium</t>
        </is>
      </c>
      <c r="AB465" s="8" t="inlineStr">
        <is>
          <t>Low</t>
        </is>
      </c>
      <c r="AC465" s="8" t="inlineStr">
        <is>
          <t>Pilot</t>
        </is>
      </c>
      <c r="AD465" s="5" t="inlineStr">
        <is>
          <t>Not independently checked</t>
        </is>
      </c>
      <c r="AE465" s="5" t="inlineStr">
        <is>
          <t>Not verified</t>
        </is>
      </c>
      <c r="AF465" s="5" t="inlineStr">
        <is>
          <t>Not verified</t>
        </is>
      </c>
      <c r="AG465" s="5" t="inlineStr">
        <is>
          <t>Not verified</t>
        </is>
      </c>
      <c r="AH465" s="5" t="inlineStr">
        <is>
          <t>Not verified</t>
        </is>
      </c>
      <c r="AI465" s="8" t="inlineStr">
        <is>
          <t>No</t>
        </is>
      </c>
      <c r="AJ465" s="8" t="inlineStr">
        <is>
          <t>Claimed - unverified</t>
        </is>
      </c>
      <c r="AK465" s="8" t="inlineStr">
        <is>
          <t>P1</t>
        </is>
      </c>
      <c r="AL465" s="8" t="n">
        <v>6</v>
      </c>
      <c r="AM465" s="5" t="inlineStr"/>
      <c r="AN465" s="5" t="inlineStr"/>
      <c r="AO465" s="5" t="inlineStr"/>
      <c r="AP465" s="5" t="inlineStr"/>
      <c r="AQ465" s="5" t="inlineStr"/>
      <c r="AR465" s="5" t="inlineStr"/>
      <c r="AS465" s="5" t="inlineStr"/>
      <c r="AT465" s="5" t="inlineStr"/>
      <c r="AU465" s="8" t="inlineStr">
        <is>
          <t>Not run</t>
        </is>
      </c>
    </row>
    <row r="466" ht="32" customHeight="1">
      <c r="A466" s="16" t="inlineStr">
        <is>
          <t>X-0465</t>
        </is>
      </c>
      <c r="B466" s="8" t="inlineStr">
        <is>
          <t>X</t>
        </is>
      </c>
      <c r="C466" s="5" t="inlineStr">
        <is>
          <t>Multiple / Cross-persona</t>
        </is>
      </c>
      <c r="D466" s="5" t="inlineStr">
        <is>
          <t>Import / Export / Period Close</t>
        </is>
      </c>
      <c r="E466" s="5" t="inlineStr">
        <is>
          <t>Import opening stock</t>
        </is>
      </c>
      <c r="F466" s="5" t="inlineStr">
        <is>
          <t>Inventory Manager / Admin</t>
        </is>
      </c>
      <c r="G466" s="5" t="inlineStr">
        <is>
          <t>Auditor</t>
        </is>
      </c>
      <c r="H466" s="5" t="inlineStr">
        <is>
          <t>Upload initial physical stock quantities, batch numbers, and unit purchase valuations</t>
        </is>
      </c>
      <c r="I466" s="5" t="inlineStr">
        <is>
          <t>Initializes StockBalance records; creates StockMovement (OPENING_BALANCE); posts to GL</t>
        </is>
      </c>
      <c r="J466" s="20" t="inlineStr">
        <is>
          <t>P1</t>
        </is>
      </c>
      <c r="K466" s="20" t="inlineStr">
        <is>
          <t>Validated (Supported)</t>
        </is>
      </c>
      <c r="L466" s="5" t="inlineStr">
        <is>
          <t>Supported via /imports/opening-stock/ with warehouse location tagging.</t>
        </is>
      </c>
      <c r="M466" s="8" t="inlineStr">
        <is>
          <t>Baseline</t>
        </is>
      </c>
      <c r="N466" s="8" t="inlineStr">
        <is>
          <t>Cross-persona</t>
        </is>
      </c>
      <c r="O466" s="8" t="inlineStr">
        <is>
          <t>P1</t>
        </is>
      </c>
      <c r="P466" s="5" t="inlineStr">
        <is>
          <t>Unchanged</t>
        </is>
      </c>
      <c r="Q466" s="20" t="inlineStr">
        <is>
          <t>Author assertion</t>
        </is>
      </c>
      <c r="R466" s="5" t="inlineStr"/>
      <c r="S466" s="8" t="inlineStr">
        <is>
          <t>CLOSE</t>
        </is>
      </c>
      <c r="T466" s="5" t="inlineStr">
        <is>
          <t>Import, export, and period close</t>
        </is>
      </c>
      <c r="U466" s="8" t="inlineStr"/>
      <c r="V466" s="8" t="inlineStr">
        <is>
          <t>accounting</t>
        </is>
      </c>
      <c r="W466" s="8" t="inlineStr">
        <is>
          <t>CONTROL</t>
        </is>
      </c>
      <c r="X466" s="5" t="inlineStr">
        <is>
          <t>Core</t>
        </is>
      </c>
      <c r="Y466" s="5" t="inlineStr">
        <is>
          <t>Cross-persona</t>
        </is>
      </c>
      <c r="Z466" s="5" t="inlineStr">
        <is>
          <t>Medium</t>
        </is>
      </c>
      <c r="AA466" s="5" t="inlineStr">
        <is>
          <t>Medium</t>
        </is>
      </c>
      <c r="AB466" s="8" t="inlineStr">
        <is>
          <t>Low</t>
        </is>
      </c>
      <c r="AC466" s="8" t="inlineStr">
        <is>
          <t>Pilot</t>
        </is>
      </c>
      <c r="AD466" s="5" t="inlineStr">
        <is>
          <t>Not independently checked</t>
        </is>
      </c>
      <c r="AE466" s="5" t="inlineStr">
        <is>
          <t>Not verified</t>
        </is>
      </c>
      <c r="AF466" s="5" t="inlineStr">
        <is>
          <t>Not verified</t>
        </is>
      </c>
      <c r="AG466" s="5" t="inlineStr">
        <is>
          <t>Not verified</t>
        </is>
      </c>
      <c r="AH466" s="5" t="inlineStr">
        <is>
          <t>Not verified</t>
        </is>
      </c>
      <c r="AI466" s="8" t="inlineStr">
        <is>
          <t>No</t>
        </is>
      </c>
      <c r="AJ466" s="8" t="inlineStr">
        <is>
          <t>Claimed - unverified</t>
        </is>
      </c>
      <c r="AK466" s="8" t="inlineStr">
        <is>
          <t>P1</t>
        </is>
      </c>
      <c r="AL466" s="8" t="n">
        <v>6</v>
      </c>
      <c r="AM466" s="5" t="inlineStr"/>
      <c r="AN466" s="5" t="inlineStr"/>
      <c r="AO466" s="5" t="inlineStr"/>
      <c r="AP466" s="5" t="inlineStr"/>
      <c r="AQ466" s="5" t="inlineStr"/>
      <c r="AR466" s="5" t="inlineStr"/>
      <c r="AS466" s="5" t="inlineStr"/>
      <c r="AT466" s="5" t="inlineStr"/>
      <c r="AU466" s="8" t="inlineStr">
        <is>
          <t>Not run</t>
        </is>
      </c>
    </row>
    <row r="467" ht="32" customHeight="1">
      <c r="A467" s="16" t="inlineStr">
        <is>
          <t>X-0466</t>
        </is>
      </c>
      <c r="B467" s="8" t="inlineStr">
        <is>
          <t>X</t>
        </is>
      </c>
      <c r="C467" s="5" t="inlineStr">
        <is>
          <t>Multiple / Cross-persona</t>
        </is>
      </c>
      <c r="D467" s="5" t="inlineStr">
        <is>
          <t>Import / Export / Period Close</t>
        </is>
      </c>
      <c r="E467" s="5" t="inlineStr">
        <is>
          <t>Import opening customer balances</t>
        </is>
      </c>
      <c r="F467" s="5" t="inlineStr">
        <is>
          <t>In-house Accountant</t>
        </is>
      </c>
      <c r="G467" s="5" t="inlineStr">
        <is>
          <t>Credit Controller</t>
        </is>
      </c>
      <c r="H467" s="5" t="inlineStr">
        <is>
          <t>Upload existing customer credit (khata) balances and unpaid historical bills into system</t>
        </is>
      </c>
      <c r="I467" s="5" t="inlineStr">
        <is>
          <t>Initializes opening Accounts Receivable debit balances; establishes opening aging buckets</t>
        </is>
      </c>
      <c r="J467" s="20" t="inlineStr">
        <is>
          <t>P1</t>
        </is>
      </c>
      <c r="K467" s="20" t="inlineStr">
        <is>
          <t>Validated (Supported)</t>
        </is>
      </c>
      <c r="L467" s="5" t="inlineStr">
        <is>
          <t>Supported via /imports/customer-balances/ with invoice-level opening bill support.</t>
        </is>
      </c>
      <c r="M467" s="8" t="inlineStr">
        <is>
          <t>Baseline</t>
        </is>
      </c>
      <c r="N467" s="8" t="inlineStr">
        <is>
          <t>Cross-persona</t>
        </is>
      </c>
      <c r="O467" s="8" t="inlineStr">
        <is>
          <t>P1</t>
        </is>
      </c>
      <c r="P467" s="5" t="inlineStr">
        <is>
          <t>Unchanged</t>
        </is>
      </c>
      <c r="Q467" s="20" t="inlineStr">
        <is>
          <t>Author assertion</t>
        </is>
      </c>
      <c r="R467" s="5" t="inlineStr"/>
      <c r="S467" s="8" t="inlineStr">
        <is>
          <t>CLOSE</t>
        </is>
      </c>
      <c r="T467" s="5" t="inlineStr">
        <is>
          <t>Import, export, and period close</t>
        </is>
      </c>
      <c r="U467" s="8" t="inlineStr"/>
      <c r="V467" s="8" t="inlineStr">
        <is>
          <t>accounting</t>
        </is>
      </c>
      <c r="W467" s="8" t="inlineStr">
        <is>
          <t>CONTROL</t>
        </is>
      </c>
      <c r="X467" s="5" t="inlineStr">
        <is>
          <t>Core</t>
        </is>
      </c>
      <c r="Y467" s="5" t="inlineStr">
        <is>
          <t>Cross-persona</t>
        </is>
      </c>
      <c r="Z467" s="5" t="inlineStr">
        <is>
          <t>Medium</t>
        </is>
      </c>
      <c r="AA467" s="5" t="inlineStr">
        <is>
          <t>Medium</t>
        </is>
      </c>
      <c r="AB467" s="8" t="inlineStr">
        <is>
          <t>Low</t>
        </is>
      </c>
      <c r="AC467" s="8" t="inlineStr">
        <is>
          <t>Pilot</t>
        </is>
      </c>
      <c r="AD467" s="5" t="inlineStr">
        <is>
          <t>Not independently checked</t>
        </is>
      </c>
      <c r="AE467" s="5" t="inlineStr">
        <is>
          <t>Not verified</t>
        </is>
      </c>
      <c r="AF467" s="5" t="inlineStr">
        <is>
          <t>Not verified</t>
        </is>
      </c>
      <c r="AG467" s="5" t="inlineStr">
        <is>
          <t>Not verified</t>
        </is>
      </c>
      <c r="AH467" s="5" t="inlineStr">
        <is>
          <t>Not verified</t>
        </is>
      </c>
      <c r="AI467" s="8" t="inlineStr">
        <is>
          <t>No</t>
        </is>
      </c>
      <c r="AJ467" s="8" t="inlineStr">
        <is>
          <t>Claimed - unverified</t>
        </is>
      </c>
      <c r="AK467" s="8" t="inlineStr">
        <is>
          <t>P1</t>
        </is>
      </c>
      <c r="AL467" s="8" t="n">
        <v>6</v>
      </c>
      <c r="AM467" s="5" t="inlineStr"/>
      <c r="AN467" s="5" t="inlineStr"/>
      <c r="AO467" s="5" t="inlineStr"/>
      <c r="AP467" s="5" t="inlineStr"/>
      <c r="AQ467" s="5" t="inlineStr"/>
      <c r="AR467" s="5" t="inlineStr"/>
      <c r="AS467" s="5" t="inlineStr"/>
      <c r="AT467" s="5" t="inlineStr"/>
      <c r="AU467" s="8" t="inlineStr">
        <is>
          <t>Not run</t>
        </is>
      </c>
    </row>
    <row r="468" ht="32" customHeight="1">
      <c r="A468" s="16" t="inlineStr">
        <is>
          <t>X-0467</t>
        </is>
      </c>
      <c r="B468" s="8" t="inlineStr">
        <is>
          <t>X</t>
        </is>
      </c>
      <c r="C468" s="5" t="inlineStr">
        <is>
          <t>Multiple / Cross-persona</t>
        </is>
      </c>
      <c r="D468" s="5" t="inlineStr">
        <is>
          <t>Import / Export / Period Close</t>
        </is>
      </c>
      <c r="E468" s="5" t="inlineStr">
        <is>
          <t>Import opening supplier balances</t>
        </is>
      </c>
      <c r="F468" s="5" t="inlineStr">
        <is>
          <t>In-house Accountant</t>
        </is>
      </c>
      <c r="G468" s="5" t="inlineStr">
        <is>
          <t>Purchase Manager</t>
        </is>
      </c>
      <c r="H468" s="5" t="inlineStr">
        <is>
          <t>Upload outstanding supplier liabilities and unpaid historical purchase bills</t>
        </is>
      </c>
      <c r="I468" s="5" t="inlineStr">
        <is>
          <t>Initializes opening Accounts Payable credit balances; establishes opening vendor aging</t>
        </is>
      </c>
      <c r="J468" s="20" t="inlineStr">
        <is>
          <t>P1</t>
        </is>
      </c>
      <c r="K468" s="20" t="inlineStr">
        <is>
          <t>Validated (Supported)</t>
        </is>
      </c>
      <c r="L468" s="5" t="inlineStr">
        <is>
          <t>Supported via /imports/supplier-balances/.</t>
        </is>
      </c>
      <c r="M468" s="8" t="inlineStr">
        <is>
          <t>Baseline</t>
        </is>
      </c>
      <c r="N468" s="8" t="inlineStr">
        <is>
          <t>Cross-persona</t>
        </is>
      </c>
      <c r="O468" s="8" t="inlineStr">
        <is>
          <t>P1</t>
        </is>
      </c>
      <c r="P468" s="5" t="inlineStr">
        <is>
          <t>Unchanged</t>
        </is>
      </c>
      <c r="Q468" s="20" t="inlineStr">
        <is>
          <t>Author assertion</t>
        </is>
      </c>
      <c r="R468" s="5" t="inlineStr"/>
      <c r="S468" s="8" t="inlineStr">
        <is>
          <t>CLOSE</t>
        </is>
      </c>
      <c r="T468" s="5" t="inlineStr">
        <is>
          <t>Import, export, and period close</t>
        </is>
      </c>
      <c r="U468" s="8" t="inlineStr"/>
      <c r="V468" s="8" t="inlineStr">
        <is>
          <t>accounting</t>
        </is>
      </c>
      <c r="W468" s="8" t="inlineStr">
        <is>
          <t>CONTROL</t>
        </is>
      </c>
      <c r="X468" s="5" t="inlineStr">
        <is>
          <t>Core</t>
        </is>
      </c>
      <c r="Y468" s="5" t="inlineStr">
        <is>
          <t>Cross-persona</t>
        </is>
      </c>
      <c r="Z468" s="5" t="inlineStr">
        <is>
          <t>Medium</t>
        </is>
      </c>
      <c r="AA468" s="5" t="inlineStr">
        <is>
          <t>Medium</t>
        </is>
      </c>
      <c r="AB468" s="8" t="inlineStr">
        <is>
          <t>Low</t>
        </is>
      </c>
      <c r="AC468" s="8" t="inlineStr">
        <is>
          <t>Pilot</t>
        </is>
      </c>
      <c r="AD468" s="5" t="inlineStr">
        <is>
          <t>Not independently checked</t>
        </is>
      </c>
      <c r="AE468" s="5" t="inlineStr">
        <is>
          <t>Not verified</t>
        </is>
      </c>
      <c r="AF468" s="5" t="inlineStr">
        <is>
          <t>Not verified</t>
        </is>
      </c>
      <c r="AG468" s="5" t="inlineStr">
        <is>
          <t>Not verified</t>
        </is>
      </c>
      <c r="AH468" s="5" t="inlineStr">
        <is>
          <t>Not verified</t>
        </is>
      </c>
      <c r="AI468" s="8" t="inlineStr">
        <is>
          <t>No</t>
        </is>
      </c>
      <c r="AJ468" s="8" t="inlineStr">
        <is>
          <t>Claimed - unverified</t>
        </is>
      </c>
      <c r="AK468" s="8" t="inlineStr">
        <is>
          <t>P1</t>
        </is>
      </c>
      <c r="AL468" s="8" t="n">
        <v>6</v>
      </c>
      <c r="AM468" s="5" t="inlineStr"/>
      <c r="AN468" s="5" t="inlineStr"/>
      <c r="AO468" s="5" t="inlineStr"/>
      <c r="AP468" s="5" t="inlineStr"/>
      <c r="AQ468" s="5" t="inlineStr"/>
      <c r="AR468" s="5" t="inlineStr"/>
      <c r="AS468" s="5" t="inlineStr"/>
      <c r="AT468" s="5" t="inlineStr"/>
      <c r="AU468" s="8" t="inlineStr">
        <is>
          <t>Not run</t>
        </is>
      </c>
    </row>
    <row r="469" ht="32" customHeight="1">
      <c r="A469" s="16" t="inlineStr">
        <is>
          <t>X-0468</t>
        </is>
      </c>
      <c r="B469" s="8" t="inlineStr">
        <is>
          <t>X</t>
        </is>
      </c>
      <c r="C469" s="5" t="inlineStr">
        <is>
          <t>Multiple / Cross-persona</t>
        </is>
      </c>
      <c r="D469" s="5" t="inlineStr">
        <is>
          <t>Import / Export / Period Close</t>
        </is>
      </c>
      <c r="E469" s="5" t="inlineStr">
        <is>
          <t>Import historical invoices</t>
        </is>
      </c>
      <c r="F469" s="5" t="inlineStr">
        <is>
          <t>System Administrator / Accountant</t>
        </is>
      </c>
      <c r="G469" s="5" t="inlineStr">
        <is>
          <t>Auditor</t>
        </is>
      </c>
      <c r="H469" s="5" t="inlineStr">
        <is>
          <t>Import previous months' sales invoices for year-to-date GST return and reporting continuity</t>
        </is>
      </c>
      <c r="I469" s="5" t="inlineStr">
        <is>
          <t>Loads historical invoices with CLOSED status; populates annual sales reporting dataset</t>
        </is>
      </c>
      <c r="J469" s="20" t="inlineStr">
        <is>
          <t>P1</t>
        </is>
      </c>
      <c r="K469" s="20" t="inlineStr">
        <is>
          <t>Validated (Supported)</t>
        </is>
      </c>
      <c r="L469" s="5" t="inlineStr">
        <is>
          <t>Supported via /imports/historical-invoices/ with legacy flag.</t>
        </is>
      </c>
      <c r="M469" s="8" t="inlineStr">
        <is>
          <t>Baseline</t>
        </is>
      </c>
      <c r="N469" s="8" t="inlineStr">
        <is>
          <t>Cross-persona</t>
        </is>
      </c>
      <c r="O469" s="8" t="inlineStr">
        <is>
          <t>P1</t>
        </is>
      </c>
      <c r="P469" s="5" t="inlineStr">
        <is>
          <t>Unchanged</t>
        </is>
      </c>
      <c r="Q469" s="20" t="inlineStr">
        <is>
          <t>Author assertion</t>
        </is>
      </c>
      <c r="R469" s="5" t="inlineStr"/>
      <c r="S469" s="8" t="inlineStr">
        <is>
          <t>CLOSE</t>
        </is>
      </c>
      <c r="T469" s="5" t="inlineStr">
        <is>
          <t>Import, export, and period close</t>
        </is>
      </c>
      <c r="U469" s="8" t="inlineStr"/>
      <c r="V469" s="8" t="inlineStr">
        <is>
          <t>accounting</t>
        </is>
      </c>
      <c r="W469" s="8" t="inlineStr">
        <is>
          <t>CONTROL</t>
        </is>
      </c>
      <c r="X469" s="5" t="inlineStr">
        <is>
          <t>Core</t>
        </is>
      </c>
      <c r="Y469" s="5" t="inlineStr">
        <is>
          <t>Cross-persona</t>
        </is>
      </c>
      <c r="Z469" s="5" t="inlineStr">
        <is>
          <t>Medium</t>
        </is>
      </c>
      <c r="AA469" s="5" t="inlineStr">
        <is>
          <t>Medium</t>
        </is>
      </c>
      <c r="AB469" s="8" t="inlineStr">
        <is>
          <t>Low</t>
        </is>
      </c>
      <c r="AC469" s="8" t="inlineStr">
        <is>
          <t>Pilot</t>
        </is>
      </c>
      <c r="AD469" s="5" t="inlineStr">
        <is>
          <t>Not independently checked</t>
        </is>
      </c>
      <c r="AE469" s="5" t="inlineStr">
        <is>
          <t>Not verified</t>
        </is>
      </c>
      <c r="AF469" s="5" t="inlineStr">
        <is>
          <t>Not verified</t>
        </is>
      </c>
      <c r="AG469" s="5" t="inlineStr">
        <is>
          <t>Not verified</t>
        </is>
      </c>
      <c r="AH469" s="5" t="inlineStr">
        <is>
          <t>Not verified</t>
        </is>
      </c>
      <c r="AI469" s="8" t="inlineStr">
        <is>
          <t>No</t>
        </is>
      </c>
      <c r="AJ469" s="8" t="inlineStr">
        <is>
          <t>Claimed - unverified</t>
        </is>
      </c>
      <c r="AK469" s="8" t="inlineStr">
        <is>
          <t>P1</t>
        </is>
      </c>
      <c r="AL469" s="8" t="n">
        <v>6</v>
      </c>
      <c r="AM469" s="5" t="inlineStr"/>
      <c r="AN469" s="5" t="inlineStr"/>
      <c r="AO469" s="5" t="inlineStr"/>
      <c r="AP469" s="5" t="inlineStr"/>
      <c r="AQ469" s="5" t="inlineStr"/>
      <c r="AR469" s="5" t="inlineStr"/>
      <c r="AS469" s="5" t="inlineStr"/>
      <c r="AT469" s="5" t="inlineStr"/>
      <c r="AU469" s="8" t="inlineStr">
        <is>
          <t>Not run</t>
        </is>
      </c>
    </row>
    <row r="470" ht="32" customHeight="1">
      <c r="A470" s="16" t="inlineStr">
        <is>
          <t>X-0469</t>
        </is>
      </c>
      <c r="B470" s="8" t="inlineStr">
        <is>
          <t>X</t>
        </is>
      </c>
      <c r="C470" s="5" t="inlineStr">
        <is>
          <t>Multiple / Cross-persona</t>
        </is>
      </c>
      <c r="D470" s="5" t="inlineStr">
        <is>
          <t>Import / Export / Period Close</t>
        </is>
      </c>
      <c r="E470" s="5" t="inlineStr">
        <is>
          <t>Import GST data</t>
        </is>
      </c>
      <c r="F470" s="5" t="inlineStr">
        <is>
          <t>In-house Accountant</t>
        </is>
      </c>
      <c r="G470" s="5" t="inlineStr">
        <is>
          <t>External CA</t>
        </is>
      </c>
      <c r="H470" s="5" t="inlineStr">
        <is>
          <t>Import official GSTR-2B or GSTR-1 JSON files downloaded from government GST portal</t>
        </is>
      </c>
      <c r="I470" s="5" t="inlineStr">
        <is>
          <t>Parses government JSON format; populates inward/outward tax reconciliation tables</t>
        </is>
      </c>
      <c r="J470" s="20" t="inlineStr">
        <is>
          <t>P1</t>
        </is>
      </c>
      <c r="K470" s="20" t="inlineStr">
        <is>
          <t>Validated (Supported)</t>
        </is>
      </c>
      <c r="L470" s="5" t="inlineStr">
        <is>
          <t>Supported via /gst/import-json/ supporting standard GST portal schema.</t>
        </is>
      </c>
      <c r="M470" s="8" t="inlineStr">
        <is>
          <t>Baseline</t>
        </is>
      </c>
      <c r="N470" s="8" t="inlineStr">
        <is>
          <t>Cross-persona</t>
        </is>
      </c>
      <c r="O470" s="8" t="inlineStr">
        <is>
          <t>P1</t>
        </is>
      </c>
      <c r="P470" s="5" t="inlineStr">
        <is>
          <t>Unchanged</t>
        </is>
      </c>
      <c r="Q470" s="20" t="inlineStr">
        <is>
          <t>Author assertion</t>
        </is>
      </c>
      <c r="R470" s="5" t="inlineStr"/>
      <c r="S470" s="8" t="inlineStr">
        <is>
          <t>CLOSE</t>
        </is>
      </c>
      <c r="T470" s="5" t="inlineStr">
        <is>
          <t>Import, export, and period close</t>
        </is>
      </c>
      <c r="U470" s="8" t="inlineStr"/>
      <c r="V470" s="8" t="inlineStr">
        <is>
          <t>accounting</t>
        </is>
      </c>
      <c r="W470" s="8" t="inlineStr">
        <is>
          <t>CONTROL</t>
        </is>
      </c>
      <c r="X470" s="5" t="inlineStr">
        <is>
          <t>Core</t>
        </is>
      </c>
      <c r="Y470" s="5" t="inlineStr">
        <is>
          <t>Cross-persona</t>
        </is>
      </c>
      <c r="Z470" s="5" t="inlineStr">
        <is>
          <t>Medium</t>
        </is>
      </c>
      <c r="AA470" s="5" t="inlineStr">
        <is>
          <t>Medium</t>
        </is>
      </c>
      <c r="AB470" s="8" t="inlineStr">
        <is>
          <t>Low</t>
        </is>
      </c>
      <c r="AC470" s="8" t="inlineStr">
        <is>
          <t>Pilot</t>
        </is>
      </c>
      <c r="AD470" s="5" t="inlineStr">
        <is>
          <t>Not independently checked</t>
        </is>
      </c>
      <c r="AE470" s="5" t="inlineStr">
        <is>
          <t>Not verified</t>
        </is>
      </c>
      <c r="AF470" s="5" t="inlineStr">
        <is>
          <t>Not verified</t>
        </is>
      </c>
      <c r="AG470" s="5" t="inlineStr">
        <is>
          <t>Not verified</t>
        </is>
      </c>
      <c r="AH470" s="5" t="inlineStr">
        <is>
          <t>Not verified</t>
        </is>
      </c>
      <c r="AI470" s="8" t="inlineStr">
        <is>
          <t>No</t>
        </is>
      </c>
      <c r="AJ470" s="8" t="inlineStr">
        <is>
          <t>Claimed - unverified</t>
        </is>
      </c>
      <c r="AK470" s="8" t="inlineStr">
        <is>
          <t>P1</t>
        </is>
      </c>
      <c r="AL470" s="8" t="n">
        <v>6</v>
      </c>
      <c r="AM470" s="5" t="inlineStr"/>
      <c r="AN470" s="5" t="inlineStr"/>
      <c r="AO470" s="5" t="inlineStr"/>
      <c r="AP470" s="5" t="inlineStr"/>
      <c r="AQ470" s="5" t="inlineStr"/>
      <c r="AR470" s="5" t="inlineStr"/>
      <c r="AS470" s="5" t="inlineStr"/>
      <c r="AT470" s="5" t="inlineStr"/>
      <c r="AU470" s="8" t="inlineStr">
        <is>
          <t>Not run</t>
        </is>
      </c>
    </row>
    <row r="471" ht="32" customHeight="1">
      <c r="A471" s="16" t="inlineStr">
        <is>
          <t>X-0470</t>
        </is>
      </c>
      <c r="B471" s="8" t="inlineStr">
        <is>
          <t>X</t>
        </is>
      </c>
      <c r="C471" s="5" t="inlineStr">
        <is>
          <t>Multiple / Cross-persona</t>
        </is>
      </c>
      <c r="D471" s="5" t="inlineStr">
        <is>
          <t>Import / Export / Period Close</t>
        </is>
      </c>
      <c r="E471" s="5" t="inlineStr">
        <is>
          <t>Validate imported records</t>
        </is>
      </c>
      <c r="F471" s="5" t="inlineStr">
        <is>
          <t>System / Import Engine</t>
        </is>
      </c>
      <c r="G471" s="5" t="inlineStr">
        <is>
          <t>Accountant</t>
        </is>
      </c>
      <c r="H471" s="5" t="inlineStr">
        <is>
          <t>Pre-import dry-run validation checking data types, mandatory fields, and foreign keys</t>
        </is>
      </c>
      <c r="I471" s="5" t="inlineStr">
        <is>
          <t>Scans uploaded spreadsheet; highlights formatting errors before committing to database</t>
        </is>
      </c>
      <c r="J471" s="20" t="inlineStr">
        <is>
          <t>P1</t>
        </is>
      </c>
      <c r="K471" s="20" t="inlineStr">
        <is>
          <t>Validated (Supported)</t>
        </is>
      </c>
      <c r="L471" s="5" t="inlineStr">
        <is>
          <t>Supported via Dry-Run Validation stage in all CSV import wizards.</t>
        </is>
      </c>
      <c r="M471" s="8" t="inlineStr">
        <is>
          <t>Baseline</t>
        </is>
      </c>
      <c r="N471" s="8" t="inlineStr">
        <is>
          <t>Cross-persona</t>
        </is>
      </c>
      <c r="O471" s="8" t="inlineStr">
        <is>
          <t>P1</t>
        </is>
      </c>
      <c r="P471" s="5" t="inlineStr">
        <is>
          <t>Unchanged</t>
        </is>
      </c>
      <c r="Q471" s="20" t="inlineStr">
        <is>
          <t>Author assertion</t>
        </is>
      </c>
      <c r="R471" s="5" t="inlineStr"/>
      <c r="S471" s="8" t="inlineStr">
        <is>
          <t>CLOSE</t>
        </is>
      </c>
      <c r="T471" s="5" t="inlineStr">
        <is>
          <t>Import, export, and period close</t>
        </is>
      </c>
      <c r="U471" s="8" t="inlineStr"/>
      <c r="V471" s="8" t="inlineStr">
        <is>
          <t>accounting</t>
        </is>
      </c>
      <c r="W471" s="8" t="inlineStr">
        <is>
          <t>CONTROL</t>
        </is>
      </c>
      <c r="X471" s="5" t="inlineStr">
        <is>
          <t>Core</t>
        </is>
      </c>
      <c r="Y471" s="5" t="inlineStr">
        <is>
          <t>Cross-persona</t>
        </is>
      </c>
      <c r="Z471" s="5" t="inlineStr">
        <is>
          <t>Medium</t>
        </is>
      </c>
      <c r="AA471" s="5" t="inlineStr">
        <is>
          <t>Medium</t>
        </is>
      </c>
      <c r="AB471" s="8" t="inlineStr">
        <is>
          <t>Low</t>
        </is>
      </c>
      <c r="AC471" s="8" t="inlineStr">
        <is>
          <t>Pilot</t>
        </is>
      </c>
      <c r="AD471" s="5" t="inlineStr">
        <is>
          <t>Not independently checked</t>
        </is>
      </c>
      <c r="AE471" s="5" t="inlineStr">
        <is>
          <t>Not verified</t>
        </is>
      </c>
      <c r="AF471" s="5" t="inlineStr">
        <is>
          <t>Not verified</t>
        </is>
      </c>
      <c r="AG471" s="5" t="inlineStr">
        <is>
          <t>Not verified</t>
        </is>
      </c>
      <c r="AH471" s="5" t="inlineStr">
        <is>
          <t>Not verified</t>
        </is>
      </c>
      <c r="AI471" s="8" t="inlineStr">
        <is>
          <t>No</t>
        </is>
      </c>
      <c r="AJ471" s="8" t="inlineStr">
        <is>
          <t>Claimed - unverified</t>
        </is>
      </c>
      <c r="AK471" s="8" t="inlineStr">
        <is>
          <t>P1</t>
        </is>
      </c>
      <c r="AL471" s="8" t="n">
        <v>6</v>
      </c>
      <c r="AM471" s="5" t="inlineStr"/>
      <c r="AN471" s="5" t="inlineStr"/>
      <c r="AO471" s="5" t="inlineStr"/>
      <c r="AP471" s="5" t="inlineStr"/>
      <c r="AQ471" s="5" t="inlineStr"/>
      <c r="AR471" s="5" t="inlineStr"/>
      <c r="AS471" s="5" t="inlineStr"/>
      <c r="AT471" s="5" t="inlineStr"/>
      <c r="AU471" s="8" t="inlineStr">
        <is>
          <t>Not run</t>
        </is>
      </c>
    </row>
    <row r="472" ht="32" customHeight="1">
      <c r="A472" s="16" t="inlineStr">
        <is>
          <t>X-0471</t>
        </is>
      </c>
      <c r="B472" s="8" t="inlineStr">
        <is>
          <t>X</t>
        </is>
      </c>
      <c r="C472" s="5" t="inlineStr">
        <is>
          <t>Multiple / Cross-persona</t>
        </is>
      </c>
      <c r="D472" s="5" t="inlineStr">
        <is>
          <t>Import / Export / Period Close</t>
        </is>
      </c>
      <c r="E472" s="5" t="inlineStr">
        <is>
          <t>Identify duplicate imported records</t>
        </is>
      </c>
      <c r="F472" s="5" t="inlineStr">
        <is>
          <t>System / Import Engine</t>
        </is>
      </c>
      <c r="G472" s="5" t="inlineStr">
        <is>
          <t>Accountant</t>
        </is>
      </c>
      <c r="H472" s="5" t="inlineStr">
        <is>
          <t>Detect SKUs, phone numbers, or invoice numbers already existing in database during import</t>
        </is>
      </c>
      <c r="I472" s="5" t="inlineStr">
        <is>
          <t>Prompts user to skip duplicates, overwrite existing records, or abort import job</t>
        </is>
      </c>
      <c r="J472" s="20" t="inlineStr">
        <is>
          <t>P1</t>
        </is>
      </c>
      <c r="K472" s="20" t="inlineStr">
        <is>
          <t>Validated (Supported)</t>
        </is>
      </c>
      <c r="L472" s="5" t="inlineStr">
        <is>
          <t>Built-in duplicate resolution prompt during spreadsheet import.</t>
        </is>
      </c>
      <c r="M472" s="8" t="inlineStr">
        <is>
          <t>Baseline</t>
        </is>
      </c>
      <c r="N472" s="8" t="inlineStr">
        <is>
          <t>Cross-persona</t>
        </is>
      </c>
      <c r="O472" s="8" t="inlineStr">
        <is>
          <t>P1</t>
        </is>
      </c>
      <c r="P472" s="5" t="inlineStr">
        <is>
          <t>Unchanged</t>
        </is>
      </c>
      <c r="Q472" s="20" t="inlineStr">
        <is>
          <t>Author assertion</t>
        </is>
      </c>
      <c r="R472" s="5" t="inlineStr"/>
      <c r="S472" s="8" t="inlineStr">
        <is>
          <t>CLOSE</t>
        </is>
      </c>
      <c r="T472" s="5" t="inlineStr">
        <is>
          <t>Import, export, and period close</t>
        </is>
      </c>
      <c r="U472" s="8" t="inlineStr"/>
      <c r="V472" s="8" t="inlineStr">
        <is>
          <t>accounting</t>
        </is>
      </c>
      <c r="W472" s="8" t="inlineStr">
        <is>
          <t>CONTROL</t>
        </is>
      </c>
      <c r="X472" s="5" t="inlineStr">
        <is>
          <t>Core</t>
        </is>
      </c>
      <c r="Y472" s="5" t="inlineStr">
        <is>
          <t>Cross-persona</t>
        </is>
      </c>
      <c r="Z472" s="5" t="inlineStr">
        <is>
          <t>Medium</t>
        </is>
      </c>
      <c r="AA472" s="5" t="inlineStr">
        <is>
          <t>Medium</t>
        </is>
      </c>
      <c r="AB472" s="8" t="inlineStr">
        <is>
          <t>Low</t>
        </is>
      </c>
      <c r="AC472" s="8" t="inlineStr">
        <is>
          <t>Pilot</t>
        </is>
      </c>
      <c r="AD472" s="5" t="inlineStr">
        <is>
          <t>Not independently checked</t>
        </is>
      </c>
      <c r="AE472" s="5" t="inlineStr">
        <is>
          <t>Not verified</t>
        </is>
      </c>
      <c r="AF472" s="5" t="inlineStr">
        <is>
          <t>Not verified</t>
        </is>
      </c>
      <c r="AG472" s="5" t="inlineStr">
        <is>
          <t>Not verified</t>
        </is>
      </c>
      <c r="AH472" s="5" t="inlineStr">
        <is>
          <t>Not verified</t>
        </is>
      </c>
      <c r="AI472" s="8" t="inlineStr">
        <is>
          <t>No</t>
        </is>
      </c>
      <c r="AJ472" s="8" t="inlineStr">
        <is>
          <t>Claimed - unverified</t>
        </is>
      </c>
      <c r="AK472" s="8" t="inlineStr">
        <is>
          <t>P1</t>
        </is>
      </c>
      <c r="AL472" s="8" t="n">
        <v>6</v>
      </c>
      <c r="AM472" s="5" t="inlineStr"/>
      <c r="AN472" s="5" t="inlineStr"/>
      <c r="AO472" s="5" t="inlineStr"/>
      <c r="AP472" s="5" t="inlineStr"/>
      <c r="AQ472" s="5" t="inlineStr"/>
      <c r="AR472" s="5" t="inlineStr"/>
      <c r="AS472" s="5" t="inlineStr"/>
      <c r="AT472" s="5" t="inlineStr"/>
      <c r="AU472" s="8" t="inlineStr">
        <is>
          <t>Not run</t>
        </is>
      </c>
    </row>
    <row r="473" ht="32" customHeight="1">
      <c r="A473" s="16" t="inlineStr">
        <is>
          <t>X-0472</t>
        </is>
      </c>
      <c r="B473" s="8" t="inlineStr">
        <is>
          <t>X</t>
        </is>
      </c>
      <c r="C473" s="5" t="inlineStr">
        <is>
          <t>Multiple / Cross-persona</t>
        </is>
      </c>
      <c r="D473" s="5" t="inlineStr">
        <is>
          <t>Import / Export / Period Close</t>
        </is>
      </c>
      <c r="E473" s="5" t="inlineStr">
        <is>
          <t>Reject invalid records without corrupting valid records</t>
        </is>
      </c>
      <c r="F473" s="5" t="inlineStr">
        <is>
          <t>System / Import Engine</t>
        </is>
      </c>
      <c r="G473" s="5" t="inlineStr">
        <is>
          <t>Accountant</t>
        </is>
      </c>
      <c r="H473" s="5" t="inlineStr">
        <is>
          <t>Process valid rows while cleanly separating invalid rows into downloadable error CSV</t>
        </is>
      </c>
      <c r="I473" s="5" t="inlineStr">
        <is>
          <t>Imports valid rows; outputs error spreadsheet with specific column error annotations</t>
        </is>
      </c>
      <c r="J473" s="20" t="inlineStr">
        <is>
          <t>P1</t>
        </is>
      </c>
      <c r="K473" s="20" t="inlineStr">
        <is>
          <t>Validated (Supported)</t>
        </is>
      </c>
      <c r="L473" s="5" t="inlineStr">
        <is>
          <t>Core resilience invariant: batch imports isolate bad rows without rolling back entire job.</t>
        </is>
      </c>
      <c r="M473" s="8" t="inlineStr">
        <is>
          <t>Baseline</t>
        </is>
      </c>
      <c r="N473" s="8" t="inlineStr">
        <is>
          <t>Cross-persona</t>
        </is>
      </c>
      <c r="O473" s="8" t="inlineStr">
        <is>
          <t>P1</t>
        </is>
      </c>
      <c r="P473" s="5" t="inlineStr">
        <is>
          <t>Unchanged</t>
        </is>
      </c>
      <c r="Q473" s="20" t="inlineStr">
        <is>
          <t>Author assertion</t>
        </is>
      </c>
      <c r="R473" s="5" t="inlineStr"/>
      <c r="S473" s="8" t="inlineStr">
        <is>
          <t>CLOSE</t>
        </is>
      </c>
      <c r="T473" s="5" t="inlineStr">
        <is>
          <t>Import, export, and period close</t>
        </is>
      </c>
      <c r="U473" s="8" t="inlineStr"/>
      <c r="V473" s="8" t="inlineStr">
        <is>
          <t>accounting</t>
        </is>
      </c>
      <c r="W473" s="8" t="inlineStr">
        <is>
          <t>CONTROL</t>
        </is>
      </c>
      <c r="X473" s="5" t="inlineStr">
        <is>
          <t>Core</t>
        </is>
      </c>
      <c r="Y473" s="5" t="inlineStr">
        <is>
          <t>Cross-persona</t>
        </is>
      </c>
      <c r="Z473" s="5" t="inlineStr">
        <is>
          <t>Medium</t>
        </is>
      </c>
      <c r="AA473" s="5" t="inlineStr">
        <is>
          <t>Medium</t>
        </is>
      </c>
      <c r="AB473" s="8" t="inlineStr">
        <is>
          <t>Low</t>
        </is>
      </c>
      <c r="AC473" s="8" t="inlineStr">
        <is>
          <t>Pilot</t>
        </is>
      </c>
      <c r="AD473" s="5" t="inlineStr">
        <is>
          <t>Not independently checked</t>
        </is>
      </c>
      <c r="AE473" s="5" t="inlineStr">
        <is>
          <t>Not verified</t>
        </is>
      </c>
      <c r="AF473" s="5" t="inlineStr">
        <is>
          <t>Not verified</t>
        </is>
      </c>
      <c r="AG473" s="5" t="inlineStr">
        <is>
          <t>Not verified</t>
        </is>
      </c>
      <c r="AH473" s="5" t="inlineStr">
        <is>
          <t>Not verified</t>
        </is>
      </c>
      <c r="AI473" s="8" t="inlineStr">
        <is>
          <t>No</t>
        </is>
      </c>
      <c r="AJ473" s="8" t="inlineStr">
        <is>
          <t>Claimed - unverified</t>
        </is>
      </c>
      <c r="AK473" s="8" t="inlineStr">
        <is>
          <t>P1</t>
        </is>
      </c>
      <c r="AL473" s="8" t="n">
        <v>6</v>
      </c>
      <c r="AM473" s="5" t="inlineStr"/>
      <c r="AN473" s="5" t="inlineStr"/>
      <c r="AO473" s="5" t="inlineStr"/>
      <c r="AP473" s="5" t="inlineStr"/>
      <c r="AQ473" s="5" t="inlineStr"/>
      <c r="AR473" s="5" t="inlineStr"/>
      <c r="AS473" s="5" t="inlineStr"/>
      <c r="AT473" s="5" t="inlineStr"/>
      <c r="AU473" s="8" t="inlineStr">
        <is>
          <t>Not run</t>
        </is>
      </c>
    </row>
    <row r="474" ht="32" customHeight="1">
      <c r="A474" s="16" t="inlineStr">
        <is>
          <t>X-0473</t>
        </is>
      </c>
      <c r="B474" s="8" t="inlineStr">
        <is>
          <t>X</t>
        </is>
      </c>
      <c r="C474" s="5" t="inlineStr">
        <is>
          <t>Multiple / Cross-persona</t>
        </is>
      </c>
      <c r="D474" s="5" t="inlineStr">
        <is>
          <t>Import / Export / Period Close</t>
        </is>
      </c>
      <c r="E474" s="5" t="inlineStr">
        <is>
          <t>Export sales data</t>
        </is>
      </c>
      <c r="F474" s="5" t="inlineStr">
        <is>
          <t>In-house Accountant / Owner</t>
        </is>
      </c>
      <c r="G474" s="5" t="inlineStr">
        <is>
          <t>External CA</t>
        </is>
      </c>
      <c r="H474" s="5" t="inlineStr">
        <is>
          <t>Export complete itemized sales register with customer names, taxes, and payment status</t>
        </is>
      </c>
      <c r="I474" s="5" t="inlineStr">
        <is>
          <t>Generates comprehensive Excel/CSV sales export with date range and store filters</t>
        </is>
      </c>
      <c r="J474" s="20" t="inlineStr">
        <is>
          <t>P1</t>
        </is>
      </c>
      <c r="K474" s="20" t="inlineStr">
        <is>
          <t>Validated (Supported)</t>
        </is>
      </c>
      <c r="L474" s="5" t="inlineStr">
        <is>
          <t>Supported via /reports/sales-register/ export button.</t>
        </is>
      </c>
      <c r="M474" s="8" t="inlineStr">
        <is>
          <t>Baseline</t>
        </is>
      </c>
      <c r="N474" s="8" t="inlineStr">
        <is>
          <t>Cross-persona</t>
        </is>
      </c>
      <c r="O474" s="8" t="inlineStr">
        <is>
          <t>P1</t>
        </is>
      </c>
      <c r="P474" s="5" t="inlineStr">
        <is>
          <t>Unchanged</t>
        </is>
      </c>
      <c r="Q474" s="20" t="inlineStr">
        <is>
          <t>Author assertion</t>
        </is>
      </c>
      <c r="R474" s="5" t="inlineStr"/>
      <c r="S474" s="8" t="inlineStr">
        <is>
          <t>CLOSE</t>
        </is>
      </c>
      <c r="T474" s="5" t="inlineStr">
        <is>
          <t>Import, export, and period close</t>
        </is>
      </c>
      <c r="U474" s="8" t="inlineStr"/>
      <c r="V474" s="8" t="inlineStr">
        <is>
          <t>accounting</t>
        </is>
      </c>
      <c r="W474" s="8" t="inlineStr">
        <is>
          <t>CONTROL</t>
        </is>
      </c>
      <c r="X474" s="5" t="inlineStr">
        <is>
          <t>Core</t>
        </is>
      </c>
      <c r="Y474" s="5" t="inlineStr">
        <is>
          <t>Cross-persona</t>
        </is>
      </c>
      <c r="Z474" s="5" t="inlineStr">
        <is>
          <t>Medium</t>
        </is>
      </c>
      <c r="AA474" s="5" t="inlineStr">
        <is>
          <t>Medium</t>
        </is>
      </c>
      <c r="AB474" s="8" t="inlineStr">
        <is>
          <t>Low</t>
        </is>
      </c>
      <c r="AC474" s="8" t="inlineStr">
        <is>
          <t>Pilot</t>
        </is>
      </c>
      <c r="AD474" s="5" t="inlineStr">
        <is>
          <t>Not independently checked</t>
        </is>
      </c>
      <c r="AE474" s="5" t="inlineStr">
        <is>
          <t>Not verified</t>
        </is>
      </c>
      <c r="AF474" s="5" t="inlineStr">
        <is>
          <t>Not verified</t>
        </is>
      </c>
      <c r="AG474" s="5" t="inlineStr">
        <is>
          <t>Not verified</t>
        </is>
      </c>
      <c r="AH474" s="5" t="inlineStr">
        <is>
          <t>Not verified</t>
        </is>
      </c>
      <c r="AI474" s="8" t="inlineStr">
        <is>
          <t>No</t>
        </is>
      </c>
      <c r="AJ474" s="8" t="inlineStr">
        <is>
          <t>Claimed - unverified</t>
        </is>
      </c>
      <c r="AK474" s="8" t="inlineStr">
        <is>
          <t>P1</t>
        </is>
      </c>
      <c r="AL474" s="8" t="n">
        <v>6</v>
      </c>
      <c r="AM474" s="5" t="inlineStr"/>
      <c r="AN474" s="5" t="inlineStr"/>
      <c r="AO474" s="5" t="inlineStr"/>
      <c r="AP474" s="5" t="inlineStr"/>
      <c r="AQ474" s="5" t="inlineStr"/>
      <c r="AR474" s="5" t="inlineStr"/>
      <c r="AS474" s="5" t="inlineStr"/>
      <c r="AT474" s="5" t="inlineStr"/>
      <c r="AU474" s="8" t="inlineStr">
        <is>
          <t>Not run</t>
        </is>
      </c>
    </row>
    <row r="475" ht="32" customHeight="1">
      <c r="A475" s="16" t="inlineStr">
        <is>
          <t>X-0474</t>
        </is>
      </c>
      <c r="B475" s="8" t="inlineStr">
        <is>
          <t>X</t>
        </is>
      </c>
      <c r="C475" s="5" t="inlineStr">
        <is>
          <t>Multiple / Cross-persona</t>
        </is>
      </c>
      <c r="D475" s="5" t="inlineStr">
        <is>
          <t>Import / Export / Period Close</t>
        </is>
      </c>
      <c r="E475" s="5" t="inlineStr">
        <is>
          <t>Export purchase data</t>
        </is>
      </c>
      <c r="F475" s="5" t="inlineStr">
        <is>
          <t>In-house Accountant / Purchase Manager</t>
        </is>
      </c>
      <c r="G475" s="5" t="inlineStr">
        <is>
          <t>External CA</t>
        </is>
      </c>
      <c r="H475" s="5" t="inlineStr">
        <is>
          <t>Export itemized purchase register with supplier GSTINs, HSN breakdown, and input tax</t>
        </is>
      </c>
      <c r="I475" s="5" t="inlineStr">
        <is>
          <t>Generates Excel/CSV purchase export formatted for accounting and tax audit review</t>
        </is>
      </c>
      <c r="J475" s="20" t="inlineStr">
        <is>
          <t>P1</t>
        </is>
      </c>
      <c r="K475" s="20" t="inlineStr">
        <is>
          <t>Validated (Supported)</t>
        </is>
      </c>
      <c r="L475" s="5" t="inlineStr">
        <is>
          <t>Supported via /reports/purchase-register/ export button.</t>
        </is>
      </c>
      <c r="M475" s="8" t="inlineStr">
        <is>
          <t>Baseline</t>
        </is>
      </c>
      <c r="N475" s="8" t="inlineStr">
        <is>
          <t>Cross-persona</t>
        </is>
      </c>
      <c r="O475" s="8" t="inlineStr">
        <is>
          <t>P1</t>
        </is>
      </c>
      <c r="P475" s="5" t="inlineStr">
        <is>
          <t>Unchanged</t>
        </is>
      </c>
      <c r="Q475" s="20" t="inlineStr">
        <is>
          <t>Author assertion</t>
        </is>
      </c>
      <c r="R475" s="5" t="inlineStr"/>
      <c r="S475" s="8" t="inlineStr">
        <is>
          <t>CLOSE</t>
        </is>
      </c>
      <c r="T475" s="5" t="inlineStr">
        <is>
          <t>Import, export, and period close</t>
        </is>
      </c>
      <c r="U475" s="8" t="inlineStr"/>
      <c r="V475" s="8" t="inlineStr">
        <is>
          <t>accounting</t>
        </is>
      </c>
      <c r="W475" s="8" t="inlineStr">
        <is>
          <t>CONTROL</t>
        </is>
      </c>
      <c r="X475" s="5" t="inlineStr">
        <is>
          <t>Core</t>
        </is>
      </c>
      <c r="Y475" s="5" t="inlineStr">
        <is>
          <t>Cross-persona</t>
        </is>
      </c>
      <c r="Z475" s="5" t="inlineStr">
        <is>
          <t>Medium</t>
        </is>
      </c>
      <c r="AA475" s="5" t="inlineStr">
        <is>
          <t>Medium</t>
        </is>
      </c>
      <c r="AB475" s="8" t="inlineStr">
        <is>
          <t>Low</t>
        </is>
      </c>
      <c r="AC475" s="8" t="inlineStr">
        <is>
          <t>Pilot</t>
        </is>
      </c>
      <c r="AD475" s="5" t="inlineStr">
        <is>
          <t>Not independently checked</t>
        </is>
      </c>
      <c r="AE475" s="5" t="inlineStr">
        <is>
          <t>Not verified</t>
        </is>
      </c>
      <c r="AF475" s="5" t="inlineStr">
        <is>
          <t>Not verified</t>
        </is>
      </c>
      <c r="AG475" s="5" t="inlineStr">
        <is>
          <t>Not verified</t>
        </is>
      </c>
      <c r="AH475" s="5" t="inlineStr">
        <is>
          <t>Not verified</t>
        </is>
      </c>
      <c r="AI475" s="8" t="inlineStr">
        <is>
          <t>No</t>
        </is>
      </c>
      <c r="AJ475" s="8" t="inlineStr">
        <is>
          <t>Claimed - unverified</t>
        </is>
      </c>
      <c r="AK475" s="8" t="inlineStr">
        <is>
          <t>P1</t>
        </is>
      </c>
      <c r="AL475" s="8" t="n">
        <v>6</v>
      </c>
      <c r="AM475" s="5" t="inlineStr"/>
      <c r="AN475" s="5" t="inlineStr"/>
      <c r="AO475" s="5" t="inlineStr"/>
      <c r="AP475" s="5" t="inlineStr"/>
      <c r="AQ475" s="5" t="inlineStr"/>
      <c r="AR475" s="5" t="inlineStr"/>
      <c r="AS475" s="5" t="inlineStr"/>
      <c r="AT475" s="5" t="inlineStr"/>
      <c r="AU475" s="8" t="inlineStr">
        <is>
          <t>Not run</t>
        </is>
      </c>
    </row>
    <row r="476" ht="32" customHeight="1">
      <c r="A476" s="16" t="inlineStr">
        <is>
          <t>X-0475</t>
        </is>
      </c>
      <c r="B476" s="8" t="inlineStr">
        <is>
          <t>X</t>
        </is>
      </c>
      <c r="C476" s="5" t="inlineStr">
        <is>
          <t>Multiple / Cross-persona</t>
        </is>
      </c>
      <c r="D476" s="5" t="inlineStr">
        <is>
          <t>Import / Export / Period Close</t>
        </is>
      </c>
      <c r="E476" s="5" t="inlineStr">
        <is>
          <t>Export inventory data</t>
        </is>
      </c>
      <c r="F476" s="5" t="inlineStr">
        <is>
          <t>Inventory Manager / Accountant</t>
        </is>
      </c>
      <c r="G476" s="5" t="inlineStr">
        <is>
          <t>Auditor</t>
        </is>
      </c>
      <c r="H476" s="5" t="inlineStr">
        <is>
          <t>Export full current inventory valuation, batch lots, expiry dates, and warehouse locations</t>
        </is>
      </c>
      <c r="I476" s="5" t="inlineStr">
        <is>
          <t>Generates Excel/CSV inventory asset valuation report compliant with accounting standards</t>
        </is>
      </c>
      <c r="J476" s="20" t="inlineStr">
        <is>
          <t>P1</t>
        </is>
      </c>
      <c r="K476" s="20" t="inlineStr">
        <is>
          <t>Validated (Supported)</t>
        </is>
      </c>
      <c r="L476" s="5" t="inlineStr">
        <is>
          <t>Supported via /inventory/export/ with warehouse breakdown.</t>
        </is>
      </c>
      <c r="M476" s="8" t="inlineStr">
        <is>
          <t>Baseline</t>
        </is>
      </c>
      <c r="N476" s="8" t="inlineStr">
        <is>
          <t>Cross-persona</t>
        </is>
      </c>
      <c r="O476" s="8" t="inlineStr">
        <is>
          <t>P1</t>
        </is>
      </c>
      <c r="P476" s="5" t="inlineStr">
        <is>
          <t>Unchanged</t>
        </is>
      </c>
      <c r="Q476" s="20" t="inlineStr">
        <is>
          <t>Author assertion</t>
        </is>
      </c>
      <c r="R476" s="5" t="inlineStr"/>
      <c r="S476" s="8" t="inlineStr">
        <is>
          <t>CLOSE</t>
        </is>
      </c>
      <c r="T476" s="5" t="inlineStr">
        <is>
          <t>Import, export, and period close</t>
        </is>
      </c>
      <c r="U476" s="8" t="inlineStr"/>
      <c r="V476" s="8" t="inlineStr">
        <is>
          <t>accounting</t>
        </is>
      </c>
      <c r="W476" s="8" t="inlineStr">
        <is>
          <t>CONTROL</t>
        </is>
      </c>
      <c r="X476" s="5" t="inlineStr">
        <is>
          <t>Core</t>
        </is>
      </c>
      <c r="Y476" s="5" t="inlineStr">
        <is>
          <t>Cross-persona</t>
        </is>
      </c>
      <c r="Z476" s="5" t="inlineStr">
        <is>
          <t>Medium</t>
        </is>
      </c>
      <c r="AA476" s="5" t="inlineStr">
        <is>
          <t>Medium</t>
        </is>
      </c>
      <c r="AB476" s="8" t="inlineStr">
        <is>
          <t>Low</t>
        </is>
      </c>
      <c r="AC476" s="8" t="inlineStr">
        <is>
          <t>Pilot</t>
        </is>
      </c>
      <c r="AD476" s="5" t="inlineStr">
        <is>
          <t>Not independently checked</t>
        </is>
      </c>
      <c r="AE476" s="5" t="inlineStr">
        <is>
          <t>Not verified</t>
        </is>
      </c>
      <c r="AF476" s="5" t="inlineStr">
        <is>
          <t>Not verified</t>
        </is>
      </c>
      <c r="AG476" s="5" t="inlineStr">
        <is>
          <t>Not verified</t>
        </is>
      </c>
      <c r="AH476" s="5" t="inlineStr">
        <is>
          <t>Not verified</t>
        </is>
      </c>
      <c r="AI476" s="8" t="inlineStr">
        <is>
          <t>No</t>
        </is>
      </c>
      <c r="AJ476" s="8" t="inlineStr">
        <is>
          <t>Claimed - unverified</t>
        </is>
      </c>
      <c r="AK476" s="8" t="inlineStr">
        <is>
          <t>P1</t>
        </is>
      </c>
      <c r="AL476" s="8" t="n">
        <v>6</v>
      </c>
      <c r="AM476" s="5" t="inlineStr"/>
      <c r="AN476" s="5" t="inlineStr"/>
      <c r="AO476" s="5" t="inlineStr"/>
      <c r="AP476" s="5" t="inlineStr"/>
      <c r="AQ476" s="5" t="inlineStr"/>
      <c r="AR476" s="5" t="inlineStr"/>
      <c r="AS476" s="5" t="inlineStr"/>
      <c r="AT476" s="5" t="inlineStr"/>
      <c r="AU476" s="8" t="inlineStr">
        <is>
          <t>Not run</t>
        </is>
      </c>
    </row>
    <row r="477" ht="32" customHeight="1">
      <c r="A477" s="16" t="inlineStr">
        <is>
          <t>X-0476</t>
        </is>
      </c>
      <c r="B477" s="8" t="inlineStr">
        <is>
          <t>X</t>
        </is>
      </c>
      <c r="C477" s="5" t="inlineStr">
        <is>
          <t>Multiple / Cross-persona</t>
        </is>
      </c>
      <c r="D477" s="5" t="inlineStr">
        <is>
          <t>Import / Export / Period Close</t>
        </is>
      </c>
      <c r="E477" s="5" t="inlineStr">
        <is>
          <t>Export GST data</t>
        </is>
      </c>
      <c r="F477" s="5" t="inlineStr">
        <is>
          <t>In-house Accountant</t>
        </is>
      </c>
      <c r="G477" s="5" t="inlineStr">
        <is>
          <t>External CA</t>
        </is>
      </c>
      <c r="H477" s="5" t="inlineStr">
        <is>
          <t>Export monthly GSTR-1, GSTR-3B, or CMP-08 worksheets in government offline format</t>
        </is>
      </c>
      <c r="I477" s="5" t="inlineStr">
        <is>
          <t>Generates official offline utility JSON and summary Excel workbooks for tax portal upload</t>
        </is>
      </c>
      <c r="J477" s="20" t="inlineStr">
        <is>
          <t>P1</t>
        </is>
      </c>
      <c r="K477" s="20" t="inlineStr">
        <is>
          <t>Validated (Supported)</t>
        </is>
      </c>
      <c r="L477" s="5" t="inlineStr">
        <is>
          <t>Supported via /gst/export/ with JSON and Excel export options.</t>
        </is>
      </c>
      <c r="M477" s="8" t="inlineStr">
        <is>
          <t>Baseline</t>
        </is>
      </c>
      <c r="N477" s="8" t="inlineStr">
        <is>
          <t>Cross-persona</t>
        </is>
      </c>
      <c r="O477" s="8" t="inlineStr">
        <is>
          <t>P1</t>
        </is>
      </c>
      <c r="P477" s="5" t="inlineStr">
        <is>
          <t>Unchanged</t>
        </is>
      </c>
      <c r="Q477" s="20" t="inlineStr">
        <is>
          <t>Author assertion</t>
        </is>
      </c>
      <c r="R477" s="5" t="inlineStr"/>
      <c r="S477" s="8" t="inlineStr">
        <is>
          <t>CLOSE</t>
        </is>
      </c>
      <c r="T477" s="5" t="inlineStr">
        <is>
          <t>Import, export, and period close</t>
        </is>
      </c>
      <c r="U477" s="8" t="inlineStr"/>
      <c r="V477" s="8" t="inlineStr">
        <is>
          <t>accounting</t>
        </is>
      </c>
      <c r="W477" s="8" t="inlineStr">
        <is>
          <t>CONTROL</t>
        </is>
      </c>
      <c r="X477" s="5" t="inlineStr">
        <is>
          <t>Core</t>
        </is>
      </c>
      <c r="Y477" s="5" t="inlineStr">
        <is>
          <t>Cross-persona</t>
        </is>
      </c>
      <c r="Z477" s="5" t="inlineStr">
        <is>
          <t>Medium</t>
        </is>
      </c>
      <c r="AA477" s="5" t="inlineStr">
        <is>
          <t>Medium</t>
        </is>
      </c>
      <c r="AB477" s="8" t="inlineStr">
        <is>
          <t>Low</t>
        </is>
      </c>
      <c r="AC477" s="8" t="inlineStr">
        <is>
          <t>Pilot</t>
        </is>
      </c>
      <c r="AD477" s="5" t="inlineStr">
        <is>
          <t>Not independently checked</t>
        </is>
      </c>
      <c r="AE477" s="5" t="inlineStr">
        <is>
          <t>Not verified</t>
        </is>
      </c>
      <c r="AF477" s="5" t="inlineStr">
        <is>
          <t>Not verified</t>
        </is>
      </c>
      <c r="AG477" s="5" t="inlineStr">
        <is>
          <t>Not verified</t>
        </is>
      </c>
      <c r="AH477" s="5" t="inlineStr">
        <is>
          <t>Not verified</t>
        </is>
      </c>
      <c r="AI477" s="8" t="inlineStr">
        <is>
          <t>No</t>
        </is>
      </c>
      <c r="AJ477" s="8" t="inlineStr">
        <is>
          <t>Claimed - unverified</t>
        </is>
      </c>
      <c r="AK477" s="8" t="inlineStr">
        <is>
          <t>P1</t>
        </is>
      </c>
      <c r="AL477" s="8" t="n">
        <v>6</v>
      </c>
      <c r="AM477" s="5" t="inlineStr"/>
      <c r="AN477" s="5" t="inlineStr"/>
      <c r="AO477" s="5" t="inlineStr"/>
      <c r="AP477" s="5" t="inlineStr"/>
      <c r="AQ477" s="5" t="inlineStr"/>
      <c r="AR477" s="5" t="inlineStr"/>
      <c r="AS477" s="5" t="inlineStr"/>
      <c r="AT477" s="5" t="inlineStr"/>
      <c r="AU477" s="8" t="inlineStr">
        <is>
          <t>Not run</t>
        </is>
      </c>
    </row>
    <row r="478" ht="32" customHeight="1">
      <c r="A478" s="16" t="inlineStr">
        <is>
          <t>X-0477</t>
        </is>
      </c>
      <c r="B478" s="8" t="inlineStr">
        <is>
          <t>X</t>
        </is>
      </c>
      <c r="C478" s="5" t="inlineStr">
        <is>
          <t>Multiple / Cross-persona</t>
        </is>
      </c>
      <c r="D478" s="5" t="inlineStr">
        <is>
          <t>Import / Export / Period Close</t>
        </is>
      </c>
      <c r="E478" s="5" t="inlineStr">
        <is>
          <t>Export customer ledger</t>
        </is>
      </c>
      <c r="F478" s="5" t="inlineStr">
        <is>
          <t>In-house Accountant</t>
        </is>
      </c>
      <c r="G478" s="5" t="inlineStr">
        <is>
          <t>Customer / Credit Controller</t>
        </is>
      </c>
      <c r="H478" s="5" t="inlineStr">
        <is>
          <t>Export customer ledger statement showing debit, credit, and running balance history</t>
        </is>
      </c>
      <c r="I478" s="5" t="inlineStr">
        <is>
          <t>Generates customer statement PDF and Excel file ready for sharing with client</t>
        </is>
      </c>
      <c r="J478" s="20" t="inlineStr">
        <is>
          <t>P1</t>
        </is>
      </c>
      <c r="K478" s="20" t="inlineStr">
        <is>
          <t>Validated (Supported)</t>
        </is>
      </c>
      <c r="L478" s="5" t="inlineStr">
        <is>
          <t>Supported via /sales/customers/{id}/statement/ export.</t>
        </is>
      </c>
      <c r="M478" s="8" t="inlineStr">
        <is>
          <t>Baseline</t>
        </is>
      </c>
      <c r="N478" s="8" t="inlineStr">
        <is>
          <t>Cross-persona</t>
        </is>
      </c>
      <c r="O478" s="8" t="inlineStr">
        <is>
          <t>P1</t>
        </is>
      </c>
      <c r="P478" s="5" t="inlineStr">
        <is>
          <t>Unchanged</t>
        </is>
      </c>
      <c r="Q478" s="20" t="inlineStr">
        <is>
          <t>Author assertion</t>
        </is>
      </c>
      <c r="R478" s="5" t="inlineStr"/>
      <c r="S478" s="8" t="inlineStr">
        <is>
          <t>CLOSE</t>
        </is>
      </c>
      <c r="T478" s="5" t="inlineStr">
        <is>
          <t>Import, export, and period close</t>
        </is>
      </c>
      <c r="U478" s="8" t="inlineStr"/>
      <c r="V478" s="8" t="inlineStr">
        <is>
          <t>accounting</t>
        </is>
      </c>
      <c r="W478" s="8" t="inlineStr">
        <is>
          <t>CONTROL</t>
        </is>
      </c>
      <c r="X478" s="5" t="inlineStr">
        <is>
          <t>Core</t>
        </is>
      </c>
      <c r="Y478" s="5" t="inlineStr">
        <is>
          <t>Cross-persona</t>
        </is>
      </c>
      <c r="Z478" s="5" t="inlineStr">
        <is>
          <t>Medium</t>
        </is>
      </c>
      <c r="AA478" s="5" t="inlineStr">
        <is>
          <t>Medium</t>
        </is>
      </c>
      <c r="AB478" s="8" t="inlineStr">
        <is>
          <t>Low</t>
        </is>
      </c>
      <c r="AC478" s="8" t="inlineStr">
        <is>
          <t>Pilot</t>
        </is>
      </c>
      <c r="AD478" s="5" t="inlineStr">
        <is>
          <t>Not independently checked</t>
        </is>
      </c>
      <c r="AE478" s="5" t="inlineStr">
        <is>
          <t>Not verified</t>
        </is>
      </c>
      <c r="AF478" s="5" t="inlineStr">
        <is>
          <t>Not verified</t>
        </is>
      </c>
      <c r="AG478" s="5" t="inlineStr">
        <is>
          <t>Not verified</t>
        </is>
      </c>
      <c r="AH478" s="5" t="inlineStr">
        <is>
          <t>Not verified</t>
        </is>
      </c>
      <c r="AI478" s="8" t="inlineStr">
        <is>
          <t>No</t>
        </is>
      </c>
      <c r="AJ478" s="8" t="inlineStr">
        <is>
          <t>Claimed - unverified</t>
        </is>
      </c>
      <c r="AK478" s="8" t="inlineStr">
        <is>
          <t>P1</t>
        </is>
      </c>
      <c r="AL478" s="8" t="n">
        <v>6</v>
      </c>
      <c r="AM478" s="5" t="inlineStr"/>
      <c r="AN478" s="5" t="inlineStr"/>
      <c r="AO478" s="5" t="inlineStr"/>
      <c r="AP478" s="5" t="inlineStr"/>
      <c r="AQ478" s="5" t="inlineStr"/>
      <c r="AR478" s="5" t="inlineStr"/>
      <c r="AS478" s="5" t="inlineStr"/>
      <c r="AT478" s="5" t="inlineStr"/>
      <c r="AU478" s="8" t="inlineStr">
        <is>
          <t>Not run</t>
        </is>
      </c>
    </row>
    <row r="479" ht="32" customHeight="1">
      <c r="A479" s="16" t="inlineStr">
        <is>
          <t>X-0478</t>
        </is>
      </c>
      <c r="B479" s="8" t="inlineStr">
        <is>
          <t>X</t>
        </is>
      </c>
      <c r="C479" s="5" t="inlineStr">
        <is>
          <t>Multiple / Cross-persona</t>
        </is>
      </c>
      <c r="D479" s="5" t="inlineStr">
        <is>
          <t>Import / Export / Period Close</t>
        </is>
      </c>
      <c r="E479" s="5" t="inlineStr">
        <is>
          <t>Export supplier ledger</t>
        </is>
      </c>
      <c r="F479" s="5" t="inlineStr">
        <is>
          <t>In-house Accountant</t>
        </is>
      </c>
      <c r="G479" s="5" t="inlineStr">
        <is>
          <t>Supplier</t>
        </is>
      </c>
      <c r="H479" s="5" t="inlineStr">
        <is>
          <t>Export supplier ledger statement showing purchase bills, debit notes, and payments</t>
        </is>
      </c>
      <c r="I479" s="5" t="inlineStr">
        <is>
          <t>Generates supplier statement PDF and Excel file ready for sharing with vendor</t>
        </is>
      </c>
      <c r="J479" s="20" t="inlineStr">
        <is>
          <t>P1</t>
        </is>
      </c>
      <c r="K479" s="20" t="inlineStr">
        <is>
          <t>Validated (Supported)</t>
        </is>
      </c>
      <c r="L479" s="5" t="inlineStr">
        <is>
          <t>Supported via /purchases/suppliers/{id}/statement/ export.</t>
        </is>
      </c>
      <c r="M479" s="8" t="inlineStr">
        <is>
          <t>Baseline</t>
        </is>
      </c>
      <c r="N479" s="8" t="inlineStr">
        <is>
          <t>Cross-persona</t>
        </is>
      </c>
      <c r="O479" s="8" t="inlineStr">
        <is>
          <t>P1</t>
        </is>
      </c>
      <c r="P479" s="5" t="inlineStr">
        <is>
          <t>Unchanged</t>
        </is>
      </c>
      <c r="Q479" s="20" t="inlineStr">
        <is>
          <t>Author assertion</t>
        </is>
      </c>
      <c r="R479" s="5" t="inlineStr"/>
      <c r="S479" s="8" t="inlineStr">
        <is>
          <t>CLOSE</t>
        </is>
      </c>
      <c r="T479" s="5" t="inlineStr">
        <is>
          <t>Import, export, and period close</t>
        </is>
      </c>
      <c r="U479" s="8" t="inlineStr"/>
      <c r="V479" s="8" t="inlineStr">
        <is>
          <t>accounting</t>
        </is>
      </c>
      <c r="W479" s="8" t="inlineStr">
        <is>
          <t>CONTROL</t>
        </is>
      </c>
      <c r="X479" s="5" t="inlineStr">
        <is>
          <t>Core</t>
        </is>
      </c>
      <c r="Y479" s="5" t="inlineStr">
        <is>
          <t>Cross-persona</t>
        </is>
      </c>
      <c r="Z479" s="5" t="inlineStr">
        <is>
          <t>Medium</t>
        </is>
      </c>
      <c r="AA479" s="5" t="inlineStr">
        <is>
          <t>Medium</t>
        </is>
      </c>
      <c r="AB479" s="8" t="inlineStr">
        <is>
          <t>Low</t>
        </is>
      </c>
      <c r="AC479" s="8" t="inlineStr">
        <is>
          <t>Pilot</t>
        </is>
      </c>
      <c r="AD479" s="5" t="inlineStr">
        <is>
          <t>Not independently checked</t>
        </is>
      </c>
      <c r="AE479" s="5" t="inlineStr">
        <is>
          <t>Not verified</t>
        </is>
      </c>
      <c r="AF479" s="5" t="inlineStr">
        <is>
          <t>Not verified</t>
        </is>
      </c>
      <c r="AG479" s="5" t="inlineStr">
        <is>
          <t>Not verified</t>
        </is>
      </c>
      <c r="AH479" s="5" t="inlineStr">
        <is>
          <t>Not verified</t>
        </is>
      </c>
      <c r="AI479" s="8" t="inlineStr">
        <is>
          <t>No</t>
        </is>
      </c>
      <c r="AJ479" s="8" t="inlineStr">
        <is>
          <t>Claimed - unverified</t>
        </is>
      </c>
      <c r="AK479" s="8" t="inlineStr">
        <is>
          <t>P1</t>
        </is>
      </c>
      <c r="AL479" s="8" t="n">
        <v>6</v>
      </c>
      <c r="AM479" s="5" t="inlineStr"/>
      <c r="AN479" s="5" t="inlineStr"/>
      <c r="AO479" s="5" t="inlineStr"/>
      <c r="AP479" s="5" t="inlineStr"/>
      <c r="AQ479" s="5" t="inlineStr"/>
      <c r="AR479" s="5" t="inlineStr"/>
      <c r="AS479" s="5" t="inlineStr"/>
      <c r="AT479" s="5" t="inlineStr"/>
      <c r="AU479" s="8" t="inlineStr">
        <is>
          <t>Not run</t>
        </is>
      </c>
    </row>
    <row r="480" ht="32" customHeight="1">
      <c r="A480" s="16" t="inlineStr">
        <is>
          <t>X-0479</t>
        </is>
      </c>
      <c r="B480" s="8" t="inlineStr">
        <is>
          <t>X</t>
        </is>
      </c>
      <c r="C480" s="5" t="inlineStr">
        <is>
          <t>Multiple / Cross-persona</t>
        </is>
      </c>
      <c r="D480" s="5" t="inlineStr">
        <is>
          <t>Import / Export / Period Close</t>
        </is>
      </c>
      <c r="E480" s="5" t="inlineStr">
        <is>
          <t>Export accounting data</t>
        </is>
      </c>
      <c r="F480" s="5" t="inlineStr">
        <is>
          <t>In-house Accountant</t>
        </is>
      </c>
      <c r="G480" s="5" t="inlineStr">
        <is>
          <t>External CA (Tally Operator)</t>
        </is>
      </c>
      <c r="H480" s="5" t="inlineStr">
        <is>
          <t>Export full double-entry general ledger, Trial Balance, and voucher entries</t>
        </is>
      </c>
      <c r="I480" s="5" t="inlineStr">
        <is>
          <t>Generates Tally-compatible XML voucher export and comprehensive Excel Trial Balance</t>
        </is>
      </c>
      <c r="J480" s="20" t="inlineStr">
        <is>
          <t>P1</t>
        </is>
      </c>
      <c r="K480" s="20" t="inlineStr">
        <is>
          <t>Validated (Supported)</t>
        </is>
      </c>
      <c r="L480" s="5" t="inlineStr">
        <is>
          <t>Supported via /accounting/export/tally-xml/.</t>
        </is>
      </c>
      <c r="M480" s="8" t="inlineStr">
        <is>
          <t>Baseline</t>
        </is>
      </c>
      <c r="N480" s="8" t="inlineStr">
        <is>
          <t>Cross-persona</t>
        </is>
      </c>
      <c r="O480" s="8" t="inlineStr">
        <is>
          <t>P1</t>
        </is>
      </c>
      <c r="P480" s="5" t="inlineStr">
        <is>
          <t>Unchanged</t>
        </is>
      </c>
      <c r="Q480" s="20" t="inlineStr">
        <is>
          <t>Author assertion</t>
        </is>
      </c>
      <c r="R480" s="5" t="inlineStr"/>
      <c r="S480" s="8" t="inlineStr">
        <is>
          <t>CLOSE</t>
        </is>
      </c>
      <c r="T480" s="5" t="inlineStr">
        <is>
          <t>Import, export, and period close</t>
        </is>
      </c>
      <c r="U480" s="8" t="inlineStr"/>
      <c r="V480" s="8" t="inlineStr">
        <is>
          <t>accounting</t>
        </is>
      </c>
      <c r="W480" s="8" t="inlineStr">
        <is>
          <t>CONTROL</t>
        </is>
      </c>
      <c r="X480" s="5" t="inlineStr">
        <is>
          <t>Core</t>
        </is>
      </c>
      <c r="Y480" s="5" t="inlineStr">
        <is>
          <t>Cross-persona</t>
        </is>
      </c>
      <c r="Z480" s="5" t="inlineStr">
        <is>
          <t>Medium</t>
        </is>
      </c>
      <c r="AA480" s="5" t="inlineStr">
        <is>
          <t>Medium</t>
        </is>
      </c>
      <c r="AB480" s="8" t="inlineStr">
        <is>
          <t>Low</t>
        </is>
      </c>
      <c r="AC480" s="8" t="inlineStr">
        <is>
          <t>Pilot</t>
        </is>
      </c>
      <c r="AD480" s="5" t="inlineStr">
        <is>
          <t>Not independently checked</t>
        </is>
      </c>
      <c r="AE480" s="5" t="inlineStr">
        <is>
          <t>Not verified</t>
        </is>
      </c>
      <c r="AF480" s="5" t="inlineStr">
        <is>
          <t>Not verified</t>
        </is>
      </c>
      <c r="AG480" s="5" t="inlineStr">
        <is>
          <t>Not verified</t>
        </is>
      </c>
      <c r="AH480" s="5" t="inlineStr">
        <is>
          <t>Not verified</t>
        </is>
      </c>
      <c r="AI480" s="8" t="inlineStr">
        <is>
          <t>No</t>
        </is>
      </c>
      <c r="AJ480" s="8" t="inlineStr">
        <is>
          <t>Claimed - unverified</t>
        </is>
      </c>
      <c r="AK480" s="8" t="inlineStr">
        <is>
          <t>P1</t>
        </is>
      </c>
      <c r="AL480" s="8" t="n">
        <v>6</v>
      </c>
      <c r="AM480" s="5" t="inlineStr"/>
      <c r="AN480" s="5" t="inlineStr"/>
      <c r="AO480" s="5" t="inlineStr"/>
      <c r="AP480" s="5" t="inlineStr"/>
      <c r="AQ480" s="5" t="inlineStr"/>
      <c r="AR480" s="5" t="inlineStr"/>
      <c r="AS480" s="5" t="inlineStr"/>
      <c r="AT480" s="5" t="inlineStr"/>
      <c r="AU480" s="8" t="inlineStr">
        <is>
          <t>Not run</t>
        </is>
      </c>
    </row>
    <row r="481" ht="32" customHeight="1">
      <c r="A481" s="16" t="inlineStr">
        <is>
          <t>X-0480</t>
        </is>
      </c>
      <c r="B481" s="8" t="inlineStr">
        <is>
          <t>X</t>
        </is>
      </c>
      <c r="C481" s="5" t="inlineStr">
        <is>
          <t>Multiple / Cross-persona</t>
        </is>
      </c>
      <c r="D481" s="5" t="inlineStr">
        <is>
          <t>Import / Export / Period Close</t>
        </is>
      </c>
      <c r="E481" s="5" t="inlineStr">
        <is>
          <t>Imported data becomes available to downstream modules</t>
        </is>
      </c>
      <c r="F481" s="5" t="inlineStr">
        <is>
          <t>System / Data Engine</t>
        </is>
      </c>
      <c r="G481" s="5" t="inlineStr">
        <is>
          <t>All Users</t>
        </is>
      </c>
      <c r="H481" s="5" t="inlineStr">
        <is>
          <t>Imported customers, products, and balances immediately accessible across billing and stock</t>
        </is>
      </c>
      <c r="I481" s="5" t="inlineStr">
        <is>
          <t>Refreshes search caches; enables newly imported entities across all transactional screens</t>
        </is>
      </c>
      <c r="J481" s="20" t="inlineStr">
        <is>
          <t>P1</t>
        </is>
      </c>
      <c r="K481" s="20" t="inlineStr">
        <is>
          <t>Validated (Supported)</t>
        </is>
      </c>
      <c r="L481" s="5" t="inlineStr">
        <is>
          <t>Core system invariant: imported entities immediately queryable across all application views.</t>
        </is>
      </c>
      <c r="M481" s="8" t="inlineStr">
        <is>
          <t>Baseline</t>
        </is>
      </c>
      <c r="N481" s="8" t="inlineStr">
        <is>
          <t>Cross-persona</t>
        </is>
      </c>
      <c r="O481" s="8" t="inlineStr">
        <is>
          <t>P1</t>
        </is>
      </c>
      <c r="P481" s="5" t="inlineStr">
        <is>
          <t>Unchanged</t>
        </is>
      </c>
      <c r="Q481" s="20" t="inlineStr">
        <is>
          <t>Author assertion</t>
        </is>
      </c>
      <c r="R481" s="5" t="inlineStr"/>
      <c r="S481" s="8" t="inlineStr">
        <is>
          <t>CLOSE</t>
        </is>
      </c>
      <c r="T481" s="5" t="inlineStr">
        <is>
          <t>Import, export, and period close</t>
        </is>
      </c>
      <c r="U481" s="8" t="inlineStr"/>
      <c r="V481" s="8" t="inlineStr">
        <is>
          <t>accounting</t>
        </is>
      </c>
      <c r="W481" s="8" t="inlineStr">
        <is>
          <t>CONTROL</t>
        </is>
      </c>
      <c r="X481" s="5" t="inlineStr">
        <is>
          <t>Core</t>
        </is>
      </c>
      <c r="Y481" s="5" t="inlineStr">
        <is>
          <t>Cross-persona</t>
        </is>
      </c>
      <c r="Z481" s="5" t="inlineStr">
        <is>
          <t>Medium</t>
        </is>
      </c>
      <c r="AA481" s="5" t="inlineStr">
        <is>
          <t>Medium</t>
        </is>
      </c>
      <c r="AB481" s="8" t="inlineStr">
        <is>
          <t>Low</t>
        </is>
      </c>
      <c r="AC481" s="8" t="inlineStr">
        <is>
          <t>Pilot</t>
        </is>
      </c>
      <c r="AD481" s="5" t="inlineStr">
        <is>
          <t>Not independently checked</t>
        </is>
      </c>
      <c r="AE481" s="5" t="inlineStr">
        <is>
          <t>Not verified</t>
        </is>
      </c>
      <c r="AF481" s="5" t="inlineStr">
        <is>
          <t>Not verified</t>
        </is>
      </c>
      <c r="AG481" s="5" t="inlineStr">
        <is>
          <t>Not verified</t>
        </is>
      </c>
      <c r="AH481" s="5" t="inlineStr">
        <is>
          <t>Not verified</t>
        </is>
      </c>
      <c r="AI481" s="8" t="inlineStr">
        <is>
          <t>No</t>
        </is>
      </c>
      <c r="AJ481" s="8" t="inlineStr">
        <is>
          <t>Claimed - unverified</t>
        </is>
      </c>
      <c r="AK481" s="8" t="inlineStr">
        <is>
          <t>P1</t>
        </is>
      </c>
      <c r="AL481" s="8" t="n">
        <v>6</v>
      </c>
      <c r="AM481" s="5" t="inlineStr"/>
      <c r="AN481" s="5" t="inlineStr"/>
      <c r="AO481" s="5" t="inlineStr"/>
      <c r="AP481" s="5" t="inlineStr"/>
      <c r="AQ481" s="5" t="inlineStr"/>
      <c r="AR481" s="5" t="inlineStr"/>
      <c r="AS481" s="5" t="inlineStr"/>
      <c r="AT481" s="5" t="inlineStr"/>
      <c r="AU481" s="8" t="inlineStr">
        <is>
          <t>Not run</t>
        </is>
      </c>
    </row>
    <row r="482" ht="32" customHeight="1">
      <c r="A482" s="16" t="inlineStr">
        <is>
          <t>X-0481</t>
        </is>
      </c>
      <c r="B482" s="8" t="inlineStr">
        <is>
          <t>X</t>
        </is>
      </c>
      <c r="C482" s="5" t="inlineStr">
        <is>
          <t>Multiple / Cross-persona</t>
        </is>
      </c>
      <c r="D482" s="5" t="inlineStr">
        <is>
          <t>Import / Export / Period Close</t>
        </is>
      </c>
      <c r="E482" s="5" t="inlineStr">
        <is>
          <t>Exported data reconciles with on-screen business data</t>
        </is>
      </c>
      <c r="F482" s="5" t="inlineStr">
        <is>
          <t>In-house Accountant</t>
        </is>
      </c>
      <c r="G482" s="5" t="inlineStr">
        <is>
          <t>Auditor</t>
        </is>
      </c>
      <c r="H482" s="5" t="inlineStr">
        <is>
          <t>Exported spreadsheets match figures and balances displayed on dashboard screens to the rupee</t>
        </is>
      </c>
      <c r="I482" s="5" t="inlineStr">
        <is>
          <t>Guarantees exact numerical alignment between on-screen dashboards and exported files</t>
        </is>
      </c>
      <c r="J482" s="20" t="inlineStr">
        <is>
          <t>P1</t>
        </is>
      </c>
      <c r="K482" s="20" t="inlineStr">
        <is>
          <t>Validated (Supported)</t>
        </is>
      </c>
      <c r="L482" s="5" t="inlineStr">
        <is>
          <t>Core reporting invariant: exported datasets generated from identical database queries as UI.</t>
        </is>
      </c>
      <c r="M482" s="8" t="inlineStr">
        <is>
          <t>Baseline</t>
        </is>
      </c>
      <c r="N482" s="8" t="inlineStr">
        <is>
          <t>Cross-persona</t>
        </is>
      </c>
      <c r="O482" s="8" t="inlineStr">
        <is>
          <t>P1</t>
        </is>
      </c>
      <c r="P482" s="5" t="inlineStr">
        <is>
          <t>Unchanged</t>
        </is>
      </c>
      <c r="Q482" s="20" t="inlineStr">
        <is>
          <t>Author assertion</t>
        </is>
      </c>
      <c r="R482" s="5" t="inlineStr"/>
      <c r="S482" s="8" t="inlineStr">
        <is>
          <t>CLOSE</t>
        </is>
      </c>
      <c r="T482" s="5" t="inlineStr">
        <is>
          <t>Import, export, and period close</t>
        </is>
      </c>
      <c r="U482" s="8" t="inlineStr"/>
      <c r="V482" s="8" t="inlineStr">
        <is>
          <t>accounting</t>
        </is>
      </c>
      <c r="W482" s="8" t="inlineStr">
        <is>
          <t>CONTROL</t>
        </is>
      </c>
      <c r="X482" s="5" t="inlineStr">
        <is>
          <t>Core</t>
        </is>
      </c>
      <c r="Y482" s="5" t="inlineStr">
        <is>
          <t>Cross-persona</t>
        </is>
      </c>
      <c r="Z482" s="5" t="inlineStr">
        <is>
          <t>Medium</t>
        </is>
      </c>
      <c r="AA482" s="5" t="inlineStr">
        <is>
          <t>Medium</t>
        </is>
      </c>
      <c r="AB482" s="8" t="inlineStr">
        <is>
          <t>Low</t>
        </is>
      </c>
      <c r="AC482" s="8" t="inlineStr">
        <is>
          <t>Pilot</t>
        </is>
      </c>
      <c r="AD482" s="5" t="inlineStr">
        <is>
          <t>Not independently checked</t>
        </is>
      </c>
      <c r="AE482" s="5" t="inlineStr">
        <is>
          <t>Not verified</t>
        </is>
      </c>
      <c r="AF482" s="5" t="inlineStr">
        <is>
          <t>Not verified</t>
        </is>
      </c>
      <c r="AG482" s="5" t="inlineStr">
        <is>
          <t>Not verified</t>
        </is>
      </c>
      <c r="AH482" s="5" t="inlineStr">
        <is>
          <t>Not verified</t>
        </is>
      </c>
      <c r="AI482" s="8" t="inlineStr">
        <is>
          <t>No</t>
        </is>
      </c>
      <c r="AJ482" s="8" t="inlineStr">
        <is>
          <t>Claimed - unverified</t>
        </is>
      </c>
      <c r="AK482" s="8" t="inlineStr">
        <is>
          <t>P1</t>
        </is>
      </c>
      <c r="AL482" s="8" t="n">
        <v>6</v>
      </c>
      <c r="AM482" s="5" t="inlineStr"/>
      <c r="AN482" s="5" t="inlineStr"/>
      <c r="AO482" s="5" t="inlineStr"/>
      <c r="AP482" s="5" t="inlineStr"/>
      <c r="AQ482" s="5" t="inlineStr"/>
      <c r="AR482" s="5" t="inlineStr"/>
      <c r="AS482" s="5" t="inlineStr"/>
      <c r="AT482" s="5" t="inlineStr"/>
      <c r="AU482" s="8" t="inlineStr">
        <is>
          <t>Not run</t>
        </is>
      </c>
    </row>
    <row r="483" ht="32" customHeight="1">
      <c r="A483" s="16" t="inlineStr">
        <is>
          <t>X-0482</t>
        </is>
      </c>
      <c r="B483" s="8" t="inlineStr">
        <is>
          <t>X</t>
        </is>
      </c>
      <c r="C483" s="5" t="inlineStr">
        <is>
          <t>Multiple / Cross-persona</t>
        </is>
      </c>
      <c r="D483" s="5" t="inlineStr">
        <is>
          <t>Import / Export / Period Close</t>
        </is>
      </c>
      <c r="E483" s="5" t="inlineStr">
        <is>
          <t>Cashier closes day's sales</t>
        </is>
      </c>
      <c r="F483" s="5" t="inlineStr">
        <is>
          <t>Store Cashier</t>
        </is>
      </c>
      <c r="G483" s="5" t="inlineStr">
        <is>
          <t>Store Manager</t>
        </is>
      </c>
      <c r="H483" s="5" t="inlineStr">
        <is>
          <t>Formal end-of-shift register closing locking daily sales and printing cashier shift summary</t>
        </is>
      </c>
      <c r="I483" s="5" t="inlineStr">
        <is>
          <t>Locks daily till shift; prints shift summary slip detailing total sales and payment splits</t>
        </is>
      </c>
      <c r="J483" s="20" t="inlineStr">
        <is>
          <t>P1</t>
        </is>
      </c>
      <c r="K483" s="20" t="inlineStr">
        <is>
          <t>Validated (Supported)</t>
        </is>
      </c>
      <c r="L483" s="5" t="inlineStr">
        <is>
          <t>Supported via /pos/shift-close workflow.</t>
        </is>
      </c>
      <c r="M483" s="8" t="inlineStr">
        <is>
          <t>Baseline</t>
        </is>
      </c>
      <c r="N483" s="8" t="inlineStr">
        <is>
          <t>Cross-persona</t>
        </is>
      </c>
      <c r="O483" s="8" t="inlineStr">
        <is>
          <t>P1</t>
        </is>
      </c>
      <c r="P483" s="5" t="inlineStr">
        <is>
          <t>Unchanged</t>
        </is>
      </c>
      <c r="Q483" s="20" t="inlineStr">
        <is>
          <t>Author assertion</t>
        </is>
      </c>
      <c r="R483" s="5" t="inlineStr"/>
      <c r="S483" s="8" t="inlineStr">
        <is>
          <t>CLOSE</t>
        </is>
      </c>
      <c r="T483" s="5" t="inlineStr">
        <is>
          <t>Import, export, and period close</t>
        </is>
      </c>
      <c r="U483" s="8" t="inlineStr"/>
      <c r="V483" s="8" t="inlineStr">
        <is>
          <t>accounting</t>
        </is>
      </c>
      <c r="W483" s="8" t="inlineStr">
        <is>
          <t>CONTROL</t>
        </is>
      </c>
      <c r="X483" s="5" t="inlineStr">
        <is>
          <t>Core</t>
        </is>
      </c>
      <c r="Y483" s="5" t="inlineStr">
        <is>
          <t>Cross-persona</t>
        </is>
      </c>
      <c r="Z483" s="5" t="inlineStr">
        <is>
          <t>Medium</t>
        </is>
      </c>
      <c r="AA483" s="5" t="inlineStr">
        <is>
          <t>Medium</t>
        </is>
      </c>
      <c r="AB483" s="8" t="inlineStr">
        <is>
          <t>Low</t>
        </is>
      </c>
      <c r="AC483" s="8" t="inlineStr">
        <is>
          <t>Pilot</t>
        </is>
      </c>
      <c r="AD483" s="5" t="inlineStr">
        <is>
          <t>Not independently checked</t>
        </is>
      </c>
      <c r="AE483" s="5" t="inlineStr">
        <is>
          <t>Not verified</t>
        </is>
      </c>
      <c r="AF483" s="5" t="inlineStr">
        <is>
          <t>Not verified</t>
        </is>
      </c>
      <c r="AG483" s="5" t="inlineStr">
        <is>
          <t>Not verified</t>
        </is>
      </c>
      <c r="AH483" s="5" t="inlineStr">
        <is>
          <t>Not verified</t>
        </is>
      </c>
      <c r="AI483" s="8" t="inlineStr">
        <is>
          <t>No</t>
        </is>
      </c>
      <c r="AJ483" s="8" t="inlineStr">
        <is>
          <t>Claimed - unverified</t>
        </is>
      </c>
      <c r="AK483" s="8" t="inlineStr">
        <is>
          <t>P1</t>
        </is>
      </c>
      <c r="AL483" s="8" t="n">
        <v>6</v>
      </c>
      <c r="AM483" s="5" t="inlineStr"/>
      <c r="AN483" s="5" t="inlineStr"/>
      <c r="AO483" s="5" t="inlineStr"/>
      <c r="AP483" s="5" t="inlineStr"/>
      <c r="AQ483" s="5" t="inlineStr"/>
      <c r="AR483" s="5" t="inlineStr"/>
      <c r="AS483" s="5" t="inlineStr"/>
      <c r="AT483" s="5" t="inlineStr"/>
      <c r="AU483" s="8" t="inlineStr">
        <is>
          <t>Not run</t>
        </is>
      </c>
    </row>
    <row r="484" ht="32" customHeight="1">
      <c r="A484" s="16" t="inlineStr">
        <is>
          <t>X-0483</t>
        </is>
      </c>
      <c r="B484" s="8" t="inlineStr">
        <is>
          <t>X</t>
        </is>
      </c>
      <c r="C484" s="5" t="inlineStr">
        <is>
          <t>Multiple / Cross-persona</t>
        </is>
      </c>
      <c r="D484" s="5" t="inlineStr">
        <is>
          <t>Import / Export / Period Close</t>
        </is>
      </c>
      <c r="E484" s="5" t="inlineStr">
        <is>
          <t>Cashier reconciles cash</t>
        </is>
      </c>
      <c r="F484" s="5" t="inlineStr">
        <is>
          <t>Store Cashier</t>
        </is>
      </c>
      <c r="G484" s="5" t="inlineStr">
        <is>
          <t>Store Manager</t>
        </is>
      </c>
      <c r="H484" s="5" t="inlineStr">
        <is>
          <t>Count physical currency denominations in cash drawer and compare against system expected cash</t>
        </is>
      </c>
      <c r="I484" s="5" t="inlineStr">
        <is>
          <t>Records denomination breakdown; calculates cash overage or shortage variance</t>
        </is>
      </c>
      <c r="J484" s="20" t="inlineStr">
        <is>
          <t>P1</t>
        </is>
      </c>
      <c r="K484" s="20" t="inlineStr">
        <is>
          <t>Validated (Supported)</t>
        </is>
      </c>
      <c r="L484" s="5" t="inlineStr">
        <is>
          <t>Supported via Cash Denomination Counter on shift close screen.</t>
        </is>
      </c>
      <c r="M484" s="8" t="inlineStr">
        <is>
          <t>Baseline</t>
        </is>
      </c>
      <c r="N484" s="8" t="inlineStr">
        <is>
          <t>Cross-persona</t>
        </is>
      </c>
      <c r="O484" s="8" t="inlineStr">
        <is>
          <t>P1</t>
        </is>
      </c>
      <c r="P484" s="5" t="inlineStr">
        <is>
          <t>Unchanged</t>
        </is>
      </c>
      <c r="Q484" s="20" t="inlineStr">
        <is>
          <t>Author assertion</t>
        </is>
      </c>
      <c r="R484" s="5" t="inlineStr"/>
      <c r="S484" s="8" t="inlineStr">
        <is>
          <t>CLOSE</t>
        </is>
      </c>
      <c r="T484" s="5" t="inlineStr">
        <is>
          <t>Import, export, and period close</t>
        </is>
      </c>
      <c r="U484" s="8" t="inlineStr"/>
      <c r="V484" s="8" t="inlineStr">
        <is>
          <t>accounting</t>
        </is>
      </c>
      <c r="W484" s="8" t="inlineStr">
        <is>
          <t>CONTROL</t>
        </is>
      </c>
      <c r="X484" s="5" t="inlineStr">
        <is>
          <t>Core</t>
        </is>
      </c>
      <c r="Y484" s="5" t="inlineStr">
        <is>
          <t>Cross-persona</t>
        </is>
      </c>
      <c r="Z484" s="5" t="inlineStr">
        <is>
          <t>Medium</t>
        </is>
      </c>
      <c r="AA484" s="5" t="inlineStr">
        <is>
          <t>Medium</t>
        </is>
      </c>
      <c r="AB484" s="8" t="inlineStr">
        <is>
          <t>Low</t>
        </is>
      </c>
      <c r="AC484" s="8" t="inlineStr">
        <is>
          <t>Pilot</t>
        </is>
      </c>
      <c r="AD484" s="5" t="inlineStr">
        <is>
          <t>Not independently checked</t>
        </is>
      </c>
      <c r="AE484" s="5" t="inlineStr">
        <is>
          <t>Not verified</t>
        </is>
      </c>
      <c r="AF484" s="5" t="inlineStr">
        <is>
          <t>Not verified</t>
        </is>
      </c>
      <c r="AG484" s="5" t="inlineStr">
        <is>
          <t>Not verified</t>
        </is>
      </c>
      <c r="AH484" s="5" t="inlineStr">
        <is>
          <t>Not verified</t>
        </is>
      </c>
      <c r="AI484" s="8" t="inlineStr">
        <is>
          <t>No</t>
        </is>
      </c>
      <c r="AJ484" s="8" t="inlineStr">
        <is>
          <t>Claimed - unverified</t>
        </is>
      </c>
      <c r="AK484" s="8" t="inlineStr">
        <is>
          <t>P1</t>
        </is>
      </c>
      <c r="AL484" s="8" t="n">
        <v>6</v>
      </c>
      <c r="AM484" s="5" t="inlineStr"/>
      <c r="AN484" s="5" t="inlineStr"/>
      <c r="AO484" s="5" t="inlineStr"/>
      <c r="AP484" s="5" t="inlineStr"/>
      <c r="AQ484" s="5" t="inlineStr"/>
      <c r="AR484" s="5" t="inlineStr"/>
      <c r="AS484" s="5" t="inlineStr"/>
      <c r="AT484" s="5" t="inlineStr"/>
      <c r="AU484" s="8" t="inlineStr">
        <is>
          <t>Not run</t>
        </is>
      </c>
    </row>
    <row r="485" ht="32" customHeight="1">
      <c r="A485" s="16" t="inlineStr">
        <is>
          <t>X-0484</t>
        </is>
      </c>
      <c r="B485" s="8" t="inlineStr">
        <is>
          <t>X</t>
        </is>
      </c>
      <c r="C485" s="5" t="inlineStr">
        <is>
          <t>Multiple / Cross-persona</t>
        </is>
      </c>
      <c r="D485" s="5" t="inlineStr">
        <is>
          <t>Import / Export / Period Close</t>
        </is>
      </c>
      <c r="E485" s="5" t="inlineStr">
        <is>
          <t>Digital payments are reconciled</t>
        </is>
      </c>
      <c r="F485" s="5" t="inlineStr">
        <is>
          <t>Store Cashier / Accountant</t>
        </is>
      </c>
      <c r="G485" s="5" t="inlineStr">
        <is>
          <t>Store Manager</t>
        </is>
      </c>
      <c r="H485" s="5" t="inlineStr">
        <is>
          <t>Verify UPI and card terminal settlement slips against POS digital payment totals</t>
        </is>
      </c>
      <c r="I485" s="5" t="inlineStr">
        <is>
          <t>Cross-checks EDC card swipe machine totals and UPI settlement against system payment records</t>
        </is>
      </c>
      <c r="J485" s="20" t="inlineStr">
        <is>
          <t>P1</t>
        </is>
      </c>
      <c r="K485" s="20" t="inlineStr">
        <is>
          <t>Validated (Supported)</t>
        </is>
      </c>
      <c r="L485" s="5" t="inlineStr">
        <is>
          <t>Supported via Digital Settlement Reconciliation step on shift close.</t>
        </is>
      </c>
      <c r="M485" s="8" t="inlineStr">
        <is>
          <t>Baseline</t>
        </is>
      </c>
      <c r="N485" s="8" t="inlineStr">
        <is>
          <t>Cross-persona</t>
        </is>
      </c>
      <c r="O485" s="8" t="inlineStr">
        <is>
          <t>P1</t>
        </is>
      </c>
      <c r="P485" s="5" t="inlineStr">
        <is>
          <t>Unchanged</t>
        </is>
      </c>
      <c r="Q485" s="20" t="inlineStr">
        <is>
          <t>Author assertion</t>
        </is>
      </c>
      <c r="R485" s="5" t="inlineStr"/>
      <c r="S485" s="8" t="inlineStr">
        <is>
          <t>CLOSE</t>
        </is>
      </c>
      <c r="T485" s="5" t="inlineStr">
        <is>
          <t>Import, export, and period close</t>
        </is>
      </c>
      <c r="U485" s="8" t="inlineStr"/>
      <c r="V485" s="8" t="inlineStr">
        <is>
          <t>accounting</t>
        </is>
      </c>
      <c r="W485" s="8" t="inlineStr">
        <is>
          <t>CONTROL</t>
        </is>
      </c>
      <c r="X485" s="5" t="inlineStr">
        <is>
          <t>Core</t>
        </is>
      </c>
      <c r="Y485" s="5" t="inlineStr">
        <is>
          <t>Cross-persona</t>
        </is>
      </c>
      <c r="Z485" s="5" t="inlineStr">
        <is>
          <t>Medium</t>
        </is>
      </c>
      <c r="AA485" s="5" t="inlineStr">
        <is>
          <t>Medium</t>
        </is>
      </c>
      <c r="AB485" s="8" t="inlineStr">
        <is>
          <t>Low</t>
        </is>
      </c>
      <c r="AC485" s="8" t="inlineStr">
        <is>
          <t>Pilot</t>
        </is>
      </c>
      <c r="AD485" s="5" t="inlineStr">
        <is>
          <t>Not independently checked</t>
        </is>
      </c>
      <c r="AE485" s="5" t="inlineStr">
        <is>
          <t>Not verified</t>
        </is>
      </c>
      <c r="AF485" s="5" t="inlineStr">
        <is>
          <t>Not verified</t>
        </is>
      </c>
      <c r="AG485" s="5" t="inlineStr">
        <is>
          <t>Not verified</t>
        </is>
      </c>
      <c r="AH485" s="5" t="inlineStr">
        <is>
          <t>Not verified</t>
        </is>
      </c>
      <c r="AI485" s="8" t="inlineStr">
        <is>
          <t>No</t>
        </is>
      </c>
      <c r="AJ485" s="8" t="inlineStr">
        <is>
          <t>Claimed - unverified</t>
        </is>
      </c>
      <c r="AK485" s="8" t="inlineStr">
        <is>
          <t>P1</t>
        </is>
      </c>
      <c r="AL485" s="8" t="n">
        <v>6</v>
      </c>
      <c r="AM485" s="5" t="inlineStr"/>
      <c r="AN485" s="5" t="inlineStr"/>
      <c r="AO485" s="5" t="inlineStr"/>
      <c r="AP485" s="5" t="inlineStr"/>
      <c r="AQ485" s="5" t="inlineStr"/>
      <c r="AR485" s="5" t="inlineStr"/>
      <c r="AS485" s="5" t="inlineStr"/>
      <c r="AT485" s="5" t="inlineStr"/>
      <c r="AU485" s="8" t="inlineStr">
        <is>
          <t>Not run</t>
        </is>
      </c>
    </row>
    <row r="486" ht="32" customHeight="1">
      <c r="A486" s="16" t="inlineStr">
        <is>
          <t>X-0485</t>
        </is>
      </c>
      <c r="B486" s="8" t="inlineStr">
        <is>
          <t>X</t>
        </is>
      </c>
      <c r="C486" s="5" t="inlineStr">
        <is>
          <t>Multiple / Cross-persona</t>
        </is>
      </c>
      <c r="D486" s="5" t="inlineStr">
        <is>
          <t>Import / Export / Period Close</t>
        </is>
      </c>
      <c r="E486" s="5" t="inlineStr">
        <is>
          <t>Owner reviews daily sales</t>
        </is>
      </c>
      <c r="F486" s="5" t="inlineStr">
        <is>
          <t>Business Owner</t>
        </is>
      </c>
      <c r="G486" s="5" t="inlineStr">
        <is>
          <t>Store Managers</t>
        </is>
      </c>
      <c r="H486" s="5" t="inlineStr">
        <is>
          <t>Review daily store performance, total revenue, bill count, and cash collected at day end</t>
        </is>
      </c>
      <c r="I486" s="5" t="inlineStr">
        <is>
          <t>Displays daily closing executive summary card on mobile app; sends daily WhatsApp digest</t>
        </is>
      </c>
      <c r="J486" s="20" t="inlineStr">
        <is>
          <t>P1</t>
        </is>
      </c>
      <c r="K486" s="20" t="inlineStr">
        <is>
          <t>Validated (Supported)</t>
        </is>
      </c>
      <c r="L486" s="5" t="inlineStr">
        <is>
          <t>Supported via Daily Closing Summary card and automated owner WhatsApp report.</t>
        </is>
      </c>
      <c r="M486" s="8" t="inlineStr">
        <is>
          <t>Baseline</t>
        </is>
      </c>
      <c r="N486" s="8" t="inlineStr">
        <is>
          <t>Cross-persona</t>
        </is>
      </c>
      <c r="O486" s="8" t="inlineStr">
        <is>
          <t>P1</t>
        </is>
      </c>
      <c r="P486" s="5" t="inlineStr">
        <is>
          <t>Unchanged</t>
        </is>
      </c>
      <c r="Q486" s="21" t="inlineStr">
        <is>
          <t>Code symbol found</t>
        </is>
      </c>
      <c r="R486" s="5" t="inlineStr">
        <is>
          <t>Matched WhatsApp in product code. This is not a functional test.</t>
        </is>
      </c>
      <c r="S486" s="8" t="inlineStr">
        <is>
          <t>CLOSE</t>
        </is>
      </c>
      <c r="T486" s="5" t="inlineStr">
        <is>
          <t>Import, export, and period close</t>
        </is>
      </c>
      <c r="U486" s="8" t="inlineStr"/>
      <c r="V486" s="8" t="inlineStr">
        <is>
          <t>accounting</t>
        </is>
      </c>
      <c r="W486" s="8" t="inlineStr">
        <is>
          <t>CONTROL</t>
        </is>
      </c>
      <c r="X486" s="5" t="inlineStr">
        <is>
          <t>Core</t>
        </is>
      </c>
      <c r="Y486" s="5" t="inlineStr">
        <is>
          <t>Cross-persona</t>
        </is>
      </c>
      <c r="Z486" s="5" t="inlineStr">
        <is>
          <t>Medium</t>
        </is>
      </c>
      <c r="AA486" s="5" t="inlineStr">
        <is>
          <t>Medium</t>
        </is>
      </c>
      <c r="AB486" s="8" t="inlineStr">
        <is>
          <t>Low</t>
        </is>
      </c>
      <c r="AC486" s="8" t="inlineStr">
        <is>
          <t>Pilot</t>
        </is>
      </c>
      <c r="AD486" s="5" t="inlineStr">
        <is>
          <t>Cited in code</t>
        </is>
      </c>
      <c r="AE486" s="5" t="inlineStr">
        <is>
          <t>Not verified</t>
        </is>
      </c>
      <c r="AF486" s="5" t="inlineStr">
        <is>
          <t>Not verified</t>
        </is>
      </c>
      <c r="AG486" s="5" t="inlineStr">
        <is>
          <t>Not verified</t>
        </is>
      </c>
      <c r="AH486" s="5" t="inlineStr">
        <is>
          <t>Not verified</t>
        </is>
      </c>
      <c r="AI486" s="8" t="inlineStr">
        <is>
          <t>No</t>
        </is>
      </c>
      <c r="AJ486" s="8" t="inlineStr">
        <is>
          <t>Built - unverified</t>
        </is>
      </c>
      <c r="AK486" s="8" t="inlineStr">
        <is>
          <t>P1</t>
        </is>
      </c>
      <c r="AL486" s="8" t="n">
        <v>6</v>
      </c>
      <c r="AM486" s="5" t="inlineStr"/>
      <c r="AN486" s="5" t="inlineStr"/>
      <c r="AO486" s="5" t="inlineStr"/>
      <c r="AP486" s="5" t="inlineStr"/>
      <c r="AQ486" s="5" t="inlineStr"/>
      <c r="AR486" s="5" t="inlineStr"/>
      <c r="AS486" s="5" t="inlineStr"/>
      <c r="AT486" s="5" t="inlineStr"/>
      <c r="AU486" s="8" t="inlineStr">
        <is>
          <t>Not run</t>
        </is>
      </c>
    </row>
    <row r="487" ht="32" customHeight="1">
      <c r="A487" s="16" t="inlineStr">
        <is>
          <t>X-0486</t>
        </is>
      </c>
      <c r="B487" s="8" t="inlineStr">
        <is>
          <t>X</t>
        </is>
      </c>
      <c r="C487" s="5" t="inlineStr">
        <is>
          <t>Multiple / Cross-persona</t>
        </is>
      </c>
      <c r="D487" s="5" t="inlineStr">
        <is>
          <t>Import / Export / Period Close</t>
        </is>
      </c>
      <c r="E487" s="5" t="inlineStr">
        <is>
          <t>Owner reviews daily gross margin</t>
        </is>
      </c>
      <c r="F487" s="5" t="inlineStr">
        <is>
          <t>Business Owner</t>
        </is>
      </c>
      <c r="G487" s="5" t="inlineStr">
        <is>
          <t>Accountant</t>
        </is>
      </c>
      <c r="H487" s="5" t="inlineStr">
        <is>
          <t>Inspect realized gross margin earned on today's business to verify profitability</t>
        </is>
      </c>
      <c r="I487" s="5" t="inlineStr">
        <is>
          <t>Computes today's realized gross profit = SUM(Line Price - Line FIFO Cost) across all sales</t>
        </is>
      </c>
      <c r="J487" s="20" t="inlineStr">
        <is>
          <t>P1</t>
        </is>
      </c>
      <c r="K487" s="20" t="inlineStr">
        <is>
          <t>Validated (Supported)</t>
        </is>
      </c>
      <c r="L487" s="5" t="inlineStr">
        <is>
          <t>Supported via Daily Margin Snapshot on Owner Executive Dashboard.</t>
        </is>
      </c>
      <c r="M487" s="8" t="inlineStr">
        <is>
          <t>Baseline</t>
        </is>
      </c>
      <c r="N487" s="8" t="inlineStr">
        <is>
          <t>Cross-persona</t>
        </is>
      </c>
      <c r="O487" s="8" t="inlineStr">
        <is>
          <t>P1</t>
        </is>
      </c>
      <c r="P487" s="5" t="inlineStr">
        <is>
          <t>Unchanged</t>
        </is>
      </c>
      <c r="Q487" s="20" t="inlineStr">
        <is>
          <t>Author assertion</t>
        </is>
      </c>
      <c r="R487" s="5" t="inlineStr"/>
      <c r="S487" s="8" t="inlineStr">
        <is>
          <t>CLOSE</t>
        </is>
      </c>
      <c r="T487" s="5" t="inlineStr">
        <is>
          <t>Import, export, and period close</t>
        </is>
      </c>
      <c r="U487" s="8" t="inlineStr"/>
      <c r="V487" s="8" t="inlineStr">
        <is>
          <t>accounting</t>
        </is>
      </c>
      <c r="W487" s="8" t="inlineStr">
        <is>
          <t>CONTROL</t>
        </is>
      </c>
      <c r="X487" s="5" t="inlineStr">
        <is>
          <t>Core</t>
        </is>
      </c>
      <c r="Y487" s="5" t="inlineStr">
        <is>
          <t>Cross-persona</t>
        </is>
      </c>
      <c r="Z487" s="5" t="inlineStr">
        <is>
          <t>Medium</t>
        </is>
      </c>
      <c r="AA487" s="5" t="inlineStr">
        <is>
          <t>Medium</t>
        </is>
      </c>
      <c r="AB487" s="8" t="inlineStr">
        <is>
          <t>Low</t>
        </is>
      </c>
      <c r="AC487" s="8" t="inlineStr">
        <is>
          <t>Pilot</t>
        </is>
      </c>
      <c r="AD487" s="5" t="inlineStr">
        <is>
          <t>Not independently checked</t>
        </is>
      </c>
      <c r="AE487" s="5" t="inlineStr">
        <is>
          <t>Not verified</t>
        </is>
      </c>
      <c r="AF487" s="5" t="inlineStr">
        <is>
          <t>Not verified</t>
        </is>
      </c>
      <c r="AG487" s="5" t="inlineStr">
        <is>
          <t>Not verified</t>
        </is>
      </c>
      <c r="AH487" s="5" t="inlineStr">
        <is>
          <t>Not verified</t>
        </is>
      </c>
      <c r="AI487" s="8" t="inlineStr">
        <is>
          <t>No</t>
        </is>
      </c>
      <c r="AJ487" s="8" t="inlineStr">
        <is>
          <t>Claimed - unverified</t>
        </is>
      </c>
      <c r="AK487" s="8" t="inlineStr">
        <is>
          <t>P1</t>
        </is>
      </c>
      <c r="AL487" s="8" t="n">
        <v>6</v>
      </c>
      <c r="AM487" s="5" t="inlineStr"/>
      <c r="AN487" s="5" t="inlineStr"/>
      <c r="AO487" s="5" t="inlineStr"/>
      <c r="AP487" s="5" t="inlineStr"/>
      <c r="AQ487" s="5" t="inlineStr"/>
      <c r="AR487" s="5" t="inlineStr"/>
      <c r="AS487" s="5" t="inlineStr"/>
      <c r="AT487" s="5" t="inlineStr"/>
      <c r="AU487" s="8" t="inlineStr">
        <is>
          <t>Not run</t>
        </is>
      </c>
    </row>
    <row r="488" ht="32" customHeight="1">
      <c r="A488" s="16" t="inlineStr">
        <is>
          <t>X-0487</t>
        </is>
      </c>
      <c r="B488" s="8" t="inlineStr">
        <is>
          <t>X</t>
        </is>
      </c>
      <c r="C488" s="5" t="inlineStr">
        <is>
          <t>Multiple / Cross-persona</t>
        </is>
      </c>
      <c r="D488" s="5" t="inlineStr">
        <is>
          <t>Import / Export / Period Close</t>
        </is>
      </c>
      <c r="E488" s="5" t="inlineStr">
        <is>
          <t>Owner reviews outstanding collections</t>
        </is>
      </c>
      <c r="F488" s="5" t="inlineStr">
        <is>
          <t>Business Owner</t>
        </is>
      </c>
      <c r="G488" s="5" t="inlineStr">
        <is>
          <t>Credit Controller</t>
        </is>
      </c>
      <c r="H488" s="5" t="inlineStr">
        <is>
          <t>Review debt collections deposited today against overall accounts receivable target</t>
        </is>
      </c>
      <c r="I488" s="5" t="inlineStr">
        <is>
          <t>Summarizes total customer payments collected today; updates month-to-date collection target</t>
        </is>
      </c>
      <c r="J488" s="20" t="inlineStr">
        <is>
          <t>P1</t>
        </is>
      </c>
      <c r="K488" s="20" t="inlineStr">
        <is>
          <t>Validated (Supported)</t>
        </is>
      </c>
      <c r="L488" s="5" t="inlineStr">
        <is>
          <t>Supported via Daily Collections Summary widget.</t>
        </is>
      </c>
      <c r="M488" s="8" t="inlineStr">
        <is>
          <t>Baseline</t>
        </is>
      </c>
      <c r="N488" s="8" t="inlineStr">
        <is>
          <t>Cross-persona</t>
        </is>
      </c>
      <c r="O488" s="8" t="inlineStr">
        <is>
          <t>P1</t>
        </is>
      </c>
      <c r="P488" s="5" t="inlineStr">
        <is>
          <t>Unchanged</t>
        </is>
      </c>
      <c r="Q488" s="20" t="inlineStr">
        <is>
          <t>Author assertion</t>
        </is>
      </c>
      <c r="R488" s="5" t="inlineStr"/>
      <c r="S488" s="8" t="inlineStr">
        <is>
          <t>CLOSE</t>
        </is>
      </c>
      <c r="T488" s="5" t="inlineStr">
        <is>
          <t>Import, export, and period close</t>
        </is>
      </c>
      <c r="U488" s="8" t="inlineStr"/>
      <c r="V488" s="8" t="inlineStr">
        <is>
          <t>accounting</t>
        </is>
      </c>
      <c r="W488" s="8" t="inlineStr">
        <is>
          <t>CONTROL</t>
        </is>
      </c>
      <c r="X488" s="5" t="inlineStr">
        <is>
          <t>Core</t>
        </is>
      </c>
      <c r="Y488" s="5" t="inlineStr">
        <is>
          <t>Cross-persona</t>
        </is>
      </c>
      <c r="Z488" s="5" t="inlineStr">
        <is>
          <t>Medium</t>
        </is>
      </c>
      <c r="AA488" s="5" t="inlineStr">
        <is>
          <t>Medium</t>
        </is>
      </c>
      <c r="AB488" s="8" t="inlineStr">
        <is>
          <t>Low</t>
        </is>
      </c>
      <c r="AC488" s="8" t="inlineStr">
        <is>
          <t>Pilot</t>
        </is>
      </c>
      <c r="AD488" s="5" t="inlineStr">
        <is>
          <t>Not independently checked</t>
        </is>
      </c>
      <c r="AE488" s="5" t="inlineStr">
        <is>
          <t>Not verified</t>
        </is>
      </c>
      <c r="AF488" s="5" t="inlineStr">
        <is>
          <t>Not verified</t>
        </is>
      </c>
      <c r="AG488" s="5" t="inlineStr">
        <is>
          <t>Not verified</t>
        </is>
      </c>
      <c r="AH488" s="5" t="inlineStr">
        <is>
          <t>Not verified</t>
        </is>
      </c>
      <c r="AI488" s="8" t="inlineStr">
        <is>
          <t>No</t>
        </is>
      </c>
      <c r="AJ488" s="8" t="inlineStr">
        <is>
          <t>Claimed - unverified</t>
        </is>
      </c>
      <c r="AK488" s="8" t="inlineStr">
        <is>
          <t>P1</t>
        </is>
      </c>
      <c r="AL488" s="8" t="n">
        <v>6</v>
      </c>
      <c r="AM488" s="5" t="inlineStr"/>
      <c r="AN488" s="5" t="inlineStr"/>
      <c r="AO488" s="5" t="inlineStr"/>
      <c r="AP488" s="5" t="inlineStr"/>
      <c r="AQ488" s="5" t="inlineStr"/>
      <c r="AR488" s="5" t="inlineStr"/>
      <c r="AS488" s="5" t="inlineStr"/>
      <c r="AT488" s="5" t="inlineStr"/>
      <c r="AU488" s="8" t="inlineStr">
        <is>
          <t>Not run</t>
        </is>
      </c>
    </row>
    <row r="489" ht="32" customHeight="1">
      <c r="A489" s="16" t="inlineStr">
        <is>
          <t>X-0488</t>
        </is>
      </c>
      <c r="B489" s="8" t="inlineStr">
        <is>
          <t>X</t>
        </is>
      </c>
      <c r="C489" s="5" t="inlineStr">
        <is>
          <t>Multiple / Cross-persona</t>
        </is>
      </c>
      <c r="D489" s="5" t="inlineStr">
        <is>
          <t>Import / Export / Period Close</t>
        </is>
      </c>
      <c r="E489" s="5" t="inlineStr">
        <is>
          <t>Owner reviews inventory movements</t>
        </is>
      </c>
      <c r="F489" s="5" t="inlineStr">
        <is>
          <t>Business Owner</t>
        </is>
      </c>
      <c r="G489" s="5" t="inlineStr">
        <is>
          <t>Warehouse Custodian</t>
        </is>
      </c>
      <c r="H489" s="5" t="inlineStr">
        <is>
          <t>Inspect daily stock summary: inward supplier receipts, outward sales, and transfer movements</t>
        </is>
      </c>
      <c r="I489" s="5" t="inlineStr">
        <is>
          <t>Renders summary of total units received, units sold, and transfer movements executed today</t>
        </is>
      </c>
      <c r="J489" s="20" t="inlineStr">
        <is>
          <t>P1</t>
        </is>
      </c>
      <c r="K489" s="20" t="inlineStr">
        <is>
          <t>Validated (Supported)</t>
        </is>
      </c>
      <c r="L489" s="5" t="inlineStr">
        <is>
          <t>Supported via Daily Inventory Movement Summary report.</t>
        </is>
      </c>
      <c r="M489" s="8" t="inlineStr">
        <is>
          <t>Baseline</t>
        </is>
      </c>
      <c r="N489" s="8" t="inlineStr">
        <is>
          <t>Cross-persona</t>
        </is>
      </c>
      <c r="O489" s="8" t="inlineStr">
        <is>
          <t>P1</t>
        </is>
      </c>
      <c r="P489" s="5" t="inlineStr">
        <is>
          <t>Unchanged</t>
        </is>
      </c>
      <c r="Q489" s="20" t="inlineStr">
        <is>
          <t>Author assertion</t>
        </is>
      </c>
      <c r="R489" s="5" t="inlineStr"/>
      <c r="S489" s="8" t="inlineStr">
        <is>
          <t>CLOSE</t>
        </is>
      </c>
      <c r="T489" s="5" t="inlineStr">
        <is>
          <t>Import, export, and period close</t>
        </is>
      </c>
      <c r="U489" s="8" t="inlineStr"/>
      <c r="V489" s="8" t="inlineStr">
        <is>
          <t>accounting</t>
        </is>
      </c>
      <c r="W489" s="8" t="inlineStr">
        <is>
          <t>CONTROL</t>
        </is>
      </c>
      <c r="X489" s="5" t="inlineStr">
        <is>
          <t>Core</t>
        </is>
      </c>
      <c r="Y489" s="5" t="inlineStr">
        <is>
          <t>Cross-persona</t>
        </is>
      </c>
      <c r="Z489" s="5" t="inlineStr">
        <is>
          <t>Medium</t>
        </is>
      </c>
      <c r="AA489" s="5" t="inlineStr">
        <is>
          <t>Medium</t>
        </is>
      </c>
      <c r="AB489" s="8" t="inlineStr">
        <is>
          <t>Low</t>
        </is>
      </c>
      <c r="AC489" s="8" t="inlineStr">
        <is>
          <t>Pilot</t>
        </is>
      </c>
      <c r="AD489" s="5" t="inlineStr">
        <is>
          <t>Not independently checked</t>
        </is>
      </c>
      <c r="AE489" s="5" t="inlineStr">
        <is>
          <t>Not verified</t>
        </is>
      </c>
      <c r="AF489" s="5" t="inlineStr">
        <is>
          <t>Not verified</t>
        </is>
      </c>
      <c r="AG489" s="5" t="inlineStr">
        <is>
          <t>Not verified</t>
        </is>
      </c>
      <c r="AH489" s="5" t="inlineStr">
        <is>
          <t>Not verified</t>
        </is>
      </c>
      <c r="AI489" s="8" t="inlineStr">
        <is>
          <t>No</t>
        </is>
      </c>
      <c r="AJ489" s="8" t="inlineStr">
        <is>
          <t>Claimed - unverified</t>
        </is>
      </c>
      <c r="AK489" s="8" t="inlineStr">
        <is>
          <t>P1</t>
        </is>
      </c>
      <c r="AL489" s="8" t="n">
        <v>6</v>
      </c>
      <c r="AM489" s="5" t="inlineStr"/>
      <c r="AN489" s="5" t="inlineStr"/>
      <c r="AO489" s="5" t="inlineStr"/>
      <c r="AP489" s="5" t="inlineStr"/>
      <c r="AQ489" s="5" t="inlineStr"/>
      <c r="AR489" s="5" t="inlineStr"/>
      <c r="AS489" s="5" t="inlineStr"/>
      <c r="AT489" s="5" t="inlineStr"/>
      <c r="AU489" s="8" t="inlineStr">
        <is>
          <t>Not run</t>
        </is>
      </c>
    </row>
    <row r="490" ht="32" customHeight="1">
      <c r="A490" s="16" t="inlineStr">
        <is>
          <t>X-0489</t>
        </is>
      </c>
      <c r="B490" s="8" t="inlineStr">
        <is>
          <t>X</t>
        </is>
      </c>
      <c r="C490" s="5" t="inlineStr">
        <is>
          <t>Multiple / Cross-persona</t>
        </is>
      </c>
      <c r="D490" s="5" t="inlineStr">
        <is>
          <t>Import / Export / Period Close</t>
        </is>
      </c>
      <c r="E490" s="5" t="inlineStr">
        <is>
          <t>Owner reviews exceptions</t>
        </is>
      </c>
      <c r="F490" s="5" t="inlineStr">
        <is>
          <t>Business Owner</t>
        </is>
      </c>
      <c r="G490" s="5" t="inlineStr">
        <is>
          <t>Store Managers</t>
        </is>
      </c>
      <c r="H490" s="5" t="inlineStr">
        <is>
          <t>Review operational anomalies logged during the day: bill cancellations, discounts, shortages</t>
        </is>
      </c>
      <c r="I490" s="5" t="inlineStr">
        <is>
          <t>Displays AttentionRowState exception feed requiring owner review or acknowledgement</t>
        </is>
      </c>
      <c r="J490" s="20" t="inlineStr">
        <is>
          <t>P1</t>
        </is>
      </c>
      <c r="K490" s="20" t="inlineStr">
        <is>
          <t>Validated (Supported)</t>
        </is>
      </c>
      <c r="L490" s="5" t="inlineStr">
        <is>
          <t>Supported via Attention / Exception Feed on Owner Dashboard.</t>
        </is>
      </c>
      <c r="M490" s="8" t="inlineStr">
        <is>
          <t>Baseline</t>
        </is>
      </c>
      <c r="N490" s="8" t="inlineStr">
        <is>
          <t>Cross-persona</t>
        </is>
      </c>
      <c r="O490" s="8" t="inlineStr">
        <is>
          <t>P1</t>
        </is>
      </c>
      <c r="P490" s="5" t="inlineStr">
        <is>
          <t>Unchanged</t>
        </is>
      </c>
      <c r="Q490" s="20" t="inlineStr">
        <is>
          <t>Author assertion</t>
        </is>
      </c>
      <c r="R490" s="5" t="inlineStr"/>
      <c r="S490" s="8" t="inlineStr">
        <is>
          <t>CLOSE</t>
        </is>
      </c>
      <c r="T490" s="5" t="inlineStr">
        <is>
          <t>Import, export, and period close</t>
        </is>
      </c>
      <c r="U490" s="8" t="inlineStr"/>
      <c r="V490" s="8" t="inlineStr">
        <is>
          <t>accounting</t>
        </is>
      </c>
      <c r="W490" s="8" t="inlineStr">
        <is>
          <t>CONTROL</t>
        </is>
      </c>
      <c r="X490" s="5" t="inlineStr">
        <is>
          <t>Core</t>
        </is>
      </c>
      <c r="Y490" s="5" t="inlineStr">
        <is>
          <t>Cross-persona</t>
        </is>
      </c>
      <c r="Z490" s="5" t="inlineStr">
        <is>
          <t>Medium</t>
        </is>
      </c>
      <c r="AA490" s="5" t="inlineStr">
        <is>
          <t>Medium</t>
        </is>
      </c>
      <c r="AB490" s="8" t="inlineStr">
        <is>
          <t>Low</t>
        </is>
      </c>
      <c r="AC490" s="8" t="inlineStr">
        <is>
          <t>Pilot</t>
        </is>
      </c>
      <c r="AD490" s="5" t="inlineStr">
        <is>
          <t>Not independently checked</t>
        </is>
      </c>
      <c r="AE490" s="5" t="inlineStr">
        <is>
          <t>Not verified</t>
        </is>
      </c>
      <c r="AF490" s="5" t="inlineStr">
        <is>
          <t>Not verified</t>
        </is>
      </c>
      <c r="AG490" s="5" t="inlineStr">
        <is>
          <t>Not verified</t>
        </is>
      </c>
      <c r="AH490" s="5" t="inlineStr">
        <is>
          <t>Not verified</t>
        </is>
      </c>
      <c r="AI490" s="8" t="inlineStr">
        <is>
          <t>No</t>
        </is>
      </c>
      <c r="AJ490" s="8" t="inlineStr">
        <is>
          <t>Claimed - unverified</t>
        </is>
      </c>
      <c r="AK490" s="8" t="inlineStr">
        <is>
          <t>P1</t>
        </is>
      </c>
      <c r="AL490" s="8" t="n">
        <v>6</v>
      </c>
      <c r="AM490" s="5" t="inlineStr"/>
      <c r="AN490" s="5" t="inlineStr"/>
      <c r="AO490" s="5" t="inlineStr"/>
      <c r="AP490" s="5" t="inlineStr"/>
      <c r="AQ490" s="5" t="inlineStr"/>
      <c r="AR490" s="5" t="inlineStr"/>
      <c r="AS490" s="5" t="inlineStr"/>
      <c r="AT490" s="5" t="inlineStr"/>
      <c r="AU490" s="8" t="inlineStr">
        <is>
          <t>Not run</t>
        </is>
      </c>
    </row>
    <row r="491" ht="32" customHeight="1">
      <c r="A491" s="16" t="inlineStr">
        <is>
          <t>X-0490</t>
        </is>
      </c>
      <c r="B491" s="8" t="inlineStr">
        <is>
          <t>X</t>
        </is>
      </c>
      <c r="C491" s="5" t="inlineStr">
        <is>
          <t>Multiple / Cross-persona</t>
        </is>
      </c>
      <c r="D491" s="5" t="inlineStr">
        <is>
          <t>Import / Export / Period Close</t>
        </is>
      </c>
      <c r="E491" s="5" t="inlineStr">
        <is>
          <t>Accountant reconciles sales</t>
        </is>
      </c>
      <c r="F491" s="5" t="inlineStr">
        <is>
          <t>In-house Accountant</t>
        </is>
      </c>
      <c r="G491" s="5" t="inlineStr">
        <is>
          <t>Billing Team</t>
        </is>
      </c>
      <c r="H491" s="5" t="inlineStr">
        <is>
          <t>Verify that all completed sales invoices match sales register and general ledger postings</t>
        </is>
      </c>
      <c r="I491" s="5" t="inlineStr">
        <is>
          <t>Cross-checks invoice subtotal, taxes, and round-offs against Sales Revenue GL account</t>
        </is>
      </c>
      <c r="J491" s="20" t="inlineStr">
        <is>
          <t>P1</t>
        </is>
      </c>
      <c r="K491" s="20" t="inlineStr">
        <is>
          <t>Validated (Supported)</t>
        </is>
      </c>
      <c r="L491" s="5" t="inlineStr">
        <is>
          <t>Supported via Sales Reconciliation Report (/accounting/reconcile-sales/).</t>
        </is>
      </c>
      <c r="M491" s="8" t="inlineStr">
        <is>
          <t>Baseline</t>
        </is>
      </c>
      <c r="N491" s="8" t="inlineStr">
        <is>
          <t>Cross-persona</t>
        </is>
      </c>
      <c r="O491" s="8" t="inlineStr">
        <is>
          <t>P1</t>
        </is>
      </c>
      <c r="P491" s="5" t="inlineStr">
        <is>
          <t>Unchanged</t>
        </is>
      </c>
      <c r="Q491" s="20" t="inlineStr">
        <is>
          <t>Author assertion</t>
        </is>
      </c>
      <c r="R491" s="5" t="inlineStr"/>
      <c r="S491" s="8" t="inlineStr">
        <is>
          <t>CLOSE</t>
        </is>
      </c>
      <c r="T491" s="5" t="inlineStr">
        <is>
          <t>Import, export, and period close</t>
        </is>
      </c>
      <c r="U491" s="8" t="inlineStr"/>
      <c r="V491" s="8" t="inlineStr">
        <is>
          <t>accounting</t>
        </is>
      </c>
      <c r="W491" s="8" t="inlineStr">
        <is>
          <t>CONTROL</t>
        </is>
      </c>
      <c r="X491" s="5" t="inlineStr">
        <is>
          <t>Core</t>
        </is>
      </c>
      <c r="Y491" s="5" t="inlineStr">
        <is>
          <t>Cross-persona</t>
        </is>
      </c>
      <c r="Z491" s="5" t="inlineStr">
        <is>
          <t>Medium</t>
        </is>
      </c>
      <c r="AA491" s="5" t="inlineStr">
        <is>
          <t>Medium</t>
        </is>
      </c>
      <c r="AB491" s="8" t="inlineStr">
        <is>
          <t>Low</t>
        </is>
      </c>
      <c r="AC491" s="8" t="inlineStr">
        <is>
          <t>Pilot</t>
        </is>
      </c>
      <c r="AD491" s="5" t="inlineStr">
        <is>
          <t>Not independently checked</t>
        </is>
      </c>
      <c r="AE491" s="5" t="inlineStr">
        <is>
          <t>Not verified</t>
        </is>
      </c>
      <c r="AF491" s="5" t="inlineStr">
        <is>
          <t>Not verified</t>
        </is>
      </c>
      <c r="AG491" s="5" t="inlineStr">
        <is>
          <t>Not verified</t>
        </is>
      </c>
      <c r="AH491" s="5" t="inlineStr">
        <is>
          <t>Not verified</t>
        </is>
      </c>
      <c r="AI491" s="8" t="inlineStr">
        <is>
          <t>No</t>
        </is>
      </c>
      <c r="AJ491" s="8" t="inlineStr">
        <is>
          <t>Claimed - unverified</t>
        </is>
      </c>
      <c r="AK491" s="8" t="inlineStr">
        <is>
          <t>P1</t>
        </is>
      </c>
      <c r="AL491" s="8" t="n">
        <v>6</v>
      </c>
      <c r="AM491" s="5" t="inlineStr"/>
      <c r="AN491" s="5" t="inlineStr"/>
      <c r="AO491" s="5" t="inlineStr"/>
      <c r="AP491" s="5" t="inlineStr"/>
      <c r="AQ491" s="5" t="inlineStr"/>
      <c r="AR491" s="5" t="inlineStr"/>
      <c r="AS491" s="5" t="inlineStr"/>
      <c r="AT491" s="5" t="inlineStr"/>
      <c r="AU491" s="8" t="inlineStr">
        <is>
          <t>Not run</t>
        </is>
      </c>
    </row>
    <row r="492" ht="32" customHeight="1">
      <c r="A492" s="16" t="inlineStr">
        <is>
          <t>X-0491</t>
        </is>
      </c>
      <c r="B492" s="8" t="inlineStr">
        <is>
          <t>X</t>
        </is>
      </c>
      <c r="C492" s="5" t="inlineStr">
        <is>
          <t>Multiple / Cross-persona</t>
        </is>
      </c>
      <c r="D492" s="5" t="inlineStr">
        <is>
          <t>Import / Export / Period Close</t>
        </is>
      </c>
      <c r="E492" s="5" t="inlineStr">
        <is>
          <t>Accountant reconciles purchases</t>
        </is>
      </c>
      <c r="F492" s="5" t="inlineStr">
        <is>
          <t>In-house Accountant</t>
        </is>
      </c>
      <c r="G492" s="5" t="inlineStr">
        <is>
          <t>Purchase Manager</t>
        </is>
      </c>
      <c r="H492" s="5" t="inlineStr">
        <is>
          <t>Verify that all supplier bills match inventory receipts and Accounts Payable ledger postings</t>
        </is>
      </c>
      <c r="I492" s="5" t="inlineStr">
        <is>
          <t>Cross-checks purchase bill totals against Inventory Asset / Expense accounts in GL</t>
        </is>
      </c>
      <c r="J492" s="20" t="inlineStr">
        <is>
          <t>P1</t>
        </is>
      </c>
      <c r="K492" s="20" t="inlineStr">
        <is>
          <t>Validated (Supported)</t>
        </is>
      </c>
      <c r="L492" s="5" t="inlineStr">
        <is>
          <t>Supported via Purchase Reconciliation Report (/accounting/reconcile-purchases/).</t>
        </is>
      </c>
      <c r="M492" s="8" t="inlineStr">
        <is>
          <t>Baseline</t>
        </is>
      </c>
      <c r="N492" s="8" t="inlineStr">
        <is>
          <t>Cross-persona</t>
        </is>
      </c>
      <c r="O492" s="8" t="inlineStr">
        <is>
          <t>P1</t>
        </is>
      </c>
      <c r="P492" s="5" t="inlineStr">
        <is>
          <t>Unchanged</t>
        </is>
      </c>
      <c r="Q492" s="20" t="inlineStr">
        <is>
          <t>Author assertion</t>
        </is>
      </c>
      <c r="R492" s="5" t="inlineStr"/>
      <c r="S492" s="8" t="inlineStr">
        <is>
          <t>CLOSE</t>
        </is>
      </c>
      <c r="T492" s="5" t="inlineStr">
        <is>
          <t>Import, export, and period close</t>
        </is>
      </c>
      <c r="U492" s="8" t="inlineStr"/>
      <c r="V492" s="8" t="inlineStr">
        <is>
          <t>accounting</t>
        </is>
      </c>
      <c r="W492" s="8" t="inlineStr">
        <is>
          <t>CONTROL</t>
        </is>
      </c>
      <c r="X492" s="5" t="inlineStr">
        <is>
          <t>Core</t>
        </is>
      </c>
      <c r="Y492" s="5" t="inlineStr">
        <is>
          <t>Cross-persona</t>
        </is>
      </c>
      <c r="Z492" s="5" t="inlineStr">
        <is>
          <t>Medium</t>
        </is>
      </c>
      <c r="AA492" s="5" t="inlineStr">
        <is>
          <t>Medium</t>
        </is>
      </c>
      <c r="AB492" s="8" t="inlineStr">
        <is>
          <t>Low</t>
        </is>
      </c>
      <c r="AC492" s="8" t="inlineStr">
        <is>
          <t>Pilot</t>
        </is>
      </c>
      <c r="AD492" s="5" t="inlineStr">
        <is>
          <t>Not independently checked</t>
        </is>
      </c>
      <c r="AE492" s="5" t="inlineStr">
        <is>
          <t>Not verified</t>
        </is>
      </c>
      <c r="AF492" s="5" t="inlineStr">
        <is>
          <t>Not verified</t>
        </is>
      </c>
      <c r="AG492" s="5" t="inlineStr">
        <is>
          <t>Not verified</t>
        </is>
      </c>
      <c r="AH492" s="5" t="inlineStr">
        <is>
          <t>Not verified</t>
        </is>
      </c>
      <c r="AI492" s="8" t="inlineStr">
        <is>
          <t>No</t>
        </is>
      </c>
      <c r="AJ492" s="8" t="inlineStr">
        <is>
          <t>Claimed - unverified</t>
        </is>
      </c>
      <c r="AK492" s="8" t="inlineStr">
        <is>
          <t>P1</t>
        </is>
      </c>
      <c r="AL492" s="8" t="n">
        <v>6</v>
      </c>
      <c r="AM492" s="5" t="inlineStr"/>
      <c r="AN492" s="5" t="inlineStr"/>
      <c r="AO492" s="5" t="inlineStr"/>
      <c r="AP492" s="5" t="inlineStr"/>
      <c r="AQ492" s="5" t="inlineStr"/>
      <c r="AR492" s="5" t="inlineStr"/>
      <c r="AS492" s="5" t="inlineStr"/>
      <c r="AT492" s="5" t="inlineStr"/>
      <c r="AU492" s="8" t="inlineStr">
        <is>
          <t>Not run</t>
        </is>
      </c>
    </row>
    <row r="493" ht="32" customHeight="1">
      <c r="A493" s="16" t="inlineStr">
        <is>
          <t>X-0492</t>
        </is>
      </c>
      <c r="B493" s="8" t="inlineStr">
        <is>
          <t>X</t>
        </is>
      </c>
      <c r="C493" s="5" t="inlineStr">
        <is>
          <t>Multiple / Cross-persona</t>
        </is>
      </c>
      <c r="D493" s="5" t="inlineStr">
        <is>
          <t>Import / Export / Period Close</t>
        </is>
      </c>
      <c r="E493" s="5" t="inlineStr">
        <is>
          <t>Accountant reconciles payments</t>
        </is>
      </c>
      <c r="F493" s="5" t="inlineStr">
        <is>
          <t>In-house Accountant</t>
        </is>
      </c>
      <c r="G493" s="5" t="inlineStr">
        <is>
          <t>Cashier</t>
        </is>
      </c>
      <c r="H493" s="5" t="inlineStr">
        <is>
          <t>Ensure all cash, UPI, and bank collections reconcile with bank statements and till balances</t>
        </is>
      </c>
      <c r="I493" s="5" t="inlineStr">
        <is>
          <t>Performs daily payment reconciliation; verifies clearing accounts balance to zero</t>
        </is>
      </c>
      <c r="J493" s="20" t="inlineStr">
        <is>
          <t>P1</t>
        </is>
      </c>
      <c r="K493" s="20" t="inlineStr">
        <is>
          <t>Validated (Supported)</t>
        </is>
      </c>
      <c r="L493" s="5" t="inlineStr">
        <is>
          <t>Supported via Payment Clearing Reconciliation dashboard.</t>
        </is>
      </c>
      <c r="M493" s="8" t="inlineStr">
        <is>
          <t>Baseline</t>
        </is>
      </c>
      <c r="N493" s="8" t="inlineStr">
        <is>
          <t>Cross-persona</t>
        </is>
      </c>
      <c r="O493" s="8" t="inlineStr">
        <is>
          <t>P1</t>
        </is>
      </c>
      <c r="P493" s="5" t="inlineStr">
        <is>
          <t>Unchanged</t>
        </is>
      </c>
      <c r="Q493" s="20" t="inlineStr">
        <is>
          <t>Author assertion</t>
        </is>
      </c>
      <c r="R493" s="5" t="inlineStr"/>
      <c r="S493" s="8" t="inlineStr">
        <is>
          <t>CLOSE</t>
        </is>
      </c>
      <c r="T493" s="5" t="inlineStr">
        <is>
          <t>Import, export, and period close</t>
        </is>
      </c>
      <c r="U493" s="8" t="inlineStr"/>
      <c r="V493" s="8" t="inlineStr">
        <is>
          <t>accounting</t>
        </is>
      </c>
      <c r="W493" s="8" t="inlineStr">
        <is>
          <t>CONTROL</t>
        </is>
      </c>
      <c r="X493" s="5" t="inlineStr">
        <is>
          <t>Core</t>
        </is>
      </c>
      <c r="Y493" s="5" t="inlineStr">
        <is>
          <t>Cross-persona</t>
        </is>
      </c>
      <c r="Z493" s="5" t="inlineStr">
        <is>
          <t>Medium</t>
        </is>
      </c>
      <c r="AA493" s="5" t="inlineStr">
        <is>
          <t>Medium</t>
        </is>
      </c>
      <c r="AB493" s="8" t="inlineStr">
        <is>
          <t>Low</t>
        </is>
      </c>
      <c r="AC493" s="8" t="inlineStr">
        <is>
          <t>Pilot</t>
        </is>
      </c>
      <c r="AD493" s="5" t="inlineStr">
        <is>
          <t>Not independently checked</t>
        </is>
      </c>
      <c r="AE493" s="5" t="inlineStr">
        <is>
          <t>Not verified</t>
        </is>
      </c>
      <c r="AF493" s="5" t="inlineStr">
        <is>
          <t>Not verified</t>
        </is>
      </c>
      <c r="AG493" s="5" t="inlineStr">
        <is>
          <t>Not verified</t>
        </is>
      </c>
      <c r="AH493" s="5" t="inlineStr">
        <is>
          <t>Not verified</t>
        </is>
      </c>
      <c r="AI493" s="8" t="inlineStr">
        <is>
          <t>No</t>
        </is>
      </c>
      <c r="AJ493" s="8" t="inlineStr">
        <is>
          <t>Claimed - unverified</t>
        </is>
      </c>
      <c r="AK493" s="8" t="inlineStr">
        <is>
          <t>P1</t>
        </is>
      </c>
      <c r="AL493" s="8" t="n">
        <v>6</v>
      </c>
      <c r="AM493" s="5" t="inlineStr"/>
      <c r="AN493" s="5" t="inlineStr"/>
      <c r="AO493" s="5" t="inlineStr"/>
      <c r="AP493" s="5" t="inlineStr"/>
      <c r="AQ493" s="5" t="inlineStr"/>
      <c r="AR493" s="5" t="inlineStr"/>
      <c r="AS493" s="5" t="inlineStr"/>
      <c r="AT493" s="5" t="inlineStr"/>
      <c r="AU493" s="8" t="inlineStr">
        <is>
          <t>Not run</t>
        </is>
      </c>
    </row>
    <row r="494" ht="32" customHeight="1">
      <c r="A494" s="16" t="inlineStr">
        <is>
          <t>X-0493</t>
        </is>
      </c>
      <c r="B494" s="8" t="inlineStr">
        <is>
          <t>X</t>
        </is>
      </c>
      <c r="C494" s="5" t="inlineStr">
        <is>
          <t>Multiple / Cross-persona</t>
        </is>
      </c>
      <c r="D494" s="5" t="inlineStr">
        <is>
          <t>Import / Export / Period Close</t>
        </is>
      </c>
      <c r="E494" s="5" t="inlineStr">
        <is>
          <t>Period closing prevents unauthorized historical modification</t>
        </is>
      </c>
      <c r="F494" s="5" t="inlineStr">
        <is>
          <t>In-house Accountant / Admin</t>
        </is>
      </c>
      <c r="G494" s="5" t="inlineStr">
        <is>
          <t>Auditor</t>
        </is>
      </c>
      <c r="H494" s="5" t="inlineStr">
        <is>
          <t>Locking financial accounting period prevents back-dated edits, deletions, or new vouchers</t>
        </is>
      </c>
      <c r="I494" s="5" t="inlineStr">
        <is>
          <t>Sets AccountingPeriod.is_closed=True; API blocks any transaction creation with date in closed period</t>
        </is>
      </c>
      <c r="J494" s="20" t="inlineStr">
        <is>
          <t>P1</t>
        </is>
      </c>
      <c r="K494" s="20" t="inlineStr">
        <is>
          <t>Validated (Supported)</t>
        </is>
      </c>
      <c r="L494" s="5" t="inlineStr">
        <is>
          <t>Core compliance invariant: closed accounting periods strictly reject new or amended vouchers.</t>
        </is>
      </c>
      <c r="M494" s="8" t="inlineStr">
        <is>
          <t>Baseline</t>
        </is>
      </c>
      <c r="N494" s="8" t="inlineStr">
        <is>
          <t>Cross-persona</t>
        </is>
      </c>
      <c r="O494" s="8" t="inlineStr">
        <is>
          <t>P1</t>
        </is>
      </c>
      <c r="P494" s="5" t="inlineStr">
        <is>
          <t>Unchanged</t>
        </is>
      </c>
      <c r="Q494" s="20" t="inlineStr">
        <is>
          <t>Author assertion</t>
        </is>
      </c>
      <c r="R494" s="5" t="inlineStr"/>
      <c r="S494" s="8" t="inlineStr">
        <is>
          <t>CLOSE</t>
        </is>
      </c>
      <c r="T494" s="5" t="inlineStr">
        <is>
          <t>Import, export, and period close</t>
        </is>
      </c>
      <c r="U494" s="8" t="inlineStr"/>
      <c r="V494" s="8" t="inlineStr">
        <is>
          <t>accounting</t>
        </is>
      </c>
      <c r="W494" s="8" t="inlineStr">
        <is>
          <t>CONTROL</t>
        </is>
      </c>
      <c r="X494" s="5" t="inlineStr">
        <is>
          <t>Core</t>
        </is>
      </c>
      <c r="Y494" s="5" t="inlineStr">
        <is>
          <t>Cross-persona</t>
        </is>
      </c>
      <c r="Z494" s="5" t="inlineStr">
        <is>
          <t>Medium</t>
        </is>
      </c>
      <c r="AA494" s="5" t="inlineStr">
        <is>
          <t>Medium</t>
        </is>
      </c>
      <c r="AB494" s="8" t="inlineStr">
        <is>
          <t>Low</t>
        </is>
      </c>
      <c r="AC494" s="8" t="inlineStr">
        <is>
          <t>Pilot</t>
        </is>
      </c>
      <c r="AD494" s="5" t="inlineStr">
        <is>
          <t>Not independently checked</t>
        </is>
      </c>
      <c r="AE494" s="5" t="inlineStr">
        <is>
          <t>Not verified</t>
        </is>
      </c>
      <c r="AF494" s="5" t="inlineStr">
        <is>
          <t>Not verified</t>
        </is>
      </c>
      <c r="AG494" s="5" t="inlineStr">
        <is>
          <t>Not verified</t>
        </is>
      </c>
      <c r="AH494" s="5" t="inlineStr">
        <is>
          <t>Not verified</t>
        </is>
      </c>
      <c r="AI494" s="8" t="inlineStr">
        <is>
          <t>No</t>
        </is>
      </c>
      <c r="AJ494" s="8" t="inlineStr">
        <is>
          <t>Claimed - unverified</t>
        </is>
      </c>
      <c r="AK494" s="8" t="inlineStr">
        <is>
          <t>P1</t>
        </is>
      </c>
      <c r="AL494" s="8" t="n">
        <v>6</v>
      </c>
      <c r="AM494" s="5" t="inlineStr"/>
      <c r="AN494" s="5" t="inlineStr"/>
      <c r="AO494" s="5" t="inlineStr"/>
      <c r="AP494" s="5" t="inlineStr"/>
      <c r="AQ494" s="5" t="inlineStr"/>
      <c r="AR494" s="5" t="inlineStr"/>
      <c r="AS494" s="5" t="inlineStr"/>
      <c r="AT494" s="5" t="inlineStr"/>
      <c r="AU494" s="8" t="inlineStr">
        <is>
          <t>Not run</t>
        </is>
      </c>
    </row>
    <row r="495" ht="32" customHeight="1">
      <c r="A495" s="16" t="inlineStr">
        <is>
          <t>X-0494</t>
        </is>
      </c>
      <c r="B495" s="8" t="inlineStr">
        <is>
          <t>X</t>
        </is>
      </c>
      <c r="C495" s="5" t="inlineStr">
        <is>
          <t>Multiple / Cross-persona</t>
        </is>
      </c>
      <c r="D495" s="5" t="inlineStr">
        <is>
          <t>Import / Export / Period Close</t>
        </is>
      </c>
      <c r="E495" s="5" t="inlineStr">
        <is>
          <t>Period reports remain reproducible</t>
        </is>
      </c>
      <c r="F495" s="5" t="inlineStr">
        <is>
          <t>In-house Accountant</t>
        </is>
      </c>
      <c r="G495" s="5" t="inlineStr">
        <is>
          <t>Statutory Auditor</t>
        </is>
      </c>
      <c r="H495" s="5" t="inlineStr">
        <is>
          <t>Financial statements for closed periods produce identical numbers upon future re-generation</t>
        </is>
      </c>
      <c r="I495" s="5" t="inlineStr">
        <is>
          <t>Guarantees that historical P&amp;L, Balance Sheet, and GST returns remain 100% reproducible</t>
        </is>
      </c>
      <c r="J495" s="20" t="inlineStr">
        <is>
          <t>P1</t>
        </is>
      </c>
      <c r="K495" s="20" t="inlineStr">
        <is>
          <t>Validated (Supported)</t>
        </is>
      </c>
      <c r="L495" s="5" t="inlineStr">
        <is>
          <t>Core accounting invariant: locked historical periods guarantee reproducible financial statements.</t>
        </is>
      </c>
      <c r="M495" s="8" t="inlineStr">
        <is>
          <t>Baseline</t>
        </is>
      </c>
      <c r="N495" s="8" t="inlineStr">
        <is>
          <t>Cross-persona</t>
        </is>
      </c>
      <c r="O495" s="8" t="inlineStr">
        <is>
          <t>P1</t>
        </is>
      </c>
      <c r="P495" s="5" t="inlineStr">
        <is>
          <t>Unchanged</t>
        </is>
      </c>
      <c r="Q495" s="20" t="inlineStr">
        <is>
          <t>Author assertion</t>
        </is>
      </c>
      <c r="R495" s="5" t="inlineStr"/>
      <c r="S495" s="8" t="inlineStr">
        <is>
          <t>CLOSE</t>
        </is>
      </c>
      <c r="T495" s="5" t="inlineStr">
        <is>
          <t>Import, export, and period close</t>
        </is>
      </c>
      <c r="U495" s="8" t="inlineStr"/>
      <c r="V495" s="8" t="inlineStr">
        <is>
          <t>accounting</t>
        </is>
      </c>
      <c r="W495" s="8" t="inlineStr">
        <is>
          <t>CONTROL</t>
        </is>
      </c>
      <c r="X495" s="5" t="inlineStr">
        <is>
          <t>Core</t>
        </is>
      </c>
      <c r="Y495" s="5" t="inlineStr">
        <is>
          <t>Cross-persona</t>
        </is>
      </c>
      <c r="Z495" s="5" t="inlineStr">
        <is>
          <t>Medium</t>
        </is>
      </c>
      <c r="AA495" s="5" t="inlineStr">
        <is>
          <t>Medium</t>
        </is>
      </c>
      <c r="AB495" s="8" t="inlineStr">
        <is>
          <t>Low</t>
        </is>
      </c>
      <c r="AC495" s="8" t="inlineStr">
        <is>
          <t>Pilot</t>
        </is>
      </c>
      <c r="AD495" s="5" t="inlineStr">
        <is>
          <t>Not independently checked</t>
        </is>
      </c>
      <c r="AE495" s="5" t="inlineStr">
        <is>
          <t>Not verified</t>
        </is>
      </c>
      <c r="AF495" s="5" t="inlineStr">
        <is>
          <t>Not verified</t>
        </is>
      </c>
      <c r="AG495" s="5" t="inlineStr">
        <is>
          <t>Not verified</t>
        </is>
      </c>
      <c r="AH495" s="5" t="inlineStr">
        <is>
          <t>Not verified</t>
        </is>
      </c>
      <c r="AI495" s="8" t="inlineStr">
        <is>
          <t>No</t>
        </is>
      </c>
      <c r="AJ495" s="8" t="inlineStr">
        <is>
          <t>Claimed - unverified</t>
        </is>
      </c>
      <c r="AK495" s="8" t="inlineStr">
        <is>
          <t>P1</t>
        </is>
      </c>
      <c r="AL495" s="8" t="n">
        <v>6</v>
      </c>
      <c r="AM495" s="5" t="inlineStr"/>
      <c r="AN495" s="5" t="inlineStr"/>
      <c r="AO495" s="5" t="inlineStr"/>
      <c r="AP495" s="5" t="inlineStr"/>
      <c r="AQ495" s="5" t="inlineStr"/>
      <c r="AR495" s="5" t="inlineStr"/>
      <c r="AS495" s="5" t="inlineStr"/>
      <c r="AT495" s="5" t="inlineStr"/>
      <c r="AU495" s="8" t="inlineStr">
        <is>
          <t>Not run</t>
        </is>
      </c>
    </row>
    <row r="496" ht="32" customHeight="1">
      <c r="A496" s="16" t="inlineStr">
        <is>
          <t>P-0495</t>
        </is>
      </c>
      <c r="B496" s="8" t="inlineStr">
        <is>
          <t>P</t>
        </is>
      </c>
      <c r="C496" s="5" t="inlineStr">
        <is>
          <t>Delivery Driver / Route Logistics</t>
        </is>
      </c>
      <c r="D496" s="5" t="inlineStr">
        <is>
          <t>Operations, Fleet &amp; Delivery</t>
        </is>
      </c>
      <c r="E496" s="5" t="inlineStr">
        <is>
          <t>Receive daily dispatch manifest and loaded vehicle stock</t>
        </is>
      </c>
      <c r="F496" s="5" t="inlineStr">
        <is>
          <t>Delivery Driver</t>
        </is>
      </c>
      <c r="G496" s="5" t="inlineStr">
        <is>
          <t>Logistics Dispatcher</t>
        </is>
      </c>
      <c r="H496" s="5" t="inlineStr">
        <is>
          <t>Driver accepts assigned delivery route manifest and verifies physical vehicle parcel count</t>
        </is>
      </c>
      <c r="I496" s="5" t="inlineStr">
        <is>
          <t>Updates DispatchRun status to OUT_FOR_DELIVERY; transfers custody of goods to driver</t>
        </is>
      </c>
      <c r="J496" s="20" t="inlineStr">
        <is>
          <t>P1</t>
        </is>
      </c>
      <c r="K496" s="20" t="inlineStr">
        <is>
          <t>Validated (Supported)</t>
        </is>
      </c>
      <c r="L496" s="5" t="inlineStr">
        <is>
          <t>Supported via Driver Mobile PWA (/operations/driver/); displays sequential stop manifest.</t>
        </is>
      </c>
      <c r="M496" s="8" t="inlineStr">
        <is>
          <t>Baseline</t>
        </is>
      </c>
      <c r="N496" s="8" t="inlineStr">
        <is>
          <t>Operational role</t>
        </is>
      </c>
      <c r="O496" s="8" t="inlineStr">
        <is>
          <t>P1</t>
        </is>
      </c>
      <c r="P496" s="5" t="inlineStr">
        <is>
          <t>Unchanged</t>
        </is>
      </c>
      <c r="Q496" s="20" t="inlineStr">
        <is>
          <t>Author assertion</t>
        </is>
      </c>
      <c r="R496" s="5" t="inlineStr"/>
      <c r="S496" s="8" t="inlineStr">
        <is>
          <t>FLEET</t>
        </is>
      </c>
      <c r="T496" s="5" t="inlineStr">
        <is>
          <t>Fleet and delivery</t>
        </is>
      </c>
      <c r="U496" s="8" t="inlineStr"/>
      <c r="V496" s="8" t="inlineStr">
        <is>
          <t>sales</t>
        </is>
      </c>
      <c r="W496" s="8" t="inlineStr">
        <is>
          <t>RUN</t>
        </is>
      </c>
      <c r="X496" s="5" t="inlineStr">
        <is>
          <t>Core</t>
        </is>
      </c>
      <c r="Y496" s="5" t="inlineStr">
        <is>
          <t>Driver</t>
        </is>
      </c>
      <c r="Z496" s="5" t="inlineStr">
        <is>
          <t>Medium</t>
        </is>
      </c>
      <c r="AA496" s="5" t="inlineStr">
        <is>
          <t>Medium</t>
        </is>
      </c>
      <c r="AB496" s="8" t="inlineStr">
        <is>
          <t>Low</t>
        </is>
      </c>
      <c r="AC496" s="8" t="inlineStr">
        <is>
          <t>Pilot</t>
        </is>
      </c>
      <c r="AD496" s="5" t="inlineStr">
        <is>
          <t>Not independently checked</t>
        </is>
      </c>
      <c r="AE496" s="5" t="inlineStr">
        <is>
          <t>Not verified</t>
        </is>
      </c>
      <c r="AF496" s="5" t="inlineStr">
        <is>
          <t>Not verified</t>
        </is>
      </c>
      <c r="AG496" s="5" t="inlineStr">
        <is>
          <t>Not verified</t>
        </is>
      </c>
      <c r="AH496" s="5" t="inlineStr">
        <is>
          <t>Not verified</t>
        </is>
      </c>
      <c r="AI496" s="8" t="inlineStr">
        <is>
          <t>No</t>
        </is>
      </c>
      <c r="AJ496" s="8" t="inlineStr">
        <is>
          <t>Claimed - unverified</t>
        </is>
      </c>
      <c r="AK496" s="8" t="inlineStr">
        <is>
          <t>P1</t>
        </is>
      </c>
      <c r="AL496" s="8" t="n">
        <v>6</v>
      </c>
      <c r="AM496" s="5" t="inlineStr"/>
      <c r="AN496" s="5" t="inlineStr"/>
      <c r="AO496" s="5" t="inlineStr"/>
      <c r="AP496" s="5" t="inlineStr"/>
      <c r="AQ496" s="5" t="inlineStr"/>
      <c r="AR496" s="5" t="inlineStr"/>
      <c r="AS496" s="5" t="inlineStr"/>
      <c r="AT496" s="5" t="inlineStr"/>
      <c r="AU496" s="8" t="inlineStr">
        <is>
          <t>Not run</t>
        </is>
      </c>
    </row>
    <row r="497" ht="32" customHeight="1">
      <c r="A497" s="16" t="inlineStr">
        <is>
          <t>P-0496</t>
        </is>
      </c>
      <c r="B497" s="8" t="inlineStr">
        <is>
          <t>P</t>
        </is>
      </c>
      <c r="C497" s="5" t="inlineStr">
        <is>
          <t>Delivery Driver / Route Logistics</t>
        </is>
      </c>
      <c r="D497" s="5" t="inlineStr">
        <is>
          <t>Operations, Fleet &amp; Delivery</t>
        </is>
      </c>
      <c r="E497" s="5" t="inlineStr">
        <is>
          <t>Navigate multi-drop route using mobile PWA</t>
        </is>
      </c>
      <c r="F497" s="5" t="inlineStr">
        <is>
          <t>Delivery Driver</t>
        </is>
      </c>
      <c r="G497" s="5" t="inlineStr">
        <is>
          <t>None</t>
        </is>
      </c>
      <c r="H497" s="5" t="inlineStr">
        <is>
          <t>Driver navigates sequential retail drops using turn-by-turn map integration</t>
        </is>
      </c>
      <c r="I497" s="5" t="inlineStr">
        <is>
          <t>Tracks live vehicle delivery progress and timestamps arrival at each customer premise</t>
        </is>
      </c>
      <c r="J497" s="22" t="inlineStr">
        <is>
          <t>P2</t>
        </is>
      </c>
      <c r="K497" s="20" t="inlineStr">
        <is>
          <t>Validated (Supported)</t>
        </is>
      </c>
      <c r="L497" s="5" t="inlineStr">
        <is>
          <t>Supported in Driver PWA with Google Maps / OSM routing link per stop.</t>
        </is>
      </c>
      <c r="M497" s="8" t="inlineStr">
        <is>
          <t>Baseline</t>
        </is>
      </c>
      <c r="N497" s="8" t="inlineStr">
        <is>
          <t>Operational role</t>
        </is>
      </c>
      <c r="O497" s="8" t="inlineStr">
        <is>
          <t>P2</t>
        </is>
      </c>
      <c r="P497" s="5" t="inlineStr">
        <is>
          <t>Unchanged</t>
        </is>
      </c>
      <c r="Q497" s="20" t="inlineStr">
        <is>
          <t>Author assertion</t>
        </is>
      </c>
      <c r="R497" s="5" t="inlineStr"/>
      <c r="S497" s="8" t="inlineStr">
        <is>
          <t>FLEET</t>
        </is>
      </c>
      <c r="T497" s="5" t="inlineStr">
        <is>
          <t>Fleet and delivery</t>
        </is>
      </c>
      <c r="U497" s="8" t="inlineStr"/>
      <c r="V497" s="8" t="inlineStr">
        <is>
          <t>sales</t>
        </is>
      </c>
      <c r="W497" s="8" t="inlineStr">
        <is>
          <t>RUN</t>
        </is>
      </c>
      <c r="X497" s="5" t="inlineStr">
        <is>
          <t>Core</t>
        </is>
      </c>
      <c r="Y497" s="5" t="inlineStr">
        <is>
          <t>Driver</t>
        </is>
      </c>
      <c r="Z497" s="5" t="inlineStr">
        <is>
          <t>Medium</t>
        </is>
      </c>
      <c r="AA497" s="5" t="inlineStr">
        <is>
          <t>Medium</t>
        </is>
      </c>
      <c r="AB497" s="8" t="inlineStr">
        <is>
          <t>Low</t>
        </is>
      </c>
      <c r="AC497" s="8" t="inlineStr">
        <is>
          <t>Later</t>
        </is>
      </c>
      <c r="AD497" s="5" t="inlineStr">
        <is>
          <t>Not independently checked</t>
        </is>
      </c>
      <c r="AE497" s="5" t="inlineStr">
        <is>
          <t>Not verified</t>
        </is>
      </c>
      <c r="AF497" s="5" t="inlineStr">
        <is>
          <t>Not verified</t>
        </is>
      </c>
      <c r="AG497" s="5" t="inlineStr">
        <is>
          <t>Not verified</t>
        </is>
      </c>
      <c r="AH497" s="5" t="inlineStr">
        <is>
          <t>Not verified</t>
        </is>
      </c>
      <c r="AI497" s="8" t="inlineStr">
        <is>
          <t>No</t>
        </is>
      </c>
      <c r="AJ497" s="8" t="inlineStr">
        <is>
          <t>Claimed - unverified</t>
        </is>
      </c>
      <c r="AK497" s="8" t="inlineStr">
        <is>
          <t>P2</t>
        </is>
      </c>
      <c r="AL497" s="8" t="n">
        <v>6</v>
      </c>
      <c r="AM497" s="5" t="inlineStr"/>
      <c r="AN497" s="5" t="inlineStr"/>
      <c r="AO497" s="5" t="inlineStr"/>
      <c r="AP497" s="5" t="inlineStr"/>
      <c r="AQ497" s="5" t="inlineStr"/>
      <c r="AR497" s="5" t="inlineStr"/>
      <c r="AS497" s="5" t="inlineStr"/>
      <c r="AT497" s="5" t="inlineStr"/>
      <c r="AU497" s="8" t="inlineStr">
        <is>
          <t>Not run</t>
        </is>
      </c>
    </row>
    <row r="498" ht="32" customHeight="1">
      <c r="A498" s="16" t="inlineStr">
        <is>
          <t>P-0497</t>
        </is>
      </c>
      <c r="B498" s="8" t="inlineStr">
        <is>
          <t>P</t>
        </is>
      </c>
      <c r="C498" s="5" t="inlineStr">
        <is>
          <t>Delivery Driver / Route Logistics</t>
        </is>
      </c>
      <c r="D498" s="5" t="inlineStr">
        <is>
          <t>Operations, Fleet &amp; Delivery</t>
        </is>
      </c>
      <c r="E498" s="5" t="inlineStr">
        <is>
          <t>Hand over goods and verify carton/box count with retailer</t>
        </is>
      </c>
      <c r="F498" s="5" t="inlineStr">
        <is>
          <t>Delivery Driver</t>
        </is>
      </c>
      <c r="G498" s="5" t="inlineStr">
        <is>
          <t>Retail Merchant</t>
        </is>
      </c>
      <c r="H498" s="5" t="inlineStr">
        <is>
          <t>Physical verification of delivered parcels against Delivery Challan at customer shop</t>
        </is>
      </c>
      <c r="I498" s="5" t="inlineStr">
        <is>
          <t>Verifies parcel count and package integrity before obtaining receipt signature</t>
        </is>
      </c>
      <c r="J498" s="20" t="inlineStr">
        <is>
          <t>P1</t>
        </is>
      </c>
      <c r="K498" s="20" t="inlineStr">
        <is>
          <t>Validated (Supported)</t>
        </is>
      </c>
      <c r="L498" s="5" t="inlineStr">
        <is>
          <t>Supported via stop-level parcel verification checklist on mobile screen.</t>
        </is>
      </c>
      <c r="M498" s="8" t="inlineStr">
        <is>
          <t>Baseline</t>
        </is>
      </c>
      <c r="N498" s="8" t="inlineStr">
        <is>
          <t>Operational role</t>
        </is>
      </c>
      <c r="O498" s="8" t="inlineStr">
        <is>
          <t>P1</t>
        </is>
      </c>
      <c r="P498" s="5" t="inlineStr">
        <is>
          <t>Unchanged</t>
        </is>
      </c>
      <c r="Q498" s="20" t="inlineStr">
        <is>
          <t>Author assertion</t>
        </is>
      </c>
      <c r="R498" s="5" t="inlineStr"/>
      <c r="S498" s="8" t="inlineStr">
        <is>
          <t>FLEET</t>
        </is>
      </c>
      <c r="T498" s="5" t="inlineStr">
        <is>
          <t>Fleet and delivery</t>
        </is>
      </c>
      <c r="U498" s="8" t="inlineStr"/>
      <c r="V498" s="8" t="inlineStr">
        <is>
          <t>sales</t>
        </is>
      </c>
      <c r="W498" s="8" t="inlineStr">
        <is>
          <t>RUN</t>
        </is>
      </c>
      <c r="X498" s="5" t="inlineStr">
        <is>
          <t>Core</t>
        </is>
      </c>
      <c r="Y498" s="5" t="inlineStr">
        <is>
          <t>Driver</t>
        </is>
      </c>
      <c r="Z498" s="5" t="inlineStr">
        <is>
          <t>Medium</t>
        </is>
      </c>
      <c r="AA498" s="5" t="inlineStr">
        <is>
          <t>Medium</t>
        </is>
      </c>
      <c r="AB498" s="8" t="inlineStr">
        <is>
          <t>Low</t>
        </is>
      </c>
      <c r="AC498" s="8" t="inlineStr">
        <is>
          <t>Pilot</t>
        </is>
      </c>
      <c r="AD498" s="5" t="inlineStr">
        <is>
          <t>Not independently checked</t>
        </is>
      </c>
      <c r="AE498" s="5" t="inlineStr">
        <is>
          <t>Not verified</t>
        </is>
      </c>
      <c r="AF498" s="5" t="inlineStr">
        <is>
          <t>Not verified</t>
        </is>
      </c>
      <c r="AG498" s="5" t="inlineStr">
        <is>
          <t>Not verified</t>
        </is>
      </c>
      <c r="AH498" s="5" t="inlineStr">
        <is>
          <t>Not verified</t>
        </is>
      </c>
      <c r="AI498" s="8" t="inlineStr">
        <is>
          <t>No</t>
        </is>
      </c>
      <c r="AJ498" s="8" t="inlineStr">
        <is>
          <t>Claimed - unverified</t>
        </is>
      </c>
      <c r="AK498" s="8" t="inlineStr">
        <is>
          <t>P1</t>
        </is>
      </c>
      <c r="AL498" s="8" t="n">
        <v>6</v>
      </c>
      <c r="AM498" s="5" t="inlineStr"/>
      <c r="AN498" s="5" t="inlineStr"/>
      <c r="AO498" s="5" t="inlineStr"/>
      <c r="AP498" s="5" t="inlineStr"/>
      <c r="AQ498" s="5" t="inlineStr"/>
      <c r="AR498" s="5" t="inlineStr"/>
      <c r="AS498" s="5" t="inlineStr"/>
      <c r="AT498" s="5" t="inlineStr"/>
      <c r="AU498" s="8" t="inlineStr">
        <is>
          <t>Not run</t>
        </is>
      </c>
    </row>
    <row r="499" ht="32" customHeight="1">
      <c r="A499" s="16" t="inlineStr">
        <is>
          <t>P-0498</t>
        </is>
      </c>
      <c r="B499" s="8" t="inlineStr">
        <is>
          <t>P</t>
        </is>
      </c>
      <c r="C499" s="5" t="inlineStr">
        <is>
          <t>Delivery Driver / Route Logistics</t>
        </is>
      </c>
      <c r="D499" s="5" t="inlineStr">
        <is>
          <t>Operations, Fleet &amp; Delivery</t>
        </is>
      </c>
      <c r="E499" s="5" t="inlineStr">
        <is>
          <t>Capture Proof of Delivery (POD) via customer digital signature or OTP</t>
        </is>
      </c>
      <c r="F499" s="5" t="inlineStr">
        <is>
          <t>Delivery Driver</t>
        </is>
      </c>
      <c r="G499" s="5" t="inlineStr">
        <is>
          <t>Retail Merchant</t>
        </is>
      </c>
      <c r="H499" s="5" t="inlineStr">
        <is>
          <t>Legally indisputable proof of physical delivery captured on mobile screen</t>
        </is>
      </c>
      <c r="I499" s="5" t="inlineStr">
        <is>
          <t>Uploads digital signature image or validates 4-digit customer SMS OTP; marks stop DELIVERED</t>
        </is>
      </c>
      <c r="J499" s="20" t="inlineStr">
        <is>
          <t>P1</t>
        </is>
      </c>
      <c r="K499" s="20" t="inlineStr">
        <is>
          <t>Validated (Supported)</t>
        </is>
      </c>
      <c r="L499" s="5" t="inlineStr">
        <is>
          <t>Supported via HTML5 signature canvas or customer delivery OTP verification.</t>
        </is>
      </c>
      <c r="M499" s="8" t="inlineStr">
        <is>
          <t>Baseline</t>
        </is>
      </c>
      <c r="N499" s="8" t="inlineStr">
        <is>
          <t>Operational role</t>
        </is>
      </c>
      <c r="O499" s="8" t="inlineStr">
        <is>
          <t>P1</t>
        </is>
      </c>
      <c r="P499" s="5" t="inlineStr">
        <is>
          <t>Unchanged</t>
        </is>
      </c>
      <c r="Q499" s="20" t="inlineStr">
        <is>
          <t>Author assertion</t>
        </is>
      </c>
      <c r="R499" s="5" t="inlineStr"/>
      <c r="S499" s="8" t="inlineStr">
        <is>
          <t>FLEET</t>
        </is>
      </c>
      <c r="T499" s="5" t="inlineStr">
        <is>
          <t>Fleet and delivery</t>
        </is>
      </c>
      <c r="U499" s="8" t="inlineStr"/>
      <c r="V499" s="8" t="inlineStr">
        <is>
          <t>sales</t>
        </is>
      </c>
      <c r="W499" s="8" t="inlineStr">
        <is>
          <t>RUN</t>
        </is>
      </c>
      <c r="X499" s="5" t="inlineStr">
        <is>
          <t>Core</t>
        </is>
      </c>
      <c r="Y499" s="5" t="inlineStr">
        <is>
          <t>Driver</t>
        </is>
      </c>
      <c r="Z499" s="5" t="inlineStr">
        <is>
          <t>Medium</t>
        </is>
      </c>
      <c r="AA499" s="5" t="inlineStr">
        <is>
          <t>Medium</t>
        </is>
      </c>
      <c r="AB499" s="8" t="inlineStr">
        <is>
          <t>Low</t>
        </is>
      </c>
      <c r="AC499" s="8" t="inlineStr">
        <is>
          <t>Pilot</t>
        </is>
      </c>
      <c r="AD499" s="5" t="inlineStr">
        <is>
          <t>Not independently checked</t>
        </is>
      </c>
      <c r="AE499" s="5" t="inlineStr">
        <is>
          <t>Not verified</t>
        </is>
      </c>
      <c r="AF499" s="5" t="inlineStr">
        <is>
          <t>Not verified</t>
        </is>
      </c>
      <c r="AG499" s="5" t="inlineStr">
        <is>
          <t>Not verified</t>
        </is>
      </c>
      <c r="AH499" s="5" t="inlineStr">
        <is>
          <t>Not verified</t>
        </is>
      </c>
      <c r="AI499" s="8" t="inlineStr">
        <is>
          <t>No</t>
        </is>
      </c>
      <c r="AJ499" s="8" t="inlineStr">
        <is>
          <t>Claimed - unverified</t>
        </is>
      </c>
      <c r="AK499" s="8" t="inlineStr">
        <is>
          <t>P1</t>
        </is>
      </c>
      <c r="AL499" s="8" t="n">
        <v>6</v>
      </c>
      <c r="AM499" s="5" t="inlineStr"/>
      <c r="AN499" s="5" t="inlineStr"/>
      <c r="AO499" s="5" t="inlineStr"/>
      <c r="AP499" s="5" t="inlineStr"/>
      <c r="AQ499" s="5" t="inlineStr"/>
      <c r="AR499" s="5" t="inlineStr"/>
      <c r="AS499" s="5" t="inlineStr"/>
      <c r="AT499" s="5" t="inlineStr"/>
      <c r="AU499" s="8" t="inlineStr">
        <is>
          <t>Not run</t>
        </is>
      </c>
    </row>
    <row r="500" ht="32" customHeight="1">
      <c r="A500" s="16" t="inlineStr">
        <is>
          <t>P-0499</t>
        </is>
      </c>
      <c r="B500" s="8" t="inlineStr">
        <is>
          <t>P</t>
        </is>
      </c>
      <c r="C500" s="5" t="inlineStr">
        <is>
          <t>Delivery Driver / Route Logistics</t>
        </is>
      </c>
      <c r="D500" s="5" t="inlineStr">
        <is>
          <t>Operations, Fleet &amp; Delivery</t>
        </is>
      </c>
      <c r="E500" s="5" t="inlineStr">
        <is>
          <t>Record partial delivery rejection on-the-spot (damaged/refused boxes)</t>
        </is>
      </c>
      <c r="F500" s="5" t="inlineStr">
        <is>
          <t>Delivery Driver</t>
        </is>
      </c>
      <c r="G500" s="5" t="inlineStr">
        <is>
          <t>Retail Merchant</t>
        </is>
      </c>
      <c r="H500" s="5" t="inlineStr">
        <is>
          <t>Accurate logging of items rejected by customer at doorstep with mandatory photo capture</t>
        </is>
      </c>
      <c r="I500" s="5" t="inlineStr">
        <is>
          <t>Creates partial delivery note; generates return transit movement back to godown</t>
        </is>
      </c>
      <c r="J500" s="20" t="inlineStr">
        <is>
          <t>P1</t>
        </is>
      </c>
      <c r="K500" s="20" t="inlineStr">
        <is>
          <t>Validated (Supported)</t>
        </is>
      </c>
      <c r="L500" s="5" t="inlineStr">
        <is>
          <t>Supported via Delivery Exception workflow with camera photo attachment.</t>
        </is>
      </c>
      <c r="M500" s="8" t="inlineStr">
        <is>
          <t>Baseline</t>
        </is>
      </c>
      <c r="N500" s="8" t="inlineStr">
        <is>
          <t>Operational role</t>
        </is>
      </c>
      <c r="O500" s="8" t="inlineStr">
        <is>
          <t>P1</t>
        </is>
      </c>
      <c r="P500" s="5" t="inlineStr">
        <is>
          <t>Unchanged</t>
        </is>
      </c>
      <c r="Q500" s="20" t="inlineStr">
        <is>
          <t>Author assertion</t>
        </is>
      </c>
      <c r="R500" s="5" t="inlineStr"/>
      <c r="S500" s="8" t="inlineStr">
        <is>
          <t>FLEET</t>
        </is>
      </c>
      <c r="T500" s="5" t="inlineStr">
        <is>
          <t>Fleet and delivery</t>
        </is>
      </c>
      <c r="U500" s="8" t="inlineStr"/>
      <c r="V500" s="8" t="inlineStr">
        <is>
          <t>sales</t>
        </is>
      </c>
      <c r="W500" s="8" t="inlineStr">
        <is>
          <t>RUN</t>
        </is>
      </c>
      <c r="X500" s="5" t="inlineStr">
        <is>
          <t>Core</t>
        </is>
      </c>
      <c r="Y500" s="5" t="inlineStr">
        <is>
          <t>Driver</t>
        </is>
      </c>
      <c r="Z500" s="5" t="inlineStr">
        <is>
          <t>Medium</t>
        </is>
      </c>
      <c r="AA500" s="5" t="inlineStr">
        <is>
          <t>Medium</t>
        </is>
      </c>
      <c r="AB500" s="8" t="inlineStr">
        <is>
          <t>Low</t>
        </is>
      </c>
      <c r="AC500" s="8" t="inlineStr">
        <is>
          <t>Pilot</t>
        </is>
      </c>
      <c r="AD500" s="5" t="inlineStr">
        <is>
          <t>Not independently checked</t>
        </is>
      </c>
      <c r="AE500" s="5" t="inlineStr">
        <is>
          <t>Not verified</t>
        </is>
      </c>
      <c r="AF500" s="5" t="inlineStr">
        <is>
          <t>Not verified</t>
        </is>
      </c>
      <c r="AG500" s="5" t="inlineStr">
        <is>
          <t>Not verified</t>
        </is>
      </c>
      <c r="AH500" s="5" t="inlineStr">
        <is>
          <t>Not verified</t>
        </is>
      </c>
      <c r="AI500" s="8" t="inlineStr">
        <is>
          <t>No</t>
        </is>
      </c>
      <c r="AJ500" s="8" t="inlineStr">
        <is>
          <t>Claimed - unverified</t>
        </is>
      </c>
      <c r="AK500" s="8" t="inlineStr">
        <is>
          <t>P1</t>
        </is>
      </c>
      <c r="AL500" s="8" t="n">
        <v>6</v>
      </c>
      <c r="AM500" s="5" t="inlineStr"/>
      <c r="AN500" s="5" t="inlineStr"/>
      <c r="AO500" s="5" t="inlineStr"/>
      <c r="AP500" s="5" t="inlineStr"/>
      <c r="AQ500" s="5" t="inlineStr"/>
      <c r="AR500" s="5" t="inlineStr"/>
      <c r="AS500" s="5" t="inlineStr"/>
      <c r="AT500" s="5" t="inlineStr"/>
      <c r="AU500" s="8" t="inlineStr">
        <is>
          <t>Not run</t>
        </is>
      </c>
    </row>
    <row r="501" ht="32" customHeight="1">
      <c r="A501" s="16" t="inlineStr">
        <is>
          <t>P-0500</t>
        </is>
      </c>
      <c r="B501" s="8" t="inlineStr">
        <is>
          <t>P</t>
        </is>
      </c>
      <c r="C501" s="5" t="inlineStr">
        <is>
          <t>Delivery Driver / Route Logistics</t>
        </is>
      </c>
      <c r="D501" s="5" t="inlineStr">
        <is>
          <t>Operations, Fleet &amp; Delivery</t>
        </is>
      </c>
      <c r="E501" s="5" t="inlineStr">
        <is>
          <t>Collect Cash-on-Delivery (COD) or UPI payment from customer</t>
        </is>
      </c>
      <c r="F501" s="5" t="inlineStr">
        <is>
          <t>Delivery Driver</t>
        </is>
      </c>
      <c r="G501" s="5" t="inlineStr">
        <is>
          <t>Customer</t>
        </is>
      </c>
      <c r="H501" s="5" t="inlineStr">
        <is>
          <t>Driver collects cash or displays dynamic UPI QR on driver phone to settle invoice</t>
        </is>
      </c>
      <c r="I501" s="5" t="inlineStr">
        <is>
          <t>Creates DriverPaymentReceipt; records driver cash liability; updates invoice payment status</t>
        </is>
      </c>
      <c r="J501" s="20" t="inlineStr">
        <is>
          <t>P1</t>
        </is>
      </c>
      <c r="K501" s="20" t="inlineStr">
        <is>
          <t>Validated (Supported)</t>
        </is>
      </c>
      <c r="L501" s="5" t="inlineStr">
        <is>
          <t>Supported via mobile UPI QR generator and driver cash collection ledger.</t>
        </is>
      </c>
      <c r="M501" s="8" t="inlineStr">
        <is>
          <t>Baseline</t>
        </is>
      </c>
      <c r="N501" s="8" t="inlineStr">
        <is>
          <t>Operational role</t>
        </is>
      </c>
      <c r="O501" s="8" t="inlineStr">
        <is>
          <t>P1</t>
        </is>
      </c>
      <c r="P501" s="5" t="inlineStr">
        <is>
          <t>Unchanged</t>
        </is>
      </c>
      <c r="Q501" s="20" t="inlineStr">
        <is>
          <t>Author assertion</t>
        </is>
      </c>
      <c r="R501" s="5" t="inlineStr"/>
      <c r="S501" s="8" t="inlineStr">
        <is>
          <t>FLEET</t>
        </is>
      </c>
      <c r="T501" s="5" t="inlineStr">
        <is>
          <t>Fleet and delivery</t>
        </is>
      </c>
      <c r="U501" s="8" t="inlineStr"/>
      <c r="V501" s="8" t="inlineStr">
        <is>
          <t>sales</t>
        </is>
      </c>
      <c r="W501" s="8" t="inlineStr">
        <is>
          <t>RUN</t>
        </is>
      </c>
      <c r="X501" s="5" t="inlineStr">
        <is>
          <t>Core</t>
        </is>
      </c>
      <c r="Y501" s="5" t="inlineStr">
        <is>
          <t>Driver</t>
        </is>
      </c>
      <c r="Z501" s="5" t="inlineStr">
        <is>
          <t>Medium</t>
        </is>
      </c>
      <c r="AA501" s="5" t="inlineStr">
        <is>
          <t>Medium</t>
        </is>
      </c>
      <c r="AB501" s="8" t="inlineStr">
        <is>
          <t>Low</t>
        </is>
      </c>
      <c r="AC501" s="8" t="inlineStr">
        <is>
          <t>Pilot</t>
        </is>
      </c>
      <c r="AD501" s="5" t="inlineStr">
        <is>
          <t>Not independently checked</t>
        </is>
      </c>
      <c r="AE501" s="5" t="inlineStr">
        <is>
          <t>Not verified</t>
        </is>
      </c>
      <c r="AF501" s="5" t="inlineStr">
        <is>
          <t>Not verified</t>
        </is>
      </c>
      <c r="AG501" s="5" t="inlineStr">
        <is>
          <t>Not verified</t>
        </is>
      </c>
      <c r="AH501" s="5" t="inlineStr">
        <is>
          <t>Not verified</t>
        </is>
      </c>
      <c r="AI501" s="8" t="inlineStr">
        <is>
          <t>No</t>
        </is>
      </c>
      <c r="AJ501" s="8" t="inlineStr">
        <is>
          <t>Claimed - unverified</t>
        </is>
      </c>
      <c r="AK501" s="8" t="inlineStr">
        <is>
          <t>P1</t>
        </is>
      </c>
      <c r="AL501" s="8" t="n">
        <v>6</v>
      </c>
      <c r="AM501" s="5" t="inlineStr"/>
      <c r="AN501" s="5" t="inlineStr"/>
      <c r="AO501" s="5" t="inlineStr"/>
      <c r="AP501" s="5" t="inlineStr"/>
      <c r="AQ501" s="5" t="inlineStr"/>
      <c r="AR501" s="5" t="inlineStr"/>
      <c r="AS501" s="5" t="inlineStr"/>
      <c r="AT501" s="5" t="inlineStr"/>
      <c r="AU501" s="8" t="inlineStr">
        <is>
          <t>Not run</t>
        </is>
      </c>
    </row>
    <row r="502" ht="32" customHeight="1">
      <c r="A502" s="16" t="inlineStr">
        <is>
          <t>P-0501</t>
        </is>
      </c>
      <c r="B502" s="8" t="inlineStr">
        <is>
          <t>P</t>
        </is>
      </c>
      <c r="C502" s="5" t="inlineStr">
        <is>
          <t>Delivery Driver / Route Logistics</t>
        </is>
      </c>
      <c r="D502" s="5" t="inlineStr">
        <is>
          <t>Operations, Fleet &amp; Delivery</t>
        </is>
      </c>
      <c r="E502" s="5" t="inlineStr">
        <is>
          <t>Reconcile daily route collections and return unsold/rejected stock to godown</t>
        </is>
      </c>
      <c r="F502" s="5" t="inlineStr">
        <is>
          <t>Delivery Driver</t>
        </is>
      </c>
      <c r="G502" s="5" t="inlineStr">
        <is>
          <t>Cashier / Godown Keeper</t>
        </is>
      </c>
      <c r="H502" s="5" t="inlineStr">
        <is>
          <t>Driver hands over collected cash to cashier and returns rejected boxes to warehouse</t>
        </is>
      </c>
      <c r="I502" s="5" t="inlineStr">
        <is>
          <t>Reconciles driver cash envelope against system collections; restores returned stock to bins</t>
        </is>
      </c>
      <c r="J502" s="20" t="inlineStr">
        <is>
          <t>P1</t>
        </is>
      </c>
      <c r="K502" s="20" t="inlineStr">
        <is>
          <t>Validated (Supported)</t>
        </is>
      </c>
      <c r="L502" s="5" t="inlineStr">
        <is>
          <t>Supported via Route Close &amp; Driver Reconciliation screen (/operations/driver-settlement/).</t>
        </is>
      </c>
      <c r="M502" s="8" t="inlineStr">
        <is>
          <t>Baseline</t>
        </is>
      </c>
      <c r="N502" s="8" t="inlineStr">
        <is>
          <t>Operational role</t>
        </is>
      </c>
      <c r="O502" s="8" t="inlineStr">
        <is>
          <t>P1</t>
        </is>
      </c>
      <c r="P502" s="5" t="inlineStr">
        <is>
          <t>Unchanged</t>
        </is>
      </c>
      <c r="Q502" s="20" t="inlineStr">
        <is>
          <t>Author assertion</t>
        </is>
      </c>
      <c r="R502" s="5" t="inlineStr"/>
      <c r="S502" s="8" t="inlineStr">
        <is>
          <t>FLEET</t>
        </is>
      </c>
      <c r="T502" s="5" t="inlineStr">
        <is>
          <t>Fleet and delivery</t>
        </is>
      </c>
      <c r="U502" s="8" t="inlineStr"/>
      <c r="V502" s="8" t="inlineStr">
        <is>
          <t>sales</t>
        </is>
      </c>
      <c r="W502" s="8" t="inlineStr">
        <is>
          <t>RUN</t>
        </is>
      </c>
      <c r="X502" s="5" t="inlineStr">
        <is>
          <t>Core</t>
        </is>
      </c>
      <c r="Y502" s="5" t="inlineStr">
        <is>
          <t>Driver</t>
        </is>
      </c>
      <c r="Z502" s="5" t="inlineStr">
        <is>
          <t>Medium</t>
        </is>
      </c>
      <c r="AA502" s="5" t="inlineStr">
        <is>
          <t>Medium</t>
        </is>
      </c>
      <c r="AB502" s="8" t="inlineStr">
        <is>
          <t>Low</t>
        </is>
      </c>
      <c r="AC502" s="8" t="inlineStr">
        <is>
          <t>Pilot</t>
        </is>
      </c>
      <c r="AD502" s="5" t="inlineStr">
        <is>
          <t>Not independently checked</t>
        </is>
      </c>
      <c r="AE502" s="5" t="inlineStr">
        <is>
          <t>Not verified</t>
        </is>
      </c>
      <c r="AF502" s="5" t="inlineStr">
        <is>
          <t>Not verified</t>
        </is>
      </c>
      <c r="AG502" s="5" t="inlineStr">
        <is>
          <t>Not verified</t>
        </is>
      </c>
      <c r="AH502" s="5" t="inlineStr">
        <is>
          <t>Not verified</t>
        </is>
      </c>
      <c r="AI502" s="8" t="inlineStr">
        <is>
          <t>No</t>
        </is>
      </c>
      <c r="AJ502" s="8" t="inlineStr">
        <is>
          <t>Claimed - unverified</t>
        </is>
      </c>
      <c r="AK502" s="8" t="inlineStr">
        <is>
          <t>P1</t>
        </is>
      </c>
      <c r="AL502" s="8" t="n">
        <v>6</v>
      </c>
      <c r="AM502" s="5" t="inlineStr"/>
      <c r="AN502" s="5" t="inlineStr"/>
      <c r="AO502" s="5" t="inlineStr"/>
      <c r="AP502" s="5" t="inlineStr"/>
      <c r="AQ502" s="5" t="inlineStr"/>
      <c r="AR502" s="5" t="inlineStr"/>
      <c r="AS502" s="5" t="inlineStr"/>
      <c r="AT502" s="5" t="inlineStr"/>
      <c r="AU502" s="8" t="inlineStr">
        <is>
          <t>Not run</t>
        </is>
      </c>
    </row>
    <row r="503" ht="32" customHeight="1">
      <c r="A503" s="16" t="inlineStr">
        <is>
          <t>P-0502</t>
        </is>
      </c>
      <c r="B503" s="8" t="inlineStr">
        <is>
          <t>P</t>
        </is>
      </c>
      <c r="C503" s="5" t="inlineStr">
        <is>
          <t>External CA / Statutory Auditor</t>
        </is>
      </c>
      <c r="D503" s="5" t="inlineStr">
        <is>
          <t>Reporting &amp; Business Intelligence</t>
        </is>
      </c>
      <c r="E503" s="5" t="inlineStr">
        <is>
          <t>Review Trial Balance, P&amp;L, and Balance Sheet in Schedule III format</t>
        </is>
      </c>
      <c r="F503" s="5" t="inlineStr">
        <is>
          <t>External CA / Auditor</t>
        </is>
      </c>
      <c r="G503" s="5" t="inlineStr">
        <is>
          <t>Managing Proprietor</t>
        </is>
      </c>
      <c r="H503" s="5" t="inlineStr">
        <is>
          <t>Statutory review of company financial statements aligned to Indian Accounting Standards</t>
        </is>
      </c>
      <c r="I503" s="5" t="inlineStr">
        <is>
          <t>Generates multi-period comparative Trial Balance, Profit &amp; Loss, and Balance Sheet</t>
        </is>
      </c>
      <c r="J503" s="20" t="inlineStr">
        <is>
          <t>P1</t>
        </is>
      </c>
      <c r="K503" s="20" t="inlineStr">
        <is>
          <t>Validated (Supported)</t>
        </is>
      </c>
      <c r="L503" s="5" t="inlineStr">
        <is>
          <t>Supported via /accounting/reports/ (Trial Balance, P&amp;L, Balance Sheet) with Schedule III grouping.</t>
        </is>
      </c>
      <c r="M503" s="8" t="inlineStr">
        <is>
          <t>Baseline</t>
        </is>
      </c>
      <c r="N503" s="8" t="inlineStr">
        <is>
          <t>Operational role</t>
        </is>
      </c>
      <c r="O503" s="8" t="inlineStr">
        <is>
          <t>P1</t>
        </is>
      </c>
      <c r="P503" s="5" t="inlineStr">
        <is>
          <t>Unchanged</t>
        </is>
      </c>
      <c r="Q503" s="20" t="inlineStr">
        <is>
          <t>Author assertion</t>
        </is>
      </c>
      <c r="R503" s="5" t="inlineStr"/>
      <c r="S503" s="8" t="inlineStr">
        <is>
          <t>RPT</t>
        </is>
      </c>
      <c r="T503" s="5" t="inlineStr">
        <is>
          <t>Reporting and business intelligence</t>
        </is>
      </c>
      <c r="U503" s="8" t="inlineStr"/>
      <c r="V503" s="8" t="inlineStr">
        <is>
          <t>reporting</t>
        </is>
      </c>
      <c r="W503" s="8" t="inlineStr">
        <is>
          <t>CONTROL</t>
        </is>
      </c>
      <c r="X503" s="5" t="inlineStr">
        <is>
          <t>Core</t>
        </is>
      </c>
      <c r="Y503" s="5" t="inlineStr">
        <is>
          <t>Accountant</t>
        </is>
      </c>
      <c r="Z503" s="5" t="inlineStr">
        <is>
          <t>Medium</t>
        </is>
      </c>
      <c r="AA503" s="5" t="inlineStr">
        <is>
          <t>Medium</t>
        </is>
      </c>
      <c r="AB503" s="8" t="inlineStr">
        <is>
          <t>Low</t>
        </is>
      </c>
      <c r="AC503" s="8" t="inlineStr">
        <is>
          <t>Pilot</t>
        </is>
      </c>
      <c r="AD503" s="5" t="inlineStr">
        <is>
          <t>Not independently checked</t>
        </is>
      </c>
      <c r="AE503" s="5" t="inlineStr">
        <is>
          <t>Not verified</t>
        </is>
      </c>
      <c r="AF503" s="5" t="inlineStr">
        <is>
          <t>Not verified</t>
        </is>
      </c>
      <c r="AG503" s="5" t="inlineStr">
        <is>
          <t>Not verified</t>
        </is>
      </c>
      <c r="AH503" s="5" t="inlineStr">
        <is>
          <t>Not verified</t>
        </is>
      </c>
      <c r="AI503" s="8" t="inlineStr">
        <is>
          <t>No</t>
        </is>
      </c>
      <c r="AJ503" s="8" t="inlineStr">
        <is>
          <t>Claimed - unverified</t>
        </is>
      </c>
      <c r="AK503" s="8" t="inlineStr">
        <is>
          <t>P1</t>
        </is>
      </c>
      <c r="AL503" s="8" t="n">
        <v>6</v>
      </c>
      <c r="AM503" s="5" t="inlineStr"/>
      <c r="AN503" s="5" t="inlineStr"/>
      <c r="AO503" s="5" t="inlineStr"/>
      <c r="AP503" s="5" t="inlineStr"/>
      <c r="AQ503" s="5" t="inlineStr"/>
      <c r="AR503" s="5" t="inlineStr"/>
      <c r="AS503" s="5" t="inlineStr"/>
      <c r="AT503" s="5" t="inlineStr"/>
      <c r="AU503" s="8" t="inlineStr">
        <is>
          <t>Not run</t>
        </is>
      </c>
    </row>
    <row r="504" ht="32" customHeight="1">
      <c r="A504" s="16" t="inlineStr">
        <is>
          <t>P-0503</t>
        </is>
      </c>
      <c r="B504" s="8" t="inlineStr">
        <is>
          <t>P</t>
        </is>
      </c>
      <c r="C504" s="5" t="inlineStr">
        <is>
          <t>External CA / Statutory Auditor</t>
        </is>
      </c>
      <c r="D504" s="5" t="inlineStr">
        <is>
          <t>GST / Tax / Compliance</t>
        </is>
      </c>
      <c r="E504" s="5" t="inlineStr">
        <is>
          <t>Audit 2A/2B vs Books reconciliation and verify eligible vs blocked ITC</t>
        </is>
      </c>
      <c r="F504" s="5" t="inlineStr">
        <is>
          <t>External CA / Auditor</t>
        </is>
      </c>
      <c r="G504" s="5" t="inlineStr">
        <is>
          <t>In-house Accountant</t>
        </is>
      </c>
      <c r="H504" s="5" t="inlineStr">
        <is>
          <t>Independent verification of Input Tax Credit claims; segregates Section 17(5) blocked credits</t>
        </is>
      </c>
      <c r="I504" s="5" t="inlineStr">
        <is>
          <t>Validates tax return audit trail; prevents tax demand notices and penalty interest under Sec 50</t>
        </is>
      </c>
      <c r="J504" s="19" t="inlineStr">
        <is>
          <t>P0</t>
        </is>
      </c>
      <c r="K504" s="20" t="inlineStr">
        <is>
          <t>Validated (Supported)</t>
        </is>
      </c>
      <c r="L504" s="5" t="inlineStr">
        <is>
          <t>Supported via GSTR-2B Automated Matcher with Section 17(5) blocked credit classification.</t>
        </is>
      </c>
      <c r="M504" s="8" t="inlineStr">
        <is>
          <t>Baseline</t>
        </is>
      </c>
      <c r="N504" s="8" t="inlineStr">
        <is>
          <t>Operational role</t>
        </is>
      </c>
      <c r="O504" s="8" t="inlineStr">
        <is>
          <t>P0</t>
        </is>
      </c>
      <c r="P504" s="5" t="inlineStr">
        <is>
          <t>Unchanged</t>
        </is>
      </c>
      <c r="Q504" s="20" t="inlineStr">
        <is>
          <t>Author assertion</t>
        </is>
      </c>
      <c r="R504" s="5" t="inlineStr"/>
      <c r="S504" s="8" t="inlineStr">
        <is>
          <t>GST</t>
        </is>
      </c>
      <c r="T504" s="5" t="inlineStr">
        <is>
          <t>GST and tax compliance</t>
        </is>
      </c>
      <c r="U504" s="8" t="inlineStr"/>
      <c r="V504" s="8" t="inlineStr">
        <is>
          <t>accounting</t>
        </is>
      </c>
      <c r="W504" s="8" t="inlineStr">
        <is>
          <t>CONTROL</t>
        </is>
      </c>
      <c r="X504" s="5" t="inlineStr">
        <is>
          <t>Core</t>
        </is>
      </c>
      <c r="Y504" s="5" t="inlineStr">
        <is>
          <t>Accountant</t>
        </is>
      </c>
      <c r="Z504" s="5" t="inlineStr">
        <is>
          <t>Critical</t>
        </is>
      </c>
      <c r="AA504" s="5" t="inlineStr">
        <is>
          <t>High</t>
        </is>
      </c>
      <c r="AB504" s="8" t="inlineStr">
        <is>
          <t>High</t>
        </is>
      </c>
      <c r="AC504" s="8" t="inlineStr">
        <is>
          <t>MVP</t>
        </is>
      </c>
      <c r="AD504" s="5" t="inlineStr">
        <is>
          <t>Not independently checked</t>
        </is>
      </c>
      <c r="AE504" s="5" t="inlineStr">
        <is>
          <t>Not verified</t>
        </is>
      </c>
      <c r="AF504" s="5" t="inlineStr">
        <is>
          <t>Not verified</t>
        </is>
      </c>
      <c r="AG504" s="5" t="inlineStr">
        <is>
          <t>Not verified</t>
        </is>
      </c>
      <c r="AH504" s="5" t="inlineStr">
        <is>
          <t>Not verified</t>
        </is>
      </c>
      <c r="AI504" s="8" t="inlineStr">
        <is>
          <t>No</t>
        </is>
      </c>
      <c r="AJ504" s="8" t="inlineStr">
        <is>
          <t>Claimed - unverified</t>
        </is>
      </c>
      <c r="AK504" s="8" t="inlineStr">
        <is>
          <t>P0</t>
        </is>
      </c>
      <c r="AL504" s="8" t="n">
        <v>27</v>
      </c>
      <c r="AM504" s="5" t="inlineStr"/>
      <c r="AN504" s="5" t="inlineStr"/>
      <c r="AO504" s="5" t="inlineStr"/>
      <c r="AP504" s="5" t="inlineStr"/>
      <c r="AQ504" s="5" t="inlineStr"/>
      <c r="AR504" s="5" t="inlineStr"/>
      <c r="AS504" s="5" t="inlineStr"/>
      <c r="AT504" s="5" t="inlineStr"/>
      <c r="AU504" s="8" t="inlineStr">
        <is>
          <t>Not run</t>
        </is>
      </c>
    </row>
    <row r="505" ht="32" customHeight="1">
      <c r="A505" s="16" t="inlineStr">
        <is>
          <t>P-0504</t>
        </is>
      </c>
      <c r="B505" s="8" t="inlineStr">
        <is>
          <t>P</t>
        </is>
      </c>
      <c r="C505" s="5" t="inlineStr">
        <is>
          <t>External CA / Statutory Auditor</t>
        </is>
      </c>
      <c r="D505" s="5" t="inlineStr">
        <is>
          <t>GST / Tax / Compliance</t>
        </is>
      </c>
      <c r="E505" s="5" t="inlineStr">
        <is>
          <t>Verify TDS Section 194Q and TCS Section 206C(1H) statutory deduction compliance</t>
        </is>
      </c>
      <c r="F505" s="5" t="inlineStr">
        <is>
          <t>External CA / Auditor</t>
        </is>
      </c>
      <c r="G505" s="5" t="inlineStr">
        <is>
          <t>In-house Accountant</t>
        </is>
      </c>
      <c r="H505" s="5" t="inlineStr">
        <is>
          <t>Confirm that cumulative threshold (&gt; ₹50 Lakhs) TDS/TCS withholdings match statutory rates</t>
        </is>
      </c>
      <c r="I505" s="5" t="inlineStr">
        <is>
          <t>Generates TDS/TCS Audit Ledger verifying vendor PAN active status and quarterly challans</t>
        </is>
      </c>
      <c r="J505" s="20" t="inlineStr">
        <is>
          <t>P1</t>
        </is>
      </c>
      <c r="K505" s="20" t="inlineStr">
        <is>
          <t>Validated (Supported)</t>
        </is>
      </c>
      <c r="L505" s="5" t="inlineStr">
        <is>
          <t>Supported via TDS/TCS Withholding Summary Report (/accounting/reports/tds-tcs/).</t>
        </is>
      </c>
      <c r="M505" s="8" t="inlineStr">
        <is>
          <t>Baseline</t>
        </is>
      </c>
      <c r="N505" s="8" t="inlineStr">
        <is>
          <t>Operational role</t>
        </is>
      </c>
      <c r="O505" s="8" t="inlineStr">
        <is>
          <t>P1</t>
        </is>
      </c>
      <c r="P505" s="5" t="inlineStr">
        <is>
          <t>Unchanged</t>
        </is>
      </c>
      <c r="Q505" s="20" t="inlineStr">
        <is>
          <t>Author assertion</t>
        </is>
      </c>
      <c r="R505" s="5" t="inlineStr"/>
      <c r="S505" s="8" t="inlineStr">
        <is>
          <t>GST</t>
        </is>
      </c>
      <c r="T505" s="5" t="inlineStr">
        <is>
          <t>GST and tax compliance</t>
        </is>
      </c>
      <c r="U505" s="8" t="inlineStr"/>
      <c r="V505" s="8" t="inlineStr">
        <is>
          <t>accounting</t>
        </is>
      </c>
      <c r="W505" s="8" t="inlineStr">
        <is>
          <t>CONTROL</t>
        </is>
      </c>
      <c r="X505" s="5" t="inlineStr">
        <is>
          <t>Core</t>
        </is>
      </c>
      <c r="Y505" s="5" t="inlineStr">
        <is>
          <t>Accountant</t>
        </is>
      </c>
      <c r="Z505" s="5" t="inlineStr">
        <is>
          <t>Critical</t>
        </is>
      </c>
      <c r="AA505" s="5" t="inlineStr">
        <is>
          <t>High</t>
        </is>
      </c>
      <c r="AB505" s="8" t="inlineStr">
        <is>
          <t>High</t>
        </is>
      </c>
      <c r="AC505" s="8" t="inlineStr">
        <is>
          <t>Pilot</t>
        </is>
      </c>
      <c r="AD505" s="5" t="inlineStr">
        <is>
          <t>Not independently checked</t>
        </is>
      </c>
      <c r="AE505" s="5" t="inlineStr">
        <is>
          <t>Not verified</t>
        </is>
      </c>
      <c r="AF505" s="5" t="inlineStr">
        <is>
          <t>Not verified</t>
        </is>
      </c>
      <c r="AG505" s="5" t="inlineStr">
        <is>
          <t>Not verified</t>
        </is>
      </c>
      <c r="AH505" s="5" t="inlineStr">
        <is>
          <t>Not verified</t>
        </is>
      </c>
      <c r="AI505" s="8" t="inlineStr">
        <is>
          <t>No</t>
        </is>
      </c>
      <c r="AJ505" s="8" t="inlineStr">
        <is>
          <t>Claimed - unverified</t>
        </is>
      </c>
      <c r="AK505" s="8" t="inlineStr">
        <is>
          <t>P1</t>
        </is>
      </c>
      <c r="AL505" s="8" t="n">
        <v>27</v>
      </c>
      <c r="AM505" s="5" t="inlineStr"/>
      <c r="AN505" s="5" t="inlineStr"/>
      <c r="AO505" s="5" t="inlineStr"/>
      <c r="AP505" s="5" t="inlineStr"/>
      <c r="AQ505" s="5" t="inlineStr"/>
      <c r="AR505" s="5" t="inlineStr"/>
      <c r="AS505" s="5" t="inlineStr"/>
      <c r="AT505" s="5" t="inlineStr"/>
      <c r="AU505" s="8" t="inlineStr">
        <is>
          <t>Not run</t>
        </is>
      </c>
    </row>
    <row r="506" ht="32" customHeight="1">
      <c r="A506" s="16" t="inlineStr">
        <is>
          <t>P-0505</t>
        </is>
      </c>
      <c r="B506" s="8" t="inlineStr">
        <is>
          <t>P</t>
        </is>
      </c>
      <c r="C506" s="5" t="inlineStr">
        <is>
          <t>External CA / Statutory Auditor</t>
        </is>
      </c>
      <c r="D506" s="5" t="inlineStr">
        <is>
          <t>Finance &amp; Fixed Assets</t>
        </is>
      </c>
      <c r="E506" s="5" t="inlineStr">
        <is>
          <t>Inspect Depreciation Schedule and Fixed Assets Register under Income Tax / Companies Act</t>
        </is>
      </c>
      <c r="F506" s="5" t="inlineStr">
        <is>
          <t>External CA / Auditor</t>
        </is>
      </c>
      <c r="G506" s="5" t="inlineStr">
        <is>
          <t>In-house Accountant</t>
        </is>
      </c>
      <c r="H506" s="5" t="inlineStr">
        <is>
          <t>Verify fixed asset capitalization, additions, disposals, and dual-rate depreciation schedules</t>
        </is>
      </c>
      <c r="I506" s="5" t="inlineStr">
        <is>
          <t>Validates WDV and SLM depreciation calculations; matches net block with balance sheet assets</t>
        </is>
      </c>
      <c r="J506" s="20" t="inlineStr">
        <is>
          <t>P1</t>
        </is>
      </c>
      <c r="K506" s="20" t="inlineStr">
        <is>
          <t>Validated (Supported)</t>
        </is>
      </c>
      <c r="L506" s="5" t="inlineStr">
        <is>
          <t>Supported via Fixed Assets Register and Depreciation Engine (/accounting/fixed-assets/).</t>
        </is>
      </c>
      <c r="M506" s="8" t="inlineStr">
        <is>
          <t>Baseline</t>
        </is>
      </c>
      <c r="N506" s="8" t="inlineStr">
        <is>
          <t>Operational role</t>
        </is>
      </c>
      <c r="O506" s="8" t="inlineStr">
        <is>
          <t>P1</t>
        </is>
      </c>
      <c r="P506" s="5" t="inlineStr">
        <is>
          <t>Unchanged</t>
        </is>
      </c>
      <c r="Q506" s="20" t="inlineStr">
        <is>
          <t>Author assertion</t>
        </is>
      </c>
      <c r="R506" s="5" t="inlineStr"/>
      <c r="S506" s="8" t="inlineStr">
        <is>
          <t>FA</t>
        </is>
      </c>
      <c r="T506" s="5" t="inlineStr">
        <is>
          <t>Finance and fixed assets</t>
        </is>
      </c>
      <c r="U506" s="8" t="inlineStr"/>
      <c r="V506" s="8" t="inlineStr">
        <is>
          <t>accounting</t>
        </is>
      </c>
      <c r="W506" s="8" t="inlineStr">
        <is>
          <t>CONTROL</t>
        </is>
      </c>
      <c r="X506" s="5" t="inlineStr">
        <is>
          <t>Core</t>
        </is>
      </c>
      <c r="Y506" s="5" t="inlineStr">
        <is>
          <t>Accountant</t>
        </is>
      </c>
      <c r="Z506" s="5" t="inlineStr">
        <is>
          <t>Critical</t>
        </is>
      </c>
      <c r="AA506" s="5" t="inlineStr">
        <is>
          <t>High</t>
        </is>
      </c>
      <c r="AB506" s="8" t="inlineStr">
        <is>
          <t>High</t>
        </is>
      </c>
      <c r="AC506" s="8" t="inlineStr">
        <is>
          <t>Pilot</t>
        </is>
      </c>
      <c r="AD506" s="5" t="inlineStr">
        <is>
          <t>Not independently checked</t>
        </is>
      </c>
      <c r="AE506" s="5" t="inlineStr">
        <is>
          <t>Not verified</t>
        </is>
      </c>
      <c r="AF506" s="5" t="inlineStr">
        <is>
          <t>Not verified</t>
        </is>
      </c>
      <c r="AG506" s="5" t="inlineStr">
        <is>
          <t>Not verified</t>
        </is>
      </c>
      <c r="AH506" s="5" t="inlineStr">
        <is>
          <t>Not verified</t>
        </is>
      </c>
      <c r="AI506" s="8" t="inlineStr">
        <is>
          <t>No</t>
        </is>
      </c>
      <c r="AJ506" s="8" t="inlineStr">
        <is>
          <t>Claimed - unverified</t>
        </is>
      </c>
      <c r="AK506" s="8" t="inlineStr">
        <is>
          <t>P1</t>
        </is>
      </c>
      <c r="AL506" s="8" t="n">
        <v>27</v>
      </c>
      <c r="AM506" s="5" t="inlineStr"/>
      <c r="AN506" s="5" t="inlineStr"/>
      <c r="AO506" s="5" t="inlineStr"/>
      <c r="AP506" s="5" t="inlineStr"/>
      <c r="AQ506" s="5" t="inlineStr"/>
      <c r="AR506" s="5" t="inlineStr"/>
      <c r="AS506" s="5" t="inlineStr"/>
      <c r="AT506" s="5" t="inlineStr"/>
      <c r="AU506" s="8" t="inlineStr">
        <is>
          <t>Not run</t>
        </is>
      </c>
    </row>
    <row r="507" ht="32" customHeight="1">
      <c r="A507" s="16" t="inlineStr">
        <is>
          <t>P-0506</t>
        </is>
      </c>
      <c r="B507" s="8" t="inlineStr">
        <is>
          <t>P</t>
        </is>
      </c>
      <c r="C507" s="5" t="inlineStr">
        <is>
          <t>External CA / Statutory Auditor</t>
        </is>
      </c>
      <c r="D507" s="5" t="inlineStr">
        <is>
          <t>GST / Tax / Compliance</t>
        </is>
      </c>
      <c r="E507" s="5" t="inlineStr">
        <is>
          <t>Validate GSTR-9 annual return computation and reconciliation with audited financials</t>
        </is>
      </c>
      <c r="F507" s="5" t="inlineStr">
        <is>
          <t>External CA / Auditor</t>
        </is>
      </c>
      <c r="G507" s="5" t="inlineStr">
        <is>
          <t>In-house Accountant</t>
        </is>
      </c>
      <c r="H507" s="5" t="inlineStr">
        <is>
          <t>Compile GSTR-9 Annual Return and GSTR-9C reconciliation statement from source vouchers</t>
        </is>
      </c>
      <c r="I507" s="5" t="inlineStr">
        <is>
          <t>Compares audited P&amp;L turnover with GSTR-1 outward taxable supplies; explains variances</t>
        </is>
      </c>
      <c r="J507" s="20" t="inlineStr">
        <is>
          <t>P1</t>
        </is>
      </c>
      <c r="K507" s="20" t="inlineStr">
        <is>
          <t>Validated (Supported)</t>
        </is>
      </c>
      <c r="L507" s="5" t="inlineStr">
        <is>
          <t>Supported via GSTR-9 Annual Worksheet compiler in gst module.</t>
        </is>
      </c>
      <c r="M507" s="8" t="inlineStr">
        <is>
          <t>Baseline</t>
        </is>
      </c>
      <c r="N507" s="8" t="inlineStr">
        <is>
          <t>Operational role</t>
        </is>
      </c>
      <c r="O507" s="8" t="inlineStr">
        <is>
          <t>P1</t>
        </is>
      </c>
      <c r="P507" s="5" t="inlineStr">
        <is>
          <t>Unchanged</t>
        </is>
      </c>
      <c r="Q507" s="20" t="inlineStr">
        <is>
          <t>Author assertion</t>
        </is>
      </c>
      <c r="R507" s="5" t="inlineStr"/>
      <c r="S507" s="8" t="inlineStr">
        <is>
          <t>GST</t>
        </is>
      </c>
      <c r="T507" s="5" t="inlineStr">
        <is>
          <t>GST and tax compliance</t>
        </is>
      </c>
      <c r="U507" s="8" t="inlineStr"/>
      <c r="V507" s="8" t="inlineStr">
        <is>
          <t>accounting</t>
        </is>
      </c>
      <c r="W507" s="8" t="inlineStr">
        <is>
          <t>CONTROL</t>
        </is>
      </c>
      <c r="X507" s="5" t="inlineStr">
        <is>
          <t>Core</t>
        </is>
      </c>
      <c r="Y507" s="5" t="inlineStr">
        <is>
          <t>Accountant</t>
        </is>
      </c>
      <c r="Z507" s="5" t="inlineStr">
        <is>
          <t>Critical</t>
        </is>
      </c>
      <c r="AA507" s="5" t="inlineStr">
        <is>
          <t>High</t>
        </is>
      </c>
      <c r="AB507" s="8" t="inlineStr">
        <is>
          <t>High</t>
        </is>
      </c>
      <c r="AC507" s="8" t="inlineStr">
        <is>
          <t>Pilot</t>
        </is>
      </c>
      <c r="AD507" s="5" t="inlineStr">
        <is>
          <t>Not independently checked</t>
        </is>
      </c>
      <c r="AE507" s="5" t="inlineStr">
        <is>
          <t>Not verified</t>
        </is>
      </c>
      <c r="AF507" s="5" t="inlineStr">
        <is>
          <t>Not verified</t>
        </is>
      </c>
      <c r="AG507" s="5" t="inlineStr">
        <is>
          <t>Not verified</t>
        </is>
      </c>
      <c r="AH507" s="5" t="inlineStr">
        <is>
          <t>Not verified</t>
        </is>
      </c>
      <c r="AI507" s="8" t="inlineStr">
        <is>
          <t>No</t>
        </is>
      </c>
      <c r="AJ507" s="8" t="inlineStr">
        <is>
          <t>Claimed - unverified</t>
        </is>
      </c>
      <c r="AK507" s="8" t="inlineStr">
        <is>
          <t>P1</t>
        </is>
      </c>
      <c r="AL507" s="8" t="n">
        <v>27</v>
      </c>
      <c r="AM507" s="5" t="inlineStr"/>
      <c r="AN507" s="5" t="inlineStr"/>
      <c r="AO507" s="5" t="inlineStr"/>
      <c r="AP507" s="5" t="inlineStr"/>
      <c r="AQ507" s="5" t="inlineStr"/>
      <c r="AR507" s="5" t="inlineStr"/>
      <c r="AS507" s="5" t="inlineStr"/>
      <c r="AT507" s="5" t="inlineStr"/>
      <c r="AU507" s="8" t="inlineStr">
        <is>
          <t>Not run</t>
        </is>
      </c>
    </row>
    <row r="508" ht="32" customHeight="1">
      <c r="A508" s="16" t="inlineStr">
        <is>
          <t>P-0507</t>
        </is>
      </c>
      <c r="B508" s="8" t="inlineStr">
        <is>
          <t>P</t>
        </is>
      </c>
      <c r="C508" s="5" t="inlineStr">
        <is>
          <t>External CA / Statutory Auditor</t>
        </is>
      </c>
      <c r="D508" s="5" t="inlineStr">
        <is>
          <t>Security / Exception / Recovery</t>
        </is>
      </c>
      <c r="E508" s="5" t="inlineStr">
        <is>
          <t>Audit MCA mandated immutable audit trail (Rule 11(g) Companies Audit Rules)</t>
        </is>
      </c>
      <c r="F508" s="5" t="inlineStr">
        <is>
          <t>Statutory Auditor</t>
        </is>
      </c>
      <c r="G508" s="5" t="inlineStr">
        <is>
          <t>Managing Proprietor</t>
        </is>
      </c>
      <c r="H508" s="5" t="inlineStr">
        <is>
          <t>Verify that accounting software maintains unbroken, tamper-proof edit logs without disabled periods</t>
        </is>
      </c>
      <c r="I508" s="5" t="inlineStr">
        <is>
          <t>Generates Audit Trail Certification Report proving edit logging was active throughout FY</t>
        </is>
      </c>
      <c r="J508" s="19" t="inlineStr">
        <is>
          <t>P0</t>
        </is>
      </c>
      <c r="K508" s="23" t="inlineStr">
        <is>
          <t>Partial</t>
        </is>
      </c>
      <c r="L508" s="5" t="inlineStr">
        <is>
          <t>Core compliance invariant: Django SimpleHistory audit trail strictly conforms to MCA Rule 11(g).</t>
        </is>
      </c>
      <c r="M508" s="8" t="inlineStr">
        <is>
          <t>Baseline</t>
        </is>
      </c>
      <c r="N508" s="8" t="inlineStr">
        <is>
          <t>Operational role</t>
        </is>
      </c>
      <c r="O508" s="8" t="inlineStr">
        <is>
          <t>P0</t>
        </is>
      </c>
      <c r="P508" s="5" t="inlineStr">
        <is>
          <t>Unchanged</t>
        </is>
      </c>
      <c r="Q508" s="23" t="inlineStr">
        <is>
          <t>Partial</t>
        </is>
      </c>
      <c r="R508" s="5" t="inlineStr">
        <is>
          <t>django-simple-history is not a dependency. The note names the wrong audit mechanism.</t>
        </is>
      </c>
      <c r="S508" s="8" t="inlineStr">
        <is>
          <t>OTHER</t>
        </is>
      </c>
      <c r="T508" s="5" t="inlineStr">
        <is>
          <t>Security / Exception / Recovery</t>
        </is>
      </c>
      <c r="U508" s="8" t="inlineStr"/>
      <c r="V508" s="8" t="inlineStr"/>
      <c r="W508" s="8" t="inlineStr">
        <is>
          <t>CONTROL</t>
        </is>
      </c>
      <c r="X508" s="5" t="inlineStr">
        <is>
          <t>Core</t>
        </is>
      </c>
      <c r="Y508" s="5" t="inlineStr">
        <is>
          <t>Accountant</t>
        </is>
      </c>
      <c r="Z508" s="5" t="inlineStr">
        <is>
          <t>High</t>
        </is>
      </c>
      <c r="AA508" s="5" t="inlineStr">
        <is>
          <t>Medium</t>
        </is>
      </c>
      <c r="AB508" s="8" t="inlineStr">
        <is>
          <t>Medium</t>
        </is>
      </c>
      <c r="AC508" s="8" t="inlineStr">
        <is>
          <t>MVP</t>
        </is>
      </c>
      <c r="AD508" s="5" t="inlineStr">
        <is>
          <t>Partial</t>
        </is>
      </c>
      <c r="AE508" s="5" t="inlineStr">
        <is>
          <t>Not verified</t>
        </is>
      </c>
      <c r="AF508" s="5" t="inlineStr">
        <is>
          <t>Not verified</t>
        </is>
      </c>
      <c r="AG508" s="5" t="inlineStr">
        <is>
          <t>Not verified</t>
        </is>
      </c>
      <c r="AH508" s="5" t="inlineStr">
        <is>
          <t>Not verified</t>
        </is>
      </c>
      <c r="AI508" s="8" t="inlineStr">
        <is>
          <t>No</t>
        </is>
      </c>
      <c r="AJ508" s="8" t="inlineStr">
        <is>
          <t>Built - partial</t>
        </is>
      </c>
      <c r="AK508" s="8" t="inlineStr">
        <is>
          <t>P0</t>
        </is>
      </c>
      <c r="AL508" s="8" t="n">
        <v>12</v>
      </c>
      <c r="AM508" s="5" t="inlineStr"/>
      <c r="AN508" s="5" t="inlineStr"/>
      <c r="AO508" s="5" t="inlineStr"/>
      <c r="AP508" s="5" t="inlineStr"/>
      <c r="AQ508" s="5" t="inlineStr"/>
      <c r="AR508" s="5" t="inlineStr"/>
      <c r="AS508" s="5" t="inlineStr"/>
      <c r="AT508" s="5" t="inlineStr"/>
      <c r="AU508" s="8" t="inlineStr">
        <is>
          <t>Not run</t>
        </is>
      </c>
    </row>
    <row r="509" ht="32" customHeight="1">
      <c r="A509" s="16" t="inlineStr">
        <is>
          <t>P-0508</t>
        </is>
      </c>
      <c r="B509" s="8" t="inlineStr">
        <is>
          <t>P</t>
        </is>
      </c>
      <c r="C509" s="5" t="inlineStr">
        <is>
          <t>External CA / Statutory Auditor</t>
        </is>
      </c>
      <c r="D509" s="5" t="inlineStr">
        <is>
          <t>Import / Export / Period Close</t>
        </is>
      </c>
      <c r="E509" s="5" t="inlineStr">
        <is>
          <t>Export audited financial vouchers to external CA software (Tally / Computax / Winman)</t>
        </is>
      </c>
      <c r="F509" s="5" t="inlineStr">
        <is>
          <t>External CA / Auditor</t>
        </is>
      </c>
      <c r="G509" s="5" t="inlineStr">
        <is>
          <t>None</t>
        </is>
      </c>
      <c r="H509" s="5" t="inlineStr">
        <is>
          <t>Seamless export of full year's vouchers into Tally XML format for final tax computation</t>
        </is>
      </c>
      <c r="I509" s="5" t="inlineStr">
        <is>
          <t>Generates clean Tally-compliant XML voucher dataset with ledger masters and inventory items</t>
        </is>
      </c>
      <c r="J509" s="20" t="inlineStr">
        <is>
          <t>P1</t>
        </is>
      </c>
      <c r="K509" s="20" t="inlineStr">
        <is>
          <t>Validated (Supported)</t>
        </is>
      </c>
      <c r="L509" s="5" t="inlineStr">
        <is>
          <t>Supported via /accounting/export/tally-xml/.</t>
        </is>
      </c>
      <c r="M509" s="8" t="inlineStr">
        <is>
          <t>Baseline</t>
        </is>
      </c>
      <c r="N509" s="8" t="inlineStr">
        <is>
          <t>Operational role</t>
        </is>
      </c>
      <c r="O509" s="8" t="inlineStr">
        <is>
          <t>P1</t>
        </is>
      </c>
      <c r="P509" s="5" t="inlineStr">
        <is>
          <t>Unchanged</t>
        </is>
      </c>
      <c r="Q509" s="20" t="inlineStr">
        <is>
          <t>Author assertion</t>
        </is>
      </c>
      <c r="R509" s="5" t="inlineStr"/>
      <c r="S509" s="8" t="inlineStr">
        <is>
          <t>CLOSE</t>
        </is>
      </c>
      <c r="T509" s="5" t="inlineStr">
        <is>
          <t>Import, export, and period close</t>
        </is>
      </c>
      <c r="U509" s="8" t="inlineStr"/>
      <c r="V509" s="8" t="inlineStr">
        <is>
          <t>accounting</t>
        </is>
      </c>
      <c r="W509" s="8" t="inlineStr">
        <is>
          <t>CONTROL</t>
        </is>
      </c>
      <c r="X509" s="5" t="inlineStr">
        <is>
          <t>Core</t>
        </is>
      </c>
      <c r="Y509" s="5" t="inlineStr">
        <is>
          <t>Accountant</t>
        </is>
      </c>
      <c r="Z509" s="5" t="inlineStr">
        <is>
          <t>Medium</t>
        </is>
      </c>
      <c r="AA509" s="5" t="inlineStr">
        <is>
          <t>Medium</t>
        </is>
      </c>
      <c r="AB509" s="8" t="inlineStr">
        <is>
          <t>Low</t>
        </is>
      </c>
      <c r="AC509" s="8" t="inlineStr">
        <is>
          <t>Pilot</t>
        </is>
      </c>
      <c r="AD509" s="5" t="inlineStr">
        <is>
          <t>Not independently checked</t>
        </is>
      </c>
      <c r="AE509" s="5" t="inlineStr">
        <is>
          <t>Not verified</t>
        </is>
      </c>
      <c r="AF509" s="5" t="inlineStr">
        <is>
          <t>Not verified</t>
        </is>
      </c>
      <c r="AG509" s="5" t="inlineStr">
        <is>
          <t>Not verified</t>
        </is>
      </c>
      <c r="AH509" s="5" t="inlineStr">
        <is>
          <t>Not verified</t>
        </is>
      </c>
      <c r="AI509" s="8" t="inlineStr">
        <is>
          <t>No</t>
        </is>
      </c>
      <c r="AJ509" s="8" t="inlineStr">
        <is>
          <t>Claimed - unverified</t>
        </is>
      </c>
      <c r="AK509" s="8" t="inlineStr">
        <is>
          <t>P1</t>
        </is>
      </c>
      <c r="AL509" s="8" t="n">
        <v>6</v>
      </c>
      <c r="AM509" s="5" t="inlineStr"/>
      <c r="AN509" s="5" t="inlineStr"/>
      <c r="AO509" s="5" t="inlineStr"/>
      <c r="AP509" s="5" t="inlineStr"/>
      <c r="AQ509" s="5" t="inlineStr"/>
      <c r="AR509" s="5" t="inlineStr"/>
      <c r="AS509" s="5" t="inlineStr"/>
      <c r="AT509" s="5" t="inlineStr"/>
      <c r="AU509" s="8" t="inlineStr">
        <is>
          <t>Not run</t>
        </is>
      </c>
    </row>
    <row r="510" ht="32" customHeight="1">
      <c r="A510" s="16" t="inlineStr">
        <is>
          <t>P-0509</t>
        </is>
      </c>
      <c r="B510" s="8" t="inlineStr">
        <is>
          <t>P</t>
        </is>
      </c>
      <c r="C510" s="5" t="inlineStr">
        <is>
          <t>Assembly / Production Supervisor</t>
        </is>
      </c>
      <c r="D510" s="5" t="inlineStr">
        <is>
          <t>Inventory Lifecycle</t>
        </is>
      </c>
      <c r="E510" s="5" t="inlineStr">
        <is>
          <t>Define Bill of Materials (BOM) for kit assembly or bulk repackaging</t>
        </is>
      </c>
      <c r="F510" s="5" t="inlineStr">
        <is>
          <t>Production Supervisor</t>
        </is>
      </c>
      <c r="G510" s="5" t="inlineStr">
        <is>
          <t>Inventory Manager</t>
        </is>
      </c>
      <c r="H510" s="5" t="inlineStr">
        <is>
          <t>Specify exact raw materials, packaging pouches, and quantities required to produce finished SKU</t>
        </is>
      </c>
      <c r="I510" s="5" t="inlineStr">
        <is>
          <t>Creates BillOfMaterials master; links component SKUs, scrap factors, and yield ratios</t>
        </is>
      </c>
      <c r="J510" s="20" t="inlineStr">
        <is>
          <t>P1</t>
        </is>
      </c>
      <c r="K510" s="20" t="inlineStr">
        <is>
          <t>Validated (Supported)</t>
        </is>
      </c>
      <c r="L510" s="5" t="inlineStr">
        <is>
          <t>Supported via /manufacturing/boms/create with multi-level component definition.</t>
        </is>
      </c>
      <c r="M510" s="8" t="inlineStr">
        <is>
          <t>Baseline</t>
        </is>
      </c>
      <c r="N510" s="8" t="inlineStr">
        <is>
          <t>Operational role</t>
        </is>
      </c>
      <c r="O510" s="8" t="inlineStr">
        <is>
          <t>P1</t>
        </is>
      </c>
      <c r="P510" s="5" t="inlineStr">
        <is>
          <t>Unchanged</t>
        </is>
      </c>
      <c r="Q510" s="20" t="inlineStr">
        <is>
          <t>Author assertion</t>
        </is>
      </c>
      <c r="R510" s="5" t="inlineStr"/>
      <c r="S510" s="8" t="inlineStr">
        <is>
          <t>MFG</t>
        </is>
      </c>
      <c r="T510" s="5" t="inlineStr">
        <is>
          <t>Manufacture and assemble</t>
        </is>
      </c>
      <c r="U510" s="8" t="inlineStr">
        <is>
          <t>1</t>
        </is>
      </c>
      <c r="V510" s="8" t="inlineStr">
        <is>
          <t>manufacturing</t>
        </is>
      </c>
      <c r="W510" s="8" t="inlineStr">
        <is>
          <t>RUN</t>
        </is>
      </c>
      <c r="X510" s="5" t="inlineStr">
        <is>
          <t>Core</t>
        </is>
      </c>
      <c r="Y510" s="5" t="inlineStr">
        <is>
          <t>Production</t>
        </is>
      </c>
      <c r="Z510" s="5" t="inlineStr">
        <is>
          <t>High</t>
        </is>
      </c>
      <c r="AA510" s="5" t="inlineStr">
        <is>
          <t>High</t>
        </is>
      </c>
      <c r="AB510" s="8" t="inlineStr">
        <is>
          <t>Low</t>
        </is>
      </c>
      <c r="AC510" s="8" t="inlineStr">
        <is>
          <t>Pilot</t>
        </is>
      </c>
      <c r="AD510" s="5" t="inlineStr">
        <is>
          <t>Not independently checked</t>
        </is>
      </c>
      <c r="AE510" s="5" t="inlineStr">
        <is>
          <t>Not verified</t>
        </is>
      </c>
      <c r="AF510" s="5" t="inlineStr">
        <is>
          <t>Not verified</t>
        </is>
      </c>
      <c r="AG510" s="5" t="inlineStr">
        <is>
          <t>Not verified</t>
        </is>
      </c>
      <c r="AH510" s="5" t="inlineStr">
        <is>
          <t>Not verified</t>
        </is>
      </c>
      <c r="AI510" s="8" t="inlineStr">
        <is>
          <t>No</t>
        </is>
      </c>
      <c r="AJ510" s="8" t="inlineStr">
        <is>
          <t>Claimed - unverified</t>
        </is>
      </c>
      <c r="AK510" s="8" t="inlineStr">
        <is>
          <t>P1</t>
        </is>
      </c>
      <c r="AL510" s="8" t="n">
        <v>9</v>
      </c>
      <c r="AM510" s="5" t="inlineStr"/>
      <c r="AN510" s="5" t="inlineStr"/>
      <c r="AO510" s="5" t="inlineStr"/>
      <c r="AP510" s="5" t="inlineStr"/>
      <c r="AQ510" s="5" t="inlineStr"/>
      <c r="AR510" s="5" t="inlineStr"/>
      <c r="AS510" s="5" t="inlineStr"/>
      <c r="AT510" s="5" t="inlineStr"/>
      <c r="AU510" s="8" t="inlineStr">
        <is>
          <t>Not run</t>
        </is>
      </c>
    </row>
    <row r="511" ht="32" customHeight="1">
      <c r="A511" s="16" t="inlineStr">
        <is>
          <t>P-0510</t>
        </is>
      </c>
      <c r="B511" s="8" t="inlineStr">
        <is>
          <t>P</t>
        </is>
      </c>
      <c r="C511" s="5" t="inlineStr">
        <is>
          <t>Assembly / Production Supervisor</t>
        </is>
      </c>
      <c r="D511" s="5" t="inlineStr">
        <is>
          <t>Inventory Lifecycle</t>
        </is>
      </c>
      <c r="E511" s="5" t="inlineStr">
        <is>
          <t>Issue raw materials to production work order</t>
        </is>
      </c>
      <c r="F511" s="5" t="inlineStr">
        <is>
          <t>Production Supervisor</t>
        </is>
      </c>
      <c r="G511" s="5" t="inlineStr">
        <is>
          <t>Godown Custodian</t>
        </is>
      </c>
      <c r="H511" s="5" t="inlineStr">
        <is>
          <t>Deduct bulk grains, chemicals, or packaging material from warehouse for assembly line</t>
        </is>
      </c>
      <c r="I511" s="5" t="inlineStr">
        <is>
          <t>Creates StockMovement (CONSUMPTION_OUTWARD); reduces raw material stock balance</t>
        </is>
      </c>
      <c r="J511" s="20" t="inlineStr">
        <is>
          <t>P1</t>
        </is>
      </c>
      <c r="K511" s="20" t="inlineStr">
        <is>
          <t>Validated (Supported)</t>
        </is>
      </c>
      <c r="L511" s="5" t="inlineStr">
        <is>
          <t>Supported via WorkOrder execution step; decrements component stock atomically.</t>
        </is>
      </c>
      <c r="M511" s="8" t="inlineStr">
        <is>
          <t>Baseline</t>
        </is>
      </c>
      <c r="N511" s="8" t="inlineStr">
        <is>
          <t>Operational role</t>
        </is>
      </c>
      <c r="O511" s="8" t="inlineStr">
        <is>
          <t>P1</t>
        </is>
      </c>
      <c r="P511" s="5" t="inlineStr">
        <is>
          <t>Restored to authored P1. The previous workbook had P0 after a keyword rebalance.</t>
        </is>
      </c>
      <c r="Q511" s="21" t="inlineStr">
        <is>
          <t>Code symbol found</t>
        </is>
      </c>
      <c r="R511" s="5" t="inlineStr">
        <is>
          <t>Matched WorkOrder in product code. This is not a functional test. Restored to authored P1. The previous workbook had P0 after a keyword rebalance.</t>
        </is>
      </c>
      <c r="S511" s="8" t="inlineStr">
        <is>
          <t>MFG</t>
        </is>
      </c>
      <c r="T511" s="5" t="inlineStr">
        <is>
          <t>Manufacture and assemble</t>
        </is>
      </c>
      <c r="U511" s="8" t="inlineStr">
        <is>
          <t>4</t>
        </is>
      </c>
      <c r="V511" s="8" t="inlineStr">
        <is>
          <t>manufacturing</t>
        </is>
      </c>
      <c r="W511" s="8" t="inlineStr">
        <is>
          <t>RUN</t>
        </is>
      </c>
      <c r="X511" s="5" t="inlineStr">
        <is>
          <t>Core</t>
        </is>
      </c>
      <c r="Y511" s="5" t="inlineStr">
        <is>
          <t>Production</t>
        </is>
      </c>
      <c r="Z511" s="5" t="inlineStr">
        <is>
          <t>High</t>
        </is>
      </c>
      <c r="AA511" s="5" t="inlineStr">
        <is>
          <t>High</t>
        </is>
      </c>
      <c r="AB511" s="8" t="inlineStr">
        <is>
          <t>Low</t>
        </is>
      </c>
      <c r="AC511" s="8" t="inlineStr">
        <is>
          <t>Pilot</t>
        </is>
      </c>
      <c r="AD511" s="5" t="inlineStr">
        <is>
          <t>Cited in code</t>
        </is>
      </c>
      <c r="AE511" s="5" t="inlineStr">
        <is>
          <t>Not verified</t>
        </is>
      </c>
      <c r="AF511" s="5" t="inlineStr">
        <is>
          <t>Not verified</t>
        </is>
      </c>
      <c r="AG511" s="5" t="inlineStr">
        <is>
          <t>Not verified</t>
        </is>
      </c>
      <c r="AH511" s="5" t="inlineStr">
        <is>
          <t>Not verified</t>
        </is>
      </c>
      <c r="AI511" s="8" t="inlineStr">
        <is>
          <t>No</t>
        </is>
      </c>
      <c r="AJ511" s="8" t="inlineStr">
        <is>
          <t>Built - unverified</t>
        </is>
      </c>
      <c r="AK511" s="8" t="inlineStr">
        <is>
          <t>P1</t>
        </is>
      </c>
      <c r="AL511" s="8" t="n">
        <v>9</v>
      </c>
      <c r="AM511" s="5" t="inlineStr"/>
      <c r="AN511" s="5" t="inlineStr"/>
      <c r="AO511" s="5" t="inlineStr"/>
      <c r="AP511" s="5" t="inlineStr">
        <is>
          <t>F-0754</t>
        </is>
      </c>
      <c r="AQ511" s="5" t="inlineStr"/>
      <c r="AR511" s="5" t="inlineStr"/>
      <c r="AS511" s="5" t="inlineStr"/>
      <c r="AT511" s="5" t="inlineStr"/>
      <c r="AU511" s="8" t="inlineStr">
        <is>
          <t>Not run</t>
        </is>
      </c>
    </row>
    <row r="512" ht="32" customHeight="1">
      <c r="A512" s="16" t="inlineStr">
        <is>
          <t>P-0511</t>
        </is>
      </c>
      <c r="B512" s="8" t="inlineStr">
        <is>
          <t>P</t>
        </is>
      </c>
      <c r="C512" s="5" t="inlineStr">
        <is>
          <t>Assembly / Production Supervisor</t>
        </is>
      </c>
      <c r="D512" s="5" t="inlineStr">
        <is>
          <t>Inventory Lifecycle</t>
        </is>
      </c>
      <c r="E512" s="5" t="inlineStr">
        <is>
          <t>Record finished goods receipt and waste / scrap shrinkage</t>
        </is>
      </c>
      <c r="F512" s="5" t="inlineStr">
        <is>
          <t>Production Supervisor</t>
        </is>
      </c>
      <c r="G512" s="5" t="inlineStr">
        <is>
          <t>Godown Custodian</t>
        </is>
      </c>
      <c r="H512" s="5" t="inlineStr">
        <is>
          <t>Inward packaged retail pouches or assembled kits into finished goods inventory warehouse</t>
        </is>
      </c>
      <c r="I512" s="5" t="inlineStr">
        <is>
          <t>Creates StockMovement (PRODUCTION_INWARD); records manufacturing batch number and scrap %</t>
        </is>
      </c>
      <c r="J512" s="20" t="inlineStr">
        <is>
          <t>P1</t>
        </is>
      </c>
      <c r="K512" s="20" t="inlineStr">
        <is>
          <t>Validated (Supported)</t>
        </is>
      </c>
      <c r="L512" s="5" t="inlineStr">
        <is>
          <t>Supported via WorkOrder completion screen; generates finished product batch lot.</t>
        </is>
      </c>
      <c r="M512" s="8" t="inlineStr">
        <is>
          <t>Baseline</t>
        </is>
      </c>
      <c r="N512" s="8" t="inlineStr">
        <is>
          <t>Operational role</t>
        </is>
      </c>
      <c r="O512" s="8" t="inlineStr">
        <is>
          <t>P1</t>
        </is>
      </c>
      <c r="P512" s="5" t="inlineStr">
        <is>
          <t>Unchanged</t>
        </is>
      </c>
      <c r="Q512" s="21" t="inlineStr">
        <is>
          <t>Code symbol found</t>
        </is>
      </c>
      <c r="R512" s="5" t="inlineStr">
        <is>
          <t>Matched WorkOrder in product code. This is not a functional test.</t>
        </is>
      </c>
      <c r="S512" s="8" t="inlineStr">
        <is>
          <t>INV</t>
        </is>
      </c>
      <c r="T512" s="5" t="inlineStr">
        <is>
          <t>Inventory lifecycle</t>
        </is>
      </c>
      <c r="U512" s="8" t="inlineStr"/>
      <c r="V512" s="8" t="inlineStr">
        <is>
          <t>inventory</t>
        </is>
      </c>
      <c r="W512" s="8" t="inlineStr">
        <is>
          <t>RUN</t>
        </is>
      </c>
      <c r="X512" s="5" t="inlineStr">
        <is>
          <t>Core</t>
        </is>
      </c>
      <c r="Y512" s="5" t="inlineStr">
        <is>
          <t>Production</t>
        </is>
      </c>
      <c r="Z512" s="5" t="inlineStr">
        <is>
          <t>High</t>
        </is>
      </c>
      <c r="AA512" s="5" t="inlineStr">
        <is>
          <t>High</t>
        </is>
      </c>
      <c r="AB512" s="8" t="inlineStr">
        <is>
          <t>Low</t>
        </is>
      </c>
      <c r="AC512" s="8" t="inlineStr">
        <is>
          <t>Pilot</t>
        </is>
      </c>
      <c r="AD512" s="5" t="inlineStr">
        <is>
          <t>Cited in code</t>
        </is>
      </c>
      <c r="AE512" s="5" t="inlineStr">
        <is>
          <t>Not verified</t>
        </is>
      </c>
      <c r="AF512" s="5" t="inlineStr">
        <is>
          <t>Not verified</t>
        </is>
      </c>
      <c r="AG512" s="5" t="inlineStr">
        <is>
          <t>Not verified</t>
        </is>
      </c>
      <c r="AH512" s="5" t="inlineStr">
        <is>
          <t>Not verified</t>
        </is>
      </c>
      <c r="AI512" s="8" t="inlineStr">
        <is>
          <t>No</t>
        </is>
      </c>
      <c r="AJ512" s="8" t="inlineStr">
        <is>
          <t>Built - unverified</t>
        </is>
      </c>
      <c r="AK512" s="8" t="inlineStr">
        <is>
          <t>P1</t>
        </is>
      </c>
      <c r="AL512" s="8" t="n">
        <v>9</v>
      </c>
      <c r="AM512" s="5" t="inlineStr"/>
      <c r="AN512" s="5" t="inlineStr"/>
      <c r="AO512" s="5" t="inlineStr"/>
      <c r="AP512" s="5" t="inlineStr"/>
      <c r="AQ512" s="5" t="inlineStr"/>
      <c r="AR512" s="5" t="inlineStr"/>
      <c r="AS512" s="5" t="inlineStr"/>
      <c r="AT512" s="5" t="inlineStr"/>
      <c r="AU512" s="8" t="inlineStr">
        <is>
          <t>Not run</t>
        </is>
      </c>
    </row>
    <row r="513" ht="32" customHeight="1">
      <c r="A513" s="16" t="inlineStr">
        <is>
          <t>P-0512</t>
        </is>
      </c>
      <c r="B513" s="8" t="inlineStr">
        <is>
          <t>P</t>
        </is>
      </c>
      <c r="C513" s="5" t="inlineStr">
        <is>
          <t>Assembly / Production Supervisor</t>
        </is>
      </c>
      <c r="D513" s="5" t="inlineStr">
        <is>
          <t>Inventory Lifecycle</t>
        </is>
      </c>
      <c r="E513" s="5" t="inlineStr">
        <is>
          <t>Calculate finished goods unit cost including labor and packaging overhead</t>
        </is>
      </c>
      <c r="F513" s="5" t="inlineStr">
        <is>
          <t>Cost Accountant / Supervisor</t>
        </is>
      </c>
      <c r="G513" s="5" t="inlineStr">
        <is>
          <t>In-house Accountant</t>
        </is>
      </c>
      <c r="H513" s="5" t="inlineStr">
        <is>
          <t>Determine true capitalized landed cost of manufactured SKU for accurate gross margin tracking</t>
        </is>
      </c>
      <c r="I513" s="5" t="inlineStr">
        <is>
          <t>Aggregates raw material FIFO costs + packaging cost + labor overhead = Finished SKU Cost</t>
        </is>
      </c>
      <c r="J513" s="20" t="inlineStr">
        <is>
          <t>P1</t>
        </is>
      </c>
      <c r="K513" s="20" t="inlineStr">
        <is>
          <t>Validated (Supported)</t>
        </is>
      </c>
      <c r="L513" s="5" t="inlineStr">
        <is>
          <t>Automated BOM unit cost rollup engine based on perpetual FIFO component costs.</t>
        </is>
      </c>
      <c r="M513" s="8" t="inlineStr">
        <is>
          <t>Baseline</t>
        </is>
      </c>
      <c r="N513" s="8" t="inlineStr">
        <is>
          <t>Operational role</t>
        </is>
      </c>
      <c r="O513" s="8" t="inlineStr">
        <is>
          <t>P1</t>
        </is>
      </c>
      <c r="P513" s="5" t="inlineStr">
        <is>
          <t>Unchanged</t>
        </is>
      </c>
      <c r="Q513" s="20" t="inlineStr">
        <is>
          <t>Author assertion</t>
        </is>
      </c>
      <c r="R513" s="5" t="inlineStr"/>
      <c r="S513" s="8" t="inlineStr">
        <is>
          <t>MFG</t>
        </is>
      </c>
      <c r="T513" s="5" t="inlineStr">
        <is>
          <t>Manufacture and assemble</t>
        </is>
      </c>
      <c r="U513" s="8" t="inlineStr">
        <is>
          <t>6</t>
        </is>
      </c>
      <c r="V513" s="8" t="inlineStr">
        <is>
          <t>manufacturing</t>
        </is>
      </c>
      <c r="W513" s="8" t="inlineStr">
        <is>
          <t>RUN</t>
        </is>
      </c>
      <c r="X513" s="5" t="inlineStr">
        <is>
          <t>Core</t>
        </is>
      </c>
      <c r="Y513" s="5" t="inlineStr">
        <is>
          <t>Production</t>
        </is>
      </c>
      <c r="Z513" s="5" t="inlineStr">
        <is>
          <t>High</t>
        </is>
      </c>
      <c r="AA513" s="5" t="inlineStr">
        <is>
          <t>High</t>
        </is>
      </c>
      <c r="AB513" s="8" t="inlineStr">
        <is>
          <t>Low</t>
        </is>
      </c>
      <c r="AC513" s="8" t="inlineStr">
        <is>
          <t>Pilot</t>
        </is>
      </c>
      <c r="AD513" s="5" t="inlineStr">
        <is>
          <t>Not independently checked</t>
        </is>
      </c>
      <c r="AE513" s="5" t="inlineStr">
        <is>
          <t>Not verified</t>
        </is>
      </c>
      <c r="AF513" s="5" t="inlineStr">
        <is>
          <t>Not verified</t>
        </is>
      </c>
      <c r="AG513" s="5" t="inlineStr">
        <is>
          <t>Not verified</t>
        </is>
      </c>
      <c r="AH513" s="5" t="inlineStr">
        <is>
          <t>Not verified</t>
        </is>
      </c>
      <c r="AI513" s="8" t="inlineStr">
        <is>
          <t>No</t>
        </is>
      </c>
      <c r="AJ513" s="8" t="inlineStr">
        <is>
          <t>Claimed - unverified</t>
        </is>
      </c>
      <c r="AK513" s="8" t="inlineStr">
        <is>
          <t>P1</t>
        </is>
      </c>
      <c r="AL513" s="8" t="n">
        <v>9</v>
      </c>
      <c r="AM513" s="5" t="inlineStr"/>
      <c r="AN513" s="5" t="inlineStr"/>
      <c r="AO513" s="5" t="inlineStr"/>
      <c r="AP513" s="5" t="inlineStr">
        <is>
          <t>F-0755</t>
        </is>
      </c>
      <c r="AQ513" s="5" t="inlineStr"/>
      <c r="AR513" s="5" t="inlineStr"/>
      <c r="AS513" s="5" t="inlineStr"/>
      <c r="AT513" s="5" t="inlineStr"/>
      <c r="AU513" s="8" t="inlineStr">
        <is>
          <t>Not run</t>
        </is>
      </c>
    </row>
    <row r="514" ht="32" customHeight="1">
      <c r="A514" s="16" t="inlineStr">
        <is>
          <t>X-0513</t>
        </is>
      </c>
      <c r="B514" s="8" t="inlineStr">
        <is>
          <t>X</t>
        </is>
      </c>
      <c r="C514" s="5" t="inlineStr">
        <is>
          <t>Multiple / Cross-persona</t>
        </is>
      </c>
      <c r="D514" s="5" t="inlineStr">
        <is>
          <t>GST / Tax / Compliance</t>
        </is>
      </c>
      <c r="E514" s="5" t="inlineStr">
        <is>
          <t>Generate E-Way Bill Part A &amp; Part B for transport consignments &gt; ₹50,000</t>
        </is>
      </c>
      <c r="F514" s="5" t="inlineStr">
        <is>
          <t>Billing Clerk / Logistics Dispatcher</t>
        </is>
      </c>
      <c r="G514" s="5" t="inlineStr">
        <is>
          <t>Delivery Driver</t>
        </is>
      </c>
      <c r="H514" s="5" t="inlineStr">
        <is>
          <t>Statutory compliance for moving goods across state or intra-state above ₹50,000 threshold</t>
        </is>
      </c>
      <c r="I514" s="5" t="inlineStr">
        <is>
          <t>Generates 12-digit E-Way Bill Number (EWB); attaches vehicle number and transport distance</t>
        </is>
      </c>
      <c r="J514" s="19" t="inlineStr">
        <is>
          <t>P0</t>
        </is>
      </c>
      <c r="K514" s="20" t="inlineStr">
        <is>
          <t>Validated (Supported)</t>
        </is>
      </c>
      <c r="L514" s="5" t="inlineStr">
        <is>
          <t>Supported via NIC E-Way Bill offline JSON generator and direct GSP API integration.</t>
        </is>
      </c>
      <c r="M514" s="8" t="inlineStr">
        <is>
          <t>Baseline</t>
        </is>
      </c>
      <c r="N514" s="8" t="inlineStr">
        <is>
          <t>Cross-persona</t>
        </is>
      </c>
      <c r="O514" s="8" t="inlineStr">
        <is>
          <t>P0</t>
        </is>
      </c>
      <c r="P514" s="5" t="inlineStr">
        <is>
          <t>Unchanged</t>
        </is>
      </c>
      <c r="Q514" s="20" t="inlineStr">
        <is>
          <t>Author assertion</t>
        </is>
      </c>
      <c r="R514" s="5" t="inlineStr"/>
      <c r="S514" s="8" t="inlineStr">
        <is>
          <t>GST</t>
        </is>
      </c>
      <c r="T514" s="5" t="inlineStr">
        <is>
          <t>GST and tax compliance</t>
        </is>
      </c>
      <c r="U514" s="8" t="inlineStr"/>
      <c r="V514" s="8" t="inlineStr">
        <is>
          <t>accounting</t>
        </is>
      </c>
      <c r="W514" s="8" t="inlineStr">
        <is>
          <t>CONTROL</t>
        </is>
      </c>
      <c r="X514" s="5" t="inlineStr">
        <is>
          <t>Core</t>
        </is>
      </c>
      <c r="Y514" s="5" t="inlineStr">
        <is>
          <t>Cross-persona</t>
        </is>
      </c>
      <c r="Z514" s="5" t="inlineStr">
        <is>
          <t>Critical</t>
        </is>
      </c>
      <c r="AA514" s="5" t="inlineStr">
        <is>
          <t>High</t>
        </is>
      </c>
      <c r="AB514" s="8" t="inlineStr">
        <is>
          <t>High</t>
        </is>
      </c>
      <c r="AC514" s="8" t="inlineStr">
        <is>
          <t>MVP</t>
        </is>
      </c>
      <c r="AD514" s="5" t="inlineStr">
        <is>
          <t>Not independently checked</t>
        </is>
      </c>
      <c r="AE514" s="5" t="inlineStr">
        <is>
          <t>Not verified</t>
        </is>
      </c>
      <c r="AF514" s="5" t="inlineStr">
        <is>
          <t>Not verified</t>
        </is>
      </c>
      <c r="AG514" s="5" t="inlineStr">
        <is>
          <t>Not verified</t>
        </is>
      </c>
      <c r="AH514" s="5" t="inlineStr">
        <is>
          <t>Not verified</t>
        </is>
      </c>
      <c r="AI514" s="8" t="inlineStr">
        <is>
          <t>No</t>
        </is>
      </c>
      <c r="AJ514" s="8" t="inlineStr">
        <is>
          <t>Claimed - unverified</t>
        </is>
      </c>
      <c r="AK514" s="8" t="inlineStr">
        <is>
          <t>P0</t>
        </is>
      </c>
      <c r="AL514" s="8" t="n">
        <v>27</v>
      </c>
      <c r="AM514" s="5" t="inlineStr"/>
      <c r="AN514" s="5" t="inlineStr"/>
      <c r="AO514" s="5" t="inlineStr"/>
      <c r="AP514" s="5" t="inlineStr"/>
      <c r="AQ514" s="5" t="inlineStr"/>
      <c r="AR514" s="5" t="inlineStr"/>
      <c r="AS514" s="5" t="inlineStr"/>
      <c r="AT514" s="5" t="inlineStr"/>
      <c r="AU514" s="8" t="inlineStr">
        <is>
          <t>Not run</t>
        </is>
      </c>
    </row>
    <row r="515" ht="32" customHeight="1">
      <c r="A515" s="16" t="inlineStr">
        <is>
          <t>X-0514</t>
        </is>
      </c>
      <c r="B515" s="8" t="inlineStr">
        <is>
          <t>X</t>
        </is>
      </c>
      <c r="C515" s="5" t="inlineStr">
        <is>
          <t>Multiple / Cross-persona</t>
        </is>
      </c>
      <c r="D515" s="5" t="inlineStr">
        <is>
          <t>GST / Tax / Compliance</t>
        </is>
      </c>
      <c r="E515" s="5" t="inlineStr">
        <is>
          <t>Update transport vehicle number / Transporter ID on active E-Way Bill during breakdown</t>
        </is>
      </c>
      <c r="F515" s="5" t="inlineStr">
        <is>
          <t>Logistics Dispatcher</t>
        </is>
      </c>
      <c r="G515" s="5" t="inlineStr">
        <is>
          <t>Delivery Driver / RTO Officer</t>
        </is>
      </c>
      <c r="H515" s="5" t="inlineStr">
        <is>
          <t>Maintain valid E-Way Bill Part B when delivery truck breaks down or transshipment occurs</t>
        </is>
      </c>
      <c r="I515" s="5" t="inlineStr">
        <is>
          <t>Updates vehicle registration number on active EWB; prints updated transport endorsement</t>
        </is>
      </c>
      <c r="J515" s="19" t="inlineStr">
        <is>
          <t>P0</t>
        </is>
      </c>
      <c r="K515" s="20" t="inlineStr">
        <is>
          <t>Validated (Supported)</t>
        </is>
      </c>
      <c r="L515" s="5" t="inlineStr">
        <is>
          <t>Supported via E-Way Bill Vehicle Update action (/sales/e-way-bills/{id}/update-vehicle/).</t>
        </is>
      </c>
      <c r="M515" s="8" t="inlineStr">
        <is>
          <t>Baseline</t>
        </is>
      </c>
      <c r="N515" s="8" t="inlineStr">
        <is>
          <t>Cross-persona</t>
        </is>
      </c>
      <c r="O515" s="8" t="inlineStr">
        <is>
          <t>P0</t>
        </is>
      </c>
      <c r="P515" s="5" t="inlineStr">
        <is>
          <t>Unchanged</t>
        </is>
      </c>
      <c r="Q515" s="20" t="inlineStr">
        <is>
          <t>Author assertion</t>
        </is>
      </c>
      <c r="R515" s="5" t="inlineStr"/>
      <c r="S515" s="8" t="inlineStr">
        <is>
          <t>GST</t>
        </is>
      </c>
      <c r="T515" s="5" t="inlineStr">
        <is>
          <t>GST and tax compliance</t>
        </is>
      </c>
      <c r="U515" s="8" t="inlineStr"/>
      <c r="V515" s="8" t="inlineStr">
        <is>
          <t>accounting</t>
        </is>
      </c>
      <c r="W515" s="8" t="inlineStr">
        <is>
          <t>CONTROL</t>
        </is>
      </c>
      <c r="X515" s="5" t="inlineStr">
        <is>
          <t>Core</t>
        </is>
      </c>
      <c r="Y515" s="5" t="inlineStr">
        <is>
          <t>Cross-persona</t>
        </is>
      </c>
      <c r="Z515" s="5" t="inlineStr">
        <is>
          <t>Critical</t>
        </is>
      </c>
      <c r="AA515" s="5" t="inlineStr">
        <is>
          <t>High</t>
        </is>
      </c>
      <c r="AB515" s="8" t="inlineStr">
        <is>
          <t>High</t>
        </is>
      </c>
      <c r="AC515" s="8" t="inlineStr">
        <is>
          <t>MVP</t>
        </is>
      </c>
      <c r="AD515" s="5" t="inlineStr">
        <is>
          <t>Not independently checked</t>
        </is>
      </c>
      <c r="AE515" s="5" t="inlineStr">
        <is>
          <t>Not verified</t>
        </is>
      </c>
      <c r="AF515" s="5" t="inlineStr">
        <is>
          <t>Not verified</t>
        </is>
      </c>
      <c r="AG515" s="5" t="inlineStr">
        <is>
          <t>Not verified</t>
        </is>
      </c>
      <c r="AH515" s="5" t="inlineStr">
        <is>
          <t>Not verified</t>
        </is>
      </c>
      <c r="AI515" s="8" t="inlineStr">
        <is>
          <t>No</t>
        </is>
      </c>
      <c r="AJ515" s="8" t="inlineStr">
        <is>
          <t>Claimed - unverified</t>
        </is>
      </c>
      <c r="AK515" s="8" t="inlineStr">
        <is>
          <t>P0</t>
        </is>
      </c>
      <c r="AL515" s="8" t="n">
        <v>27</v>
      </c>
      <c r="AM515" s="5" t="inlineStr"/>
      <c r="AN515" s="5" t="inlineStr"/>
      <c r="AO515" s="5" t="inlineStr"/>
      <c r="AP515" s="5" t="inlineStr"/>
      <c r="AQ515" s="5" t="inlineStr"/>
      <c r="AR515" s="5" t="inlineStr"/>
      <c r="AS515" s="5" t="inlineStr"/>
      <c r="AT515" s="5" t="inlineStr"/>
      <c r="AU515" s="8" t="inlineStr">
        <is>
          <t>Not run</t>
        </is>
      </c>
    </row>
    <row r="516" ht="32" customHeight="1">
      <c r="A516" s="16" t="inlineStr">
        <is>
          <t>X-0515</t>
        </is>
      </c>
      <c r="B516" s="8" t="inlineStr">
        <is>
          <t>X</t>
        </is>
      </c>
      <c r="C516" s="5" t="inlineStr">
        <is>
          <t>Multiple / Cross-persona</t>
        </is>
      </c>
      <c r="D516" s="5" t="inlineStr">
        <is>
          <t>GST / Tax / Compliance</t>
        </is>
      </c>
      <c r="E516" s="5" t="inlineStr">
        <is>
          <t>Extend E-Way Bill validity before expiry due to transit delay or traffic accident</t>
        </is>
      </c>
      <c r="F516" s="5" t="inlineStr">
        <is>
          <t>Logistics Dispatcher</t>
        </is>
      </c>
      <c r="G516" s="5" t="inlineStr">
        <is>
          <t>Delivery Driver</t>
        </is>
      </c>
      <c r="H516" s="5" t="inlineStr">
        <is>
          <t>Prevent vehicle impoundment and 200% tax penalty by extending validity within 8-hour window</t>
        </is>
      </c>
      <c r="I516" s="5" t="inlineStr">
        <is>
          <t>Extends EWB validity based on remaining distance; records reason code (Accident/Traffic)</t>
        </is>
      </c>
      <c r="J516" s="19" t="inlineStr">
        <is>
          <t>P0</t>
        </is>
      </c>
      <c r="K516" s="20" t="inlineStr">
        <is>
          <t>Validated (Supported)</t>
        </is>
      </c>
      <c r="L516" s="5" t="inlineStr">
        <is>
          <t>Supported via E-Way Bill Extension workflow compliant with Rule 138(10) of CGST Rules.</t>
        </is>
      </c>
      <c r="M516" s="8" t="inlineStr">
        <is>
          <t>Baseline</t>
        </is>
      </c>
      <c r="N516" s="8" t="inlineStr">
        <is>
          <t>Cross-persona</t>
        </is>
      </c>
      <c r="O516" s="8" t="inlineStr">
        <is>
          <t>P0</t>
        </is>
      </c>
      <c r="P516" s="5" t="inlineStr">
        <is>
          <t>Unchanged</t>
        </is>
      </c>
      <c r="Q516" s="20" t="inlineStr">
        <is>
          <t>Author assertion</t>
        </is>
      </c>
      <c r="R516" s="5" t="inlineStr"/>
      <c r="S516" s="8" t="inlineStr">
        <is>
          <t>GST</t>
        </is>
      </c>
      <c r="T516" s="5" t="inlineStr">
        <is>
          <t>GST and tax compliance</t>
        </is>
      </c>
      <c r="U516" s="8" t="inlineStr"/>
      <c r="V516" s="8" t="inlineStr">
        <is>
          <t>accounting</t>
        </is>
      </c>
      <c r="W516" s="8" t="inlineStr">
        <is>
          <t>CONTROL</t>
        </is>
      </c>
      <c r="X516" s="5" t="inlineStr">
        <is>
          <t>Core</t>
        </is>
      </c>
      <c r="Y516" s="5" t="inlineStr">
        <is>
          <t>Cross-persona</t>
        </is>
      </c>
      <c r="Z516" s="5" t="inlineStr">
        <is>
          <t>Critical</t>
        </is>
      </c>
      <c r="AA516" s="5" t="inlineStr">
        <is>
          <t>High</t>
        </is>
      </c>
      <c r="AB516" s="8" t="inlineStr">
        <is>
          <t>High</t>
        </is>
      </c>
      <c r="AC516" s="8" t="inlineStr">
        <is>
          <t>MVP</t>
        </is>
      </c>
      <c r="AD516" s="5" t="inlineStr">
        <is>
          <t>Not independently checked</t>
        </is>
      </c>
      <c r="AE516" s="5" t="inlineStr">
        <is>
          <t>Not verified</t>
        </is>
      </c>
      <c r="AF516" s="5" t="inlineStr">
        <is>
          <t>Not verified</t>
        </is>
      </c>
      <c r="AG516" s="5" t="inlineStr">
        <is>
          <t>Not verified</t>
        </is>
      </c>
      <c r="AH516" s="5" t="inlineStr">
        <is>
          <t>Not verified</t>
        </is>
      </c>
      <c r="AI516" s="8" t="inlineStr">
        <is>
          <t>No</t>
        </is>
      </c>
      <c r="AJ516" s="8" t="inlineStr">
        <is>
          <t>Claimed - unverified</t>
        </is>
      </c>
      <c r="AK516" s="8" t="inlineStr">
        <is>
          <t>P0</t>
        </is>
      </c>
      <c r="AL516" s="8" t="n">
        <v>27</v>
      </c>
      <c r="AM516" s="5" t="inlineStr"/>
      <c r="AN516" s="5" t="inlineStr"/>
      <c r="AO516" s="5" t="inlineStr"/>
      <c r="AP516" s="5" t="inlineStr"/>
      <c r="AQ516" s="5" t="inlineStr"/>
      <c r="AR516" s="5" t="inlineStr"/>
      <c r="AS516" s="5" t="inlineStr"/>
      <c r="AT516" s="5" t="inlineStr"/>
      <c r="AU516" s="8" t="inlineStr">
        <is>
          <t>Not run</t>
        </is>
      </c>
    </row>
    <row r="517" ht="32" customHeight="1">
      <c r="A517" s="16" t="inlineStr">
        <is>
          <t>X-0516</t>
        </is>
      </c>
      <c r="B517" s="8" t="inlineStr">
        <is>
          <t>X</t>
        </is>
      </c>
      <c r="C517" s="5" t="inlineStr">
        <is>
          <t>Multiple / Cross-persona</t>
        </is>
      </c>
      <c r="D517" s="5" t="inlineStr">
        <is>
          <t>GST / Tax / Compliance</t>
        </is>
      </c>
      <c r="E517" s="5" t="inlineStr">
        <is>
          <t>Generate live B2B E-Invoice with IRN and Signed QR via NIC/IRP portal</t>
        </is>
      </c>
      <c r="F517" s="5" t="inlineStr">
        <is>
          <t>Billing Clerk</t>
        </is>
      </c>
      <c r="G517" s="5" t="inlineStr">
        <is>
          <t>Registered B2B Customer</t>
        </is>
      </c>
      <c r="H517" s="5" t="inlineStr">
        <is>
          <t>Mandatory statutory compliance for businesses exceeding legal turnover threshold</t>
        </is>
      </c>
      <c r="I517" s="5" t="inlineStr">
        <is>
          <t>Uploads invoice payload to IRP; receives 64-char Hash IRN, Ack No, and Signed QR code</t>
        </is>
      </c>
      <c r="J517" s="19" t="inlineStr">
        <is>
          <t>P0</t>
        </is>
      </c>
      <c r="K517" s="20" t="inlineStr">
        <is>
          <t>Validated (Supported)</t>
        </is>
      </c>
      <c r="L517" s="5" t="inlineStr">
        <is>
          <t>Supported via E-Invoice JSON payload generator and direct IRP integration.</t>
        </is>
      </c>
      <c r="M517" s="8" t="inlineStr">
        <is>
          <t>Baseline</t>
        </is>
      </c>
      <c r="N517" s="8" t="inlineStr">
        <is>
          <t>Cross-persona</t>
        </is>
      </c>
      <c r="O517" s="8" t="inlineStr">
        <is>
          <t>P0</t>
        </is>
      </c>
      <c r="P517" s="5" t="inlineStr">
        <is>
          <t>Unchanged</t>
        </is>
      </c>
      <c r="Q517" s="20" t="inlineStr">
        <is>
          <t>Author assertion</t>
        </is>
      </c>
      <c r="R517" s="5" t="inlineStr"/>
      <c r="S517" s="8" t="inlineStr">
        <is>
          <t>GST</t>
        </is>
      </c>
      <c r="T517" s="5" t="inlineStr">
        <is>
          <t>GST and tax compliance</t>
        </is>
      </c>
      <c r="U517" s="8" t="inlineStr"/>
      <c r="V517" s="8" t="inlineStr">
        <is>
          <t>accounting</t>
        </is>
      </c>
      <c r="W517" s="8" t="inlineStr">
        <is>
          <t>CONTROL</t>
        </is>
      </c>
      <c r="X517" s="5" t="inlineStr">
        <is>
          <t>Core</t>
        </is>
      </c>
      <c r="Y517" s="5" t="inlineStr">
        <is>
          <t>Cross-persona</t>
        </is>
      </c>
      <c r="Z517" s="5" t="inlineStr">
        <is>
          <t>Critical</t>
        </is>
      </c>
      <c r="AA517" s="5" t="inlineStr">
        <is>
          <t>High</t>
        </is>
      </c>
      <c r="AB517" s="8" t="inlineStr">
        <is>
          <t>High</t>
        </is>
      </c>
      <c r="AC517" s="8" t="inlineStr">
        <is>
          <t>MVP</t>
        </is>
      </c>
      <c r="AD517" s="5" t="inlineStr">
        <is>
          <t>Not independently checked</t>
        </is>
      </c>
      <c r="AE517" s="5" t="inlineStr">
        <is>
          <t>Not verified</t>
        </is>
      </c>
      <c r="AF517" s="5" t="inlineStr">
        <is>
          <t>Not verified</t>
        </is>
      </c>
      <c r="AG517" s="5" t="inlineStr">
        <is>
          <t>Not verified</t>
        </is>
      </c>
      <c r="AH517" s="5" t="inlineStr">
        <is>
          <t>Not verified</t>
        </is>
      </c>
      <c r="AI517" s="8" t="inlineStr">
        <is>
          <t>No</t>
        </is>
      </c>
      <c r="AJ517" s="8" t="inlineStr">
        <is>
          <t>Claimed - unverified</t>
        </is>
      </c>
      <c r="AK517" s="8" t="inlineStr">
        <is>
          <t>P0</t>
        </is>
      </c>
      <c r="AL517" s="8" t="n">
        <v>27</v>
      </c>
      <c r="AM517" s="5" t="inlineStr"/>
      <c r="AN517" s="5" t="inlineStr"/>
      <c r="AO517" s="5" t="inlineStr"/>
      <c r="AP517" s="5" t="inlineStr"/>
      <c r="AQ517" s="5" t="inlineStr"/>
      <c r="AR517" s="5" t="inlineStr"/>
      <c r="AS517" s="5" t="inlineStr"/>
      <c r="AT517" s="5" t="inlineStr"/>
      <c r="AU517" s="8" t="inlineStr">
        <is>
          <t>Not run</t>
        </is>
      </c>
    </row>
    <row r="518" ht="32" customHeight="1">
      <c r="A518" s="16" t="inlineStr">
        <is>
          <t>X-0517</t>
        </is>
      </c>
      <c r="B518" s="8" t="inlineStr">
        <is>
          <t>X</t>
        </is>
      </c>
      <c r="C518" s="5" t="inlineStr">
        <is>
          <t>Multiple / Cross-persona</t>
        </is>
      </c>
      <c r="D518" s="5" t="inlineStr">
        <is>
          <t>GST / Tax / Compliance</t>
        </is>
      </c>
      <c r="E518" s="5" t="inlineStr">
        <is>
          <t>Print IRN, Ack No, and cryptographic QR code on customer tax invoice PDF</t>
        </is>
      </c>
      <c r="F518" s="5" t="inlineStr">
        <is>
          <t>Billing Clerk</t>
        </is>
      </c>
      <c r="G518" s="5" t="inlineStr">
        <is>
          <t>Customer / GST Inspector</t>
        </is>
      </c>
      <c r="H518" s="5" t="inlineStr">
        <is>
          <t>Render legal B2B tax invoice PDF containing verifiable cryptographic B2B signed QR code</t>
        </is>
      </c>
      <c r="I518" s="5" t="inlineStr">
        <is>
          <t>Embeds 500x500 signed QR bitmap and IRN string on top-right of standard invoice layout</t>
        </is>
      </c>
      <c r="J518" s="19" t="inlineStr">
        <is>
          <t>P0</t>
        </is>
      </c>
      <c r="K518" s="20" t="inlineStr">
        <is>
          <t>Validated (Supported)</t>
        </is>
      </c>
      <c r="L518" s="5" t="inlineStr">
        <is>
          <t>Core rendering invariant: Rule 48(4) compliant PDF invoice template with IRN &amp; Signed QR.</t>
        </is>
      </c>
      <c r="M518" s="8" t="inlineStr">
        <is>
          <t>Baseline</t>
        </is>
      </c>
      <c r="N518" s="8" t="inlineStr">
        <is>
          <t>Cross-persona</t>
        </is>
      </c>
      <c r="O518" s="8" t="inlineStr">
        <is>
          <t>P0</t>
        </is>
      </c>
      <c r="P518" s="5" t="inlineStr">
        <is>
          <t>Unchanged</t>
        </is>
      </c>
      <c r="Q518" s="20" t="inlineStr">
        <is>
          <t>Author assertion</t>
        </is>
      </c>
      <c r="R518" s="5" t="inlineStr"/>
      <c r="S518" s="8" t="inlineStr">
        <is>
          <t>GST</t>
        </is>
      </c>
      <c r="T518" s="5" t="inlineStr">
        <is>
          <t>GST and tax compliance</t>
        </is>
      </c>
      <c r="U518" s="8" t="inlineStr"/>
      <c r="V518" s="8" t="inlineStr">
        <is>
          <t>accounting</t>
        </is>
      </c>
      <c r="W518" s="8" t="inlineStr">
        <is>
          <t>CONTROL</t>
        </is>
      </c>
      <c r="X518" s="5" t="inlineStr">
        <is>
          <t>Core</t>
        </is>
      </c>
      <c r="Y518" s="5" t="inlineStr">
        <is>
          <t>Cross-persona</t>
        </is>
      </c>
      <c r="Z518" s="5" t="inlineStr">
        <is>
          <t>Critical</t>
        </is>
      </c>
      <c r="AA518" s="5" t="inlineStr">
        <is>
          <t>High</t>
        </is>
      </c>
      <c r="AB518" s="8" t="inlineStr">
        <is>
          <t>High</t>
        </is>
      </c>
      <c r="AC518" s="8" t="inlineStr">
        <is>
          <t>MVP</t>
        </is>
      </c>
      <c r="AD518" s="5" t="inlineStr">
        <is>
          <t>Not independently checked</t>
        </is>
      </c>
      <c r="AE518" s="5" t="inlineStr">
        <is>
          <t>Not verified</t>
        </is>
      </c>
      <c r="AF518" s="5" t="inlineStr">
        <is>
          <t>Not verified</t>
        </is>
      </c>
      <c r="AG518" s="5" t="inlineStr">
        <is>
          <t>Not verified</t>
        </is>
      </c>
      <c r="AH518" s="5" t="inlineStr">
        <is>
          <t>Not verified</t>
        </is>
      </c>
      <c r="AI518" s="8" t="inlineStr">
        <is>
          <t>No</t>
        </is>
      </c>
      <c r="AJ518" s="8" t="inlineStr">
        <is>
          <t>Claimed - unverified</t>
        </is>
      </c>
      <c r="AK518" s="8" t="inlineStr">
        <is>
          <t>P0</t>
        </is>
      </c>
      <c r="AL518" s="8" t="n">
        <v>27</v>
      </c>
      <c r="AM518" s="5" t="inlineStr"/>
      <c r="AN518" s="5" t="inlineStr"/>
      <c r="AO518" s="5" t="inlineStr"/>
      <c r="AP518" s="5" t="inlineStr"/>
      <c r="AQ518" s="5" t="inlineStr"/>
      <c r="AR518" s="5" t="inlineStr"/>
      <c r="AS518" s="5" t="inlineStr"/>
      <c r="AT518" s="5" t="inlineStr"/>
      <c r="AU518" s="8" t="inlineStr">
        <is>
          <t>Not run</t>
        </is>
      </c>
    </row>
    <row r="519" ht="32" customHeight="1">
      <c r="A519" s="16" t="inlineStr">
        <is>
          <t>X-0518</t>
        </is>
      </c>
      <c r="B519" s="8" t="inlineStr">
        <is>
          <t>X</t>
        </is>
      </c>
      <c r="C519" s="5" t="inlineStr">
        <is>
          <t>Multiple / Cross-persona</t>
        </is>
      </c>
      <c r="D519" s="5" t="inlineStr">
        <is>
          <t>GST / Tax / Compliance</t>
        </is>
      </c>
      <c r="E519" s="5" t="inlineStr">
        <is>
          <t>Cancel E-Invoice within 24 hours on IRP portal with cancellation reason code</t>
        </is>
      </c>
      <c r="F519" s="5" t="inlineStr">
        <is>
          <t>In-house Accountant</t>
        </is>
      </c>
      <c r="G519" s="5" t="inlineStr">
        <is>
          <t>Tax Authority (IRP)</t>
        </is>
      </c>
      <c r="H519" s="5" t="inlineStr">
        <is>
          <t>Legally cancel incorrectly issued e-invoice within statutory 24-hour window</t>
        </is>
      </c>
      <c r="I519" s="5" t="inlineStr">
        <is>
          <t>Submits cancellation to IRP; voids IRN; updates document status to E_INVOICE_CANCELLED</t>
        </is>
      </c>
      <c r="J519" s="19" t="inlineStr">
        <is>
          <t>P0</t>
        </is>
      </c>
      <c r="K519" s="20" t="inlineStr">
        <is>
          <t>Validated (Supported)</t>
        </is>
      </c>
      <c r="L519" s="5" t="inlineStr">
        <is>
          <t>Supported via E-Invoice Cancel modal with mandatory reason code (1: Duplicate, 2: Data Error).</t>
        </is>
      </c>
      <c r="M519" s="8" t="inlineStr">
        <is>
          <t>Baseline</t>
        </is>
      </c>
      <c r="N519" s="8" t="inlineStr">
        <is>
          <t>Cross-persona</t>
        </is>
      </c>
      <c r="O519" s="8" t="inlineStr">
        <is>
          <t>P0</t>
        </is>
      </c>
      <c r="P519" s="5" t="inlineStr">
        <is>
          <t>Unchanged</t>
        </is>
      </c>
      <c r="Q519" s="20" t="inlineStr">
        <is>
          <t>Author assertion</t>
        </is>
      </c>
      <c r="R519" s="5" t="inlineStr"/>
      <c r="S519" s="8" t="inlineStr">
        <is>
          <t>GST</t>
        </is>
      </c>
      <c r="T519" s="5" t="inlineStr">
        <is>
          <t>GST and tax compliance</t>
        </is>
      </c>
      <c r="U519" s="8" t="inlineStr"/>
      <c r="V519" s="8" t="inlineStr">
        <is>
          <t>accounting</t>
        </is>
      </c>
      <c r="W519" s="8" t="inlineStr">
        <is>
          <t>CONTROL</t>
        </is>
      </c>
      <c r="X519" s="5" t="inlineStr">
        <is>
          <t>Core</t>
        </is>
      </c>
      <c r="Y519" s="5" t="inlineStr">
        <is>
          <t>Cross-persona</t>
        </is>
      </c>
      <c r="Z519" s="5" t="inlineStr">
        <is>
          <t>Critical</t>
        </is>
      </c>
      <c r="AA519" s="5" t="inlineStr">
        <is>
          <t>High</t>
        </is>
      </c>
      <c r="AB519" s="8" t="inlineStr">
        <is>
          <t>High</t>
        </is>
      </c>
      <c r="AC519" s="8" t="inlineStr">
        <is>
          <t>MVP</t>
        </is>
      </c>
      <c r="AD519" s="5" t="inlineStr">
        <is>
          <t>Not independently checked</t>
        </is>
      </c>
      <c r="AE519" s="5" t="inlineStr">
        <is>
          <t>Not verified</t>
        </is>
      </c>
      <c r="AF519" s="5" t="inlineStr">
        <is>
          <t>Not verified</t>
        </is>
      </c>
      <c r="AG519" s="5" t="inlineStr">
        <is>
          <t>Not verified</t>
        </is>
      </c>
      <c r="AH519" s="5" t="inlineStr">
        <is>
          <t>Not verified</t>
        </is>
      </c>
      <c r="AI519" s="8" t="inlineStr">
        <is>
          <t>No</t>
        </is>
      </c>
      <c r="AJ519" s="8" t="inlineStr">
        <is>
          <t>Claimed - unverified</t>
        </is>
      </c>
      <c r="AK519" s="8" t="inlineStr">
        <is>
          <t>P0</t>
        </is>
      </c>
      <c r="AL519" s="8" t="n">
        <v>27</v>
      </c>
      <c r="AM519" s="5" t="inlineStr"/>
      <c r="AN519" s="5" t="inlineStr"/>
      <c r="AO519" s="5" t="inlineStr"/>
      <c r="AP519" s="5" t="inlineStr"/>
      <c r="AQ519" s="5" t="inlineStr"/>
      <c r="AR519" s="5" t="inlineStr"/>
      <c r="AS519" s="5" t="inlineStr"/>
      <c r="AT519" s="5" t="inlineStr"/>
      <c r="AU519" s="8" t="inlineStr">
        <is>
          <t>Not run</t>
        </is>
      </c>
    </row>
    <row r="520" ht="32" customHeight="1">
      <c r="A520" s="16" t="inlineStr">
        <is>
          <t>X-0519</t>
        </is>
      </c>
      <c r="B520" s="8" t="inlineStr">
        <is>
          <t>X</t>
        </is>
      </c>
      <c r="C520" s="5" t="inlineStr">
        <is>
          <t>Multiple / Cross-persona</t>
        </is>
      </c>
      <c r="D520" s="5" t="inlineStr">
        <is>
          <t>GST / Tax / Compliance</t>
        </is>
      </c>
      <c r="E520" s="5" t="inlineStr">
        <is>
          <t>Calculate Section 194Q TDS deduction (0.1%) on supplier purchases exceeding ₹50 Lakhs in FY</t>
        </is>
      </c>
      <c r="F520" s="5" t="inlineStr">
        <is>
          <t>In-house Accountant</t>
        </is>
      </c>
      <c r="G520" s="5" t="inlineStr">
        <is>
          <t>Supplier</t>
        </is>
      </c>
      <c r="H520" s="5" t="inlineStr">
        <is>
          <t>Deduct 0.1% TDS on purchase value exceeding ₹50 Lakhs aggregate turnover threshold</t>
        </is>
      </c>
      <c r="I520" s="5" t="inlineStr">
        <is>
          <t>Credits TDS Payable (Sec 194Q) liability account; reduces net cash payable to vendor</t>
        </is>
      </c>
      <c r="J520" s="20" t="inlineStr">
        <is>
          <t>P1</t>
        </is>
      </c>
      <c r="K520" s="20" t="inlineStr">
        <is>
          <t>Validated (Supported)</t>
        </is>
      </c>
      <c r="L520" s="5" t="inlineStr">
        <is>
          <t>Supported via Section 194Q Withholding Rule Engine tracking cumulative vendor purchases.</t>
        </is>
      </c>
      <c r="M520" s="8" t="inlineStr">
        <is>
          <t>Baseline</t>
        </is>
      </c>
      <c r="N520" s="8" t="inlineStr">
        <is>
          <t>Cross-persona</t>
        </is>
      </c>
      <c r="O520" s="8" t="inlineStr">
        <is>
          <t>P1</t>
        </is>
      </c>
      <c r="P520" s="5" t="inlineStr">
        <is>
          <t>Unchanged</t>
        </is>
      </c>
      <c r="Q520" s="20" t="inlineStr">
        <is>
          <t>Author assertion</t>
        </is>
      </c>
      <c r="R520" s="5" t="inlineStr"/>
      <c r="S520" s="8" t="inlineStr">
        <is>
          <t>GST</t>
        </is>
      </c>
      <c r="T520" s="5" t="inlineStr">
        <is>
          <t>GST and tax compliance</t>
        </is>
      </c>
      <c r="U520" s="8" t="inlineStr"/>
      <c r="V520" s="8" t="inlineStr">
        <is>
          <t>accounting</t>
        </is>
      </c>
      <c r="W520" s="8" t="inlineStr">
        <is>
          <t>CONTROL</t>
        </is>
      </c>
      <c r="X520" s="5" t="inlineStr">
        <is>
          <t>Core</t>
        </is>
      </c>
      <c r="Y520" s="5" t="inlineStr">
        <is>
          <t>Cross-persona</t>
        </is>
      </c>
      <c r="Z520" s="5" t="inlineStr">
        <is>
          <t>Critical</t>
        </is>
      </c>
      <c r="AA520" s="5" t="inlineStr">
        <is>
          <t>High</t>
        </is>
      </c>
      <c r="AB520" s="8" t="inlineStr">
        <is>
          <t>High</t>
        </is>
      </c>
      <c r="AC520" s="8" t="inlineStr">
        <is>
          <t>Pilot</t>
        </is>
      </c>
      <c r="AD520" s="5" t="inlineStr">
        <is>
          <t>Not independently checked</t>
        </is>
      </c>
      <c r="AE520" s="5" t="inlineStr">
        <is>
          <t>Not verified</t>
        </is>
      </c>
      <c r="AF520" s="5" t="inlineStr">
        <is>
          <t>Not verified</t>
        </is>
      </c>
      <c r="AG520" s="5" t="inlineStr">
        <is>
          <t>Not verified</t>
        </is>
      </c>
      <c r="AH520" s="5" t="inlineStr">
        <is>
          <t>Not verified</t>
        </is>
      </c>
      <c r="AI520" s="8" t="inlineStr">
        <is>
          <t>No</t>
        </is>
      </c>
      <c r="AJ520" s="8" t="inlineStr">
        <is>
          <t>Claimed - unverified</t>
        </is>
      </c>
      <c r="AK520" s="8" t="inlineStr">
        <is>
          <t>P1</t>
        </is>
      </c>
      <c r="AL520" s="8" t="n">
        <v>27</v>
      </c>
      <c r="AM520" s="5" t="inlineStr"/>
      <c r="AN520" s="5" t="inlineStr"/>
      <c r="AO520" s="5" t="inlineStr"/>
      <c r="AP520" s="5" t="inlineStr"/>
      <c r="AQ520" s="5" t="inlineStr"/>
      <c r="AR520" s="5" t="inlineStr"/>
      <c r="AS520" s="5" t="inlineStr"/>
      <c r="AT520" s="5" t="inlineStr"/>
      <c r="AU520" s="8" t="inlineStr">
        <is>
          <t>Not run</t>
        </is>
      </c>
    </row>
    <row r="521" ht="32" customHeight="1">
      <c r="A521" s="16" t="inlineStr">
        <is>
          <t>X-0520</t>
        </is>
      </c>
      <c r="B521" s="8" t="inlineStr">
        <is>
          <t>X</t>
        </is>
      </c>
      <c r="C521" s="5" t="inlineStr">
        <is>
          <t>Multiple / Cross-persona</t>
        </is>
      </c>
      <c r="D521" s="5" t="inlineStr">
        <is>
          <t>GST / Tax / Compliance</t>
        </is>
      </c>
      <c r="E521" s="5" t="inlineStr">
        <is>
          <t>Generate Form 26Q quarterly TDS return summary and supplier Form 16A certificates</t>
        </is>
      </c>
      <c r="F521" s="5" t="inlineStr">
        <is>
          <t>In-house Accountant</t>
        </is>
      </c>
      <c r="G521" s="5" t="inlineStr">
        <is>
          <t>External CA / Tax Dept</t>
        </is>
      </c>
      <c r="H521" s="5" t="inlineStr">
        <is>
          <t>Compile quarterly Form 26Q statement of tax deducted at source with BSR code and challan numbers</t>
        </is>
      </c>
      <c r="I521" s="5" t="inlineStr">
        <is>
          <t>Produces clean Form 26Q text file for NSDL e-TDS return upload; prepares Form 16A certificates</t>
        </is>
      </c>
      <c r="J521" s="20" t="inlineStr">
        <is>
          <t>P1</t>
        </is>
      </c>
      <c r="K521" s="20" t="inlineStr">
        <is>
          <t>Validated (Supported)</t>
        </is>
      </c>
      <c r="L521" s="5" t="inlineStr">
        <is>
          <t>Supported via /accounting/reports/tds-26q/ quarterly return generator.</t>
        </is>
      </c>
      <c r="M521" s="8" t="inlineStr">
        <is>
          <t>Baseline</t>
        </is>
      </c>
      <c r="N521" s="8" t="inlineStr">
        <is>
          <t>Cross-persona</t>
        </is>
      </c>
      <c r="O521" s="8" t="inlineStr">
        <is>
          <t>P1</t>
        </is>
      </c>
      <c r="P521" s="5" t="inlineStr">
        <is>
          <t>Unchanged</t>
        </is>
      </c>
      <c r="Q521" s="20" t="inlineStr">
        <is>
          <t>Author assertion</t>
        </is>
      </c>
      <c r="R521" s="5" t="inlineStr"/>
      <c r="S521" s="8" t="inlineStr">
        <is>
          <t>GST</t>
        </is>
      </c>
      <c r="T521" s="5" t="inlineStr">
        <is>
          <t>GST and tax compliance</t>
        </is>
      </c>
      <c r="U521" s="8" t="inlineStr"/>
      <c r="V521" s="8" t="inlineStr">
        <is>
          <t>accounting</t>
        </is>
      </c>
      <c r="W521" s="8" t="inlineStr">
        <is>
          <t>CONTROL</t>
        </is>
      </c>
      <c r="X521" s="5" t="inlineStr">
        <is>
          <t>Core</t>
        </is>
      </c>
      <c r="Y521" s="5" t="inlineStr">
        <is>
          <t>Cross-persona</t>
        </is>
      </c>
      <c r="Z521" s="5" t="inlineStr">
        <is>
          <t>Critical</t>
        </is>
      </c>
      <c r="AA521" s="5" t="inlineStr">
        <is>
          <t>High</t>
        </is>
      </c>
      <c r="AB521" s="8" t="inlineStr">
        <is>
          <t>High</t>
        </is>
      </c>
      <c r="AC521" s="8" t="inlineStr">
        <is>
          <t>Pilot</t>
        </is>
      </c>
      <c r="AD521" s="5" t="inlineStr">
        <is>
          <t>Not independently checked</t>
        </is>
      </c>
      <c r="AE521" s="5" t="inlineStr">
        <is>
          <t>Not verified</t>
        </is>
      </c>
      <c r="AF521" s="5" t="inlineStr">
        <is>
          <t>Not verified</t>
        </is>
      </c>
      <c r="AG521" s="5" t="inlineStr">
        <is>
          <t>Not verified</t>
        </is>
      </c>
      <c r="AH521" s="5" t="inlineStr">
        <is>
          <t>Not verified</t>
        </is>
      </c>
      <c r="AI521" s="8" t="inlineStr">
        <is>
          <t>No</t>
        </is>
      </c>
      <c r="AJ521" s="8" t="inlineStr">
        <is>
          <t>Claimed - unverified</t>
        </is>
      </c>
      <c r="AK521" s="8" t="inlineStr">
        <is>
          <t>P1</t>
        </is>
      </c>
      <c r="AL521" s="8" t="n">
        <v>27</v>
      </c>
      <c r="AM521" s="5" t="inlineStr"/>
      <c r="AN521" s="5" t="inlineStr"/>
      <c r="AO521" s="5" t="inlineStr"/>
      <c r="AP521" s="5" t="inlineStr"/>
      <c r="AQ521" s="5" t="inlineStr"/>
      <c r="AR521" s="5" t="inlineStr"/>
      <c r="AS521" s="5" t="inlineStr"/>
      <c r="AT521" s="5" t="inlineStr"/>
      <c r="AU521" s="8" t="inlineStr">
        <is>
          <t>Not run</t>
        </is>
      </c>
    </row>
    <row r="522" ht="32" customHeight="1">
      <c r="A522" s="16" t="inlineStr">
        <is>
          <t>X-0521</t>
        </is>
      </c>
      <c r="B522" s="8" t="inlineStr">
        <is>
          <t>X</t>
        </is>
      </c>
      <c r="C522" s="5" t="inlineStr">
        <is>
          <t>Multiple / Cross-persona</t>
        </is>
      </c>
      <c r="D522" s="5" t="inlineStr">
        <is>
          <t>GST / Tax / Compliance</t>
        </is>
      </c>
      <c r="E522" s="5" t="inlineStr">
        <is>
          <t>Calculate Section 206C(1H) TCS collection (0.1%) on receipts exceeding ₹50 Lakhs from customer</t>
        </is>
      </c>
      <c r="F522" s="5" t="inlineStr">
        <is>
          <t>In-house Accountant</t>
        </is>
      </c>
      <c r="G522" s="5" t="inlineStr">
        <is>
          <t>Customer</t>
        </is>
      </c>
      <c r="H522" s="5" t="inlineStr">
        <is>
          <t>Collect 0.1% TCS on customer receipts crossing ₹50 Lakhs in current financial year</t>
        </is>
      </c>
      <c r="I522" s="5" t="inlineStr">
        <is>
          <t>Debits Customer AR ledger; credits TCS Payable (Sec 206C) statutory liability account</t>
        </is>
      </c>
      <c r="J522" s="20" t="inlineStr">
        <is>
          <t>P1</t>
        </is>
      </c>
      <c r="K522" s="20" t="inlineStr">
        <is>
          <t>Validated (Supported)</t>
        </is>
      </c>
      <c r="L522" s="5" t="inlineStr">
        <is>
          <t>Supported via Section 206C(1H) Receipt Tax Engine with cumulative customer receipt tracking.</t>
        </is>
      </c>
      <c r="M522" s="8" t="inlineStr">
        <is>
          <t>Baseline</t>
        </is>
      </c>
      <c r="N522" s="8" t="inlineStr">
        <is>
          <t>Cross-persona</t>
        </is>
      </c>
      <c r="O522" s="8" t="inlineStr">
        <is>
          <t>P1</t>
        </is>
      </c>
      <c r="P522" s="5" t="inlineStr">
        <is>
          <t>Unchanged</t>
        </is>
      </c>
      <c r="Q522" s="20" t="inlineStr">
        <is>
          <t>Author assertion</t>
        </is>
      </c>
      <c r="R522" s="5" t="inlineStr"/>
      <c r="S522" s="8" t="inlineStr">
        <is>
          <t>GST</t>
        </is>
      </c>
      <c r="T522" s="5" t="inlineStr">
        <is>
          <t>GST and tax compliance</t>
        </is>
      </c>
      <c r="U522" s="8" t="inlineStr"/>
      <c r="V522" s="8" t="inlineStr">
        <is>
          <t>accounting</t>
        </is>
      </c>
      <c r="W522" s="8" t="inlineStr">
        <is>
          <t>CONTROL</t>
        </is>
      </c>
      <c r="X522" s="5" t="inlineStr">
        <is>
          <t>Core</t>
        </is>
      </c>
      <c r="Y522" s="5" t="inlineStr">
        <is>
          <t>Cross-persona</t>
        </is>
      </c>
      <c r="Z522" s="5" t="inlineStr">
        <is>
          <t>Critical</t>
        </is>
      </c>
      <c r="AA522" s="5" t="inlineStr">
        <is>
          <t>High</t>
        </is>
      </c>
      <c r="AB522" s="8" t="inlineStr">
        <is>
          <t>High</t>
        </is>
      </c>
      <c r="AC522" s="8" t="inlineStr">
        <is>
          <t>Pilot</t>
        </is>
      </c>
      <c r="AD522" s="5" t="inlineStr">
        <is>
          <t>Not independently checked</t>
        </is>
      </c>
      <c r="AE522" s="5" t="inlineStr">
        <is>
          <t>Not verified</t>
        </is>
      </c>
      <c r="AF522" s="5" t="inlineStr">
        <is>
          <t>Not verified</t>
        </is>
      </c>
      <c r="AG522" s="5" t="inlineStr">
        <is>
          <t>Not verified</t>
        </is>
      </c>
      <c r="AH522" s="5" t="inlineStr">
        <is>
          <t>Not verified</t>
        </is>
      </c>
      <c r="AI522" s="8" t="inlineStr">
        <is>
          <t>No</t>
        </is>
      </c>
      <c r="AJ522" s="8" t="inlineStr">
        <is>
          <t>Claimed - unverified</t>
        </is>
      </c>
      <c r="AK522" s="8" t="inlineStr">
        <is>
          <t>P1</t>
        </is>
      </c>
      <c r="AL522" s="8" t="n">
        <v>27</v>
      </c>
      <c r="AM522" s="5" t="inlineStr"/>
      <c r="AN522" s="5" t="inlineStr"/>
      <c r="AO522" s="5" t="inlineStr"/>
      <c r="AP522" s="5" t="inlineStr"/>
      <c r="AQ522" s="5" t="inlineStr"/>
      <c r="AR522" s="5" t="inlineStr"/>
      <c r="AS522" s="5" t="inlineStr"/>
      <c r="AT522" s="5" t="inlineStr"/>
      <c r="AU522" s="8" t="inlineStr">
        <is>
          <t>Not run</t>
        </is>
      </c>
    </row>
    <row r="523" ht="32" customHeight="1">
      <c r="A523" s="16" t="inlineStr">
        <is>
          <t>X-0522</t>
        </is>
      </c>
      <c r="B523" s="8" t="inlineStr">
        <is>
          <t>X</t>
        </is>
      </c>
      <c r="C523" s="5" t="inlineStr">
        <is>
          <t>Multiple / Cross-persona</t>
        </is>
      </c>
      <c r="D523" s="5" t="inlineStr">
        <is>
          <t>GST / Tax / Compliance</t>
        </is>
      </c>
      <c r="E523" s="5" t="inlineStr">
        <is>
          <t>Apply higher TDS/TCS penalty rates (5%) for non-filers under Section 206AB / Section 206CCA</t>
        </is>
      </c>
      <c r="F523" s="5" t="inlineStr">
        <is>
          <t>In-house Accountant</t>
        </is>
      </c>
      <c r="G523" s="5" t="inlineStr">
        <is>
          <t>Non-compliant Party</t>
        </is>
      </c>
      <c r="H523" s="5" t="inlineStr">
        <is>
          <t>Enforce 5% higher statutory tax withholding if vendor/customer failed to file ITR in previous year</t>
        </is>
      </c>
      <c r="I523" s="5" t="inlineStr">
        <is>
          <t>Applies 5% penalty rate on invoice; flags party as Specified Person under Section 206AB</t>
        </is>
      </c>
      <c r="J523" s="20" t="inlineStr">
        <is>
          <t>P1</t>
        </is>
      </c>
      <c r="K523" s="19" t="inlineStr">
        <is>
          <t>Mechanism not found</t>
        </is>
      </c>
      <c r="L523" s="5" t="inlineStr">
        <is>
          <t>Supported via 206AB non-filer compliance flag on Customer/Supplier master.</t>
        </is>
      </c>
      <c r="M523" s="8" t="inlineStr">
        <is>
          <t>Baseline</t>
        </is>
      </c>
      <c r="N523" s="8" t="inlineStr">
        <is>
          <t>Cross-persona</t>
        </is>
      </c>
      <c r="O523" s="8" t="inlineStr">
        <is>
          <t>P1</t>
        </is>
      </c>
      <c r="P523" s="5" t="inlineStr">
        <is>
          <t>Unchanged</t>
        </is>
      </c>
      <c r="Q523" s="19" t="inlineStr">
        <is>
          <t>Mechanism not found</t>
        </is>
      </c>
      <c r="R523" s="5" t="inlineStr">
        <is>
          <t>No Section 206AB PAN check was found.</t>
        </is>
      </c>
      <c r="S523" s="8" t="inlineStr">
        <is>
          <t>GST</t>
        </is>
      </c>
      <c r="T523" s="5" t="inlineStr">
        <is>
          <t>GST and tax compliance</t>
        </is>
      </c>
      <c r="U523" s="8" t="inlineStr"/>
      <c r="V523" s="8" t="inlineStr">
        <is>
          <t>accounting</t>
        </is>
      </c>
      <c r="W523" s="8" t="inlineStr">
        <is>
          <t>CONTROL</t>
        </is>
      </c>
      <c r="X523" s="5" t="inlineStr">
        <is>
          <t>Core</t>
        </is>
      </c>
      <c r="Y523" s="5" t="inlineStr">
        <is>
          <t>Cross-persona</t>
        </is>
      </c>
      <c r="Z523" s="5" t="inlineStr">
        <is>
          <t>Critical</t>
        </is>
      </c>
      <c r="AA523" s="5" t="inlineStr">
        <is>
          <t>High</t>
        </is>
      </c>
      <c r="AB523" s="8" t="inlineStr">
        <is>
          <t>High</t>
        </is>
      </c>
      <c r="AC523" s="8" t="inlineStr">
        <is>
          <t>Pilot</t>
        </is>
      </c>
      <c r="AD523" s="5" t="inlineStr">
        <is>
          <t>Not in code</t>
        </is>
      </c>
      <c r="AE523" s="5" t="inlineStr">
        <is>
          <t>Not verified</t>
        </is>
      </c>
      <c r="AF523" s="5" t="inlineStr">
        <is>
          <t>Not verified</t>
        </is>
      </c>
      <c r="AG523" s="5" t="inlineStr">
        <is>
          <t>Not verified</t>
        </is>
      </c>
      <c r="AH523" s="5" t="inlineStr">
        <is>
          <t>Not verified</t>
        </is>
      </c>
      <c r="AI523" s="8" t="inlineStr">
        <is>
          <t>No</t>
        </is>
      </c>
      <c r="AJ523" s="8" t="inlineStr">
        <is>
          <t>Gap</t>
        </is>
      </c>
      <c r="AK523" s="8" t="inlineStr">
        <is>
          <t>P1</t>
        </is>
      </c>
      <c r="AL523" s="8" t="n">
        <v>27</v>
      </c>
      <c r="AM523" s="5" t="inlineStr"/>
      <c r="AN523" s="5" t="inlineStr"/>
      <c r="AO523" s="5" t="inlineStr"/>
      <c r="AP523" s="5" t="inlineStr"/>
      <c r="AQ523" s="5" t="inlineStr"/>
      <c r="AR523" s="5" t="inlineStr"/>
      <c r="AS523" s="5" t="inlineStr"/>
      <c r="AT523" s="5" t="inlineStr"/>
      <c r="AU523" s="8" t="inlineStr">
        <is>
          <t>Not run</t>
        </is>
      </c>
    </row>
    <row r="524" ht="32" customHeight="1">
      <c r="A524" s="16" t="inlineStr">
        <is>
          <t>X-0523</t>
        </is>
      </c>
      <c r="B524" s="8" t="inlineStr">
        <is>
          <t>X</t>
        </is>
      </c>
      <c r="C524" s="5" t="inlineStr">
        <is>
          <t>Multiple / Cross-persona</t>
        </is>
      </c>
      <c r="D524" s="5" t="inlineStr">
        <is>
          <t>Receivables &amp; Payables</t>
        </is>
      </c>
      <c r="E524" s="5" t="inlineStr">
        <is>
          <t>Automated escalating collection cadence (T+3 reminder → T+7 statement → T+15 notice)</t>
        </is>
      </c>
      <c r="F524" s="5" t="inlineStr">
        <is>
          <t>Collections Autopilot Engine</t>
        </is>
      </c>
      <c r="G524" s="5" t="inlineStr">
        <is>
          <t>Debtor / Credit Controller</t>
        </is>
      </c>
      <c r="H524" s="5" t="inlineStr">
        <is>
          <t>Systematic automated payment chasing minimizing bad debt and debtor days</t>
        </is>
      </c>
      <c r="I524" s="5" t="inlineStr">
        <is>
          <t>Dispatches automated WhatsApp/SMS notifications with increasing urgency and payment links</t>
        </is>
      </c>
      <c r="J524" s="20" t="inlineStr">
        <is>
          <t>P1</t>
        </is>
      </c>
      <c r="K524" s="20" t="inlineStr">
        <is>
          <t>Validated (Supported)</t>
        </is>
      </c>
      <c r="L524" s="5" t="inlineStr">
        <is>
          <t>Supported via Collections Autopilot Cadence Engine (/sales/collections/autopilot/).</t>
        </is>
      </c>
      <c r="M524" s="8" t="inlineStr">
        <is>
          <t>Baseline</t>
        </is>
      </c>
      <c r="N524" s="8" t="inlineStr">
        <is>
          <t>Cross-persona</t>
        </is>
      </c>
      <c r="O524" s="8" t="inlineStr">
        <is>
          <t>P1</t>
        </is>
      </c>
      <c r="P524" s="5" t="inlineStr">
        <is>
          <t>Unchanged</t>
        </is>
      </c>
      <c r="Q524" s="20" t="inlineStr">
        <is>
          <t>Author assertion</t>
        </is>
      </c>
      <c r="R524" s="5" t="inlineStr"/>
      <c r="S524" s="8" t="inlineStr">
        <is>
          <t>ARAP</t>
        </is>
      </c>
      <c r="T524" s="5" t="inlineStr">
        <is>
          <t>Receivables and payables</t>
        </is>
      </c>
      <c r="U524" s="8" t="inlineStr"/>
      <c r="V524" s="8" t="inlineStr">
        <is>
          <t>ledgers</t>
        </is>
      </c>
      <c r="W524" s="8" t="inlineStr">
        <is>
          <t>CONTROL</t>
        </is>
      </c>
      <c r="X524" s="5" t="inlineStr">
        <is>
          <t>Core</t>
        </is>
      </c>
      <c r="Y524" s="5" t="inlineStr">
        <is>
          <t>Cross-persona</t>
        </is>
      </c>
      <c r="Z524" s="5" t="inlineStr">
        <is>
          <t>Critical</t>
        </is>
      </c>
      <c r="AA524" s="5" t="inlineStr">
        <is>
          <t>High</t>
        </is>
      </c>
      <c r="AB524" s="8" t="inlineStr">
        <is>
          <t>Medium</t>
        </is>
      </c>
      <c r="AC524" s="8" t="inlineStr">
        <is>
          <t>Pilot</t>
        </is>
      </c>
      <c r="AD524" s="5" t="inlineStr">
        <is>
          <t>Not independently checked</t>
        </is>
      </c>
      <c r="AE524" s="5" t="inlineStr">
        <is>
          <t>Not verified</t>
        </is>
      </c>
      <c r="AF524" s="5" t="inlineStr">
        <is>
          <t>Not verified</t>
        </is>
      </c>
      <c r="AG524" s="5" t="inlineStr">
        <is>
          <t>Not verified</t>
        </is>
      </c>
      <c r="AH524" s="5" t="inlineStr">
        <is>
          <t>Not verified</t>
        </is>
      </c>
      <c r="AI524" s="8" t="inlineStr">
        <is>
          <t>No</t>
        </is>
      </c>
      <c r="AJ524" s="8" t="inlineStr">
        <is>
          <t>Claimed - unverified</t>
        </is>
      </c>
      <c r="AK524" s="8" t="inlineStr">
        <is>
          <t>P1</t>
        </is>
      </c>
      <c r="AL524" s="8" t="n">
        <v>18</v>
      </c>
      <c r="AM524" s="5" t="inlineStr"/>
      <c r="AN524" s="5" t="inlineStr"/>
      <c r="AO524" s="5" t="inlineStr"/>
      <c r="AP524" s="5" t="inlineStr"/>
      <c r="AQ524" s="5" t="inlineStr"/>
      <c r="AR524" s="5" t="inlineStr"/>
      <c r="AS524" s="5" t="inlineStr"/>
      <c r="AT524" s="5" t="inlineStr"/>
      <c r="AU524" s="8" t="inlineStr">
        <is>
          <t>Not run</t>
        </is>
      </c>
    </row>
    <row r="525" ht="32" customHeight="1">
      <c r="A525" s="16" t="inlineStr">
        <is>
          <t>X-0524</t>
        </is>
      </c>
      <c r="B525" s="8" t="inlineStr">
        <is>
          <t>X</t>
        </is>
      </c>
      <c r="C525" s="5" t="inlineStr">
        <is>
          <t>Multiple / Cross-persona</t>
        </is>
      </c>
      <c r="D525" s="5" t="inlineStr">
        <is>
          <t>Receivables &amp; Payables</t>
        </is>
      </c>
      <c r="E525" s="5" t="inlineStr">
        <is>
          <t>Record Promise-to-Pay (PTP) commitment date and follow-up alerts</t>
        </is>
      </c>
      <c r="F525" s="5" t="inlineStr">
        <is>
          <t>Credit Controller / Salesperson</t>
        </is>
      </c>
      <c r="G525" s="5" t="inlineStr">
        <is>
          <t>Customer</t>
        </is>
      </c>
      <c r="H525" s="5" t="inlineStr">
        <is>
          <t>Capture customer verbal promise to pay specific amount by date X to pause automated chasing</t>
        </is>
      </c>
      <c r="I525" s="5" t="inlineStr">
        <is>
          <t>Creates PromiseToPay record; suppresses automated reminders until committed date; alerts if broken</t>
        </is>
      </c>
      <c r="J525" s="20" t="inlineStr">
        <is>
          <t>P1</t>
        </is>
      </c>
      <c r="K525" s="20" t="inlineStr">
        <is>
          <t>Validated (Supported)</t>
        </is>
      </c>
      <c r="L525" s="5" t="inlineStr">
        <is>
          <t>Supported via PTP logging drawer on Customer profile and receivables ledger.</t>
        </is>
      </c>
      <c r="M525" s="8" t="inlineStr">
        <is>
          <t>Baseline</t>
        </is>
      </c>
      <c r="N525" s="8" t="inlineStr">
        <is>
          <t>Cross-persona</t>
        </is>
      </c>
      <c r="O525" s="8" t="inlineStr">
        <is>
          <t>P1</t>
        </is>
      </c>
      <c r="P525" s="5" t="inlineStr">
        <is>
          <t>Unchanged</t>
        </is>
      </c>
      <c r="Q525" s="20" t="inlineStr">
        <is>
          <t>Author assertion</t>
        </is>
      </c>
      <c r="R525" s="5" t="inlineStr"/>
      <c r="S525" s="8" t="inlineStr">
        <is>
          <t>ARAP</t>
        </is>
      </c>
      <c r="T525" s="5" t="inlineStr">
        <is>
          <t>Receivables and payables</t>
        </is>
      </c>
      <c r="U525" s="8" t="inlineStr"/>
      <c r="V525" s="8" t="inlineStr">
        <is>
          <t>ledgers</t>
        </is>
      </c>
      <c r="W525" s="8" t="inlineStr">
        <is>
          <t>CONTROL</t>
        </is>
      </c>
      <c r="X525" s="5" t="inlineStr">
        <is>
          <t>Core</t>
        </is>
      </c>
      <c r="Y525" s="5" t="inlineStr">
        <is>
          <t>Cross-persona</t>
        </is>
      </c>
      <c r="Z525" s="5" t="inlineStr">
        <is>
          <t>Critical</t>
        </is>
      </c>
      <c r="AA525" s="5" t="inlineStr">
        <is>
          <t>High</t>
        </is>
      </c>
      <c r="AB525" s="8" t="inlineStr">
        <is>
          <t>Medium</t>
        </is>
      </c>
      <c r="AC525" s="8" t="inlineStr">
        <is>
          <t>Pilot</t>
        </is>
      </c>
      <c r="AD525" s="5" t="inlineStr">
        <is>
          <t>Not independently checked</t>
        </is>
      </c>
      <c r="AE525" s="5" t="inlineStr">
        <is>
          <t>Not verified</t>
        </is>
      </c>
      <c r="AF525" s="5" t="inlineStr">
        <is>
          <t>Not verified</t>
        </is>
      </c>
      <c r="AG525" s="5" t="inlineStr">
        <is>
          <t>Not verified</t>
        </is>
      </c>
      <c r="AH525" s="5" t="inlineStr">
        <is>
          <t>Not verified</t>
        </is>
      </c>
      <c r="AI525" s="8" t="inlineStr">
        <is>
          <t>No</t>
        </is>
      </c>
      <c r="AJ525" s="8" t="inlineStr">
        <is>
          <t>Claimed - unverified</t>
        </is>
      </c>
      <c r="AK525" s="8" t="inlineStr">
        <is>
          <t>P1</t>
        </is>
      </c>
      <c r="AL525" s="8" t="n">
        <v>18</v>
      </c>
      <c r="AM525" s="5" t="inlineStr"/>
      <c r="AN525" s="5" t="inlineStr"/>
      <c r="AO525" s="5" t="inlineStr"/>
      <c r="AP525" s="5" t="inlineStr"/>
      <c r="AQ525" s="5" t="inlineStr"/>
      <c r="AR525" s="5" t="inlineStr"/>
      <c r="AS525" s="5" t="inlineStr"/>
      <c r="AT525" s="5" t="inlineStr"/>
      <c r="AU525" s="8" t="inlineStr">
        <is>
          <t>Not run</t>
        </is>
      </c>
    </row>
    <row r="526" ht="32" customHeight="1">
      <c r="A526" s="16" t="inlineStr">
        <is>
          <t>X-0525</t>
        </is>
      </c>
      <c r="B526" s="8" t="inlineStr">
        <is>
          <t>X</t>
        </is>
      </c>
      <c r="C526" s="5" t="inlineStr">
        <is>
          <t>Multiple / Cross-persona</t>
        </is>
      </c>
      <c r="D526" s="5" t="inlineStr">
        <is>
          <t>Receivables &amp; Payables</t>
        </is>
      </c>
      <c r="E526" s="5" t="inlineStr">
        <is>
          <t>Isolate disputed invoice lines while collecting undisputed remaining balance</t>
        </is>
      </c>
      <c r="F526" s="5" t="inlineStr">
        <is>
          <t>Credit Controller</t>
        </is>
      </c>
      <c r="G526" s="5" t="inlineStr">
        <is>
          <t>Customer / Salesperson</t>
        </is>
      </c>
      <c r="H526" s="5" t="inlineStr">
        <is>
          <t>Separate contested charge (e.g. ₹500 damaged box) so customer immediately settles ₹49,500 balance</t>
        </is>
      </c>
      <c r="I526" s="5" t="inlineStr">
        <is>
          <t>Marks specific line as DISPUTED; adjusts collection target; routes dispute to manager resolution</t>
        </is>
      </c>
      <c r="J526" s="20" t="inlineStr">
        <is>
          <t>P1</t>
        </is>
      </c>
      <c r="K526" s="20" t="inlineStr">
        <is>
          <t>Validated (Supported)</t>
        </is>
      </c>
      <c r="L526" s="5" t="inlineStr">
        <is>
          <t>Supported via Invoice Line-Item Dispute mechanism in receivables module.</t>
        </is>
      </c>
      <c r="M526" s="8" t="inlineStr">
        <is>
          <t>Baseline</t>
        </is>
      </c>
      <c r="N526" s="8" t="inlineStr">
        <is>
          <t>Cross-persona</t>
        </is>
      </c>
      <c r="O526" s="8" t="inlineStr">
        <is>
          <t>P1</t>
        </is>
      </c>
      <c r="P526" s="5" t="inlineStr">
        <is>
          <t>Unchanged</t>
        </is>
      </c>
      <c r="Q526" s="20" t="inlineStr">
        <is>
          <t>Author assertion</t>
        </is>
      </c>
      <c r="R526" s="5" t="inlineStr"/>
      <c r="S526" s="8" t="inlineStr">
        <is>
          <t>ARAP</t>
        </is>
      </c>
      <c r="T526" s="5" t="inlineStr">
        <is>
          <t>Receivables and payables</t>
        </is>
      </c>
      <c r="U526" s="8" t="inlineStr"/>
      <c r="V526" s="8" t="inlineStr">
        <is>
          <t>ledgers</t>
        </is>
      </c>
      <c r="W526" s="8" t="inlineStr">
        <is>
          <t>CONTROL</t>
        </is>
      </c>
      <c r="X526" s="5" t="inlineStr">
        <is>
          <t>Core</t>
        </is>
      </c>
      <c r="Y526" s="5" t="inlineStr">
        <is>
          <t>Cross-persona</t>
        </is>
      </c>
      <c r="Z526" s="5" t="inlineStr">
        <is>
          <t>Critical</t>
        </is>
      </c>
      <c r="AA526" s="5" t="inlineStr">
        <is>
          <t>High</t>
        </is>
      </c>
      <c r="AB526" s="8" t="inlineStr">
        <is>
          <t>Medium</t>
        </is>
      </c>
      <c r="AC526" s="8" t="inlineStr">
        <is>
          <t>Pilot</t>
        </is>
      </c>
      <c r="AD526" s="5" t="inlineStr">
        <is>
          <t>Not independently checked</t>
        </is>
      </c>
      <c r="AE526" s="5" t="inlineStr">
        <is>
          <t>Not verified</t>
        </is>
      </c>
      <c r="AF526" s="5" t="inlineStr">
        <is>
          <t>Not verified</t>
        </is>
      </c>
      <c r="AG526" s="5" t="inlineStr">
        <is>
          <t>Not verified</t>
        </is>
      </c>
      <c r="AH526" s="5" t="inlineStr">
        <is>
          <t>Not verified</t>
        </is>
      </c>
      <c r="AI526" s="8" t="inlineStr">
        <is>
          <t>No</t>
        </is>
      </c>
      <c r="AJ526" s="8" t="inlineStr">
        <is>
          <t>Claimed - unverified</t>
        </is>
      </c>
      <c r="AK526" s="8" t="inlineStr">
        <is>
          <t>P1</t>
        </is>
      </c>
      <c r="AL526" s="8" t="n">
        <v>18</v>
      </c>
      <c r="AM526" s="5" t="inlineStr"/>
      <c r="AN526" s="5" t="inlineStr"/>
      <c r="AO526" s="5" t="inlineStr"/>
      <c r="AP526" s="5" t="inlineStr"/>
      <c r="AQ526" s="5" t="inlineStr"/>
      <c r="AR526" s="5" t="inlineStr"/>
      <c r="AS526" s="5" t="inlineStr"/>
      <c r="AT526" s="5" t="inlineStr"/>
      <c r="AU526" s="8" t="inlineStr">
        <is>
          <t>Not run</t>
        </is>
      </c>
    </row>
    <row r="527" ht="32" customHeight="1">
      <c r="A527" s="16" t="inlineStr">
        <is>
          <t>X-0526</t>
        </is>
      </c>
      <c r="B527" s="8" t="inlineStr">
        <is>
          <t>X</t>
        </is>
      </c>
      <c r="C527" s="5" t="inlineStr">
        <is>
          <t>Multiple / Cross-persona</t>
        </is>
      </c>
      <c r="D527" s="5" t="inlineStr">
        <is>
          <t>Receivables &amp; Payables</t>
        </is>
      </c>
      <c r="E527" s="5" t="inlineStr">
        <is>
          <t>Calculate overdue interest penalty charges on delayed customer payments</t>
        </is>
      </c>
      <c r="F527" s="5" t="inlineStr">
        <is>
          <t>In-house Accountant</t>
        </is>
      </c>
      <c r="G527" s="5" t="inlineStr">
        <is>
          <t>Customer</t>
        </is>
      </c>
      <c r="H527" s="5" t="inlineStr">
        <is>
          <t>Apply agreed commercial interest (e.g. 18% p.a.) on invoices unpaid beyond credit terms</t>
        </is>
      </c>
      <c r="I527" s="5" t="inlineStr">
        <is>
          <t>Calculates penal interest; generates commercial Debit Note for interest; posts to Interest Income</t>
        </is>
      </c>
      <c r="J527" s="22" t="inlineStr">
        <is>
          <t>P2</t>
        </is>
      </c>
      <c r="K527" s="20" t="inlineStr">
        <is>
          <t>Validated (Supported)</t>
        </is>
      </c>
      <c r="L527" s="5" t="inlineStr">
        <is>
          <t>Supported via Overdue Interest Calculator with one-click Debit Note generation.</t>
        </is>
      </c>
      <c r="M527" s="8" t="inlineStr">
        <is>
          <t>Baseline</t>
        </is>
      </c>
      <c r="N527" s="8" t="inlineStr">
        <is>
          <t>Cross-persona</t>
        </is>
      </c>
      <c r="O527" s="8" t="inlineStr">
        <is>
          <t>P2</t>
        </is>
      </c>
      <c r="P527" s="5" t="inlineStr">
        <is>
          <t>Restored to authored P2. The previous workbook had P3 after a keyword rebalance.</t>
        </is>
      </c>
      <c r="Q527" s="20" t="inlineStr">
        <is>
          <t>Author assertion</t>
        </is>
      </c>
      <c r="R527" s="5" t="inlineStr">
        <is>
          <t>Restored to authored P2. The previous workbook had P3 after a keyword rebalance.</t>
        </is>
      </c>
      <c r="S527" s="8" t="inlineStr">
        <is>
          <t>ARAP</t>
        </is>
      </c>
      <c r="T527" s="5" t="inlineStr">
        <is>
          <t>Receivables and payables</t>
        </is>
      </c>
      <c r="U527" s="8" t="inlineStr"/>
      <c r="V527" s="8" t="inlineStr">
        <is>
          <t>ledgers</t>
        </is>
      </c>
      <c r="W527" s="8" t="inlineStr">
        <is>
          <t>CONTROL</t>
        </is>
      </c>
      <c r="X527" s="5" t="inlineStr">
        <is>
          <t>Core</t>
        </is>
      </c>
      <c r="Y527" s="5" t="inlineStr">
        <is>
          <t>Cross-persona</t>
        </is>
      </c>
      <c r="Z527" s="5" t="inlineStr">
        <is>
          <t>Critical</t>
        </is>
      </c>
      <c r="AA527" s="5" t="inlineStr">
        <is>
          <t>High</t>
        </is>
      </c>
      <c r="AB527" s="8" t="inlineStr">
        <is>
          <t>Medium</t>
        </is>
      </c>
      <c r="AC527" s="8" t="inlineStr">
        <is>
          <t>Later</t>
        </is>
      </c>
      <c r="AD527" s="5" t="inlineStr">
        <is>
          <t>Not independently checked</t>
        </is>
      </c>
      <c r="AE527" s="5" t="inlineStr">
        <is>
          <t>Not verified</t>
        </is>
      </c>
      <c r="AF527" s="5" t="inlineStr">
        <is>
          <t>Not verified</t>
        </is>
      </c>
      <c r="AG527" s="5" t="inlineStr">
        <is>
          <t>Not verified</t>
        </is>
      </c>
      <c r="AH527" s="5" t="inlineStr">
        <is>
          <t>Not verified</t>
        </is>
      </c>
      <c r="AI527" s="8" t="inlineStr">
        <is>
          <t>No</t>
        </is>
      </c>
      <c r="AJ527" s="8" t="inlineStr">
        <is>
          <t>Claimed - unverified</t>
        </is>
      </c>
      <c r="AK527" s="8" t="inlineStr">
        <is>
          <t>P2</t>
        </is>
      </c>
      <c r="AL527" s="8" t="n">
        <v>18</v>
      </c>
      <c r="AM527" s="5" t="inlineStr"/>
      <c r="AN527" s="5" t="inlineStr"/>
      <c r="AO527" s="5" t="inlineStr"/>
      <c r="AP527" s="5" t="inlineStr"/>
      <c r="AQ527" s="5" t="inlineStr"/>
      <c r="AR527" s="5" t="inlineStr"/>
      <c r="AS527" s="5" t="inlineStr"/>
      <c r="AT527" s="5" t="inlineStr"/>
      <c r="AU527" s="8" t="inlineStr">
        <is>
          <t>Not run</t>
        </is>
      </c>
    </row>
    <row r="528" ht="32" customHeight="1">
      <c r="A528" s="16" t="inlineStr">
        <is>
          <t>X-0527</t>
        </is>
      </c>
      <c r="B528" s="8" t="inlineStr">
        <is>
          <t>X</t>
        </is>
      </c>
      <c r="C528" s="5" t="inlineStr">
        <is>
          <t>Multiple / Cross-persona</t>
        </is>
      </c>
      <c r="D528" s="5" t="inlineStr">
        <is>
          <t>Receivables &amp; Payables</t>
        </is>
      </c>
      <c r="E528" s="5" t="inlineStr">
        <is>
          <t>Automatic debtor account freeze and delivery block on chronic overdue accounts</t>
        </is>
      </c>
      <c r="F528" s="5" t="inlineStr">
        <is>
          <t>Credit Guard Engine</t>
        </is>
      </c>
      <c r="G528" s="5" t="inlineStr">
        <is>
          <t>Billing Clerk / Salesperson</t>
        </is>
      </c>
      <c r="H528" s="5" t="inlineStr">
        <is>
          <t>Hard system block preventing sales or dispatches to customers with invoices overdue &gt; 60 days</t>
        </is>
      </c>
      <c r="I528" s="5" t="inlineStr">
        <is>
          <t>Locks customer account; disables billing button; requires Business Owner unlock PIN</t>
        </is>
      </c>
      <c r="J528" s="19" t="inlineStr">
        <is>
          <t>P0</t>
        </is>
      </c>
      <c r="K528" s="20" t="inlineStr">
        <is>
          <t>Validated (Supported)</t>
        </is>
      </c>
      <c r="L528" s="5" t="inlineStr">
        <is>
          <t>Core credit invariant: chronic overdue lock strictly blocks invoice and dispatch completion.</t>
        </is>
      </c>
      <c r="M528" s="8" t="inlineStr">
        <is>
          <t>Baseline</t>
        </is>
      </c>
      <c r="N528" s="8" t="inlineStr">
        <is>
          <t>Cross-persona</t>
        </is>
      </c>
      <c r="O528" s="8" t="inlineStr">
        <is>
          <t>P0</t>
        </is>
      </c>
      <c r="P528" s="5" t="inlineStr">
        <is>
          <t>Unchanged</t>
        </is>
      </c>
      <c r="Q528" s="20" t="inlineStr">
        <is>
          <t>Author assertion</t>
        </is>
      </c>
      <c r="R528" s="5" t="inlineStr"/>
      <c r="S528" s="8" t="inlineStr">
        <is>
          <t>ARAP</t>
        </is>
      </c>
      <c r="T528" s="5" t="inlineStr">
        <is>
          <t>Receivables and payables</t>
        </is>
      </c>
      <c r="U528" s="8" t="inlineStr"/>
      <c r="V528" s="8" t="inlineStr">
        <is>
          <t>ledgers</t>
        </is>
      </c>
      <c r="W528" s="8" t="inlineStr">
        <is>
          <t>CONTROL</t>
        </is>
      </c>
      <c r="X528" s="5" t="inlineStr">
        <is>
          <t>Core</t>
        </is>
      </c>
      <c r="Y528" s="5" t="inlineStr">
        <is>
          <t>Cross-persona</t>
        </is>
      </c>
      <c r="Z528" s="5" t="inlineStr">
        <is>
          <t>Critical</t>
        </is>
      </c>
      <c r="AA528" s="5" t="inlineStr">
        <is>
          <t>High</t>
        </is>
      </c>
      <c r="AB528" s="8" t="inlineStr">
        <is>
          <t>Medium</t>
        </is>
      </c>
      <c r="AC528" s="8" t="inlineStr">
        <is>
          <t>MVP</t>
        </is>
      </c>
      <c r="AD528" s="5" t="inlineStr">
        <is>
          <t>Not independently checked</t>
        </is>
      </c>
      <c r="AE528" s="5" t="inlineStr">
        <is>
          <t>Not verified</t>
        </is>
      </c>
      <c r="AF528" s="5" t="inlineStr">
        <is>
          <t>Not verified</t>
        </is>
      </c>
      <c r="AG528" s="5" t="inlineStr">
        <is>
          <t>Not verified</t>
        </is>
      </c>
      <c r="AH528" s="5" t="inlineStr">
        <is>
          <t>Not verified</t>
        </is>
      </c>
      <c r="AI528" s="8" t="inlineStr">
        <is>
          <t>No</t>
        </is>
      </c>
      <c r="AJ528" s="8" t="inlineStr">
        <is>
          <t>Claimed - unverified</t>
        </is>
      </c>
      <c r="AK528" s="8" t="inlineStr">
        <is>
          <t>P0</t>
        </is>
      </c>
      <c r="AL528" s="8" t="n">
        <v>18</v>
      </c>
      <c r="AM528" s="5" t="inlineStr"/>
      <c r="AN528" s="5" t="inlineStr"/>
      <c r="AO528" s="5" t="inlineStr"/>
      <c r="AP528" s="5" t="inlineStr"/>
      <c r="AQ528" s="5" t="inlineStr"/>
      <c r="AR528" s="5" t="inlineStr"/>
      <c r="AS528" s="5" t="inlineStr"/>
      <c r="AT528" s="5" t="inlineStr"/>
      <c r="AU528" s="8" t="inlineStr">
        <is>
          <t>Not run</t>
        </is>
      </c>
    </row>
    <row r="529" ht="32" customHeight="1">
      <c r="A529" s="16" t="inlineStr">
        <is>
          <t>X-0528</t>
        </is>
      </c>
      <c r="B529" s="8" t="inlineStr">
        <is>
          <t>X</t>
        </is>
      </c>
      <c r="C529" s="5" t="inlineStr">
        <is>
          <t>Multiple / Cross-persona</t>
        </is>
      </c>
      <c r="D529" s="5" t="inlineStr">
        <is>
          <t>Payments &amp; Reconciliation</t>
        </is>
      </c>
      <c r="E529" s="5" t="inlineStr">
        <is>
          <t>Record PDC (Post-Dated Cheque) received from customer and track presentation due date</t>
        </is>
      </c>
      <c r="F529" s="5" t="inlineStr">
        <is>
          <t>Accounts Cashier</t>
        </is>
      </c>
      <c r="G529" s="5" t="inlineStr">
        <is>
          <t>Customer</t>
        </is>
      </c>
      <c r="H529" s="5" t="inlineStr">
        <is>
          <t>Safely register future-dated physical cheques received from B2B clients</t>
        </is>
      </c>
      <c r="I529" s="5" t="inlineStr">
        <is>
          <t>Creates ChequeRecord in PDC_HOLDING status; surfaces cheque on daily bank deposit schedule</t>
        </is>
      </c>
      <c r="J529" s="20" t="inlineStr">
        <is>
          <t>P1</t>
        </is>
      </c>
      <c r="K529" s="20" t="inlineStr">
        <is>
          <t>Validated (Supported)</t>
        </is>
      </c>
      <c r="L529" s="5" t="inlineStr">
        <is>
          <t>Supported via /payments/cheques/ with maturity calendar and bank presentation alerts.</t>
        </is>
      </c>
      <c r="M529" s="8" t="inlineStr">
        <is>
          <t>Baseline</t>
        </is>
      </c>
      <c r="N529" s="8" t="inlineStr">
        <is>
          <t>Cross-persona</t>
        </is>
      </c>
      <c r="O529" s="8" t="inlineStr">
        <is>
          <t>P1</t>
        </is>
      </c>
      <c r="P529" s="5" t="inlineStr">
        <is>
          <t>Unchanged</t>
        </is>
      </c>
      <c r="Q529" s="20" t="inlineStr">
        <is>
          <t>Author assertion</t>
        </is>
      </c>
      <c r="R529" s="5" t="inlineStr"/>
      <c r="S529" s="8" t="inlineStr">
        <is>
          <t>PAYREC</t>
        </is>
      </c>
      <c r="T529" s="5" t="inlineStr">
        <is>
          <t>Payments and reconciliation</t>
        </is>
      </c>
      <c r="U529" s="8" t="inlineStr"/>
      <c r="V529" s="8" t="inlineStr">
        <is>
          <t>payments</t>
        </is>
      </c>
      <c r="W529" s="8" t="inlineStr">
        <is>
          <t>RUN</t>
        </is>
      </c>
      <c r="X529" s="5" t="inlineStr">
        <is>
          <t>Core</t>
        </is>
      </c>
      <c r="Y529" s="5" t="inlineStr">
        <is>
          <t>Cross-persona</t>
        </is>
      </c>
      <c r="Z529" s="5" t="inlineStr">
        <is>
          <t>High</t>
        </is>
      </c>
      <c r="AA529" s="5" t="inlineStr">
        <is>
          <t>High</t>
        </is>
      </c>
      <c r="AB529" s="8" t="inlineStr">
        <is>
          <t>Low</t>
        </is>
      </c>
      <c r="AC529" s="8" t="inlineStr">
        <is>
          <t>Pilot</t>
        </is>
      </c>
      <c r="AD529" s="5" t="inlineStr">
        <is>
          <t>Not independently checked</t>
        </is>
      </c>
      <c r="AE529" s="5" t="inlineStr">
        <is>
          <t>Not verified</t>
        </is>
      </c>
      <c r="AF529" s="5" t="inlineStr">
        <is>
          <t>Not verified</t>
        </is>
      </c>
      <c r="AG529" s="5" t="inlineStr">
        <is>
          <t>Not verified</t>
        </is>
      </c>
      <c r="AH529" s="5" t="inlineStr">
        <is>
          <t>Not verified</t>
        </is>
      </c>
      <c r="AI529" s="8" t="inlineStr">
        <is>
          <t>No</t>
        </is>
      </c>
      <c r="AJ529" s="8" t="inlineStr">
        <is>
          <t>Claimed - unverified</t>
        </is>
      </c>
      <c r="AK529" s="8" t="inlineStr">
        <is>
          <t>P1</t>
        </is>
      </c>
      <c r="AL529" s="8" t="n">
        <v>9</v>
      </c>
      <c r="AM529" s="5" t="inlineStr"/>
      <c r="AN529" s="5" t="inlineStr"/>
      <c r="AO529" s="5" t="inlineStr"/>
      <c r="AP529" s="5" t="inlineStr"/>
      <c r="AQ529" s="5" t="inlineStr"/>
      <c r="AR529" s="5" t="inlineStr"/>
      <c r="AS529" s="5" t="inlineStr"/>
      <c r="AT529" s="5" t="inlineStr"/>
      <c r="AU529" s="8" t="inlineStr">
        <is>
          <t>Not run</t>
        </is>
      </c>
    </row>
    <row r="530" ht="32" customHeight="1">
      <c r="A530" s="16" t="inlineStr">
        <is>
          <t>X-0529</t>
        </is>
      </c>
      <c r="B530" s="8" t="inlineStr">
        <is>
          <t>X</t>
        </is>
      </c>
      <c r="C530" s="5" t="inlineStr">
        <is>
          <t>Multiple / Cross-persona</t>
        </is>
      </c>
      <c r="D530" s="5" t="inlineStr">
        <is>
          <t>Payments &amp; Reconciliation</t>
        </is>
      </c>
      <c r="E530" s="5" t="inlineStr">
        <is>
          <t>Deposit cheque into bank clearing account and monitor realization</t>
        </is>
      </c>
      <c r="F530" s="5" t="inlineStr">
        <is>
          <t>Accounts Cashier</t>
        </is>
      </c>
      <c r="G530" s="5" t="inlineStr">
        <is>
          <t>Bank</t>
        </is>
      </c>
      <c r="H530" s="5" t="inlineStr">
        <is>
          <t>Record physical deposit of customer cheques into bank clearing account</t>
        </is>
      </c>
      <c r="I530" s="5" t="inlineStr">
        <is>
          <t>Debits Bank Cheques-in-Clearing account; marks cheque as DEPOSITED</t>
        </is>
      </c>
      <c r="J530" s="20" t="inlineStr">
        <is>
          <t>P1</t>
        </is>
      </c>
      <c r="K530" s="20" t="inlineStr">
        <is>
          <t>Validated (Supported)</t>
        </is>
      </c>
      <c r="L530" s="5" t="inlineStr">
        <is>
          <t>Supported via Bank Deposit Slip generator and cheque clearing tracker.</t>
        </is>
      </c>
      <c r="M530" s="8" t="inlineStr">
        <is>
          <t>Baseline</t>
        </is>
      </c>
      <c r="N530" s="8" t="inlineStr">
        <is>
          <t>Cross-persona</t>
        </is>
      </c>
      <c r="O530" s="8" t="inlineStr">
        <is>
          <t>P1</t>
        </is>
      </c>
      <c r="P530" s="5" t="inlineStr">
        <is>
          <t>Unchanged</t>
        </is>
      </c>
      <c r="Q530" s="20" t="inlineStr">
        <is>
          <t>Author assertion</t>
        </is>
      </c>
      <c r="R530" s="5" t="inlineStr"/>
      <c r="S530" s="8" t="inlineStr">
        <is>
          <t>PAYREC</t>
        </is>
      </c>
      <c r="T530" s="5" t="inlineStr">
        <is>
          <t>Payments and reconciliation</t>
        </is>
      </c>
      <c r="U530" s="8" t="inlineStr"/>
      <c r="V530" s="8" t="inlineStr">
        <is>
          <t>payments</t>
        </is>
      </c>
      <c r="W530" s="8" t="inlineStr">
        <is>
          <t>RUN</t>
        </is>
      </c>
      <c r="X530" s="5" t="inlineStr">
        <is>
          <t>Core</t>
        </is>
      </c>
      <c r="Y530" s="5" t="inlineStr">
        <is>
          <t>Cross-persona</t>
        </is>
      </c>
      <c r="Z530" s="5" t="inlineStr">
        <is>
          <t>High</t>
        </is>
      </c>
      <c r="AA530" s="5" t="inlineStr">
        <is>
          <t>High</t>
        </is>
      </c>
      <c r="AB530" s="8" t="inlineStr">
        <is>
          <t>Low</t>
        </is>
      </c>
      <c r="AC530" s="8" t="inlineStr">
        <is>
          <t>Pilot</t>
        </is>
      </c>
      <c r="AD530" s="5" t="inlineStr">
        <is>
          <t>Not independently checked</t>
        </is>
      </c>
      <c r="AE530" s="5" t="inlineStr">
        <is>
          <t>Not verified</t>
        </is>
      </c>
      <c r="AF530" s="5" t="inlineStr">
        <is>
          <t>Not verified</t>
        </is>
      </c>
      <c r="AG530" s="5" t="inlineStr">
        <is>
          <t>Not verified</t>
        </is>
      </c>
      <c r="AH530" s="5" t="inlineStr">
        <is>
          <t>Not verified</t>
        </is>
      </c>
      <c r="AI530" s="8" t="inlineStr">
        <is>
          <t>No</t>
        </is>
      </c>
      <c r="AJ530" s="8" t="inlineStr">
        <is>
          <t>Claimed - unverified</t>
        </is>
      </c>
      <c r="AK530" s="8" t="inlineStr">
        <is>
          <t>P1</t>
        </is>
      </c>
      <c r="AL530" s="8" t="n">
        <v>9</v>
      </c>
      <c r="AM530" s="5" t="inlineStr"/>
      <c r="AN530" s="5" t="inlineStr"/>
      <c r="AO530" s="5" t="inlineStr"/>
      <c r="AP530" s="5" t="inlineStr"/>
      <c r="AQ530" s="5" t="inlineStr"/>
      <c r="AR530" s="5" t="inlineStr"/>
      <c r="AS530" s="5" t="inlineStr"/>
      <c r="AT530" s="5" t="inlineStr"/>
      <c r="AU530" s="8" t="inlineStr">
        <is>
          <t>Not run</t>
        </is>
      </c>
    </row>
    <row r="531" ht="32" customHeight="1">
      <c r="A531" s="16" t="inlineStr">
        <is>
          <t>X-0530</t>
        </is>
      </c>
      <c r="B531" s="8" t="inlineStr">
        <is>
          <t>X</t>
        </is>
      </c>
      <c r="C531" s="5" t="inlineStr">
        <is>
          <t>Multiple / Cross-persona</t>
        </is>
      </c>
      <c r="D531" s="5" t="inlineStr">
        <is>
          <t>Payments &amp; Reconciliation</t>
        </is>
      </c>
      <c r="E531" s="5" t="inlineStr">
        <is>
          <t>Handle bounced / dishonoured cheque: reverse invoice settlement, add bank fee, alert owner</t>
        </is>
      </c>
      <c r="F531" s="5" t="inlineStr">
        <is>
          <t>In-house Accountant</t>
        </is>
      </c>
      <c r="G531" s="5" t="inlineStr">
        <is>
          <t>Customer / Bank</t>
        </is>
      </c>
      <c r="H531" s="5" t="inlineStr">
        <is>
          <t>Immediate accounting reversal when bank rejects cheque due to insufficient customer funds</t>
        </is>
      </c>
      <c r="I531" s="5" t="inlineStr">
        <is>
          <t>Restores original invoice UNPAID status; debits bank dishonour charges to customer account; alerts owner</t>
        </is>
      </c>
      <c r="J531" s="19" t="inlineStr">
        <is>
          <t>P0</t>
        </is>
      </c>
      <c r="K531" s="20" t="inlineStr">
        <is>
          <t>Validated (Supported)</t>
        </is>
      </c>
      <c r="L531" s="5" t="inlineStr">
        <is>
          <t>Supported via Cheque Dishonour action with automated ledger reversal and notice letter.</t>
        </is>
      </c>
      <c r="M531" s="8" t="inlineStr">
        <is>
          <t>Baseline</t>
        </is>
      </c>
      <c r="N531" s="8" t="inlineStr">
        <is>
          <t>Cross-persona</t>
        </is>
      </c>
      <c r="O531" s="8" t="inlineStr">
        <is>
          <t>P0</t>
        </is>
      </c>
      <c r="P531" s="5" t="inlineStr">
        <is>
          <t>Unchanged</t>
        </is>
      </c>
      <c r="Q531" s="20" t="inlineStr">
        <is>
          <t>Author assertion</t>
        </is>
      </c>
      <c r="R531" s="5" t="inlineStr"/>
      <c r="S531" s="8" t="inlineStr">
        <is>
          <t>PAYREC</t>
        </is>
      </c>
      <c r="T531" s="5" t="inlineStr">
        <is>
          <t>Payments and reconciliation</t>
        </is>
      </c>
      <c r="U531" s="8" t="inlineStr"/>
      <c r="V531" s="8" t="inlineStr">
        <is>
          <t>payments</t>
        </is>
      </c>
      <c r="W531" s="8" t="inlineStr">
        <is>
          <t>RUN</t>
        </is>
      </c>
      <c r="X531" s="5" t="inlineStr">
        <is>
          <t>Core</t>
        </is>
      </c>
      <c r="Y531" s="5" t="inlineStr">
        <is>
          <t>Cross-persona</t>
        </is>
      </c>
      <c r="Z531" s="5" t="inlineStr">
        <is>
          <t>High</t>
        </is>
      </c>
      <c r="AA531" s="5" t="inlineStr">
        <is>
          <t>High</t>
        </is>
      </c>
      <c r="AB531" s="8" t="inlineStr">
        <is>
          <t>Low</t>
        </is>
      </c>
      <c r="AC531" s="8" t="inlineStr">
        <is>
          <t>MVP</t>
        </is>
      </c>
      <c r="AD531" s="5" t="inlineStr">
        <is>
          <t>Not independently checked</t>
        </is>
      </c>
      <c r="AE531" s="5" t="inlineStr">
        <is>
          <t>Not verified</t>
        </is>
      </c>
      <c r="AF531" s="5" t="inlineStr">
        <is>
          <t>Not verified</t>
        </is>
      </c>
      <c r="AG531" s="5" t="inlineStr">
        <is>
          <t>Not verified</t>
        </is>
      </c>
      <c r="AH531" s="5" t="inlineStr">
        <is>
          <t>Not verified</t>
        </is>
      </c>
      <c r="AI531" s="8" t="inlineStr">
        <is>
          <t>No</t>
        </is>
      </c>
      <c r="AJ531" s="8" t="inlineStr">
        <is>
          <t>Claimed - unverified</t>
        </is>
      </c>
      <c r="AK531" s="8" t="inlineStr">
        <is>
          <t>P0</t>
        </is>
      </c>
      <c r="AL531" s="8" t="n">
        <v>9</v>
      </c>
      <c r="AM531" s="5" t="inlineStr"/>
      <c r="AN531" s="5" t="inlineStr"/>
      <c r="AO531" s="5" t="inlineStr"/>
      <c r="AP531" s="5" t="inlineStr"/>
      <c r="AQ531" s="5" t="inlineStr"/>
      <c r="AR531" s="5" t="inlineStr"/>
      <c r="AS531" s="5" t="inlineStr"/>
      <c r="AT531" s="5" t="inlineStr"/>
      <c r="AU531" s="8" t="inlineStr">
        <is>
          <t>Not run</t>
        </is>
      </c>
    </row>
    <row r="532" ht="32" customHeight="1">
      <c r="A532" s="16" t="inlineStr">
        <is>
          <t>X-0531</t>
        </is>
      </c>
      <c r="B532" s="8" t="inlineStr">
        <is>
          <t>X</t>
        </is>
      </c>
      <c r="C532" s="5" t="inlineStr">
        <is>
          <t>Multiple / Cross-persona</t>
        </is>
      </c>
      <c r="D532" s="5" t="inlineStr">
        <is>
          <t>Payments &amp; Reconciliation</t>
        </is>
      </c>
      <c r="E532" s="5" t="inlineStr">
        <is>
          <t>Apply early settlement cash discount (e.g. 2% in 7 days) and book discount expense</t>
        </is>
      </c>
      <c r="F532" s="5" t="inlineStr">
        <is>
          <t>Accounts Cashier</t>
        </is>
      </c>
      <c r="G532" s="5" t="inlineStr">
        <is>
          <t>Customer</t>
        </is>
      </c>
      <c r="H532" s="5" t="inlineStr">
        <is>
          <t>Incentivize prompt customer payment by offering dynamic early settlement discounts</t>
        </is>
      </c>
      <c r="I532" s="5" t="inlineStr">
        <is>
          <t>Calculates discount amount; debits Cash Discount Allowed expense account in GL; settles full bill</t>
        </is>
      </c>
      <c r="J532" s="20" t="inlineStr">
        <is>
          <t>P1</t>
        </is>
      </c>
      <c r="K532" s="20" t="inlineStr">
        <is>
          <t>Validated (Supported)</t>
        </is>
      </c>
      <c r="L532" s="5" t="inlineStr">
        <is>
          <t>Supported via Settlement Discount selector on payment receipt screen.</t>
        </is>
      </c>
      <c r="M532" s="8" t="inlineStr">
        <is>
          <t>Baseline</t>
        </is>
      </c>
      <c r="N532" s="8" t="inlineStr">
        <is>
          <t>Cross-persona</t>
        </is>
      </c>
      <c r="O532" s="8" t="inlineStr">
        <is>
          <t>P1</t>
        </is>
      </c>
      <c r="P532" s="5" t="inlineStr">
        <is>
          <t>Unchanged</t>
        </is>
      </c>
      <c r="Q532" s="20" t="inlineStr">
        <is>
          <t>Author assertion</t>
        </is>
      </c>
      <c r="R532" s="5" t="inlineStr"/>
      <c r="S532" s="8" t="inlineStr">
        <is>
          <t>PAYREC</t>
        </is>
      </c>
      <c r="T532" s="5" t="inlineStr">
        <is>
          <t>Payments and reconciliation</t>
        </is>
      </c>
      <c r="U532" s="8" t="inlineStr"/>
      <c r="V532" s="8" t="inlineStr">
        <is>
          <t>payments</t>
        </is>
      </c>
      <c r="W532" s="8" t="inlineStr">
        <is>
          <t>RUN</t>
        </is>
      </c>
      <c r="X532" s="5" t="inlineStr">
        <is>
          <t>Core</t>
        </is>
      </c>
      <c r="Y532" s="5" t="inlineStr">
        <is>
          <t>Cross-persona</t>
        </is>
      </c>
      <c r="Z532" s="5" t="inlineStr">
        <is>
          <t>High</t>
        </is>
      </c>
      <c r="AA532" s="5" t="inlineStr">
        <is>
          <t>High</t>
        </is>
      </c>
      <c r="AB532" s="8" t="inlineStr">
        <is>
          <t>Low</t>
        </is>
      </c>
      <c r="AC532" s="8" t="inlineStr">
        <is>
          <t>Pilot</t>
        </is>
      </c>
      <c r="AD532" s="5" t="inlineStr">
        <is>
          <t>Not independently checked</t>
        </is>
      </c>
      <c r="AE532" s="5" t="inlineStr">
        <is>
          <t>Not verified</t>
        </is>
      </c>
      <c r="AF532" s="5" t="inlineStr">
        <is>
          <t>Not verified</t>
        </is>
      </c>
      <c r="AG532" s="5" t="inlineStr">
        <is>
          <t>Not verified</t>
        </is>
      </c>
      <c r="AH532" s="5" t="inlineStr">
        <is>
          <t>Not verified</t>
        </is>
      </c>
      <c r="AI532" s="8" t="inlineStr">
        <is>
          <t>No</t>
        </is>
      </c>
      <c r="AJ532" s="8" t="inlineStr">
        <is>
          <t>Claimed - unverified</t>
        </is>
      </c>
      <c r="AK532" s="8" t="inlineStr">
        <is>
          <t>P1</t>
        </is>
      </c>
      <c r="AL532" s="8" t="n">
        <v>9</v>
      </c>
      <c r="AM532" s="5" t="inlineStr"/>
      <c r="AN532" s="5" t="inlineStr"/>
      <c r="AO532" s="5" t="inlineStr"/>
      <c r="AP532" s="5" t="inlineStr"/>
      <c r="AQ532" s="5" t="inlineStr"/>
      <c r="AR532" s="5" t="inlineStr"/>
      <c r="AS532" s="5" t="inlineStr"/>
      <c r="AT532" s="5" t="inlineStr"/>
      <c r="AU532" s="8" t="inlineStr">
        <is>
          <t>Not run</t>
        </is>
      </c>
    </row>
    <row r="533" ht="32" customHeight="1">
      <c r="A533" s="16" t="inlineStr">
        <is>
          <t>X-0532</t>
        </is>
      </c>
      <c r="B533" s="8" t="inlineStr">
        <is>
          <t>X</t>
        </is>
      </c>
      <c r="C533" s="5" t="inlineStr">
        <is>
          <t>Multiple / Cross-persona</t>
        </is>
      </c>
      <c r="D533" s="5" t="inlineStr">
        <is>
          <t>Payments &amp; Reconciliation</t>
        </is>
      </c>
      <c r="E533" s="5" t="inlineStr">
        <is>
          <t>Connected banking live feed integration (Account Aggregator / Bank API)</t>
        </is>
      </c>
      <c r="F533" s="5" t="inlineStr">
        <is>
          <t>In-house Accountant</t>
        </is>
      </c>
      <c r="G533" s="5" t="inlineStr">
        <is>
          <t>Bank (ICICI/HDFC/Axis)</t>
        </is>
      </c>
      <c r="H533" s="5" t="inlineStr">
        <is>
          <t>Automated live synchronization of bank account statements and RTGS/NEFT inflows</t>
        </is>
      </c>
      <c r="I533" s="5" t="inlineStr">
        <is>
          <t>Fetches live bank statement lines via secure API; matches UTRs against open customer receivables</t>
        </is>
      </c>
      <c r="J533" s="20" t="inlineStr">
        <is>
          <t>P1</t>
        </is>
      </c>
      <c r="K533" s="20" t="inlineStr">
        <is>
          <t>Validated (Supported)</t>
        </is>
      </c>
      <c r="L533" s="5" t="inlineStr">
        <is>
          <t>Supported via Connected Banking module with Account Aggregator / Bank Open API hooks.</t>
        </is>
      </c>
      <c r="M533" s="8" t="inlineStr">
        <is>
          <t>Baseline</t>
        </is>
      </c>
      <c r="N533" s="8" t="inlineStr">
        <is>
          <t>Cross-persona</t>
        </is>
      </c>
      <c r="O533" s="8" t="inlineStr">
        <is>
          <t>P1</t>
        </is>
      </c>
      <c r="P533" s="5" t="inlineStr">
        <is>
          <t>Unchanged</t>
        </is>
      </c>
      <c r="Q533" s="20" t="inlineStr">
        <is>
          <t>Author assertion</t>
        </is>
      </c>
      <c r="R533" s="5" t="inlineStr"/>
      <c r="S533" s="8" t="inlineStr">
        <is>
          <t>PAYREC</t>
        </is>
      </c>
      <c r="T533" s="5" t="inlineStr">
        <is>
          <t>Payments and reconciliation</t>
        </is>
      </c>
      <c r="U533" s="8" t="inlineStr"/>
      <c r="V533" s="8" t="inlineStr">
        <is>
          <t>payments</t>
        </is>
      </c>
      <c r="W533" s="8" t="inlineStr">
        <is>
          <t>RUN</t>
        </is>
      </c>
      <c r="X533" s="5" t="inlineStr">
        <is>
          <t>Core</t>
        </is>
      </c>
      <c r="Y533" s="5" t="inlineStr">
        <is>
          <t>Cross-persona</t>
        </is>
      </c>
      <c r="Z533" s="5" t="inlineStr">
        <is>
          <t>High</t>
        </is>
      </c>
      <c r="AA533" s="5" t="inlineStr">
        <is>
          <t>High</t>
        </is>
      </c>
      <c r="AB533" s="8" t="inlineStr">
        <is>
          <t>Low</t>
        </is>
      </c>
      <c r="AC533" s="8" t="inlineStr">
        <is>
          <t>Pilot</t>
        </is>
      </c>
      <c r="AD533" s="5" t="inlineStr">
        <is>
          <t>Not independently checked</t>
        </is>
      </c>
      <c r="AE533" s="5" t="inlineStr">
        <is>
          <t>Not verified</t>
        </is>
      </c>
      <c r="AF533" s="5" t="inlineStr">
        <is>
          <t>Not verified</t>
        </is>
      </c>
      <c r="AG533" s="5" t="inlineStr">
        <is>
          <t>Not verified</t>
        </is>
      </c>
      <c r="AH533" s="5" t="inlineStr">
        <is>
          <t>Not verified</t>
        </is>
      </c>
      <c r="AI533" s="8" t="inlineStr">
        <is>
          <t>No</t>
        </is>
      </c>
      <c r="AJ533" s="8" t="inlineStr">
        <is>
          <t>Claimed - unverified</t>
        </is>
      </c>
      <c r="AK533" s="8" t="inlineStr">
        <is>
          <t>P1</t>
        </is>
      </c>
      <c r="AL533" s="8" t="n">
        <v>9</v>
      </c>
      <c r="AM533" s="5" t="inlineStr"/>
      <c r="AN533" s="5" t="inlineStr"/>
      <c r="AO533" s="5" t="inlineStr"/>
      <c r="AP533" s="5" t="inlineStr"/>
      <c r="AQ533" s="5" t="inlineStr"/>
      <c r="AR533" s="5" t="inlineStr"/>
      <c r="AS533" s="5" t="inlineStr"/>
      <c r="AT533" s="5" t="inlineStr"/>
      <c r="AU533" s="8" t="inlineStr">
        <is>
          <t>Not run</t>
        </is>
      </c>
    </row>
    <row r="534" ht="32" customHeight="1">
      <c r="A534" s="16" t="inlineStr">
        <is>
          <t>X-0533</t>
        </is>
      </c>
      <c r="B534" s="8" t="inlineStr">
        <is>
          <t>X</t>
        </is>
      </c>
      <c r="C534" s="5" t="inlineStr">
        <is>
          <t>Multiple / Cross-persona</t>
        </is>
      </c>
      <c r="D534" s="5" t="inlineStr">
        <is>
          <t>Procure-to-Pay</t>
        </is>
      </c>
      <c r="E534" s="5" t="inlineStr">
        <is>
          <t>Upload photo/PDF of supplier bill → AI/LLM extracts vendor GSTIN, invoice no, lines, taxes into draft bill</t>
        </is>
      </c>
      <c r="F534" s="5" t="inlineStr">
        <is>
          <t>Purchase Staff / Accountant</t>
        </is>
      </c>
      <c r="G534" s="5" t="inlineStr">
        <is>
          <t>Supplier</t>
        </is>
      </c>
      <c r="H534" s="5" t="inlineStr">
        <is>
          <t>Zero-manual-typing inward bill entry from scanned physical supplier tax bills</t>
        </is>
      </c>
      <c r="I534" s="5" t="inlineStr">
        <is>
          <t>Extracts header, items, HSN, rates, and tax split via OCR+LLM; pre-fills Purchase Invoice draft</t>
        </is>
      </c>
      <c r="J534" s="20" t="inlineStr">
        <is>
          <t>P1</t>
        </is>
      </c>
      <c r="K534" s="20" t="inlineStr">
        <is>
          <t>Validated (Supported)</t>
        </is>
      </c>
      <c r="L534" s="5" t="inlineStr">
        <is>
          <t>Supported via Deterministic LLM Bill Extractor (/purchases/upload-bill/).</t>
        </is>
      </c>
      <c r="M534" s="8" t="inlineStr">
        <is>
          <t>Baseline</t>
        </is>
      </c>
      <c r="N534" s="8" t="inlineStr">
        <is>
          <t>Cross-persona</t>
        </is>
      </c>
      <c r="O534" s="8" t="inlineStr">
        <is>
          <t>P1</t>
        </is>
      </c>
      <c r="P534" s="5" t="inlineStr">
        <is>
          <t>Unchanged</t>
        </is>
      </c>
      <c r="Q534" s="20" t="inlineStr">
        <is>
          <t>Author assertion</t>
        </is>
      </c>
      <c r="R534" s="5" t="inlineStr"/>
      <c r="S534" s="8" t="inlineStr">
        <is>
          <t>P2P</t>
        </is>
      </c>
      <c r="T534" s="5" t="inlineStr">
        <is>
          <t>Procure to pay</t>
        </is>
      </c>
      <c r="U534" s="8" t="inlineStr"/>
      <c r="V534" s="8" t="inlineStr">
        <is>
          <t>purchases</t>
        </is>
      </c>
      <c r="W534" s="8" t="inlineStr">
        <is>
          <t>RUN</t>
        </is>
      </c>
      <c r="X534" s="5" t="inlineStr">
        <is>
          <t>Core</t>
        </is>
      </c>
      <c r="Y534" s="5" t="inlineStr">
        <is>
          <t>Cross-persona</t>
        </is>
      </c>
      <c r="Z534" s="5" t="inlineStr">
        <is>
          <t>Medium</t>
        </is>
      </c>
      <c r="AA534" s="5" t="inlineStr">
        <is>
          <t>Medium</t>
        </is>
      </c>
      <c r="AB534" s="8" t="inlineStr">
        <is>
          <t>Low</t>
        </is>
      </c>
      <c r="AC534" s="8" t="inlineStr">
        <is>
          <t>Pilot</t>
        </is>
      </c>
      <c r="AD534" s="5" t="inlineStr">
        <is>
          <t>Not independently checked</t>
        </is>
      </c>
      <c r="AE534" s="5" t="inlineStr">
        <is>
          <t>Not verified</t>
        </is>
      </c>
      <c r="AF534" s="5" t="inlineStr">
        <is>
          <t>Not verified</t>
        </is>
      </c>
      <c r="AG534" s="5" t="inlineStr">
        <is>
          <t>Not verified</t>
        </is>
      </c>
      <c r="AH534" s="5" t="inlineStr">
        <is>
          <t>Not verified</t>
        </is>
      </c>
      <c r="AI534" s="8" t="inlineStr">
        <is>
          <t>No</t>
        </is>
      </c>
      <c r="AJ534" s="8" t="inlineStr">
        <is>
          <t>Claimed - unverified</t>
        </is>
      </c>
      <c r="AK534" s="8" t="inlineStr">
        <is>
          <t>P1</t>
        </is>
      </c>
      <c r="AL534" s="8" t="n">
        <v>6</v>
      </c>
      <c r="AM534" s="5" t="inlineStr"/>
      <c r="AN534" s="5" t="inlineStr"/>
      <c r="AO534" s="5" t="inlineStr"/>
      <c r="AP534" s="5" t="inlineStr"/>
      <c r="AQ534" s="5" t="inlineStr"/>
      <c r="AR534" s="5" t="inlineStr"/>
      <c r="AS534" s="5" t="inlineStr"/>
      <c r="AT534" s="5" t="inlineStr"/>
      <c r="AU534" s="8" t="inlineStr">
        <is>
          <t>Not run</t>
        </is>
      </c>
    </row>
    <row r="535" ht="32" customHeight="1">
      <c r="A535" s="16" t="inlineStr">
        <is>
          <t>X-0534</t>
        </is>
      </c>
      <c r="B535" s="8" t="inlineStr">
        <is>
          <t>X</t>
        </is>
      </c>
      <c r="C535" s="5" t="inlineStr">
        <is>
          <t>Multiple / Cross-persona</t>
        </is>
      </c>
      <c r="D535" s="5" t="inlineStr">
        <is>
          <t>Inventory Lifecycle</t>
        </is>
      </c>
      <c r="E535" s="5" t="inlineStr">
        <is>
          <t>Inventory Run-Rate Autopilot: predict stockout dates based on 30-day velocity and auto-generate PO draft</t>
        </is>
      </c>
      <c r="F535" s="5" t="inlineStr">
        <is>
          <t>Inventory Autopilot Engine</t>
        </is>
      </c>
      <c r="G535" s="5" t="inlineStr">
        <is>
          <t>Purchase Manager</t>
        </is>
      </c>
      <c r="H535" s="5" t="inlineStr">
        <is>
          <t>Prevent stockouts of high-velocity goods by analyzing historical daily sales burn rate</t>
        </is>
      </c>
      <c r="I535" s="5" t="inlineStr">
        <is>
          <t>Calculates Days of Stock Cover = On-Hand Stock / Daily Burn Rate; drafts supplier PO before stockout</t>
        </is>
      </c>
      <c r="J535" s="20" t="inlineStr">
        <is>
          <t>P1</t>
        </is>
      </c>
      <c r="K535" s="20" t="inlineStr">
        <is>
          <t>Validated (Supported)</t>
        </is>
      </c>
      <c r="L535" s="5" t="inlineStr">
        <is>
          <t>Supported via Inventory Autopilot run-rate forecasting engine.</t>
        </is>
      </c>
      <c r="M535" s="8" t="inlineStr">
        <is>
          <t>Baseline</t>
        </is>
      </c>
      <c r="N535" s="8" t="inlineStr">
        <is>
          <t>Cross-persona</t>
        </is>
      </c>
      <c r="O535" s="8" t="inlineStr">
        <is>
          <t>P1</t>
        </is>
      </c>
      <c r="P535" s="5" t="inlineStr">
        <is>
          <t>Unchanged</t>
        </is>
      </c>
      <c r="Q535" s="20" t="inlineStr">
        <is>
          <t>Author assertion</t>
        </is>
      </c>
      <c r="R535" s="5" t="inlineStr"/>
      <c r="S535" s="8" t="inlineStr">
        <is>
          <t>INV</t>
        </is>
      </c>
      <c r="T535" s="5" t="inlineStr">
        <is>
          <t>Inventory lifecycle</t>
        </is>
      </c>
      <c r="U535" s="8" t="inlineStr"/>
      <c r="V535" s="8" t="inlineStr">
        <is>
          <t>inventory</t>
        </is>
      </c>
      <c r="W535" s="8" t="inlineStr">
        <is>
          <t>RUN</t>
        </is>
      </c>
      <c r="X535" s="5" t="inlineStr">
        <is>
          <t>Core</t>
        </is>
      </c>
      <c r="Y535" s="5" t="inlineStr">
        <is>
          <t>Cross-persona</t>
        </is>
      </c>
      <c r="Z535" s="5" t="inlineStr">
        <is>
          <t>High</t>
        </is>
      </c>
      <c r="AA535" s="5" t="inlineStr">
        <is>
          <t>High</t>
        </is>
      </c>
      <c r="AB535" s="8" t="inlineStr">
        <is>
          <t>Low</t>
        </is>
      </c>
      <c r="AC535" s="8" t="inlineStr">
        <is>
          <t>Pilot</t>
        </is>
      </c>
      <c r="AD535" s="5" t="inlineStr">
        <is>
          <t>Not independently checked</t>
        </is>
      </c>
      <c r="AE535" s="5" t="inlineStr">
        <is>
          <t>Not verified</t>
        </is>
      </c>
      <c r="AF535" s="5" t="inlineStr">
        <is>
          <t>Not verified</t>
        </is>
      </c>
      <c r="AG535" s="5" t="inlineStr">
        <is>
          <t>Not verified</t>
        </is>
      </c>
      <c r="AH535" s="5" t="inlineStr">
        <is>
          <t>Not verified</t>
        </is>
      </c>
      <c r="AI535" s="8" t="inlineStr">
        <is>
          <t>No</t>
        </is>
      </c>
      <c r="AJ535" s="8" t="inlineStr">
        <is>
          <t>Claimed - unverified</t>
        </is>
      </c>
      <c r="AK535" s="8" t="inlineStr">
        <is>
          <t>P1</t>
        </is>
      </c>
      <c r="AL535" s="8" t="n">
        <v>9</v>
      </c>
      <c r="AM535" s="5" t="inlineStr"/>
      <c r="AN535" s="5" t="inlineStr"/>
      <c r="AO535" s="5" t="inlineStr"/>
      <c r="AP535" s="5" t="inlineStr"/>
      <c r="AQ535" s="5" t="inlineStr"/>
      <c r="AR535" s="5" t="inlineStr"/>
      <c r="AS535" s="5" t="inlineStr"/>
      <c r="AT535" s="5" t="inlineStr"/>
      <c r="AU535" s="8" t="inlineStr">
        <is>
          <t>Not run</t>
        </is>
      </c>
    </row>
    <row r="536" ht="32" customHeight="1">
      <c r="A536" s="16" t="inlineStr">
        <is>
          <t>X-0535</t>
        </is>
      </c>
      <c r="B536" s="8" t="inlineStr">
        <is>
          <t>X</t>
        </is>
      </c>
      <c r="C536" s="5" t="inlineStr">
        <is>
          <t>Multiple / Cross-persona</t>
        </is>
      </c>
      <c r="D536" s="5" t="inlineStr">
        <is>
          <t>Reporting &amp; Business Intelligence</t>
        </is>
      </c>
      <c r="E536" s="5" t="inlineStr">
        <is>
          <t>Predictive Cash-Flow Forecaster: simulate 30/60/90-day cash balance factoring debtor payment delays</t>
        </is>
      </c>
      <c r="F536" s="5" t="inlineStr">
        <is>
          <t>Cashflow Forecast Engine</t>
        </is>
      </c>
      <c r="G536" s="5" t="inlineStr">
        <is>
          <t>Business Owner</t>
        </is>
      </c>
      <c r="H536" s="5" t="inlineStr">
        <is>
          <t>Realistic cashflow runway simulation modeling actual historical debtor payment delay behavior</t>
        </is>
      </c>
      <c r="I536" s="5" t="inlineStr">
        <is>
          <t>Projects daily liquid bank balance combining projected collections, payroll, rent, and vendor dues</t>
        </is>
      </c>
      <c r="J536" s="20" t="inlineStr">
        <is>
          <t>P1</t>
        </is>
      </c>
      <c r="K536" s="20" t="inlineStr">
        <is>
          <t>Validated (Supported)</t>
        </is>
      </c>
      <c r="L536" s="5" t="inlineStr">
        <is>
          <t>Supported via CashflowForecastRun in insights app (/insights/cashflow/).</t>
        </is>
      </c>
      <c r="M536" s="8" t="inlineStr">
        <is>
          <t>Baseline</t>
        </is>
      </c>
      <c r="N536" s="8" t="inlineStr">
        <is>
          <t>Cross-persona</t>
        </is>
      </c>
      <c r="O536" s="8" t="inlineStr">
        <is>
          <t>P1</t>
        </is>
      </c>
      <c r="P536" s="5" t="inlineStr">
        <is>
          <t>Unchanged</t>
        </is>
      </c>
      <c r="Q536" s="21" t="inlineStr">
        <is>
          <t>Code symbol found</t>
        </is>
      </c>
      <c r="R536" s="5" t="inlineStr">
        <is>
          <t>Matched CashflowForecastRun in product code. This is not a functional test.</t>
        </is>
      </c>
      <c r="S536" s="8" t="inlineStr">
        <is>
          <t>RPT</t>
        </is>
      </c>
      <c r="T536" s="5" t="inlineStr">
        <is>
          <t>Reporting and business intelligence</t>
        </is>
      </c>
      <c r="U536" s="8" t="inlineStr"/>
      <c r="V536" s="8" t="inlineStr">
        <is>
          <t>reporting</t>
        </is>
      </c>
      <c r="W536" s="8" t="inlineStr">
        <is>
          <t>CONTROL</t>
        </is>
      </c>
      <c r="X536" s="5" t="inlineStr">
        <is>
          <t>Core</t>
        </is>
      </c>
      <c r="Y536" s="5" t="inlineStr">
        <is>
          <t>Cross-persona</t>
        </is>
      </c>
      <c r="Z536" s="5" t="inlineStr">
        <is>
          <t>Medium</t>
        </is>
      </c>
      <c r="AA536" s="5" t="inlineStr">
        <is>
          <t>Medium</t>
        </is>
      </c>
      <c r="AB536" s="8" t="inlineStr">
        <is>
          <t>Low</t>
        </is>
      </c>
      <c r="AC536" s="8" t="inlineStr">
        <is>
          <t>Pilot</t>
        </is>
      </c>
      <c r="AD536" s="5" t="inlineStr">
        <is>
          <t>Cited in code</t>
        </is>
      </c>
      <c r="AE536" s="5" t="inlineStr">
        <is>
          <t>Not verified</t>
        </is>
      </c>
      <c r="AF536" s="5" t="inlineStr">
        <is>
          <t>Not verified</t>
        </is>
      </c>
      <c r="AG536" s="5" t="inlineStr">
        <is>
          <t>Not verified</t>
        </is>
      </c>
      <c r="AH536" s="5" t="inlineStr">
        <is>
          <t>Not verified</t>
        </is>
      </c>
      <c r="AI536" s="8" t="inlineStr">
        <is>
          <t>No</t>
        </is>
      </c>
      <c r="AJ536" s="8" t="inlineStr">
        <is>
          <t>Built - unverified</t>
        </is>
      </c>
      <c r="AK536" s="8" t="inlineStr">
        <is>
          <t>P1</t>
        </is>
      </c>
      <c r="AL536" s="8" t="n">
        <v>6</v>
      </c>
      <c r="AM536" s="5" t="inlineStr"/>
      <c r="AN536" s="5" t="inlineStr"/>
      <c r="AO536" s="5" t="inlineStr"/>
      <c r="AP536" s="5" t="inlineStr"/>
      <c r="AQ536" s="5" t="inlineStr"/>
      <c r="AR536" s="5" t="inlineStr"/>
      <c r="AS536" s="5" t="inlineStr"/>
      <c r="AT536" s="5" t="inlineStr"/>
      <c r="AU536" s="8" t="inlineStr">
        <is>
          <t>Not run</t>
        </is>
      </c>
    </row>
    <row r="537" ht="32" customHeight="1">
      <c r="A537" s="16" t="inlineStr">
        <is>
          <t>X-0536</t>
        </is>
      </c>
      <c r="B537" s="8" t="inlineStr">
        <is>
          <t>X</t>
        </is>
      </c>
      <c r="C537" s="5" t="inlineStr">
        <is>
          <t>Multiple / Cross-persona</t>
        </is>
      </c>
      <c r="D537" s="5" t="inlineStr">
        <is>
          <t>Reporting &amp; Business Intelligence</t>
        </is>
      </c>
      <c r="E537" s="5" t="inlineStr">
        <is>
          <t>Natural Language Business Query Assistant: answer owner queries via conversational interface</t>
        </is>
      </c>
      <c r="F537" s="5" t="inlineStr">
        <is>
          <t>Conversational AI Assistant</t>
        </is>
      </c>
      <c r="G537" s="5" t="inlineStr">
        <is>
          <t>Business Owner</t>
        </is>
      </c>
      <c r="H537" s="5" t="inlineStr">
        <is>
          <t>Owner asks natural language questions ('Who owes me more than 50k?') and receives instant figures</t>
        </is>
      </c>
      <c r="I537" s="5" t="inlineStr">
        <is>
          <t>Translates natural language into deterministic read-only database queries; returns charts and tables</t>
        </is>
      </c>
      <c r="J537" s="22" t="inlineStr">
        <is>
          <t>P2</t>
        </is>
      </c>
      <c r="K537" s="20" t="inlineStr">
        <is>
          <t>Validated (Supported)</t>
        </is>
      </c>
      <c r="L537" s="5" t="inlineStr">
        <is>
          <t>Supported via /insights/assistant/ conversational query agent.</t>
        </is>
      </c>
      <c r="M537" s="8" t="inlineStr">
        <is>
          <t>Baseline</t>
        </is>
      </c>
      <c r="N537" s="8" t="inlineStr">
        <is>
          <t>Cross-persona</t>
        </is>
      </c>
      <c r="O537" s="8" t="inlineStr">
        <is>
          <t>P2</t>
        </is>
      </c>
      <c r="P537" s="5" t="inlineStr">
        <is>
          <t>Unchanged</t>
        </is>
      </c>
      <c r="Q537" s="20" t="inlineStr">
        <is>
          <t>Author assertion</t>
        </is>
      </c>
      <c r="R537" s="5" t="inlineStr"/>
      <c r="S537" s="8" t="inlineStr">
        <is>
          <t>RPT</t>
        </is>
      </c>
      <c r="T537" s="5" t="inlineStr">
        <is>
          <t>Reporting and business intelligence</t>
        </is>
      </c>
      <c r="U537" s="8" t="inlineStr"/>
      <c r="V537" s="8" t="inlineStr">
        <is>
          <t>reporting</t>
        </is>
      </c>
      <c r="W537" s="8" t="inlineStr">
        <is>
          <t>CONTROL</t>
        </is>
      </c>
      <c r="X537" s="5" t="inlineStr">
        <is>
          <t>Core</t>
        </is>
      </c>
      <c r="Y537" s="5" t="inlineStr">
        <is>
          <t>Cross-persona</t>
        </is>
      </c>
      <c r="Z537" s="5" t="inlineStr">
        <is>
          <t>Medium</t>
        </is>
      </c>
      <c r="AA537" s="5" t="inlineStr">
        <is>
          <t>Medium</t>
        </is>
      </c>
      <c r="AB537" s="8" t="inlineStr">
        <is>
          <t>Low</t>
        </is>
      </c>
      <c r="AC537" s="8" t="inlineStr">
        <is>
          <t>Later</t>
        </is>
      </c>
      <c r="AD537" s="5" t="inlineStr">
        <is>
          <t>Not independently checked</t>
        </is>
      </c>
      <c r="AE537" s="5" t="inlineStr">
        <is>
          <t>Not verified</t>
        </is>
      </c>
      <c r="AF537" s="5" t="inlineStr">
        <is>
          <t>Not verified</t>
        </is>
      </c>
      <c r="AG537" s="5" t="inlineStr">
        <is>
          <t>Not verified</t>
        </is>
      </c>
      <c r="AH537" s="5" t="inlineStr">
        <is>
          <t>Not verified</t>
        </is>
      </c>
      <c r="AI537" s="8" t="inlineStr">
        <is>
          <t>No</t>
        </is>
      </c>
      <c r="AJ537" s="8" t="inlineStr">
        <is>
          <t>Claimed - unverified</t>
        </is>
      </c>
      <c r="AK537" s="8" t="inlineStr">
        <is>
          <t>P2</t>
        </is>
      </c>
      <c r="AL537" s="8" t="n">
        <v>6</v>
      </c>
      <c r="AM537" s="5" t="inlineStr"/>
      <c r="AN537" s="5" t="inlineStr"/>
      <c r="AO537" s="5" t="inlineStr"/>
      <c r="AP537" s="5" t="inlineStr"/>
      <c r="AQ537" s="5" t="inlineStr"/>
      <c r="AR537" s="5" t="inlineStr"/>
      <c r="AS537" s="5" t="inlineStr"/>
      <c r="AT537" s="5" t="inlineStr"/>
      <c r="AU537" s="8" t="inlineStr">
        <is>
          <t>Not run</t>
        </is>
      </c>
    </row>
    <row r="538" ht="32" customHeight="1">
      <c r="A538" s="16" t="inlineStr">
        <is>
          <t>X-0537</t>
        </is>
      </c>
      <c r="B538" s="8" t="inlineStr">
        <is>
          <t>X</t>
        </is>
      </c>
      <c r="C538" s="5" t="inlineStr">
        <is>
          <t>Multiple / Cross-persona</t>
        </is>
      </c>
      <c r="D538" s="5" t="inlineStr">
        <is>
          <t>Procure-to-Pay</t>
        </is>
      </c>
      <c r="E538" s="5" t="inlineStr">
        <is>
          <t>Automated Supplier Risk Scorecard based on delivery delays, price spikes, and GST filing failures</t>
        </is>
      </c>
      <c r="F538" s="5" t="inlineStr">
        <is>
          <t>Vendor Intelligence Engine</t>
        </is>
      </c>
      <c r="G538" s="5" t="inlineStr">
        <is>
          <t>Purchase Manager</t>
        </is>
      </c>
      <c r="H538" s="5" t="inlineStr">
        <is>
          <t>Continuously evaluate vendor reliability across delivery punctuality, price inflation, and tax compliance</t>
        </is>
      </c>
      <c r="I538" s="5" t="inlineStr">
        <is>
          <t>Computes multi-factor supplier health index (0-100); flags high-risk vendors before issuing repeat POs</t>
        </is>
      </c>
      <c r="J538" s="22" t="inlineStr">
        <is>
          <t>P2</t>
        </is>
      </c>
      <c r="K538" s="20" t="inlineStr">
        <is>
          <t>Validated (Supported)</t>
        </is>
      </c>
      <c r="L538" s="5" t="inlineStr">
        <is>
          <t>Supported via Supplier Scorecard in purchases module.</t>
        </is>
      </c>
      <c r="M538" s="8" t="inlineStr">
        <is>
          <t>Baseline</t>
        </is>
      </c>
      <c r="N538" s="8" t="inlineStr">
        <is>
          <t>Cross-persona</t>
        </is>
      </c>
      <c r="O538" s="8" t="inlineStr">
        <is>
          <t>P2</t>
        </is>
      </c>
      <c r="P538" s="5" t="inlineStr">
        <is>
          <t>Unchanged</t>
        </is>
      </c>
      <c r="Q538" s="20" t="inlineStr">
        <is>
          <t>Author assertion</t>
        </is>
      </c>
      <c r="R538" s="5" t="inlineStr"/>
      <c r="S538" s="8" t="inlineStr">
        <is>
          <t>P2P</t>
        </is>
      </c>
      <c r="T538" s="5" t="inlineStr">
        <is>
          <t>Procure to pay</t>
        </is>
      </c>
      <c r="U538" s="8" t="inlineStr"/>
      <c r="V538" s="8" t="inlineStr">
        <is>
          <t>purchases</t>
        </is>
      </c>
      <c r="W538" s="8" t="inlineStr">
        <is>
          <t>RUN</t>
        </is>
      </c>
      <c r="X538" s="5" t="inlineStr">
        <is>
          <t>Core</t>
        </is>
      </c>
      <c r="Y538" s="5" t="inlineStr">
        <is>
          <t>Cross-persona</t>
        </is>
      </c>
      <c r="Z538" s="5" t="inlineStr">
        <is>
          <t>Medium</t>
        </is>
      </c>
      <c r="AA538" s="5" t="inlineStr">
        <is>
          <t>Medium</t>
        </is>
      </c>
      <c r="AB538" s="8" t="inlineStr">
        <is>
          <t>Low</t>
        </is>
      </c>
      <c r="AC538" s="8" t="inlineStr">
        <is>
          <t>Later</t>
        </is>
      </c>
      <c r="AD538" s="5" t="inlineStr">
        <is>
          <t>Not independently checked</t>
        </is>
      </c>
      <c r="AE538" s="5" t="inlineStr">
        <is>
          <t>Not verified</t>
        </is>
      </c>
      <c r="AF538" s="5" t="inlineStr">
        <is>
          <t>Not verified</t>
        </is>
      </c>
      <c r="AG538" s="5" t="inlineStr">
        <is>
          <t>Not verified</t>
        </is>
      </c>
      <c r="AH538" s="5" t="inlineStr">
        <is>
          <t>Not verified</t>
        </is>
      </c>
      <c r="AI538" s="8" t="inlineStr">
        <is>
          <t>No</t>
        </is>
      </c>
      <c r="AJ538" s="8" t="inlineStr">
        <is>
          <t>Claimed - unverified</t>
        </is>
      </c>
      <c r="AK538" s="8" t="inlineStr">
        <is>
          <t>P2</t>
        </is>
      </c>
      <c r="AL538" s="8" t="n">
        <v>6</v>
      </c>
      <c r="AM538" s="5" t="inlineStr"/>
      <c r="AN538" s="5" t="inlineStr"/>
      <c r="AO538" s="5" t="inlineStr"/>
      <c r="AP538" s="5" t="inlineStr"/>
      <c r="AQ538" s="5" t="inlineStr"/>
      <c r="AR538" s="5" t="inlineStr"/>
      <c r="AS538" s="5" t="inlineStr"/>
      <c r="AT538" s="5" t="inlineStr"/>
      <c r="AU538" s="8" t="inlineStr">
        <is>
          <t>Not run</t>
        </is>
      </c>
    </row>
    <row r="539" ht="32" customHeight="1">
      <c r="A539" s="16" t="inlineStr">
        <is>
          <t>X-0538</t>
        </is>
      </c>
      <c r="B539" s="8" t="inlineStr">
        <is>
          <t>X</t>
        </is>
      </c>
      <c r="C539" s="5" t="inlineStr">
        <is>
          <t>Multiple / Cross-persona</t>
        </is>
      </c>
      <c r="D539" s="5" t="inlineStr">
        <is>
          <t>Operations, Fleet &amp; Delivery</t>
        </is>
      </c>
      <c r="E539" s="5" t="inlineStr">
        <is>
          <t>Staged fulfillment: group pending customer delivery orders by geographic transport route</t>
        </is>
      </c>
      <c r="F539" s="5" t="inlineStr">
        <is>
          <t>Logistics Dispatcher</t>
        </is>
      </c>
      <c r="G539" s="5" t="inlineStr">
        <is>
          <t>Warehouse Custodian</t>
        </is>
      </c>
      <c r="H539" s="5" t="inlineStr">
        <is>
          <t>Consolidate individual sales orders destined for the same market or delivery sector into single run</t>
        </is>
      </c>
      <c r="I539" s="5" t="inlineStr">
        <is>
          <t>Creates DispatchRun; groups orders by geographic pin code and route sector</t>
        </is>
      </c>
      <c r="J539" s="20" t="inlineStr">
        <is>
          <t>P1</t>
        </is>
      </c>
      <c r="K539" s="20" t="inlineStr">
        <is>
          <t>Validated (Supported)</t>
        </is>
      </c>
      <c r="L539" s="5" t="inlineStr">
        <is>
          <t>Supported via /operations/dispatch-staging/ with route clustering.</t>
        </is>
      </c>
      <c r="M539" s="8" t="inlineStr">
        <is>
          <t>Baseline</t>
        </is>
      </c>
      <c r="N539" s="8" t="inlineStr">
        <is>
          <t>Cross-persona</t>
        </is>
      </c>
      <c r="O539" s="8" t="inlineStr">
        <is>
          <t>P1</t>
        </is>
      </c>
      <c r="P539" s="5" t="inlineStr">
        <is>
          <t>Unchanged</t>
        </is>
      </c>
      <c r="Q539" s="20" t="inlineStr">
        <is>
          <t>Author assertion</t>
        </is>
      </c>
      <c r="R539" s="5" t="inlineStr"/>
      <c r="S539" s="8" t="inlineStr">
        <is>
          <t>FLEET</t>
        </is>
      </c>
      <c r="T539" s="5" t="inlineStr">
        <is>
          <t>Fleet and delivery</t>
        </is>
      </c>
      <c r="U539" s="8" t="inlineStr"/>
      <c r="V539" s="8" t="inlineStr">
        <is>
          <t>sales</t>
        </is>
      </c>
      <c r="W539" s="8" t="inlineStr">
        <is>
          <t>RUN</t>
        </is>
      </c>
      <c r="X539" s="5" t="inlineStr">
        <is>
          <t>Core</t>
        </is>
      </c>
      <c r="Y539" s="5" t="inlineStr">
        <is>
          <t>Cross-persona</t>
        </is>
      </c>
      <c r="Z539" s="5" t="inlineStr">
        <is>
          <t>Medium</t>
        </is>
      </c>
      <c r="AA539" s="5" t="inlineStr">
        <is>
          <t>Medium</t>
        </is>
      </c>
      <c r="AB539" s="8" t="inlineStr">
        <is>
          <t>Low</t>
        </is>
      </c>
      <c r="AC539" s="8" t="inlineStr">
        <is>
          <t>Pilot</t>
        </is>
      </c>
      <c r="AD539" s="5" t="inlineStr">
        <is>
          <t>Not independently checked</t>
        </is>
      </c>
      <c r="AE539" s="5" t="inlineStr">
        <is>
          <t>Not verified</t>
        </is>
      </c>
      <c r="AF539" s="5" t="inlineStr">
        <is>
          <t>Not verified</t>
        </is>
      </c>
      <c r="AG539" s="5" t="inlineStr">
        <is>
          <t>Not verified</t>
        </is>
      </c>
      <c r="AH539" s="5" t="inlineStr">
        <is>
          <t>Not verified</t>
        </is>
      </c>
      <c r="AI539" s="8" t="inlineStr">
        <is>
          <t>No</t>
        </is>
      </c>
      <c r="AJ539" s="8" t="inlineStr">
        <is>
          <t>Claimed - unverified</t>
        </is>
      </c>
      <c r="AK539" s="8" t="inlineStr">
        <is>
          <t>P1</t>
        </is>
      </c>
      <c r="AL539" s="8" t="n">
        <v>6</v>
      </c>
      <c r="AM539" s="5" t="inlineStr"/>
      <c r="AN539" s="5" t="inlineStr"/>
      <c r="AO539" s="5" t="inlineStr"/>
      <c r="AP539" s="5" t="inlineStr"/>
      <c r="AQ539" s="5" t="inlineStr"/>
      <c r="AR539" s="5" t="inlineStr"/>
      <c r="AS539" s="5" t="inlineStr"/>
      <c r="AT539" s="5" t="inlineStr"/>
      <c r="AU539" s="8" t="inlineStr">
        <is>
          <t>Not run</t>
        </is>
      </c>
    </row>
    <row r="540" ht="32" customHeight="1">
      <c r="A540" s="16" t="inlineStr">
        <is>
          <t>X-0539</t>
        </is>
      </c>
      <c r="B540" s="8" t="inlineStr">
        <is>
          <t>X</t>
        </is>
      </c>
      <c r="C540" s="5" t="inlineStr">
        <is>
          <t>Multiple / Cross-persona</t>
        </is>
      </c>
      <c r="D540" s="5" t="inlineStr">
        <is>
          <t>Operations, Fleet &amp; Delivery</t>
        </is>
      </c>
      <c r="E540" s="5" t="inlineStr">
        <is>
          <t>Vehicle load optimization: verify total consignment weight/volume against vehicle payload capacity</t>
        </is>
      </c>
      <c r="F540" s="5" t="inlineStr">
        <is>
          <t>Logistics Dispatcher</t>
        </is>
      </c>
      <c r="G540" s="5" t="inlineStr">
        <is>
          <t>Delivery Driver</t>
        </is>
      </c>
      <c r="H540" s="5" t="inlineStr">
        <is>
          <t>Prevent dangerous vehicle overloading and optimize delivery tempo payload capacity</t>
        </is>
      </c>
      <c r="I540" s="5" t="inlineStr">
        <is>
          <t>Sums order gross weights and cubic volumes; validates against vehicle.max_payload_kg</t>
        </is>
      </c>
      <c r="J540" s="20" t="inlineStr">
        <is>
          <t>P1</t>
        </is>
      </c>
      <c r="K540" s="20" t="inlineStr">
        <is>
          <t>Validated (Supported)</t>
        </is>
      </c>
      <c r="L540" s="5" t="inlineStr">
        <is>
          <t>Supported via Vehicle Capacity &amp; Load Planner in operations module.</t>
        </is>
      </c>
      <c r="M540" s="8" t="inlineStr">
        <is>
          <t>Baseline</t>
        </is>
      </c>
      <c r="N540" s="8" t="inlineStr">
        <is>
          <t>Cross-persona</t>
        </is>
      </c>
      <c r="O540" s="8" t="inlineStr">
        <is>
          <t>P1</t>
        </is>
      </c>
      <c r="P540" s="5" t="inlineStr">
        <is>
          <t>Unchanged</t>
        </is>
      </c>
      <c r="Q540" s="20" t="inlineStr">
        <is>
          <t>Author assertion</t>
        </is>
      </c>
      <c r="R540" s="5" t="inlineStr"/>
      <c r="S540" s="8" t="inlineStr">
        <is>
          <t>FLEET</t>
        </is>
      </c>
      <c r="T540" s="5" t="inlineStr">
        <is>
          <t>Fleet and delivery</t>
        </is>
      </c>
      <c r="U540" s="8" t="inlineStr"/>
      <c r="V540" s="8" t="inlineStr">
        <is>
          <t>sales</t>
        </is>
      </c>
      <c r="W540" s="8" t="inlineStr">
        <is>
          <t>RUN</t>
        </is>
      </c>
      <c r="X540" s="5" t="inlineStr">
        <is>
          <t>Core</t>
        </is>
      </c>
      <c r="Y540" s="5" t="inlineStr">
        <is>
          <t>Cross-persona</t>
        </is>
      </c>
      <c r="Z540" s="5" t="inlineStr">
        <is>
          <t>Medium</t>
        </is>
      </c>
      <c r="AA540" s="5" t="inlineStr">
        <is>
          <t>Medium</t>
        </is>
      </c>
      <c r="AB540" s="8" t="inlineStr">
        <is>
          <t>Low</t>
        </is>
      </c>
      <c r="AC540" s="8" t="inlineStr">
        <is>
          <t>Pilot</t>
        </is>
      </c>
      <c r="AD540" s="5" t="inlineStr">
        <is>
          <t>Not independently checked</t>
        </is>
      </c>
      <c r="AE540" s="5" t="inlineStr">
        <is>
          <t>Not verified</t>
        </is>
      </c>
      <c r="AF540" s="5" t="inlineStr">
        <is>
          <t>Not verified</t>
        </is>
      </c>
      <c r="AG540" s="5" t="inlineStr">
        <is>
          <t>Not verified</t>
        </is>
      </c>
      <c r="AH540" s="5" t="inlineStr">
        <is>
          <t>Not verified</t>
        </is>
      </c>
      <c r="AI540" s="8" t="inlineStr">
        <is>
          <t>No</t>
        </is>
      </c>
      <c r="AJ540" s="8" t="inlineStr">
        <is>
          <t>Claimed - unverified</t>
        </is>
      </c>
      <c r="AK540" s="8" t="inlineStr">
        <is>
          <t>P1</t>
        </is>
      </c>
      <c r="AL540" s="8" t="n">
        <v>6</v>
      </c>
      <c r="AM540" s="5" t="inlineStr"/>
      <c r="AN540" s="5" t="inlineStr"/>
      <c r="AO540" s="5" t="inlineStr"/>
      <c r="AP540" s="5" t="inlineStr"/>
      <c r="AQ540" s="5" t="inlineStr"/>
      <c r="AR540" s="5" t="inlineStr"/>
      <c r="AS540" s="5" t="inlineStr"/>
      <c r="AT540" s="5" t="inlineStr"/>
      <c r="AU540" s="8" t="inlineStr">
        <is>
          <t>Not run</t>
        </is>
      </c>
    </row>
    <row r="541" ht="32" customHeight="1">
      <c r="A541" s="16" t="inlineStr">
        <is>
          <t>X-0540</t>
        </is>
      </c>
      <c r="B541" s="8" t="inlineStr">
        <is>
          <t>X</t>
        </is>
      </c>
      <c r="C541" s="5" t="inlineStr">
        <is>
          <t>Multiple / Cross-persona</t>
        </is>
      </c>
      <c r="D541" s="5" t="inlineStr">
        <is>
          <t>Operations, Fleet &amp; Delivery</t>
        </is>
      </c>
      <c r="E541" s="5" t="inlineStr">
        <is>
          <t>Multi-drop sequential route planning for delivery driver</t>
        </is>
      </c>
      <c r="F541" s="5" t="inlineStr">
        <is>
          <t>Logistics Dispatcher</t>
        </is>
      </c>
      <c r="G541" s="5" t="inlineStr">
        <is>
          <t>Delivery Driver</t>
        </is>
      </c>
      <c r="H541" s="5" t="inlineStr">
        <is>
          <t>Sequence retail customer delivery stops in optimal geographic order to minimize fuel and transit time</t>
        </is>
      </c>
      <c r="I541" s="5" t="inlineStr">
        <is>
          <t>Generates sequenced stop sequence (Drop 1 -&gt; Drop 2 -&gt; Drop N) with estimated arrival windows</t>
        </is>
      </c>
      <c r="J541" s="20" t="inlineStr">
        <is>
          <t>P1</t>
        </is>
      </c>
      <c r="K541" s="20" t="inlineStr">
        <is>
          <t>Validated (Supported)</t>
        </is>
      </c>
      <c r="L541" s="5" t="inlineStr">
        <is>
          <t>Supported via Route Sequencer in operations fleet management.</t>
        </is>
      </c>
      <c r="M541" s="8" t="inlineStr">
        <is>
          <t>Baseline</t>
        </is>
      </c>
      <c r="N541" s="8" t="inlineStr">
        <is>
          <t>Cross-persona</t>
        </is>
      </c>
      <c r="O541" s="8" t="inlineStr">
        <is>
          <t>P1</t>
        </is>
      </c>
      <c r="P541" s="5" t="inlineStr">
        <is>
          <t>Unchanged</t>
        </is>
      </c>
      <c r="Q541" s="20" t="inlineStr">
        <is>
          <t>Author assertion</t>
        </is>
      </c>
      <c r="R541" s="5" t="inlineStr"/>
      <c r="S541" s="8" t="inlineStr">
        <is>
          <t>FLEET</t>
        </is>
      </c>
      <c r="T541" s="5" t="inlineStr">
        <is>
          <t>Fleet and delivery</t>
        </is>
      </c>
      <c r="U541" s="8" t="inlineStr"/>
      <c r="V541" s="8" t="inlineStr">
        <is>
          <t>sales</t>
        </is>
      </c>
      <c r="W541" s="8" t="inlineStr">
        <is>
          <t>RUN</t>
        </is>
      </c>
      <c r="X541" s="5" t="inlineStr">
        <is>
          <t>Core</t>
        </is>
      </c>
      <c r="Y541" s="5" t="inlineStr">
        <is>
          <t>Cross-persona</t>
        </is>
      </c>
      <c r="Z541" s="5" t="inlineStr">
        <is>
          <t>Medium</t>
        </is>
      </c>
      <c r="AA541" s="5" t="inlineStr">
        <is>
          <t>Medium</t>
        </is>
      </c>
      <c r="AB541" s="8" t="inlineStr">
        <is>
          <t>Low</t>
        </is>
      </c>
      <c r="AC541" s="8" t="inlineStr">
        <is>
          <t>Pilot</t>
        </is>
      </c>
      <c r="AD541" s="5" t="inlineStr">
        <is>
          <t>Not independently checked</t>
        </is>
      </c>
      <c r="AE541" s="5" t="inlineStr">
        <is>
          <t>Not verified</t>
        </is>
      </c>
      <c r="AF541" s="5" t="inlineStr">
        <is>
          <t>Not verified</t>
        </is>
      </c>
      <c r="AG541" s="5" t="inlineStr">
        <is>
          <t>Not verified</t>
        </is>
      </c>
      <c r="AH541" s="5" t="inlineStr">
        <is>
          <t>Not verified</t>
        </is>
      </c>
      <c r="AI541" s="8" t="inlineStr">
        <is>
          <t>No</t>
        </is>
      </c>
      <c r="AJ541" s="8" t="inlineStr">
        <is>
          <t>Claimed - unverified</t>
        </is>
      </c>
      <c r="AK541" s="8" t="inlineStr">
        <is>
          <t>P1</t>
        </is>
      </c>
      <c r="AL541" s="8" t="n">
        <v>6</v>
      </c>
      <c r="AM541" s="5" t="inlineStr"/>
      <c r="AN541" s="5" t="inlineStr"/>
      <c r="AO541" s="5" t="inlineStr"/>
      <c r="AP541" s="5" t="inlineStr"/>
      <c r="AQ541" s="5" t="inlineStr"/>
      <c r="AR541" s="5" t="inlineStr"/>
      <c r="AS541" s="5" t="inlineStr"/>
      <c r="AT541" s="5" t="inlineStr"/>
      <c r="AU541" s="8" t="inlineStr">
        <is>
          <t>Not run</t>
        </is>
      </c>
    </row>
    <row r="542" ht="32" customHeight="1">
      <c r="A542" s="16" t="inlineStr">
        <is>
          <t>X-0541</t>
        </is>
      </c>
      <c r="B542" s="8" t="inlineStr">
        <is>
          <t>X</t>
        </is>
      </c>
      <c r="C542" s="5" t="inlineStr">
        <is>
          <t>Multiple / Cross-persona</t>
        </is>
      </c>
      <c r="D542" s="5" t="inlineStr">
        <is>
          <t>Operations, Fleet &amp; Delivery</t>
        </is>
      </c>
      <c r="E542" s="5" t="inlineStr">
        <is>
          <t>Digital Proof of Delivery (POD) capture with customer signature, timestamp, and geo-location</t>
        </is>
      </c>
      <c r="F542" s="5" t="inlineStr">
        <is>
          <t>Delivery Driver</t>
        </is>
      </c>
      <c r="G542" s="5" t="inlineStr">
        <is>
          <t>Retail Merchant</t>
        </is>
      </c>
      <c r="H542" s="5" t="inlineStr">
        <is>
          <t>Capture tamper-evident digital proof of delivery at retail counter on mobile device</t>
        </is>
      </c>
      <c r="I542" s="5" t="inlineStr">
        <is>
          <t>Attaches signed bitmap, GPS latitude/longitude, and server timestamp to DeliveryChallan</t>
        </is>
      </c>
      <c r="J542" s="20" t="inlineStr">
        <is>
          <t>P1</t>
        </is>
      </c>
      <c r="K542" s="20" t="inlineStr">
        <is>
          <t>Validated (Supported)</t>
        </is>
      </c>
      <c r="L542" s="5" t="inlineStr">
        <is>
          <t>Supported via Driver Mobile PWA POD module.</t>
        </is>
      </c>
      <c r="M542" s="8" t="inlineStr">
        <is>
          <t>Baseline</t>
        </is>
      </c>
      <c r="N542" s="8" t="inlineStr">
        <is>
          <t>Cross-persona</t>
        </is>
      </c>
      <c r="O542" s="8" t="inlineStr">
        <is>
          <t>P1</t>
        </is>
      </c>
      <c r="P542" s="5" t="inlineStr">
        <is>
          <t>Unchanged</t>
        </is>
      </c>
      <c r="Q542" s="20" t="inlineStr">
        <is>
          <t>Author assertion</t>
        </is>
      </c>
      <c r="R542" s="5" t="inlineStr"/>
      <c r="S542" s="8" t="inlineStr">
        <is>
          <t>FLEET</t>
        </is>
      </c>
      <c r="T542" s="5" t="inlineStr">
        <is>
          <t>Fleet and delivery</t>
        </is>
      </c>
      <c r="U542" s="8" t="inlineStr"/>
      <c r="V542" s="8" t="inlineStr">
        <is>
          <t>sales</t>
        </is>
      </c>
      <c r="W542" s="8" t="inlineStr">
        <is>
          <t>RUN</t>
        </is>
      </c>
      <c r="X542" s="5" t="inlineStr">
        <is>
          <t>Core</t>
        </is>
      </c>
      <c r="Y542" s="5" t="inlineStr">
        <is>
          <t>Cross-persona</t>
        </is>
      </c>
      <c r="Z542" s="5" t="inlineStr">
        <is>
          <t>Medium</t>
        </is>
      </c>
      <c r="AA542" s="5" t="inlineStr">
        <is>
          <t>Medium</t>
        </is>
      </c>
      <c r="AB542" s="8" t="inlineStr">
        <is>
          <t>Low</t>
        </is>
      </c>
      <c r="AC542" s="8" t="inlineStr">
        <is>
          <t>Pilot</t>
        </is>
      </c>
      <c r="AD542" s="5" t="inlineStr">
        <is>
          <t>Not independently checked</t>
        </is>
      </c>
      <c r="AE542" s="5" t="inlineStr">
        <is>
          <t>Not verified</t>
        </is>
      </c>
      <c r="AF542" s="5" t="inlineStr">
        <is>
          <t>Not verified</t>
        </is>
      </c>
      <c r="AG542" s="5" t="inlineStr">
        <is>
          <t>Not verified</t>
        </is>
      </c>
      <c r="AH542" s="5" t="inlineStr">
        <is>
          <t>Not verified</t>
        </is>
      </c>
      <c r="AI542" s="8" t="inlineStr">
        <is>
          <t>No</t>
        </is>
      </c>
      <c r="AJ542" s="8" t="inlineStr">
        <is>
          <t>Claimed - unverified</t>
        </is>
      </c>
      <c r="AK542" s="8" t="inlineStr">
        <is>
          <t>P1</t>
        </is>
      </c>
      <c r="AL542" s="8" t="n">
        <v>6</v>
      </c>
      <c r="AM542" s="5" t="inlineStr"/>
      <c r="AN542" s="5" t="inlineStr"/>
      <c r="AO542" s="5" t="inlineStr"/>
      <c r="AP542" s="5" t="inlineStr"/>
      <c r="AQ542" s="5" t="inlineStr"/>
      <c r="AR542" s="5" t="inlineStr"/>
      <c r="AS542" s="5" t="inlineStr"/>
      <c r="AT542" s="5" t="inlineStr"/>
      <c r="AU542" s="8" t="inlineStr">
        <is>
          <t>Not run</t>
        </is>
      </c>
    </row>
    <row r="543" ht="32" customHeight="1">
      <c r="A543" s="16" t="inlineStr">
        <is>
          <t>X-0542</t>
        </is>
      </c>
      <c r="B543" s="8" t="inlineStr">
        <is>
          <t>X</t>
        </is>
      </c>
      <c r="C543" s="5" t="inlineStr">
        <is>
          <t>Multiple / Cross-persona</t>
        </is>
      </c>
      <c r="D543" s="5" t="inlineStr">
        <is>
          <t>Operations, Fleet &amp; Delivery</t>
        </is>
      </c>
      <c r="E543" s="5" t="inlineStr">
        <is>
          <t>Mobile Cash-on-Delivery (COD) capture by driver with instant payment receipt</t>
        </is>
      </c>
      <c r="F543" s="5" t="inlineStr">
        <is>
          <t>Delivery Driver</t>
        </is>
      </c>
      <c r="G543" s="5" t="inlineStr">
        <is>
          <t>Customer</t>
        </is>
      </c>
      <c r="H543" s="5" t="inlineStr">
        <is>
          <t>Collect cash or UPI payment at customer doorstep upon delivery and issue instant digital receipt</t>
        </is>
      </c>
      <c r="I543" s="5" t="inlineStr">
        <is>
          <t>Creates Payment record linked to driver custody; triggers WhatsApp payment confirmation to customer</t>
        </is>
      </c>
      <c r="J543" s="20" t="inlineStr">
        <is>
          <t>P1</t>
        </is>
      </c>
      <c r="K543" s="20" t="inlineStr">
        <is>
          <t>Validated (Supported)</t>
        </is>
      </c>
      <c r="L543" s="5" t="inlineStr">
        <is>
          <t>Supported via Mobile Driver Checkout with dynamic QR.</t>
        </is>
      </c>
      <c r="M543" s="8" t="inlineStr">
        <is>
          <t>Baseline</t>
        </is>
      </c>
      <c r="N543" s="8" t="inlineStr">
        <is>
          <t>Cross-persona</t>
        </is>
      </c>
      <c r="O543" s="8" t="inlineStr">
        <is>
          <t>P1</t>
        </is>
      </c>
      <c r="P543" s="5" t="inlineStr">
        <is>
          <t>Unchanged</t>
        </is>
      </c>
      <c r="Q543" s="20" t="inlineStr">
        <is>
          <t>Author assertion</t>
        </is>
      </c>
      <c r="R543" s="5" t="inlineStr"/>
      <c r="S543" s="8" t="inlineStr">
        <is>
          <t>FLEET</t>
        </is>
      </c>
      <c r="T543" s="5" t="inlineStr">
        <is>
          <t>Fleet and delivery</t>
        </is>
      </c>
      <c r="U543" s="8" t="inlineStr"/>
      <c r="V543" s="8" t="inlineStr">
        <is>
          <t>sales</t>
        </is>
      </c>
      <c r="W543" s="8" t="inlineStr">
        <is>
          <t>RUN</t>
        </is>
      </c>
      <c r="X543" s="5" t="inlineStr">
        <is>
          <t>Core</t>
        </is>
      </c>
      <c r="Y543" s="5" t="inlineStr">
        <is>
          <t>Cross-persona</t>
        </is>
      </c>
      <c r="Z543" s="5" t="inlineStr">
        <is>
          <t>Medium</t>
        </is>
      </c>
      <c r="AA543" s="5" t="inlineStr">
        <is>
          <t>Medium</t>
        </is>
      </c>
      <c r="AB543" s="8" t="inlineStr">
        <is>
          <t>Low</t>
        </is>
      </c>
      <c r="AC543" s="8" t="inlineStr">
        <is>
          <t>Pilot</t>
        </is>
      </c>
      <c r="AD543" s="5" t="inlineStr">
        <is>
          <t>Not independently checked</t>
        </is>
      </c>
      <c r="AE543" s="5" t="inlineStr">
        <is>
          <t>Not verified</t>
        </is>
      </c>
      <c r="AF543" s="5" t="inlineStr">
        <is>
          <t>Not verified</t>
        </is>
      </c>
      <c r="AG543" s="5" t="inlineStr">
        <is>
          <t>Not verified</t>
        </is>
      </c>
      <c r="AH543" s="5" t="inlineStr">
        <is>
          <t>Not verified</t>
        </is>
      </c>
      <c r="AI543" s="8" t="inlineStr">
        <is>
          <t>No</t>
        </is>
      </c>
      <c r="AJ543" s="8" t="inlineStr">
        <is>
          <t>Claimed - unverified</t>
        </is>
      </c>
      <c r="AK543" s="8" t="inlineStr">
        <is>
          <t>P1</t>
        </is>
      </c>
      <c r="AL543" s="8" t="n">
        <v>6</v>
      </c>
      <c r="AM543" s="5" t="inlineStr"/>
      <c r="AN543" s="5" t="inlineStr"/>
      <c r="AO543" s="5" t="inlineStr"/>
      <c r="AP543" s="5" t="inlineStr"/>
      <c r="AQ543" s="5" t="inlineStr"/>
      <c r="AR543" s="5" t="inlineStr"/>
      <c r="AS543" s="5" t="inlineStr"/>
      <c r="AT543" s="5" t="inlineStr"/>
      <c r="AU543" s="8" t="inlineStr">
        <is>
          <t>Not run</t>
        </is>
      </c>
    </row>
    <row r="544" ht="32" customHeight="1">
      <c r="A544" s="16" t="inlineStr">
        <is>
          <t>X-0543</t>
        </is>
      </c>
      <c r="B544" s="8" t="inlineStr">
        <is>
          <t>X</t>
        </is>
      </c>
      <c r="C544" s="5" t="inlineStr">
        <is>
          <t>Multiple / Cross-persona</t>
        </is>
      </c>
      <c r="D544" s="5" t="inlineStr">
        <is>
          <t>Operations, Fleet &amp; Delivery</t>
        </is>
      </c>
      <c r="E544" s="5" t="inlineStr">
        <is>
          <t>Driver route reconciliation: cashier matches delivered consignments, collected cash, and returns</t>
        </is>
      </c>
      <c r="F544" s="5" t="inlineStr">
        <is>
          <t>Accounts Cashier / Dispatcher</t>
        </is>
      </c>
      <c r="G544" s="5" t="inlineStr">
        <is>
          <t>Delivery Driver</t>
        </is>
      </c>
      <c r="H544" s="5" t="inlineStr">
        <is>
          <t>Evening driver debrief verifying all delivered orders, cash handed over, and rejected packages</t>
        </is>
      </c>
      <c r="I544" s="5" t="inlineStr">
        <is>
          <t>Closes DispatchRun; settles driver cash till; returns rejected items to godown inventory</t>
        </is>
      </c>
      <c r="J544" s="20" t="inlineStr">
        <is>
          <t>P1</t>
        </is>
      </c>
      <c r="K544" s="20" t="inlineStr">
        <is>
          <t>Validated (Supported)</t>
        </is>
      </c>
      <c r="L544" s="5" t="inlineStr">
        <is>
          <t>Supported via /operations/driver-settlement/ reconciliation interface.</t>
        </is>
      </c>
      <c r="M544" s="8" t="inlineStr">
        <is>
          <t>Baseline</t>
        </is>
      </c>
      <c r="N544" s="8" t="inlineStr">
        <is>
          <t>Cross-persona</t>
        </is>
      </c>
      <c r="O544" s="8" t="inlineStr">
        <is>
          <t>P1</t>
        </is>
      </c>
      <c r="P544" s="5" t="inlineStr">
        <is>
          <t>Unchanged</t>
        </is>
      </c>
      <c r="Q544" s="20" t="inlineStr">
        <is>
          <t>Author assertion</t>
        </is>
      </c>
      <c r="R544" s="5" t="inlineStr"/>
      <c r="S544" s="8" t="inlineStr">
        <is>
          <t>FLEET</t>
        </is>
      </c>
      <c r="T544" s="5" t="inlineStr">
        <is>
          <t>Fleet and delivery</t>
        </is>
      </c>
      <c r="U544" s="8" t="inlineStr"/>
      <c r="V544" s="8" t="inlineStr">
        <is>
          <t>sales</t>
        </is>
      </c>
      <c r="W544" s="8" t="inlineStr">
        <is>
          <t>RUN</t>
        </is>
      </c>
      <c r="X544" s="5" t="inlineStr">
        <is>
          <t>Core</t>
        </is>
      </c>
      <c r="Y544" s="5" t="inlineStr">
        <is>
          <t>Cross-persona</t>
        </is>
      </c>
      <c r="Z544" s="5" t="inlineStr">
        <is>
          <t>Medium</t>
        </is>
      </c>
      <c r="AA544" s="5" t="inlineStr">
        <is>
          <t>Medium</t>
        </is>
      </c>
      <c r="AB544" s="8" t="inlineStr">
        <is>
          <t>Low</t>
        </is>
      </c>
      <c r="AC544" s="8" t="inlineStr">
        <is>
          <t>Pilot</t>
        </is>
      </c>
      <c r="AD544" s="5" t="inlineStr">
        <is>
          <t>Not independently checked</t>
        </is>
      </c>
      <c r="AE544" s="5" t="inlineStr">
        <is>
          <t>Not verified</t>
        </is>
      </c>
      <c r="AF544" s="5" t="inlineStr">
        <is>
          <t>Not verified</t>
        </is>
      </c>
      <c r="AG544" s="5" t="inlineStr">
        <is>
          <t>Not verified</t>
        </is>
      </c>
      <c r="AH544" s="5" t="inlineStr">
        <is>
          <t>Not verified</t>
        </is>
      </c>
      <c r="AI544" s="8" t="inlineStr">
        <is>
          <t>No</t>
        </is>
      </c>
      <c r="AJ544" s="8" t="inlineStr">
        <is>
          <t>Claimed - unverified</t>
        </is>
      </c>
      <c r="AK544" s="8" t="inlineStr">
        <is>
          <t>P1</t>
        </is>
      </c>
      <c r="AL544" s="8" t="n">
        <v>6</v>
      </c>
      <c r="AM544" s="5" t="inlineStr"/>
      <c r="AN544" s="5" t="inlineStr"/>
      <c r="AO544" s="5" t="inlineStr"/>
      <c r="AP544" s="5" t="inlineStr"/>
      <c r="AQ544" s="5" t="inlineStr"/>
      <c r="AR544" s="5" t="inlineStr"/>
      <c r="AS544" s="5" t="inlineStr"/>
      <c r="AT544" s="5" t="inlineStr"/>
      <c r="AU544" s="8" t="inlineStr">
        <is>
          <t>Not run</t>
        </is>
      </c>
    </row>
    <row r="545" ht="32" customHeight="1">
      <c r="A545" s="16" t="inlineStr">
        <is>
          <t>X-0544</t>
        </is>
      </c>
      <c r="B545" s="8" t="inlineStr">
        <is>
          <t>X</t>
        </is>
      </c>
      <c r="C545" s="5" t="inlineStr">
        <is>
          <t>Multiple / Cross-persona</t>
        </is>
      </c>
      <c r="D545" s="5" t="inlineStr">
        <is>
          <t>Operations, Fleet &amp; Delivery</t>
        </is>
      </c>
      <c r="E545" s="5" t="inlineStr">
        <is>
          <t>Route economics analysis: evaluate delivery freight cost per order vs order gross margin</t>
        </is>
      </c>
      <c r="F545" s="5" t="inlineStr">
        <is>
          <t>Logistics Manager / Owner</t>
        </is>
      </c>
      <c r="G545" s="5" t="inlineStr">
        <is>
          <t>None</t>
        </is>
      </c>
      <c r="H545" s="5" t="inlineStr">
        <is>
          <t>Evaluate route profitability factoring vehicle fuel, driver wages, and consignment gross margins</t>
        </is>
      </c>
      <c r="I545" s="5" t="inlineStr">
        <is>
          <t>Computes Net Route Contribution = Route Sales Margin - (Fuel Cost + Vehicle Depreciation)</t>
        </is>
      </c>
      <c r="J545" s="22" t="inlineStr">
        <is>
          <t>P2</t>
        </is>
      </c>
      <c r="K545" s="20" t="inlineStr">
        <is>
          <t>Validated (Supported)</t>
        </is>
      </c>
      <c r="L545" s="5" t="inlineStr">
        <is>
          <t>Supported via Route Economics &amp; Delivery Profitability Report (/reports/route-profitability/).</t>
        </is>
      </c>
      <c r="M545" s="8" t="inlineStr">
        <is>
          <t>Baseline</t>
        </is>
      </c>
      <c r="N545" s="8" t="inlineStr">
        <is>
          <t>Cross-persona</t>
        </is>
      </c>
      <c r="O545" s="8" t="inlineStr">
        <is>
          <t>P2</t>
        </is>
      </c>
      <c r="P545" s="5" t="inlineStr">
        <is>
          <t>Restored to authored P2. The previous workbook had P3 after a keyword rebalance.</t>
        </is>
      </c>
      <c r="Q545" s="20" t="inlineStr">
        <is>
          <t>Author assertion</t>
        </is>
      </c>
      <c r="R545" s="5" t="inlineStr">
        <is>
          <t>Restored to authored P2. The previous workbook had P3 after a keyword rebalance.</t>
        </is>
      </c>
      <c r="S545" s="8" t="inlineStr">
        <is>
          <t>FLEET</t>
        </is>
      </c>
      <c r="T545" s="5" t="inlineStr">
        <is>
          <t>Fleet and delivery</t>
        </is>
      </c>
      <c r="U545" s="8" t="inlineStr"/>
      <c r="V545" s="8" t="inlineStr">
        <is>
          <t>sales</t>
        </is>
      </c>
      <c r="W545" s="8" t="inlineStr">
        <is>
          <t>RUN</t>
        </is>
      </c>
      <c r="X545" s="5" t="inlineStr">
        <is>
          <t>Core</t>
        </is>
      </c>
      <c r="Y545" s="5" t="inlineStr">
        <is>
          <t>Cross-persona</t>
        </is>
      </c>
      <c r="Z545" s="5" t="inlineStr">
        <is>
          <t>Medium</t>
        </is>
      </c>
      <c r="AA545" s="5" t="inlineStr">
        <is>
          <t>Medium</t>
        </is>
      </c>
      <c r="AB545" s="8" t="inlineStr">
        <is>
          <t>Low</t>
        </is>
      </c>
      <c r="AC545" s="8" t="inlineStr">
        <is>
          <t>Later</t>
        </is>
      </c>
      <c r="AD545" s="5" t="inlineStr">
        <is>
          <t>Not independently checked</t>
        </is>
      </c>
      <c r="AE545" s="5" t="inlineStr">
        <is>
          <t>Not verified</t>
        </is>
      </c>
      <c r="AF545" s="5" t="inlineStr">
        <is>
          <t>Not verified</t>
        </is>
      </c>
      <c r="AG545" s="5" t="inlineStr">
        <is>
          <t>Not verified</t>
        </is>
      </c>
      <c r="AH545" s="5" t="inlineStr">
        <is>
          <t>Not verified</t>
        </is>
      </c>
      <c r="AI545" s="8" t="inlineStr">
        <is>
          <t>No</t>
        </is>
      </c>
      <c r="AJ545" s="8" t="inlineStr">
        <is>
          <t>Claimed - unverified</t>
        </is>
      </c>
      <c r="AK545" s="8" t="inlineStr">
        <is>
          <t>P2</t>
        </is>
      </c>
      <c r="AL545" s="8" t="n">
        <v>6</v>
      </c>
      <c r="AM545" s="5" t="inlineStr"/>
      <c r="AN545" s="5" t="inlineStr"/>
      <c r="AO545" s="5" t="inlineStr"/>
      <c r="AP545" s="5" t="inlineStr"/>
      <c r="AQ545" s="5" t="inlineStr"/>
      <c r="AR545" s="5" t="inlineStr"/>
      <c r="AS545" s="5" t="inlineStr"/>
      <c r="AT545" s="5" t="inlineStr"/>
      <c r="AU545" s="8" t="inlineStr">
        <is>
          <t>Not run</t>
        </is>
      </c>
    </row>
    <row r="546" ht="32" customHeight="1">
      <c r="A546" s="16" t="inlineStr">
        <is>
          <t>X-0545</t>
        </is>
      </c>
      <c r="B546" s="8" t="inlineStr">
        <is>
          <t>X</t>
        </is>
      </c>
      <c r="C546" s="5" t="inlineStr">
        <is>
          <t>Multiple / Cross-persona</t>
        </is>
      </c>
      <c r="D546" s="5" t="inlineStr">
        <is>
          <t>Security / Exception / Recovery</t>
        </is>
      </c>
      <c r="E546" s="5" t="inlineStr">
        <is>
          <t>Configure fiscal year document numbering series with custom prefix (e.g. INV/26-27/0001)</t>
        </is>
      </c>
      <c r="F546" s="5" t="inlineStr">
        <is>
          <t>System Administrator</t>
        </is>
      </c>
      <c r="G546" s="5" t="inlineStr">
        <is>
          <t>In-house Accountant</t>
        </is>
      </c>
      <c r="H546" s="5" t="inlineStr">
        <is>
          <t>Maintain statutory consecutive invoice numbering unique across each financial year per GST Rule 46</t>
        </is>
      </c>
      <c r="I546" s="5" t="inlineStr">
        <is>
          <t>Creates DocumentSequence record; enforces sequential numbers without gaps across FY</t>
        </is>
      </c>
      <c r="J546" s="19" t="inlineStr">
        <is>
          <t>P0</t>
        </is>
      </c>
      <c r="K546" s="20" t="inlineStr">
        <is>
          <t>Validated (Supported)</t>
        </is>
      </c>
      <c r="L546" s="5" t="inlineStr">
        <is>
          <t>Supported via /settings/document-series/ with financial year variable tokens ({FY}, {BRANCH}).</t>
        </is>
      </c>
      <c r="M546" s="8" t="inlineStr">
        <is>
          <t>Baseline</t>
        </is>
      </c>
      <c r="N546" s="8" t="inlineStr">
        <is>
          <t>Cross-persona</t>
        </is>
      </c>
      <c r="O546" s="8" t="inlineStr">
        <is>
          <t>P0</t>
        </is>
      </c>
      <c r="P546" s="5" t="inlineStr">
        <is>
          <t>Unchanged</t>
        </is>
      </c>
      <c r="Q546" s="20" t="inlineStr">
        <is>
          <t>Author assertion</t>
        </is>
      </c>
      <c r="R546" s="5" t="inlineStr"/>
      <c r="S546" s="8" t="inlineStr">
        <is>
          <t>OTHER</t>
        </is>
      </c>
      <c r="T546" s="5" t="inlineStr">
        <is>
          <t>Security / Exception / Recovery</t>
        </is>
      </c>
      <c r="U546" s="8" t="inlineStr"/>
      <c r="V546" s="8" t="inlineStr"/>
      <c r="W546" s="8" t="inlineStr">
        <is>
          <t>CONTROL</t>
        </is>
      </c>
      <c r="X546" s="5" t="inlineStr">
        <is>
          <t>Core</t>
        </is>
      </c>
      <c r="Y546" s="5" t="inlineStr">
        <is>
          <t>Cross-persona</t>
        </is>
      </c>
      <c r="Z546" s="5" t="inlineStr">
        <is>
          <t>High</t>
        </is>
      </c>
      <c r="AA546" s="5" t="inlineStr">
        <is>
          <t>Medium</t>
        </is>
      </c>
      <c r="AB546" s="8" t="inlineStr">
        <is>
          <t>Medium</t>
        </is>
      </c>
      <c r="AC546" s="8" t="inlineStr">
        <is>
          <t>MVP</t>
        </is>
      </c>
      <c r="AD546" s="5" t="inlineStr">
        <is>
          <t>Not independently checked</t>
        </is>
      </c>
      <c r="AE546" s="5" t="inlineStr">
        <is>
          <t>Not verified</t>
        </is>
      </c>
      <c r="AF546" s="5" t="inlineStr">
        <is>
          <t>Not verified</t>
        </is>
      </c>
      <c r="AG546" s="5" t="inlineStr">
        <is>
          <t>Not verified</t>
        </is>
      </c>
      <c r="AH546" s="5" t="inlineStr">
        <is>
          <t>Not verified</t>
        </is>
      </c>
      <c r="AI546" s="8" t="inlineStr">
        <is>
          <t>No</t>
        </is>
      </c>
      <c r="AJ546" s="8" t="inlineStr">
        <is>
          <t>Claimed - unverified</t>
        </is>
      </c>
      <c r="AK546" s="8" t="inlineStr">
        <is>
          <t>P0</t>
        </is>
      </c>
      <c r="AL546" s="8" t="n">
        <v>12</v>
      </c>
      <c r="AM546" s="5" t="inlineStr"/>
      <c r="AN546" s="5" t="inlineStr"/>
      <c r="AO546" s="5" t="inlineStr"/>
      <c r="AP546" s="5" t="inlineStr"/>
      <c r="AQ546" s="5" t="inlineStr"/>
      <c r="AR546" s="5" t="inlineStr"/>
      <c r="AS546" s="5" t="inlineStr"/>
      <c r="AT546" s="5" t="inlineStr"/>
      <c r="AU546" s="8" t="inlineStr">
        <is>
          <t>Not run</t>
        </is>
      </c>
    </row>
    <row r="547" ht="32" customHeight="1">
      <c r="A547" s="16" t="inlineStr">
        <is>
          <t>X-0546</t>
        </is>
      </c>
      <c r="B547" s="8" t="inlineStr">
        <is>
          <t>X</t>
        </is>
      </c>
      <c r="C547" s="5" t="inlineStr">
        <is>
          <t>Multiple / Cross-persona</t>
        </is>
      </c>
      <c r="D547" s="5" t="inlineStr">
        <is>
          <t>Security / Exception / Recovery</t>
        </is>
      </c>
      <c r="E547" s="5" t="inlineStr">
        <is>
          <t>Multi-branch document numbering isolation (Branch A 'DEL/INV/001' vs Branch B 'MUM/INV/001')</t>
        </is>
      </c>
      <c r="F547" s="5" t="inlineStr">
        <is>
          <t>System Administrator</t>
        </is>
      </c>
      <c r="G547" s="5" t="inlineStr">
        <is>
          <t>Branch Managers</t>
        </is>
      </c>
      <c r="H547" s="5" t="inlineStr">
        <is>
          <t>Distinct consecutive numbering series per retail store or warehouse to comply with state GST rules</t>
        </is>
      </c>
      <c r="I547" s="5" t="inlineStr">
        <is>
          <t>Enforces branch-prefixed sequences; prevents document numbering collisions across locations</t>
        </is>
      </c>
      <c r="J547" s="20" t="inlineStr">
        <is>
          <t>P1</t>
        </is>
      </c>
      <c r="K547" s="20" t="inlineStr">
        <is>
          <t>Validated (Supported)</t>
        </is>
      </c>
      <c r="L547" s="5" t="inlineStr">
        <is>
          <t>Supported via branch-scoped document sequence configuration.</t>
        </is>
      </c>
      <c r="M547" s="8" t="inlineStr">
        <is>
          <t>Baseline</t>
        </is>
      </c>
      <c r="N547" s="8" t="inlineStr">
        <is>
          <t>Cross-persona</t>
        </is>
      </c>
      <c r="O547" s="8" t="inlineStr">
        <is>
          <t>P1</t>
        </is>
      </c>
      <c r="P547" s="5" t="inlineStr">
        <is>
          <t>Unchanged</t>
        </is>
      </c>
      <c r="Q547" s="20" t="inlineStr">
        <is>
          <t>Author assertion</t>
        </is>
      </c>
      <c r="R547" s="5" t="inlineStr"/>
      <c r="S547" s="8" t="inlineStr">
        <is>
          <t>OTHER</t>
        </is>
      </c>
      <c r="T547" s="5" t="inlineStr">
        <is>
          <t>Security / Exception / Recovery</t>
        </is>
      </c>
      <c r="U547" s="8" t="inlineStr"/>
      <c r="V547" s="8" t="inlineStr"/>
      <c r="W547" s="8" t="inlineStr">
        <is>
          <t>CONTROL</t>
        </is>
      </c>
      <c r="X547" s="5" t="inlineStr">
        <is>
          <t>Core</t>
        </is>
      </c>
      <c r="Y547" s="5" t="inlineStr">
        <is>
          <t>Cross-persona</t>
        </is>
      </c>
      <c r="Z547" s="5" t="inlineStr">
        <is>
          <t>High</t>
        </is>
      </c>
      <c r="AA547" s="5" t="inlineStr">
        <is>
          <t>Medium</t>
        </is>
      </c>
      <c r="AB547" s="8" t="inlineStr">
        <is>
          <t>Medium</t>
        </is>
      </c>
      <c r="AC547" s="8" t="inlineStr">
        <is>
          <t>Pilot</t>
        </is>
      </c>
      <c r="AD547" s="5" t="inlineStr">
        <is>
          <t>Not independently checked</t>
        </is>
      </c>
      <c r="AE547" s="5" t="inlineStr">
        <is>
          <t>Not verified</t>
        </is>
      </c>
      <c r="AF547" s="5" t="inlineStr">
        <is>
          <t>Not verified</t>
        </is>
      </c>
      <c r="AG547" s="5" t="inlineStr">
        <is>
          <t>Not verified</t>
        </is>
      </c>
      <c r="AH547" s="5" t="inlineStr">
        <is>
          <t>Not verified</t>
        </is>
      </c>
      <c r="AI547" s="8" t="inlineStr">
        <is>
          <t>No</t>
        </is>
      </c>
      <c r="AJ547" s="8" t="inlineStr">
        <is>
          <t>Claimed - unverified</t>
        </is>
      </c>
      <c r="AK547" s="8" t="inlineStr">
        <is>
          <t>P1</t>
        </is>
      </c>
      <c r="AL547" s="8" t="n">
        <v>12</v>
      </c>
      <c r="AM547" s="5" t="inlineStr"/>
      <c r="AN547" s="5" t="inlineStr"/>
      <c r="AO547" s="5" t="inlineStr"/>
      <c r="AP547" s="5" t="inlineStr"/>
      <c r="AQ547" s="5" t="inlineStr"/>
      <c r="AR547" s="5" t="inlineStr"/>
      <c r="AS547" s="5" t="inlineStr"/>
      <c r="AT547" s="5" t="inlineStr"/>
      <c r="AU547" s="8" t="inlineStr">
        <is>
          <t>Not run</t>
        </is>
      </c>
    </row>
    <row r="548" ht="32" customHeight="1">
      <c r="A548" s="16" t="inlineStr">
        <is>
          <t>X-0547</t>
        </is>
      </c>
      <c r="B548" s="8" t="inlineStr">
        <is>
          <t>X</t>
        </is>
      </c>
      <c r="C548" s="5" t="inlineStr">
        <is>
          <t>Multiple / Cross-persona</t>
        </is>
      </c>
      <c r="D548" s="5" t="inlineStr">
        <is>
          <t>Master Data &amp; Authorization</t>
        </is>
      </c>
      <c r="E548" s="5" t="inlineStr">
        <is>
          <t>Customer &amp; Vendor Self-Onboarding Portal: send magic link for party to input GSTIN, bank, and KYC</t>
        </is>
      </c>
      <c r="F548" s="5" t="inlineStr">
        <is>
          <t>Sales / Procurement Staff</t>
        </is>
      </c>
      <c r="G548" s="5" t="inlineStr">
        <is>
          <t>New Customer / Supplier</t>
        </is>
      </c>
      <c r="H548" s="5" t="inlineStr">
        <is>
          <t>Eliminate data entry errors by allowing new B2B clients and suppliers to submit their own masters</t>
        </is>
      </c>
      <c r="I548" s="5" t="inlineStr">
        <is>
          <t>Generates secure tokenized portal link; auto-validates GSTIN and populates master upon approval</t>
        </is>
      </c>
      <c r="J548" s="20" t="inlineStr">
        <is>
          <t>P1</t>
        </is>
      </c>
      <c r="K548" s="20" t="inlineStr">
        <is>
          <t>Validated (Supported)</t>
        </is>
      </c>
      <c r="L548" s="5" t="inlineStr">
        <is>
          <t>Supported via Self-Onboarding Magic Link generator (/onboarding/invite/).</t>
        </is>
      </c>
      <c r="M548" s="8" t="inlineStr">
        <is>
          <t>Baseline</t>
        </is>
      </c>
      <c r="N548" s="8" t="inlineStr">
        <is>
          <t>Cross-persona</t>
        </is>
      </c>
      <c r="O548" s="8" t="inlineStr">
        <is>
          <t>P1</t>
        </is>
      </c>
      <c r="P548" s="5" t="inlineStr">
        <is>
          <t>Unchanged</t>
        </is>
      </c>
      <c r="Q548" s="20" t="inlineStr">
        <is>
          <t>Author assertion</t>
        </is>
      </c>
      <c r="R548" s="5" t="inlineStr"/>
      <c r="S548" s="8" t="inlineStr">
        <is>
          <t>MASTER</t>
        </is>
      </c>
      <c r="T548" s="5" t="inlineStr">
        <is>
          <t>Master data and authorization</t>
        </is>
      </c>
      <c r="U548" s="8" t="inlineStr"/>
      <c r="V548" s="8" t="inlineStr">
        <is>
          <t>masters</t>
        </is>
      </c>
      <c r="W548" s="8" t="inlineStr">
        <is>
          <t>KERNEL</t>
        </is>
      </c>
      <c r="X548" s="5" t="inlineStr">
        <is>
          <t>Core</t>
        </is>
      </c>
      <c r="Y548" s="5" t="inlineStr">
        <is>
          <t>Cross-persona</t>
        </is>
      </c>
      <c r="Z548" s="5" t="inlineStr">
        <is>
          <t>Medium</t>
        </is>
      </c>
      <c r="AA548" s="5" t="inlineStr">
        <is>
          <t>Medium</t>
        </is>
      </c>
      <c r="AB548" s="8" t="inlineStr">
        <is>
          <t>Low</t>
        </is>
      </c>
      <c r="AC548" s="8" t="inlineStr">
        <is>
          <t>Later</t>
        </is>
      </c>
      <c r="AD548" s="5" t="inlineStr">
        <is>
          <t>Not independently checked</t>
        </is>
      </c>
      <c r="AE548" s="5" t="inlineStr">
        <is>
          <t>Not verified</t>
        </is>
      </c>
      <c r="AF548" s="5" t="inlineStr">
        <is>
          <t>Not verified</t>
        </is>
      </c>
      <c r="AG548" s="5" t="inlineStr">
        <is>
          <t>Not verified</t>
        </is>
      </c>
      <c r="AH548" s="5" t="inlineStr">
        <is>
          <t>Not verified</t>
        </is>
      </c>
      <c r="AI548" s="8" t="inlineStr">
        <is>
          <t>No</t>
        </is>
      </c>
      <c r="AJ548" s="8" t="inlineStr">
        <is>
          <t>Claimed - unverified</t>
        </is>
      </c>
      <c r="AK548" s="8" t="inlineStr">
        <is>
          <t>P1</t>
        </is>
      </c>
      <c r="AL548" s="8" t="n">
        <v>6</v>
      </c>
      <c r="AM548" s="5" t="inlineStr"/>
      <c r="AN548" s="5" t="inlineStr"/>
      <c r="AO548" s="5" t="inlineStr"/>
      <c r="AP548" s="5" t="inlineStr"/>
      <c r="AQ548" s="5" t="inlineStr"/>
      <c r="AR548" s="5" t="inlineStr"/>
      <c r="AS548" s="5" t="inlineStr"/>
      <c r="AT548" s="5" t="inlineStr"/>
      <c r="AU548" s="8" t="inlineStr">
        <is>
          <t>Not run</t>
        </is>
      </c>
    </row>
    <row r="549" ht="32" customHeight="1">
      <c r="A549" s="16" t="inlineStr">
        <is>
          <t>X-0548</t>
        </is>
      </c>
      <c r="B549" s="8" t="inlineStr">
        <is>
          <t>X</t>
        </is>
      </c>
      <c r="C549" s="5" t="inlineStr">
        <is>
          <t>Multiple / Cross-persona</t>
        </is>
      </c>
      <c r="D549" s="5" t="inlineStr">
        <is>
          <t>Master Data &amp; Authorization</t>
        </is>
      </c>
      <c r="E549" s="5" t="inlineStr">
        <is>
          <t>Vernacular language switching (Hindi, Gujarati, Tamil, Marathi, etc.) on POS and mobile app</t>
        </is>
      </c>
      <c r="F549" s="5" t="inlineStr">
        <is>
          <t>Counter Clerk / Driver</t>
        </is>
      </c>
      <c r="G549" s="5" t="inlineStr">
        <is>
          <t>None</t>
        </is>
      </c>
      <c r="H549" s="5" t="inlineStr">
        <is>
          <t>Enable non-English speaking billing clerks and godown staff to operate software in regional language</t>
        </is>
      </c>
      <c r="I549" s="5" t="inlineStr">
        <is>
          <t>Toggles UI language string translation across product catalog, buttons, and receipts</t>
        </is>
      </c>
      <c r="J549" s="22" t="inlineStr">
        <is>
          <t>P2</t>
        </is>
      </c>
      <c r="K549" s="20" t="inlineStr">
        <is>
          <t>Validated (Supported)</t>
        </is>
      </c>
      <c r="L549" s="5" t="inlineStr">
        <is>
          <t>Supported via i18n localization engine supporting major Indian regional languages.</t>
        </is>
      </c>
      <c r="M549" s="8" t="inlineStr">
        <is>
          <t>Baseline</t>
        </is>
      </c>
      <c r="N549" s="8" t="inlineStr">
        <is>
          <t>Cross-persona</t>
        </is>
      </c>
      <c r="O549" s="8" t="inlineStr">
        <is>
          <t>P2</t>
        </is>
      </c>
      <c r="P549" s="5" t="inlineStr">
        <is>
          <t>Unchanged</t>
        </is>
      </c>
      <c r="Q549" s="20" t="inlineStr">
        <is>
          <t>Author assertion</t>
        </is>
      </c>
      <c r="R549" s="5" t="inlineStr"/>
      <c r="S549" s="8" t="inlineStr">
        <is>
          <t>MASTER</t>
        </is>
      </c>
      <c r="T549" s="5" t="inlineStr">
        <is>
          <t>Master data and authorization</t>
        </is>
      </c>
      <c r="U549" s="8" t="inlineStr"/>
      <c r="V549" s="8" t="inlineStr">
        <is>
          <t>masters</t>
        </is>
      </c>
      <c r="W549" s="8" t="inlineStr">
        <is>
          <t>KERNEL</t>
        </is>
      </c>
      <c r="X549" s="5" t="inlineStr">
        <is>
          <t>Core</t>
        </is>
      </c>
      <c r="Y549" s="5" t="inlineStr">
        <is>
          <t>Cross-persona</t>
        </is>
      </c>
      <c r="Z549" s="5" t="inlineStr">
        <is>
          <t>Medium</t>
        </is>
      </c>
      <c r="AA549" s="5" t="inlineStr">
        <is>
          <t>Medium</t>
        </is>
      </c>
      <c r="AB549" s="8" t="inlineStr">
        <is>
          <t>Low</t>
        </is>
      </c>
      <c r="AC549" s="8" t="inlineStr">
        <is>
          <t>Later</t>
        </is>
      </c>
      <c r="AD549" s="5" t="inlineStr">
        <is>
          <t>Not independently checked</t>
        </is>
      </c>
      <c r="AE549" s="5" t="inlineStr">
        <is>
          <t>Not verified</t>
        </is>
      </c>
      <c r="AF549" s="5" t="inlineStr">
        <is>
          <t>Not verified</t>
        </is>
      </c>
      <c r="AG549" s="5" t="inlineStr">
        <is>
          <t>Not verified</t>
        </is>
      </c>
      <c r="AH549" s="5" t="inlineStr">
        <is>
          <t>Not verified</t>
        </is>
      </c>
      <c r="AI549" s="8" t="inlineStr">
        <is>
          <t>No</t>
        </is>
      </c>
      <c r="AJ549" s="8" t="inlineStr">
        <is>
          <t>Claimed - unverified</t>
        </is>
      </c>
      <c r="AK549" s="8" t="inlineStr">
        <is>
          <t>P2</t>
        </is>
      </c>
      <c r="AL549" s="8" t="n">
        <v>6</v>
      </c>
      <c r="AM549" s="5" t="inlineStr"/>
      <c r="AN549" s="5" t="inlineStr"/>
      <c r="AO549" s="5" t="inlineStr"/>
      <c r="AP549" s="5" t="inlineStr"/>
      <c r="AQ549" s="5" t="inlineStr"/>
      <c r="AR549" s="5" t="inlineStr"/>
      <c r="AS549" s="5" t="inlineStr"/>
      <c r="AT549" s="5" t="inlineStr"/>
      <c r="AU549" s="8" t="inlineStr">
        <is>
          <t>Not run</t>
        </is>
      </c>
    </row>
    <row r="550" ht="32" customHeight="1">
      <c r="A550" s="16" t="inlineStr">
        <is>
          <t>X-0549</t>
        </is>
      </c>
      <c r="B550" s="8" t="inlineStr">
        <is>
          <t>X</t>
        </is>
      </c>
      <c r="C550" s="5" t="inlineStr">
        <is>
          <t>Multiple / Cross-persona</t>
        </is>
      </c>
      <c r="D550" s="5" t="inlineStr">
        <is>
          <t>Security / Exception / Recovery</t>
        </is>
      </c>
      <c r="E550" s="5" t="inlineStr">
        <is>
          <t>Automated Right-to-Erasure &amp; Data Anonymization under Digital Personal Data Protection (DPDP) Act</t>
        </is>
      </c>
      <c r="F550" s="5" t="inlineStr">
        <is>
          <t>Data Protection Officer / Admin</t>
        </is>
      </c>
      <c r="G550" s="5" t="inlineStr">
        <is>
          <t>Customer</t>
        </is>
      </c>
      <c r="H550" s="5" t="inlineStr">
        <is>
          <t>Fulfill customer personal data deletion requests while preserving statutory accounting records</t>
        </is>
      </c>
      <c r="I550" s="5" t="inlineStr">
        <is>
          <t>Anonymizes personal identifying data (name, mobile, address) while retaining financial invoice amounts</t>
        </is>
      </c>
      <c r="J550" s="20" t="inlineStr">
        <is>
          <t>P1</t>
        </is>
      </c>
      <c r="K550" s="20" t="inlineStr">
        <is>
          <t>Validated (Supported)</t>
        </is>
      </c>
      <c r="L550" s="5" t="inlineStr">
        <is>
          <t>Supported via DPDP Right-to-Erasure Engine (/settings/privacy/erasure/).</t>
        </is>
      </c>
      <c r="M550" s="8" t="inlineStr">
        <is>
          <t>Baseline</t>
        </is>
      </c>
      <c r="N550" s="8" t="inlineStr">
        <is>
          <t>Cross-persona</t>
        </is>
      </c>
      <c r="O550" s="8" t="inlineStr">
        <is>
          <t>P1</t>
        </is>
      </c>
      <c r="P550" s="5" t="inlineStr">
        <is>
          <t>Unchanged</t>
        </is>
      </c>
      <c r="Q550" s="20" t="inlineStr">
        <is>
          <t>Author assertion</t>
        </is>
      </c>
      <c r="R550" s="5" t="inlineStr"/>
      <c r="S550" s="8" t="inlineStr">
        <is>
          <t>OTHER</t>
        </is>
      </c>
      <c r="T550" s="5" t="inlineStr">
        <is>
          <t>Security / Exception / Recovery</t>
        </is>
      </c>
      <c r="U550" s="8" t="inlineStr"/>
      <c r="V550" s="8" t="inlineStr"/>
      <c r="W550" s="8" t="inlineStr">
        <is>
          <t>CONTROL</t>
        </is>
      </c>
      <c r="X550" s="5" t="inlineStr">
        <is>
          <t>Core</t>
        </is>
      </c>
      <c r="Y550" s="5" t="inlineStr">
        <is>
          <t>Cross-persona</t>
        </is>
      </c>
      <c r="Z550" s="5" t="inlineStr">
        <is>
          <t>High</t>
        </is>
      </c>
      <c r="AA550" s="5" t="inlineStr">
        <is>
          <t>Medium</t>
        </is>
      </c>
      <c r="AB550" s="8" t="inlineStr">
        <is>
          <t>Medium</t>
        </is>
      </c>
      <c r="AC550" s="8" t="inlineStr">
        <is>
          <t>Pilot</t>
        </is>
      </c>
      <c r="AD550" s="5" t="inlineStr">
        <is>
          <t>Not independently checked</t>
        </is>
      </c>
      <c r="AE550" s="5" t="inlineStr">
        <is>
          <t>Not verified</t>
        </is>
      </c>
      <c r="AF550" s="5" t="inlineStr">
        <is>
          <t>Not verified</t>
        </is>
      </c>
      <c r="AG550" s="5" t="inlineStr">
        <is>
          <t>Not verified</t>
        </is>
      </c>
      <c r="AH550" s="5" t="inlineStr">
        <is>
          <t>Not verified</t>
        </is>
      </c>
      <c r="AI550" s="8" t="inlineStr">
        <is>
          <t>No</t>
        </is>
      </c>
      <c r="AJ550" s="8" t="inlineStr">
        <is>
          <t>Claimed - unverified</t>
        </is>
      </c>
      <c r="AK550" s="8" t="inlineStr">
        <is>
          <t>P1</t>
        </is>
      </c>
      <c r="AL550" s="8" t="n">
        <v>12</v>
      </c>
      <c r="AM550" s="5" t="inlineStr"/>
      <c r="AN550" s="5" t="inlineStr"/>
      <c r="AO550" s="5" t="inlineStr"/>
      <c r="AP550" s="5" t="inlineStr"/>
      <c r="AQ550" s="5" t="inlineStr"/>
      <c r="AR550" s="5" t="inlineStr"/>
      <c r="AS550" s="5" t="inlineStr"/>
      <c r="AT550" s="5" t="inlineStr"/>
      <c r="AU550" s="8" t="inlineStr">
        <is>
          <t>Not run</t>
        </is>
      </c>
    </row>
    <row r="551" ht="32" customHeight="1">
      <c r="A551" s="16" t="inlineStr">
        <is>
          <t>X-0550</t>
        </is>
      </c>
      <c r="B551" s="8" t="inlineStr">
        <is>
          <t>X</t>
        </is>
      </c>
      <c r="C551" s="5" t="inlineStr">
        <is>
          <t>Multiple / Cross-persona</t>
        </is>
      </c>
      <c r="D551" s="5" t="inlineStr">
        <is>
          <t>Import / Export / Period Close</t>
        </is>
      </c>
      <c r="E551" s="5" t="inlineStr">
        <is>
          <t>Year-end financial closing: carry forward ledger balances and initialize new financial year</t>
        </is>
      </c>
      <c r="F551" s="5" t="inlineStr">
        <is>
          <t>In-house Accountant</t>
        </is>
      </c>
      <c r="G551" s="5" t="inlineStr">
        <is>
          <t>External CA / Owner</t>
        </is>
      </c>
      <c r="H551" s="5" t="inlineStr">
        <is>
          <t>Formal financial year-end closing transferring P&amp;L net profit to Reserves and initializing opening TB</t>
        </is>
      </c>
      <c r="I551" s="5" t="inlineStr">
        <is>
          <t>Closes 31st March financial books; rolls forward asset and liability balances into 1st April opening</t>
        </is>
      </c>
      <c r="J551" s="19" t="inlineStr">
        <is>
          <t>P0</t>
        </is>
      </c>
      <c r="K551" s="20" t="inlineStr">
        <is>
          <t>Validated (Supported)</t>
        </is>
      </c>
      <c r="L551" s="5" t="inlineStr">
        <is>
          <t>Supported via Year-End Financial Close Wizard (/accounting/year-end-close/).</t>
        </is>
      </c>
      <c r="M551" s="8" t="inlineStr">
        <is>
          <t>Baseline</t>
        </is>
      </c>
      <c r="N551" s="8" t="inlineStr">
        <is>
          <t>Cross-persona</t>
        </is>
      </c>
      <c r="O551" s="8" t="inlineStr">
        <is>
          <t>P0</t>
        </is>
      </c>
      <c r="P551" s="5" t="inlineStr">
        <is>
          <t>Unchanged</t>
        </is>
      </c>
      <c r="Q551" s="20" t="inlineStr">
        <is>
          <t>Author assertion</t>
        </is>
      </c>
      <c r="R551" s="5" t="inlineStr"/>
      <c r="S551" s="8" t="inlineStr">
        <is>
          <t>CLOSE</t>
        </is>
      </c>
      <c r="T551" s="5" t="inlineStr">
        <is>
          <t>Import, export, and period close</t>
        </is>
      </c>
      <c r="U551" s="8" t="inlineStr"/>
      <c r="V551" s="8" t="inlineStr">
        <is>
          <t>accounting</t>
        </is>
      </c>
      <c r="W551" s="8" t="inlineStr">
        <is>
          <t>CONTROL</t>
        </is>
      </c>
      <c r="X551" s="5" t="inlineStr">
        <is>
          <t>Core</t>
        </is>
      </c>
      <c r="Y551" s="5" t="inlineStr">
        <is>
          <t>Cross-persona</t>
        </is>
      </c>
      <c r="Z551" s="5" t="inlineStr">
        <is>
          <t>Medium</t>
        </is>
      </c>
      <c r="AA551" s="5" t="inlineStr">
        <is>
          <t>Medium</t>
        </is>
      </c>
      <c r="AB551" s="8" t="inlineStr">
        <is>
          <t>Low</t>
        </is>
      </c>
      <c r="AC551" s="8" t="inlineStr">
        <is>
          <t>MVP</t>
        </is>
      </c>
      <c r="AD551" s="5" t="inlineStr">
        <is>
          <t>Not independently checked</t>
        </is>
      </c>
      <c r="AE551" s="5" t="inlineStr">
        <is>
          <t>Not verified</t>
        </is>
      </c>
      <c r="AF551" s="5" t="inlineStr">
        <is>
          <t>Not verified</t>
        </is>
      </c>
      <c r="AG551" s="5" t="inlineStr">
        <is>
          <t>Not verified</t>
        </is>
      </c>
      <c r="AH551" s="5" t="inlineStr">
        <is>
          <t>Not verified</t>
        </is>
      </c>
      <c r="AI551" s="8" t="inlineStr">
        <is>
          <t>No</t>
        </is>
      </c>
      <c r="AJ551" s="8" t="inlineStr">
        <is>
          <t>Claimed - unverified</t>
        </is>
      </c>
      <c r="AK551" s="8" t="inlineStr">
        <is>
          <t>P0</t>
        </is>
      </c>
      <c r="AL551" s="8" t="n">
        <v>6</v>
      </c>
      <c r="AM551" s="5" t="inlineStr"/>
      <c r="AN551" s="5" t="inlineStr"/>
      <c r="AO551" s="5" t="inlineStr"/>
      <c r="AP551" s="5" t="inlineStr"/>
      <c r="AQ551" s="5" t="inlineStr"/>
      <c r="AR551" s="5" t="inlineStr"/>
      <c r="AS551" s="5" t="inlineStr"/>
      <c r="AT551" s="5" t="inlineStr"/>
      <c r="AU551" s="8" t="inlineStr">
        <is>
          <t>Not run</t>
        </is>
      </c>
    </row>
    <row r="552" ht="32" customHeight="1">
      <c r="A552" s="16" t="inlineStr">
        <is>
          <t>X-0551</t>
        </is>
      </c>
      <c r="B552" s="8" t="inlineStr">
        <is>
          <t>X</t>
        </is>
      </c>
      <c r="C552" s="5" t="inlineStr">
        <is>
          <t>Multiple / Cross-persona</t>
        </is>
      </c>
      <c r="D552" s="5" t="inlineStr">
        <is>
          <t>Finance &amp; Fixed Assets</t>
        </is>
      </c>
      <c r="E552" s="5" t="inlineStr">
        <is>
          <t>Register company fixed assets (delivery vans, cold storage, billing machines, computers)</t>
        </is>
      </c>
      <c r="F552" s="5" t="inlineStr">
        <is>
          <t>In-house Accountant</t>
        </is>
      </c>
      <c r="G552" s="5" t="inlineStr">
        <is>
          <t>Business Owner</t>
        </is>
      </c>
      <c r="H552" s="5" t="inlineStr">
        <is>
          <t>Maintain fixed asset register recording asset tag, purchase invoice, serial, and location</t>
        </is>
      </c>
      <c r="I552" s="5" t="inlineStr">
        <is>
          <t>Creates FixedAsset record; capitalizes purchase cost to Fixed Asset balance sheet ledger</t>
        </is>
      </c>
      <c r="J552" s="20" t="inlineStr">
        <is>
          <t>P1</t>
        </is>
      </c>
      <c r="K552" s="20" t="inlineStr">
        <is>
          <t>Validated (Supported)</t>
        </is>
      </c>
      <c r="L552" s="5" t="inlineStr">
        <is>
          <t>Supported via /accounting/fixed-assets/create with asset tagging.</t>
        </is>
      </c>
      <c r="M552" s="8" t="inlineStr">
        <is>
          <t>Baseline</t>
        </is>
      </c>
      <c r="N552" s="8" t="inlineStr">
        <is>
          <t>Cross-persona</t>
        </is>
      </c>
      <c r="O552" s="8" t="inlineStr">
        <is>
          <t>P1</t>
        </is>
      </c>
      <c r="P552" s="5" t="inlineStr">
        <is>
          <t>Unchanged</t>
        </is>
      </c>
      <c r="Q552" s="20" t="inlineStr">
        <is>
          <t>Author assertion</t>
        </is>
      </c>
      <c r="R552" s="5" t="inlineStr"/>
      <c r="S552" s="8" t="inlineStr">
        <is>
          <t>FA</t>
        </is>
      </c>
      <c r="T552" s="5" t="inlineStr">
        <is>
          <t>Finance and fixed assets</t>
        </is>
      </c>
      <c r="U552" s="8" t="inlineStr"/>
      <c r="V552" s="8" t="inlineStr">
        <is>
          <t>accounting</t>
        </is>
      </c>
      <c r="W552" s="8" t="inlineStr">
        <is>
          <t>CONTROL</t>
        </is>
      </c>
      <c r="X552" s="5" t="inlineStr">
        <is>
          <t>Core</t>
        </is>
      </c>
      <c r="Y552" s="5" t="inlineStr">
        <is>
          <t>Cross-persona</t>
        </is>
      </c>
      <c r="Z552" s="5" t="inlineStr">
        <is>
          <t>Critical</t>
        </is>
      </c>
      <c r="AA552" s="5" t="inlineStr">
        <is>
          <t>High</t>
        </is>
      </c>
      <c r="AB552" s="8" t="inlineStr">
        <is>
          <t>High</t>
        </is>
      </c>
      <c r="AC552" s="8" t="inlineStr">
        <is>
          <t>Pilot</t>
        </is>
      </c>
      <c r="AD552" s="5" t="inlineStr">
        <is>
          <t>Not independently checked</t>
        </is>
      </c>
      <c r="AE552" s="5" t="inlineStr">
        <is>
          <t>Not verified</t>
        </is>
      </c>
      <c r="AF552" s="5" t="inlineStr">
        <is>
          <t>Not verified</t>
        </is>
      </c>
      <c r="AG552" s="5" t="inlineStr">
        <is>
          <t>Not verified</t>
        </is>
      </c>
      <c r="AH552" s="5" t="inlineStr">
        <is>
          <t>Not verified</t>
        </is>
      </c>
      <c r="AI552" s="8" t="inlineStr">
        <is>
          <t>No</t>
        </is>
      </c>
      <c r="AJ552" s="8" t="inlineStr">
        <is>
          <t>Claimed - unverified</t>
        </is>
      </c>
      <c r="AK552" s="8" t="inlineStr">
        <is>
          <t>P1</t>
        </is>
      </c>
      <c r="AL552" s="8" t="n">
        <v>27</v>
      </c>
      <c r="AM552" s="5" t="inlineStr"/>
      <c r="AN552" s="5" t="inlineStr"/>
      <c r="AO552" s="5" t="inlineStr"/>
      <c r="AP552" s="5" t="inlineStr"/>
      <c r="AQ552" s="5" t="inlineStr"/>
      <c r="AR552" s="5" t="inlineStr"/>
      <c r="AS552" s="5" t="inlineStr"/>
      <c r="AT552" s="5" t="inlineStr"/>
      <c r="AU552" s="8" t="inlineStr">
        <is>
          <t>Not run</t>
        </is>
      </c>
    </row>
    <row r="553" ht="32" customHeight="1">
      <c r="A553" s="16" t="inlineStr">
        <is>
          <t>X-0552</t>
        </is>
      </c>
      <c r="B553" s="8" t="inlineStr">
        <is>
          <t>X</t>
        </is>
      </c>
      <c r="C553" s="5" t="inlineStr">
        <is>
          <t>Multiple / Cross-persona</t>
        </is>
      </c>
      <c r="D553" s="5" t="inlineStr">
        <is>
          <t>Finance &amp; Fixed Assets</t>
        </is>
      </c>
      <c r="E553" s="5" t="inlineStr">
        <is>
          <t>Calculate monthly/annual depreciation under WDV and SLM methods per Companies Act &amp; IT Act</t>
        </is>
      </c>
      <c r="F553" s="5" t="inlineStr">
        <is>
          <t>In-house Accountant</t>
        </is>
      </c>
      <c r="G553" s="5" t="inlineStr">
        <is>
          <t>External CA</t>
        </is>
      </c>
      <c r="H553" s="5" t="inlineStr">
        <is>
          <t>Accurate depreciation computation for statutory tax filing and book profit reporting</t>
        </is>
      </c>
      <c r="I553" s="5" t="inlineStr">
        <is>
          <t>Calculates depreciation expense based on useful life and method; updates asset net book value</t>
        </is>
      </c>
      <c r="J553" s="20" t="inlineStr">
        <is>
          <t>P1</t>
        </is>
      </c>
      <c r="K553" s="20" t="inlineStr">
        <is>
          <t>Validated (Supported)</t>
        </is>
      </c>
      <c r="L553" s="5" t="inlineStr">
        <is>
          <t>Supported via Automated Depreciation Engine with dual-book (IT Act &amp; Companies Act) rates.</t>
        </is>
      </c>
      <c r="M553" s="8" t="inlineStr">
        <is>
          <t>Baseline</t>
        </is>
      </c>
      <c r="N553" s="8" t="inlineStr">
        <is>
          <t>Cross-persona</t>
        </is>
      </c>
      <c r="O553" s="8" t="inlineStr">
        <is>
          <t>P1</t>
        </is>
      </c>
      <c r="P553" s="5" t="inlineStr">
        <is>
          <t>Unchanged</t>
        </is>
      </c>
      <c r="Q553" s="20" t="inlineStr">
        <is>
          <t>Author assertion</t>
        </is>
      </c>
      <c r="R553" s="5" t="inlineStr"/>
      <c r="S553" s="8" t="inlineStr">
        <is>
          <t>FA</t>
        </is>
      </c>
      <c r="T553" s="5" t="inlineStr">
        <is>
          <t>Finance and fixed assets</t>
        </is>
      </c>
      <c r="U553" s="8" t="inlineStr"/>
      <c r="V553" s="8" t="inlineStr">
        <is>
          <t>accounting</t>
        </is>
      </c>
      <c r="W553" s="8" t="inlineStr">
        <is>
          <t>CONTROL</t>
        </is>
      </c>
      <c r="X553" s="5" t="inlineStr">
        <is>
          <t>Core</t>
        </is>
      </c>
      <c r="Y553" s="5" t="inlineStr">
        <is>
          <t>Cross-persona</t>
        </is>
      </c>
      <c r="Z553" s="5" t="inlineStr">
        <is>
          <t>Critical</t>
        </is>
      </c>
      <c r="AA553" s="5" t="inlineStr">
        <is>
          <t>High</t>
        </is>
      </c>
      <c r="AB553" s="8" t="inlineStr">
        <is>
          <t>High</t>
        </is>
      </c>
      <c r="AC553" s="8" t="inlineStr">
        <is>
          <t>Pilot</t>
        </is>
      </c>
      <c r="AD553" s="5" t="inlineStr">
        <is>
          <t>Not independently checked</t>
        </is>
      </c>
      <c r="AE553" s="5" t="inlineStr">
        <is>
          <t>Not verified</t>
        </is>
      </c>
      <c r="AF553" s="5" t="inlineStr">
        <is>
          <t>Not verified</t>
        </is>
      </c>
      <c r="AG553" s="5" t="inlineStr">
        <is>
          <t>Not verified</t>
        </is>
      </c>
      <c r="AH553" s="5" t="inlineStr">
        <is>
          <t>Not verified</t>
        </is>
      </c>
      <c r="AI553" s="8" t="inlineStr">
        <is>
          <t>No</t>
        </is>
      </c>
      <c r="AJ553" s="8" t="inlineStr">
        <is>
          <t>Claimed - unverified</t>
        </is>
      </c>
      <c r="AK553" s="8" t="inlineStr">
        <is>
          <t>P1</t>
        </is>
      </c>
      <c r="AL553" s="8" t="n">
        <v>27</v>
      </c>
      <c r="AM553" s="5" t="inlineStr"/>
      <c r="AN553" s="5" t="inlineStr"/>
      <c r="AO553" s="5" t="inlineStr"/>
      <c r="AP553" s="5" t="inlineStr"/>
      <c r="AQ553" s="5" t="inlineStr"/>
      <c r="AR553" s="5" t="inlineStr"/>
      <c r="AS553" s="5" t="inlineStr"/>
      <c r="AT553" s="5" t="inlineStr"/>
      <c r="AU553" s="8" t="inlineStr">
        <is>
          <t>Not run</t>
        </is>
      </c>
    </row>
    <row r="554" ht="32" customHeight="1">
      <c r="A554" s="16" t="inlineStr">
        <is>
          <t>X-0553</t>
        </is>
      </c>
      <c r="B554" s="8" t="inlineStr">
        <is>
          <t>X</t>
        </is>
      </c>
      <c r="C554" s="5" t="inlineStr">
        <is>
          <t>Multiple / Cross-persona</t>
        </is>
      </c>
      <c r="D554" s="5" t="inlineStr">
        <is>
          <t>Finance &amp; Fixed Assets</t>
        </is>
      </c>
      <c r="E554" s="5" t="inlineStr">
        <is>
          <t>Post automated depreciation journal voucher to general ledger</t>
        </is>
      </c>
      <c r="F554" s="5" t="inlineStr">
        <is>
          <t>In-house Accountant</t>
        </is>
      </c>
      <c r="G554" s="5" t="inlineStr">
        <is>
          <t>Auditor</t>
        </is>
      </c>
      <c r="H554" s="5" t="inlineStr">
        <is>
          <t>Automatic posting of periodic depreciation expense without manual journal entry errors</t>
        </is>
      </c>
      <c r="I554" s="5" t="inlineStr">
        <is>
          <t>Debits Depreciation Expense account in P&amp;L; credits Accumulated Depreciation on Balance Sheet</t>
        </is>
      </c>
      <c r="J554" s="20" t="inlineStr">
        <is>
          <t>P1</t>
        </is>
      </c>
      <c r="K554" s="20" t="inlineStr">
        <is>
          <t>Validated (Supported)</t>
        </is>
      </c>
      <c r="L554" s="5" t="inlineStr">
        <is>
          <t>Supported via one-click 'Post Depreciation' batch action.</t>
        </is>
      </c>
      <c r="M554" s="8" t="inlineStr">
        <is>
          <t>Baseline</t>
        </is>
      </c>
      <c r="N554" s="8" t="inlineStr">
        <is>
          <t>Cross-persona</t>
        </is>
      </c>
      <c r="O554" s="8" t="inlineStr">
        <is>
          <t>P1</t>
        </is>
      </c>
      <c r="P554" s="5" t="inlineStr">
        <is>
          <t>Unchanged</t>
        </is>
      </c>
      <c r="Q554" s="20" t="inlineStr">
        <is>
          <t>Author assertion</t>
        </is>
      </c>
      <c r="R554" s="5" t="inlineStr"/>
      <c r="S554" s="8" t="inlineStr">
        <is>
          <t>FA</t>
        </is>
      </c>
      <c r="T554" s="5" t="inlineStr">
        <is>
          <t>Finance and fixed assets</t>
        </is>
      </c>
      <c r="U554" s="8" t="inlineStr"/>
      <c r="V554" s="8" t="inlineStr">
        <is>
          <t>accounting</t>
        </is>
      </c>
      <c r="W554" s="8" t="inlineStr">
        <is>
          <t>CONTROL</t>
        </is>
      </c>
      <c r="X554" s="5" t="inlineStr">
        <is>
          <t>Core</t>
        </is>
      </c>
      <c r="Y554" s="5" t="inlineStr">
        <is>
          <t>Cross-persona</t>
        </is>
      </c>
      <c r="Z554" s="5" t="inlineStr">
        <is>
          <t>Critical</t>
        </is>
      </c>
      <c r="AA554" s="5" t="inlineStr">
        <is>
          <t>High</t>
        </is>
      </c>
      <c r="AB554" s="8" t="inlineStr">
        <is>
          <t>High</t>
        </is>
      </c>
      <c r="AC554" s="8" t="inlineStr">
        <is>
          <t>Pilot</t>
        </is>
      </c>
      <c r="AD554" s="5" t="inlineStr">
        <is>
          <t>Not independently checked</t>
        </is>
      </c>
      <c r="AE554" s="5" t="inlineStr">
        <is>
          <t>Not verified</t>
        </is>
      </c>
      <c r="AF554" s="5" t="inlineStr">
        <is>
          <t>Not verified</t>
        </is>
      </c>
      <c r="AG554" s="5" t="inlineStr">
        <is>
          <t>Not verified</t>
        </is>
      </c>
      <c r="AH554" s="5" t="inlineStr">
        <is>
          <t>Not verified</t>
        </is>
      </c>
      <c r="AI554" s="8" t="inlineStr">
        <is>
          <t>No</t>
        </is>
      </c>
      <c r="AJ554" s="8" t="inlineStr">
        <is>
          <t>Claimed - unverified</t>
        </is>
      </c>
      <c r="AK554" s="8" t="inlineStr">
        <is>
          <t>P1</t>
        </is>
      </c>
      <c r="AL554" s="8" t="n">
        <v>27</v>
      </c>
      <c r="AM554" s="5" t="inlineStr"/>
      <c r="AN554" s="5" t="inlineStr"/>
      <c r="AO554" s="5" t="inlineStr"/>
      <c r="AP554" s="5" t="inlineStr"/>
      <c r="AQ554" s="5" t="inlineStr"/>
      <c r="AR554" s="5" t="inlineStr"/>
      <c r="AS554" s="5" t="inlineStr"/>
      <c r="AT554" s="5" t="inlineStr"/>
      <c r="AU554" s="8" t="inlineStr">
        <is>
          <t>Not run</t>
        </is>
      </c>
    </row>
    <row r="555" ht="32" customHeight="1">
      <c r="A555" s="16" t="inlineStr">
        <is>
          <t>X-0554</t>
        </is>
      </c>
      <c r="B555" s="8" t="inlineStr">
        <is>
          <t>X</t>
        </is>
      </c>
      <c r="C555" s="5" t="inlineStr">
        <is>
          <t>Multiple / Cross-persona</t>
        </is>
      </c>
      <c r="D555" s="5" t="inlineStr">
        <is>
          <t>Finance &amp; Fixed Assets</t>
        </is>
      </c>
      <c r="E555" s="5" t="inlineStr">
        <is>
          <t>Record fixed asset disposal or scrap write-off and calculate capital gain/loss</t>
        </is>
      </c>
      <c r="F555" s="5" t="inlineStr">
        <is>
          <t>In-house Accountant</t>
        </is>
      </c>
      <c r="G555" s="5" t="inlineStr">
        <is>
          <t>External CA</t>
        </is>
      </c>
      <c r="H555" s="5" t="inlineStr">
        <is>
          <t>Accurate accounting entry when old vehicle or computer is sold or scrapped</t>
        </is>
      </c>
      <c r="I555" s="5" t="inlineStr">
        <is>
          <t>Removes asset cost and accumulated depreciation; computes and posts Net Gain/Loss on Sale of Assets</t>
        </is>
      </c>
      <c r="J555" s="20" t="inlineStr">
        <is>
          <t>P1</t>
        </is>
      </c>
      <c r="K555" s="20" t="inlineStr">
        <is>
          <t>Validated (Supported)</t>
        </is>
      </c>
      <c r="L555" s="5" t="inlineStr">
        <is>
          <t>Supported via Asset Disposal modal with gain/loss computation.</t>
        </is>
      </c>
      <c r="M555" s="8" t="inlineStr">
        <is>
          <t>Baseline</t>
        </is>
      </c>
      <c r="N555" s="8" t="inlineStr">
        <is>
          <t>Cross-persona</t>
        </is>
      </c>
      <c r="O555" s="8" t="inlineStr">
        <is>
          <t>P1</t>
        </is>
      </c>
      <c r="P555" s="5" t="inlineStr">
        <is>
          <t>Unchanged</t>
        </is>
      </c>
      <c r="Q555" s="20" t="inlineStr">
        <is>
          <t>Author assertion</t>
        </is>
      </c>
      <c r="R555" s="5" t="inlineStr"/>
      <c r="S555" s="8" t="inlineStr">
        <is>
          <t>FA</t>
        </is>
      </c>
      <c r="T555" s="5" t="inlineStr">
        <is>
          <t>Finance and fixed assets</t>
        </is>
      </c>
      <c r="U555" s="8" t="inlineStr"/>
      <c r="V555" s="8" t="inlineStr">
        <is>
          <t>accounting</t>
        </is>
      </c>
      <c r="W555" s="8" t="inlineStr">
        <is>
          <t>CONTROL</t>
        </is>
      </c>
      <c r="X555" s="5" t="inlineStr">
        <is>
          <t>Core</t>
        </is>
      </c>
      <c r="Y555" s="5" t="inlineStr">
        <is>
          <t>Cross-persona</t>
        </is>
      </c>
      <c r="Z555" s="5" t="inlineStr">
        <is>
          <t>Critical</t>
        </is>
      </c>
      <c r="AA555" s="5" t="inlineStr">
        <is>
          <t>High</t>
        </is>
      </c>
      <c r="AB555" s="8" t="inlineStr">
        <is>
          <t>High</t>
        </is>
      </c>
      <c r="AC555" s="8" t="inlineStr">
        <is>
          <t>Pilot</t>
        </is>
      </c>
      <c r="AD555" s="5" t="inlineStr">
        <is>
          <t>Not independently checked</t>
        </is>
      </c>
      <c r="AE555" s="5" t="inlineStr">
        <is>
          <t>Not verified</t>
        </is>
      </c>
      <c r="AF555" s="5" t="inlineStr">
        <is>
          <t>Not verified</t>
        </is>
      </c>
      <c r="AG555" s="5" t="inlineStr">
        <is>
          <t>Not verified</t>
        </is>
      </c>
      <c r="AH555" s="5" t="inlineStr">
        <is>
          <t>Not verified</t>
        </is>
      </c>
      <c r="AI555" s="8" t="inlineStr">
        <is>
          <t>No</t>
        </is>
      </c>
      <c r="AJ555" s="8" t="inlineStr">
        <is>
          <t>Claimed - unverified</t>
        </is>
      </c>
      <c r="AK555" s="8" t="inlineStr">
        <is>
          <t>P1</t>
        </is>
      </c>
      <c r="AL555" s="8" t="n">
        <v>27</v>
      </c>
      <c r="AM555" s="5" t="inlineStr"/>
      <c r="AN555" s="5" t="inlineStr"/>
      <c r="AO555" s="5" t="inlineStr"/>
      <c r="AP555" s="5" t="inlineStr"/>
      <c r="AQ555" s="5" t="inlineStr"/>
      <c r="AR555" s="5" t="inlineStr"/>
      <c r="AS555" s="5" t="inlineStr"/>
      <c r="AT555" s="5" t="inlineStr"/>
      <c r="AU555" s="8" t="inlineStr">
        <is>
          <t>Not run</t>
        </is>
      </c>
    </row>
    <row r="556" ht="32" customHeight="1">
      <c r="A556" s="16" t="inlineStr">
        <is>
          <t>X-0555</t>
        </is>
      </c>
      <c r="B556" s="8" t="inlineStr">
        <is>
          <t>X</t>
        </is>
      </c>
      <c r="C556" s="5" t="inlineStr">
        <is>
          <t>Multiple / Cross-persona</t>
        </is>
      </c>
      <c r="D556" s="5" t="inlineStr">
        <is>
          <t>GST / Tax / Compliance</t>
        </is>
      </c>
      <c r="E556" s="5" t="inlineStr">
        <is>
          <t>Record inward supply subject to Reverse Charge Mechanism (RCM) from Goods Transport Agency (GTA)</t>
        </is>
      </c>
      <c r="F556" s="5" t="inlineStr">
        <is>
          <t>In-house Accountant</t>
        </is>
      </c>
      <c r="G556" s="5" t="inlineStr">
        <is>
          <t>Goods Transport Agency (GTA)</t>
        </is>
      </c>
      <c r="H556" s="5" t="inlineStr">
        <is>
          <t>Identify and flag transport freight charges and legal fees where recipient is liable to pay GST</t>
        </is>
      </c>
      <c r="I556" s="5" t="inlineStr">
        <is>
          <t>Flags purchase invoice line as RCM; computes applicable CGST/SGST or IGST reverse tax liability</t>
        </is>
      </c>
      <c r="J556" s="20" t="inlineStr">
        <is>
          <t>P1</t>
        </is>
      </c>
      <c r="K556" s="20" t="inlineStr">
        <is>
          <t>Validated (Supported)</t>
        </is>
      </c>
      <c r="L556" s="5" t="inlineStr">
        <is>
          <t>Supported via Reverse Charge (RCM) toggle on purchase invoice line items.</t>
        </is>
      </c>
      <c r="M556" s="8" t="inlineStr">
        <is>
          <t>Baseline</t>
        </is>
      </c>
      <c r="N556" s="8" t="inlineStr">
        <is>
          <t>Cross-persona</t>
        </is>
      </c>
      <c r="O556" s="8" t="inlineStr">
        <is>
          <t>P1</t>
        </is>
      </c>
      <c r="P556" s="5" t="inlineStr">
        <is>
          <t>Unchanged</t>
        </is>
      </c>
      <c r="Q556" s="20" t="inlineStr">
        <is>
          <t>Author assertion</t>
        </is>
      </c>
      <c r="R556" s="5" t="inlineStr"/>
      <c r="S556" s="8" t="inlineStr">
        <is>
          <t>GST</t>
        </is>
      </c>
      <c r="T556" s="5" t="inlineStr">
        <is>
          <t>GST and tax compliance</t>
        </is>
      </c>
      <c r="U556" s="8" t="inlineStr"/>
      <c r="V556" s="8" t="inlineStr">
        <is>
          <t>accounting</t>
        </is>
      </c>
      <c r="W556" s="8" t="inlineStr">
        <is>
          <t>CONTROL</t>
        </is>
      </c>
      <c r="X556" s="5" t="inlineStr">
        <is>
          <t>Core</t>
        </is>
      </c>
      <c r="Y556" s="5" t="inlineStr">
        <is>
          <t>Cross-persona</t>
        </is>
      </c>
      <c r="Z556" s="5" t="inlineStr">
        <is>
          <t>Critical</t>
        </is>
      </c>
      <c r="AA556" s="5" t="inlineStr">
        <is>
          <t>High</t>
        </is>
      </c>
      <c r="AB556" s="8" t="inlineStr">
        <is>
          <t>High</t>
        </is>
      </c>
      <c r="AC556" s="8" t="inlineStr">
        <is>
          <t>Pilot</t>
        </is>
      </c>
      <c r="AD556" s="5" t="inlineStr">
        <is>
          <t>Not independently checked</t>
        </is>
      </c>
      <c r="AE556" s="5" t="inlineStr">
        <is>
          <t>Not verified</t>
        </is>
      </c>
      <c r="AF556" s="5" t="inlineStr">
        <is>
          <t>Not verified</t>
        </is>
      </c>
      <c r="AG556" s="5" t="inlineStr">
        <is>
          <t>Not verified</t>
        </is>
      </c>
      <c r="AH556" s="5" t="inlineStr">
        <is>
          <t>Not verified</t>
        </is>
      </c>
      <c r="AI556" s="8" t="inlineStr">
        <is>
          <t>No</t>
        </is>
      </c>
      <c r="AJ556" s="8" t="inlineStr">
        <is>
          <t>Claimed - unverified</t>
        </is>
      </c>
      <c r="AK556" s="8" t="inlineStr">
        <is>
          <t>P1</t>
        </is>
      </c>
      <c r="AL556" s="8" t="n">
        <v>27</v>
      </c>
      <c r="AM556" s="5" t="inlineStr"/>
      <c r="AN556" s="5" t="inlineStr"/>
      <c r="AO556" s="5" t="inlineStr"/>
      <c r="AP556" s="5" t="inlineStr"/>
      <c r="AQ556" s="5" t="inlineStr"/>
      <c r="AR556" s="5" t="inlineStr"/>
      <c r="AS556" s="5" t="inlineStr"/>
      <c r="AT556" s="5" t="inlineStr"/>
      <c r="AU556" s="8" t="inlineStr">
        <is>
          <t>Not run</t>
        </is>
      </c>
    </row>
    <row r="557" ht="32" customHeight="1">
      <c r="A557" s="16" t="inlineStr">
        <is>
          <t>X-0556</t>
        </is>
      </c>
      <c r="B557" s="8" t="inlineStr">
        <is>
          <t>X</t>
        </is>
      </c>
      <c r="C557" s="5" t="inlineStr">
        <is>
          <t>Multiple / Cross-persona</t>
        </is>
      </c>
      <c r="D557" s="5" t="inlineStr">
        <is>
          <t>GST / Tax / Compliance</t>
        </is>
      </c>
      <c r="E557" s="5" t="inlineStr">
        <is>
          <t>Generate self-invoice for RCM inward supplies and calculate reverse tax liability</t>
        </is>
      </c>
      <c r="F557" s="5" t="inlineStr">
        <is>
          <t>In-house Accountant</t>
        </is>
      </c>
      <c r="G557" s="5" t="inlineStr">
        <is>
          <t>Tax Authority</t>
        </is>
      </c>
      <c r="H557" s="5" t="inlineStr">
        <is>
          <t>Statutory compliance under Section 31(3)(f) of CGST Act requiring self-invoice on RCM purchases</t>
        </is>
      </c>
      <c r="I557" s="5" t="inlineStr">
        <is>
          <t>Generates official Self-Invoice document; records reverse tax liability in GSTR-3B Table 3.1(d)</t>
        </is>
      </c>
      <c r="J557" s="20" t="inlineStr">
        <is>
          <t>P1</t>
        </is>
      </c>
      <c r="K557" s="20" t="inlineStr">
        <is>
          <t>Validated (Supported)</t>
        </is>
      </c>
      <c r="L557" s="5" t="inlineStr">
        <is>
          <t>Supported via Self-Invoice generator for unregistered RCM purchases.</t>
        </is>
      </c>
      <c r="M557" s="8" t="inlineStr">
        <is>
          <t>Baseline</t>
        </is>
      </c>
      <c r="N557" s="8" t="inlineStr">
        <is>
          <t>Cross-persona</t>
        </is>
      </c>
      <c r="O557" s="8" t="inlineStr">
        <is>
          <t>P1</t>
        </is>
      </c>
      <c r="P557" s="5" t="inlineStr">
        <is>
          <t>Unchanged</t>
        </is>
      </c>
      <c r="Q557" s="20" t="inlineStr">
        <is>
          <t>Author assertion</t>
        </is>
      </c>
      <c r="R557" s="5" t="inlineStr"/>
      <c r="S557" s="8" t="inlineStr">
        <is>
          <t>GST</t>
        </is>
      </c>
      <c r="T557" s="5" t="inlineStr">
        <is>
          <t>GST and tax compliance</t>
        </is>
      </c>
      <c r="U557" s="8" t="inlineStr"/>
      <c r="V557" s="8" t="inlineStr">
        <is>
          <t>accounting</t>
        </is>
      </c>
      <c r="W557" s="8" t="inlineStr">
        <is>
          <t>CONTROL</t>
        </is>
      </c>
      <c r="X557" s="5" t="inlineStr">
        <is>
          <t>Core</t>
        </is>
      </c>
      <c r="Y557" s="5" t="inlineStr">
        <is>
          <t>Cross-persona</t>
        </is>
      </c>
      <c r="Z557" s="5" t="inlineStr">
        <is>
          <t>Critical</t>
        </is>
      </c>
      <c r="AA557" s="5" t="inlineStr">
        <is>
          <t>High</t>
        </is>
      </c>
      <c r="AB557" s="8" t="inlineStr">
        <is>
          <t>High</t>
        </is>
      </c>
      <c r="AC557" s="8" t="inlineStr">
        <is>
          <t>Pilot</t>
        </is>
      </c>
      <c r="AD557" s="5" t="inlineStr">
        <is>
          <t>Not independently checked</t>
        </is>
      </c>
      <c r="AE557" s="5" t="inlineStr">
        <is>
          <t>Not verified</t>
        </is>
      </c>
      <c r="AF557" s="5" t="inlineStr">
        <is>
          <t>Not verified</t>
        </is>
      </c>
      <c r="AG557" s="5" t="inlineStr">
        <is>
          <t>Not verified</t>
        </is>
      </c>
      <c r="AH557" s="5" t="inlineStr">
        <is>
          <t>Not verified</t>
        </is>
      </c>
      <c r="AI557" s="8" t="inlineStr">
        <is>
          <t>No</t>
        </is>
      </c>
      <c r="AJ557" s="8" t="inlineStr">
        <is>
          <t>Claimed - unverified</t>
        </is>
      </c>
      <c r="AK557" s="8" t="inlineStr">
        <is>
          <t>P1</t>
        </is>
      </c>
      <c r="AL557" s="8" t="n">
        <v>27</v>
      </c>
      <c r="AM557" s="5" t="inlineStr"/>
      <c r="AN557" s="5" t="inlineStr"/>
      <c r="AO557" s="5" t="inlineStr"/>
      <c r="AP557" s="5" t="inlineStr"/>
      <c r="AQ557" s="5" t="inlineStr"/>
      <c r="AR557" s="5" t="inlineStr"/>
      <c r="AS557" s="5" t="inlineStr"/>
      <c r="AT557" s="5" t="inlineStr"/>
      <c r="AU557" s="8" t="inlineStr">
        <is>
          <t>Not run</t>
        </is>
      </c>
    </row>
    <row r="558" ht="32" customHeight="1">
      <c r="A558" s="16" t="inlineStr">
        <is>
          <t>X-0557</t>
        </is>
      </c>
      <c r="B558" s="8" t="inlineStr">
        <is>
          <t>X</t>
        </is>
      </c>
      <c r="C558" s="5" t="inlineStr">
        <is>
          <t>Multiple / Cross-persona</t>
        </is>
      </c>
      <c r="D558" s="5" t="inlineStr">
        <is>
          <t>GST / Tax / Compliance</t>
        </is>
      </c>
      <c r="E558" s="5" t="inlineStr">
        <is>
          <t>Claim Input Tax Credit on RCM tax paid in cash in subsequent GSTR-3B return</t>
        </is>
      </c>
      <c r="F558" s="5" t="inlineStr">
        <is>
          <t>In-house Accountant</t>
        </is>
      </c>
      <c r="G558" s="5" t="inlineStr">
        <is>
          <t>External CA</t>
        </is>
      </c>
      <c r="H558" s="5" t="inlineStr">
        <is>
          <t>Avail eligible Input Tax Credit for RCM tax paid to government in cash ledger</t>
        </is>
      </c>
      <c r="I558" s="5" t="inlineStr">
        <is>
          <t>Credits eligible ITC in GSTR-3B Table 4(A)(3) after confirming cash payment in Table 6.1</t>
        </is>
      </c>
      <c r="J558" s="20" t="inlineStr">
        <is>
          <t>P1</t>
        </is>
      </c>
      <c r="K558" s="20" t="inlineStr">
        <is>
          <t>Validated (Supported)</t>
        </is>
      </c>
      <c r="L558" s="5" t="inlineStr">
        <is>
          <t>Supported via RCM ITC Reconciliation worksheet.</t>
        </is>
      </c>
      <c r="M558" s="8" t="inlineStr">
        <is>
          <t>Baseline</t>
        </is>
      </c>
      <c r="N558" s="8" t="inlineStr">
        <is>
          <t>Cross-persona</t>
        </is>
      </c>
      <c r="O558" s="8" t="inlineStr">
        <is>
          <t>P1</t>
        </is>
      </c>
      <c r="P558" s="5" t="inlineStr">
        <is>
          <t>Unchanged</t>
        </is>
      </c>
      <c r="Q558" s="20" t="inlineStr">
        <is>
          <t>Author assertion</t>
        </is>
      </c>
      <c r="R558" s="5" t="inlineStr"/>
      <c r="S558" s="8" t="inlineStr">
        <is>
          <t>GST</t>
        </is>
      </c>
      <c r="T558" s="5" t="inlineStr">
        <is>
          <t>GST and tax compliance</t>
        </is>
      </c>
      <c r="U558" s="8" t="inlineStr"/>
      <c r="V558" s="8" t="inlineStr">
        <is>
          <t>accounting</t>
        </is>
      </c>
      <c r="W558" s="8" t="inlineStr">
        <is>
          <t>CONTROL</t>
        </is>
      </c>
      <c r="X558" s="5" t="inlineStr">
        <is>
          <t>Core</t>
        </is>
      </c>
      <c r="Y558" s="5" t="inlineStr">
        <is>
          <t>Cross-persona</t>
        </is>
      </c>
      <c r="Z558" s="5" t="inlineStr">
        <is>
          <t>Critical</t>
        </is>
      </c>
      <c r="AA558" s="5" t="inlineStr">
        <is>
          <t>High</t>
        </is>
      </c>
      <c r="AB558" s="8" t="inlineStr">
        <is>
          <t>High</t>
        </is>
      </c>
      <c r="AC558" s="8" t="inlineStr">
        <is>
          <t>Pilot</t>
        </is>
      </c>
      <c r="AD558" s="5" t="inlineStr">
        <is>
          <t>Not independently checked</t>
        </is>
      </c>
      <c r="AE558" s="5" t="inlineStr">
        <is>
          <t>Not verified</t>
        </is>
      </c>
      <c r="AF558" s="5" t="inlineStr">
        <is>
          <t>Not verified</t>
        </is>
      </c>
      <c r="AG558" s="5" t="inlineStr">
        <is>
          <t>Not verified</t>
        </is>
      </c>
      <c r="AH558" s="5" t="inlineStr">
        <is>
          <t>Not verified</t>
        </is>
      </c>
      <c r="AI558" s="8" t="inlineStr">
        <is>
          <t>No</t>
        </is>
      </c>
      <c r="AJ558" s="8" t="inlineStr">
        <is>
          <t>Claimed - unverified</t>
        </is>
      </c>
      <c r="AK558" s="8" t="inlineStr">
        <is>
          <t>P1</t>
        </is>
      </c>
      <c r="AL558" s="8" t="n">
        <v>27</v>
      </c>
      <c r="AM558" s="5" t="inlineStr"/>
      <c r="AN558" s="5" t="inlineStr"/>
      <c r="AO558" s="5" t="inlineStr"/>
      <c r="AP558" s="5" t="inlineStr"/>
      <c r="AQ558" s="5" t="inlineStr"/>
      <c r="AR558" s="5" t="inlineStr"/>
      <c r="AS558" s="5" t="inlineStr"/>
      <c r="AT558" s="5" t="inlineStr"/>
      <c r="AU558" s="8" t="inlineStr">
        <is>
          <t>Not run</t>
        </is>
      </c>
    </row>
    <row r="559" ht="32" customHeight="1">
      <c r="A559" s="16" t="inlineStr">
        <is>
          <t>X-0558</t>
        </is>
      </c>
      <c r="B559" s="8" t="inlineStr">
        <is>
          <t>X</t>
        </is>
      </c>
      <c r="C559" s="5" t="inlineStr">
        <is>
          <t>Multiple / Cross-persona</t>
        </is>
      </c>
      <c r="D559" s="5" t="inlineStr">
        <is>
          <t>GST / Tax / Compliance</t>
        </is>
      </c>
      <c r="E559" s="5" t="inlineStr">
        <is>
          <t>Composition Scheme merchant calculates quarterly flat turnover tax via CMP-08 without ITC</t>
        </is>
      </c>
      <c r="F559" s="5" t="inlineStr">
        <is>
          <t>Kirana Shop Owner / Accountant</t>
        </is>
      </c>
      <c r="G559" s="5" t="inlineStr">
        <is>
          <t>Tax Authority</t>
        </is>
      </c>
      <c r="H559" s="5" t="inlineStr">
        <is>
          <t>Simplified quarterly flat tax payment (1% for traders/manufacturers) under GST Composition Scheme</t>
        </is>
      </c>
      <c r="I559" s="5" t="inlineStr">
        <is>
          <t>Computes flat turnover tax; prepares official Statement for Payment of Self-Assessed Tax (CMP-08)</t>
        </is>
      </c>
      <c r="J559" s="20" t="inlineStr">
        <is>
          <t>P1</t>
        </is>
      </c>
      <c r="K559" s="20" t="inlineStr">
        <is>
          <t>Validated (Supported)</t>
        </is>
      </c>
      <c r="L559" s="5" t="inlineStr">
        <is>
          <t>Supported via /gst/cmp08/ quarterly return worksheet for composition taxpayers.</t>
        </is>
      </c>
      <c r="M559" s="8" t="inlineStr">
        <is>
          <t>Baseline</t>
        </is>
      </c>
      <c r="N559" s="8" t="inlineStr">
        <is>
          <t>Cross-persona</t>
        </is>
      </c>
      <c r="O559" s="8" t="inlineStr">
        <is>
          <t>P1</t>
        </is>
      </c>
      <c r="P559" s="5" t="inlineStr">
        <is>
          <t>Unchanged</t>
        </is>
      </c>
      <c r="Q559" s="20" t="inlineStr">
        <is>
          <t>Author assertion</t>
        </is>
      </c>
      <c r="R559" s="5" t="inlineStr"/>
      <c r="S559" s="8" t="inlineStr">
        <is>
          <t>GST</t>
        </is>
      </c>
      <c r="T559" s="5" t="inlineStr">
        <is>
          <t>GST and tax compliance</t>
        </is>
      </c>
      <c r="U559" s="8" t="inlineStr"/>
      <c r="V559" s="8" t="inlineStr">
        <is>
          <t>accounting</t>
        </is>
      </c>
      <c r="W559" s="8" t="inlineStr">
        <is>
          <t>CONTROL</t>
        </is>
      </c>
      <c r="X559" s="5" t="inlineStr">
        <is>
          <t>Core</t>
        </is>
      </c>
      <c r="Y559" s="5" t="inlineStr">
        <is>
          <t>Cross-persona</t>
        </is>
      </c>
      <c r="Z559" s="5" t="inlineStr">
        <is>
          <t>Critical</t>
        </is>
      </c>
      <c r="AA559" s="5" t="inlineStr">
        <is>
          <t>High</t>
        </is>
      </c>
      <c r="AB559" s="8" t="inlineStr">
        <is>
          <t>High</t>
        </is>
      </c>
      <c r="AC559" s="8" t="inlineStr">
        <is>
          <t>Pilot</t>
        </is>
      </c>
      <c r="AD559" s="5" t="inlineStr">
        <is>
          <t>Not independently checked</t>
        </is>
      </c>
      <c r="AE559" s="5" t="inlineStr">
        <is>
          <t>Not verified</t>
        </is>
      </c>
      <c r="AF559" s="5" t="inlineStr">
        <is>
          <t>Not verified</t>
        </is>
      </c>
      <c r="AG559" s="5" t="inlineStr">
        <is>
          <t>Not verified</t>
        </is>
      </c>
      <c r="AH559" s="5" t="inlineStr">
        <is>
          <t>Not verified</t>
        </is>
      </c>
      <c r="AI559" s="8" t="inlineStr">
        <is>
          <t>No</t>
        </is>
      </c>
      <c r="AJ559" s="8" t="inlineStr">
        <is>
          <t>Claimed - unverified</t>
        </is>
      </c>
      <c r="AK559" s="8" t="inlineStr">
        <is>
          <t>P1</t>
        </is>
      </c>
      <c r="AL559" s="8" t="n">
        <v>27</v>
      </c>
      <c r="AM559" s="5" t="inlineStr"/>
      <c r="AN559" s="5" t="inlineStr"/>
      <c r="AO559" s="5" t="inlineStr"/>
      <c r="AP559" s="5" t="inlineStr"/>
      <c r="AQ559" s="5" t="inlineStr"/>
      <c r="AR559" s="5" t="inlineStr"/>
      <c r="AS559" s="5" t="inlineStr"/>
      <c r="AT559" s="5" t="inlineStr"/>
      <c r="AU559" s="8" t="inlineStr">
        <is>
          <t>Not run</t>
        </is>
      </c>
    </row>
    <row r="560" ht="32" customHeight="1">
      <c r="A560" s="16" t="inlineStr">
        <is>
          <t>X-0559</t>
        </is>
      </c>
      <c r="B560" s="8" t="inlineStr">
        <is>
          <t>X</t>
        </is>
      </c>
      <c r="C560" s="5" t="inlineStr">
        <is>
          <t>Multiple / Cross-persona</t>
        </is>
      </c>
      <c r="D560" s="5" t="inlineStr">
        <is>
          <t>GST / Tax / Compliance</t>
        </is>
      </c>
      <c r="E560" s="5" t="inlineStr">
        <is>
          <t>Transition from Composition Scheme to Regular GST Scheme (stock credit under Section 18(1)(c))</t>
        </is>
      </c>
      <c r="F560" s="5" t="inlineStr">
        <is>
          <t>In-house Accountant</t>
        </is>
      </c>
      <c r="G560" s="5" t="inlineStr">
        <is>
          <t>External CA</t>
        </is>
      </c>
      <c r="H560" s="5" t="inlineStr">
        <is>
          <t>Claim statutory input tax credit on inputs held in stock when turnover crosses composition limit</t>
        </is>
      </c>
      <c r="I560" s="5" t="inlineStr">
        <is>
          <t>Compiles stock inventory on transition date; calculates eligible ITC on inputs via Form ITC-01</t>
        </is>
      </c>
      <c r="J560" s="22" t="inlineStr">
        <is>
          <t>P2</t>
        </is>
      </c>
      <c r="K560" s="20" t="inlineStr">
        <is>
          <t>Validated (Supported)</t>
        </is>
      </c>
      <c r="L560" s="5" t="inlineStr">
        <is>
          <t>Supported via Composition-to-Regular Transition Assistant.</t>
        </is>
      </c>
      <c r="M560" s="8" t="inlineStr">
        <is>
          <t>Baseline</t>
        </is>
      </c>
      <c r="N560" s="8" t="inlineStr">
        <is>
          <t>Cross-persona</t>
        </is>
      </c>
      <c r="O560" s="8" t="inlineStr">
        <is>
          <t>P2</t>
        </is>
      </c>
      <c r="P560" s="5" t="inlineStr">
        <is>
          <t>Unchanged</t>
        </is>
      </c>
      <c r="Q560" s="20" t="inlineStr">
        <is>
          <t>Author assertion</t>
        </is>
      </c>
      <c r="R560" s="5" t="inlineStr"/>
      <c r="S560" s="8" t="inlineStr">
        <is>
          <t>GST</t>
        </is>
      </c>
      <c r="T560" s="5" t="inlineStr">
        <is>
          <t>GST and tax compliance</t>
        </is>
      </c>
      <c r="U560" s="8" t="inlineStr"/>
      <c r="V560" s="8" t="inlineStr">
        <is>
          <t>accounting</t>
        </is>
      </c>
      <c r="W560" s="8" t="inlineStr">
        <is>
          <t>CONTROL</t>
        </is>
      </c>
      <c r="X560" s="5" t="inlineStr">
        <is>
          <t>Core</t>
        </is>
      </c>
      <c r="Y560" s="5" t="inlineStr">
        <is>
          <t>Cross-persona</t>
        </is>
      </c>
      <c r="Z560" s="5" t="inlineStr">
        <is>
          <t>Critical</t>
        </is>
      </c>
      <c r="AA560" s="5" t="inlineStr">
        <is>
          <t>High</t>
        </is>
      </c>
      <c r="AB560" s="8" t="inlineStr">
        <is>
          <t>High</t>
        </is>
      </c>
      <c r="AC560" s="8" t="inlineStr">
        <is>
          <t>Later</t>
        </is>
      </c>
      <c r="AD560" s="5" t="inlineStr">
        <is>
          <t>Not independently checked</t>
        </is>
      </c>
      <c r="AE560" s="5" t="inlineStr">
        <is>
          <t>Not verified</t>
        </is>
      </c>
      <c r="AF560" s="5" t="inlineStr">
        <is>
          <t>Not verified</t>
        </is>
      </c>
      <c r="AG560" s="5" t="inlineStr">
        <is>
          <t>Not verified</t>
        </is>
      </c>
      <c r="AH560" s="5" t="inlineStr">
        <is>
          <t>Not verified</t>
        </is>
      </c>
      <c r="AI560" s="8" t="inlineStr">
        <is>
          <t>No</t>
        </is>
      </c>
      <c r="AJ560" s="8" t="inlineStr">
        <is>
          <t>Claimed - unverified</t>
        </is>
      </c>
      <c r="AK560" s="8" t="inlineStr">
        <is>
          <t>P2</t>
        </is>
      </c>
      <c r="AL560" s="8" t="n">
        <v>27</v>
      </c>
      <c r="AM560" s="5" t="inlineStr"/>
      <c r="AN560" s="5" t="inlineStr"/>
      <c r="AO560" s="5" t="inlineStr"/>
      <c r="AP560" s="5" t="inlineStr"/>
      <c r="AQ560" s="5" t="inlineStr"/>
      <c r="AR560" s="5" t="inlineStr"/>
      <c r="AS560" s="5" t="inlineStr"/>
      <c r="AT560" s="5" t="inlineStr"/>
      <c r="AU560" s="8" t="inlineStr">
        <is>
          <t>Not run</t>
        </is>
      </c>
    </row>
    <row r="561" ht="32" customHeight="1">
      <c r="A561" s="16" t="inlineStr">
        <is>
          <t>X-0560</t>
        </is>
      </c>
      <c r="B561" s="8" t="inlineStr">
        <is>
          <t>X</t>
        </is>
      </c>
      <c r="C561" s="5" t="inlineStr">
        <is>
          <t>Multiple / Cross-persona</t>
        </is>
      </c>
      <c r="D561" s="5" t="inlineStr">
        <is>
          <t>GST / Tax / Compliance</t>
        </is>
      </c>
      <c r="E561" s="5" t="inlineStr">
        <is>
          <t>Issue non-GST / Bill of Supply for nil-rated, exempted, or non-taxable goods</t>
        </is>
      </c>
      <c r="F561" s="5" t="inlineStr">
        <is>
          <t>Counter Billing Clerk</t>
        </is>
      </c>
      <c r="G561" s="5" t="inlineStr">
        <is>
          <t>Customer</t>
        </is>
      </c>
      <c r="H561" s="5" t="inlineStr">
        <is>
          <t>Issue legally compliant Bill of Supply (without tax charges) for fresh fruits, milk, unbranded grains</t>
        </is>
      </c>
      <c r="I561" s="5" t="inlineStr">
        <is>
          <t>Renders Bill of Supply per Rule 49; separates exempt turnover from taxable supplies in GSTR-1 Table 8</t>
        </is>
      </c>
      <c r="J561" s="20" t="inlineStr">
        <is>
          <t>P1</t>
        </is>
      </c>
      <c r="K561" s="20" t="inlineStr">
        <is>
          <t>Validated (Supported)</t>
        </is>
      </c>
      <c r="L561" s="5" t="inlineStr">
        <is>
          <t>Supported via Bill of Supply document template for exempt and nil-rated sales.</t>
        </is>
      </c>
      <c r="M561" s="8" t="inlineStr">
        <is>
          <t>Baseline</t>
        </is>
      </c>
      <c r="N561" s="8" t="inlineStr">
        <is>
          <t>Cross-persona</t>
        </is>
      </c>
      <c r="O561" s="8" t="inlineStr">
        <is>
          <t>P1</t>
        </is>
      </c>
      <c r="P561" s="5" t="inlineStr">
        <is>
          <t>Unchanged</t>
        </is>
      </c>
      <c r="Q561" s="20" t="inlineStr">
        <is>
          <t>Author assertion</t>
        </is>
      </c>
      <c r="R561" s="5" t="inlineStr"/>
      <c r="S561" s="8" t="inlineStr">
        <is>
          <t>GST</t>
        </is>
      </c>
      <c r="T561" s="5" t="inlineStr">
        <is>
          <t>GST and tax compliance</t>
        </is>
      </c>
      <c r="U561" s="8" t="inlineStr"/>
      <c r="V561" s="8" t="inlineStr">
        <is>
          <t>accounting</t>
        </is>
      </c>
      <c r="W561" s="8" t="inlineStr">
        <is>
          <t>CONTROL</t>
        </is>
      </c>
      <c r="X561" s="5" t="inlineStr">
        <is>
          <t>Core</t>
        </is>
      </c>
      <c r="Y561" s="5" t="inlineStr">
        <is>
          <t>Cross-persona</t>
        </is>
      </c>
      <c r="Z561" s="5" t="inlineStr">
        <is>
          <t>Critical</t>
        </is>
      </c>
      <c r="AA561" s="5" t="inlineStr">
        <is>
          <t>High</t>
        </is>
      </c>
      <c r="AB561" s="8" t="inlineStr">
        <is>
          <t>High</t>
        </is>
      </c>
      <c r="AC561" s="8" t="inlineStr">
        <is>
          <t>Pilot</t>
        </is>
      </c>
      <c r="AD561" s="5" t="inlineStr">
        <is>
          <t>Not independently checked</t>
        </is>
      </c>
      <c r="AE561" s="5" t="inlineStr">
        <is>
          <t>Not verified</t>
        </is>
      </c>
      <c r="AF561" s="5" t="inlineStr">
        <is>
          <t>Not verified</t>
        </is>
      </c>
      <c r="AG561" s="5" t="inlineStr">
        <is>
          <t>Not verified</t>
        </is>
      </c>
      <c r="AH561" s="5" t="inlineStr">
        <is>
          <t>Not verified</t>
        </is>
      </c>
      <c r="AI561" s="8" t="inlineStr">
        <is>
          <t>No</t>
        </is>
      </c>
      <c r="AJ561" s="8" t="inlineStr">
        <is>
          <t>Claimed - unverified</t>
        </is>
      </c>
      <c r="AK561" s="8" t="inlineStr">
        <is>
          <t>P1</t>
        </is>
      </c>
      <c r="AL561" s="8" t="n">
        <v>27</v>
      </c>
      <c r="AM561" s="5" t="inlineStr"/>
      <c r="AN561" s="5" t="inlineStr"/>
      <c r="AO561" s="5" t="inlineStr"/>
      <c r="AP561" s="5" t="inlineStr"/>
      <c r="AQ561" s="5" t="inlineStr"/>
      <c r="AR561" s="5" t="inlineStr"/>
      <c r="AS561" s="5" t="inlineStr"/>
      <c r="AT561" s="5" t="inlineStr"/>
      <c r="AU56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tabColor rgb="000D47A1"/>
    <outlinePr summaryBelow="1" summaryRight="1"/>
    <pageSetUpPr fitToPage="1"/>
  </sheetPr>
  <dimension ref="A1:AU156"/>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6" t="inlineStr">
        <is>
          <t>Task ID</t>
        </is>
      </c>
      <c r="B1" s="26" t="inlineStr">
        <is>
          <t>Task Type</t>
        </is>
      </c>
      <c r="C1" s="26" t="inlineStr">
        <is>
          <t>Persona / Scope</t>
        </is>
      </c>
      <c r="D1" s="26" t="inlineStr">
        <is>
          <t>Category</t>
        </is>
      </c>
      <c r="E1" s="26" t="inlineStr">
        <is>
          <t>Task / Business Action</t>
        </is>
      </c>
      <c r="F1" s="26" t="inlineStr">
        <is>
          <t>Primary Actor</t>
        </is>
      </c>
      <c r="G1" s="26" t="inlineStr">
        <is>
          <t>Supporting Persona(s)</t>
        </is>
      </c>
      <c r="H1" s="26" t="inlineStr">
        <is>
          <t>Business Outcome</t>
        </is>
      </c>
      <c r="I1" s="26" t="inlineStr">
        <is>
          <t>Downstream Impact</t>
        </is>
      </c>
      <c r="J1" s="26" t="inlineStr">
        <is>
          <t>Priority</t>
        </is>
      </c>
      <c r="K1" s="26" t="inlineStr">
        <is>
          <t>Validation Status</t>
        </is>
      </c>
      <c r="L1" s="26" t="inlineStr">
        <is>
          <t>Notes</t>
        </is>
      </c>
      <c r="M1" s="26" t="inlineStr">
        <is>
          <t>Register slice</t>
        </is>
      </c>
      <c r="N1" s="26" t="inlineStr">
        <is>
          <t>Scope class</t>
        </is>
      </c>
      <c r="O1" s="26" t="inlineStr">
        <is>
          <t>Authored priority</t>
        </is>
      </c>
      <c r="P1" s="26" t="inlineStr">
        <is>
          <t>Priority decision</t>
        </is>
      </c>
      <c r="Q1" s="26" t="inlineStr">
        <is>
          <t>Review outcome</t>
        </is>
      </c>
      <c r="R1" s="26" t="inlineStr">
        <is>
          <t>Audit note</t>
        </is>
      </c>
      <c r="S1" s="26" t="inlineStr">
        <is>
          <t>Flow ID</t>
        </is>
      </c>
      <c r="T1" s="26" t="inlineStr">
        <is>
          <t>Flow name</t>
        </is>
      </c>
      <c r="U1" s="26" t="inlineStr">
        <is>
          <t>Flow step</t>
        </is>
      </c>
      <c r="V1" s="26" t="inlineStr">
        <is>
          <t>Module</t>
        </is>
      </c>
      <c r="W1" s="26" t="inlineStr">
        <is>
          <t>OS layer</t>
        </is>
      </c>
      <c r="X1" s="26" t="inlineStr">
        <is>
          <t>Capability class</t>
        </is>
      </c>
      <c r="Y1" s="26" t="inlineStr">
        <is>
          <t>Canonical role</t>
        </is>
      </c>
      <c r="Z1" s="26" t="inlineStr">
        <is>
          <t>Business criticality</t>
        </is>
      </c>
      <c r="AA1" s="26" t="inlineStr">
        <is>
          <t>Failure impact</t>
        </is>
      </c>
      <c r="AB1" s="26" t="inlineStr">
        <is>
          <t>Compliance impact</t>
        </is>
      </c>
      <c r="AC1" s="26" t="inlineStr">
        <is>
          <t>Release gate</t>
        </is>
      </c>
      <c r="AD1" s="26" t="inlineStr">
        <is>
          <t>Code evidence</t>
        </is>
      </c>
      <c r="AE1" s="26" t="inlineStr">
        <is>
          <t>Integrity evidence</t>
        </is>
      </c>
      <c r="AF1" s="26" t="inlineStr">
        <is>
          <t>Recovery evidence</t>
        </is>
      </c>
      <c r="AG1" s="26" t="inlineStr">
        <is>
          <t>Security evidence</t>
        </is>
      </c>
      <c r="AH1" s="26" t="inlineStr">
        <is>
          <t>Concurrency evidence</t>
        </is>
      </c>
      <c r="AI1" s="26" t="inlineStr">
        <is>
          <t>OS ready</t>
        </is>
      </c>
      <c r="AJ1" s="26" t="inlineStr">
        <is>
          <t>Work status</t>
        </is>
      </c>
      <c r="AK1" s="26" t="inlineStr">
        <is>
          <t>Proposed priority</t>
        </is>
      </c>
      <c r="AL1" s="26" t="inlineStr">
        <is>
          <t>Risk score</t>
        </is>
      </c>
      <c r="AM1" s="26" t="inlineStr">
        <is>
          <t>Owner</t>
        </is>
      </c>
      <c r="AN1" s="26" t="inlineStr">
        <is>
          <t>Target date</t>
        </is>
      </c>
      <c r="AO1" s="26" t="inlineStr">
        <is>
          <t>Estimate days</t>
        </is>
      </c>
      <c r="AP1" s="26" t="inlineStr">
        <is>
          <t>Depends on</t>
        </is>
      </c>
      <c r="AQ1" s="26" t="inlineStr">
        <is>
          <t>Blocked by</t>
        </is>
      </c>
      <c r="AR1" s="26" t="inlineStr">
        <is>
          <t>Test case ID</t>
        </is>
      </c>
      <c r="AS1" s="26" t="inlineStr">
        <is>
          <t>Last verified</t>
        </is>
      </c>
      <c r="AT1" s="26" t="inlineStr">
        <is>
          <t>Verified by</t>
        </is>
      </c>
      <c r="AU1" s="26" t="inlineStr">
        <is>
          <t>Verification result</t>
        </is>
      </c>
    </row>
    <row r="2" ht="32" customHeight="1">
      <c r="A2" s="16" t="inlineStr">
        <is>
          <t>S-0561</t>
        </is>
      </c>
      <c r="B2" s="8" t="inlineStr">
        <is>
          <t>S</t>
        </is>
      </c>
      <c r="C2" s="5" t="inlineStr">
        <is>
          <t>System / Ledger Engine</t>
        </is>
      </c>
      <c r="D2" s="5" t="inlineStr">
        <is>
          <t>Reporting &amp; Business Intelligence</t>
        </is>
      </c>
      <c r="E2" s="5" t="inlineStr">
        <is>
          <t>Automated background trial balance zero-sum verification worker</t>
        </is>
      </c>
      <c r="F2" s="5" t="inlineStr">
        <is>
          <t>System / Reconciliation Worker</t>
        </is>
      </c>
      <c r="G2" s="5" t="inlineStr">
        <is>
          <t>In-house Accountant</t>
        </is>
      </c>
      <c r="H2" s="5" t="inlineStr">
        <is>
          <t>Continuous verification that sum of all debits equals sum of all credits across the entire company GL</t>
        </is>
      </c>
      <c r="I2" s="5" t="inlineStr">
        <is>
          <t>Triggers high-priority alert if debit-credit discrepancy != 0; quarantines corrupted ledger batches</t>
        </is>
      </c>
      <c r="J2" s="19" t="inlineStr">
        <is>
          <t>P0</t>
        </is>
      </c>
      <c r="K2" s="23" t="inlineStr">
        <is>
          <t>Partial</t>
        </is>
      </c>
      <c r="L2" s="5" t="inlineStr">
        <is>
          <t>Trial-balance reporting exists in accounting.reports.trial_balance, and books health exposes trial_balance_balanced. No hourly Celery beat task that quarantines unbalanced batches was found.</t>
        </is>
      </c>
      <c r="M2" s="8" t="inlineStr">
        <is>
          <t>Strategic expansion</t>
        </is>
      </c>
      <c r="N2" s="8" t="inlineStr">
        <is>
          <t>System engine</t>
        </is>
      </c>
      <c r="O2" s="8" t="inlineStr">
        <is>
          <t>P0</t>
        </is>
      </c>
      <c r="P2" s="5" t="inlineStr">
        <is>
          <t>Unchanged</t>
        </is>
      </c>
      <c r="Q2" s="23" t="inlineStr">
        <is>
          <t>Partial</t>
        </is>
      </c>
      <c r="R2" s="5" t="inlineStr">
        <is>
          <t>Category moved off Payments &amp; Reconciliation. The previous note claimed an hourly Celery quarantine worker.</t>
        </is>
      </c>
      <c r="S2" s="8" t="inlineStr">
        <is>
          <t>RPT</t>
        </is>
      </c>
      <c r="T2" s="5" t="inlineStr">
        <is>
          <t>Reporting and business intelligence</t>
        </is>
      </c>
      <c r="U2" s="8" t="inlineStr"/>
      <c r="V2" s="8" t="inlineStr">
        <is>
          <t>reporting</t>
        </is>
      </c>
      <c r="W2" s="8" t="inlineStr">
        <is>
          <t>CONTROL</t>
        </is>
      </c>
      <c r="X2" s="5" t="inlineStr">
        <is>
          <t>Core</t>
        </is>
      </c>
      <c r="Y2" s="5" t="inlineStr">
        <is>
          <t>System</t>
        </is>
      </c>
      <c r="Z2" s="5" t="inlineStr">
        <is>
          <t>Medium</t>
        </is>
      </c>
      <c r="AA2" s="5" t="inlineStr">
        <is>
          <t>Medium</t>
        </is>
      </c>
      <c r="AB2" s="8" t="inlineStr">
        <is>
          <t>Low</t>
        </is>
      </c>
      <c r="AC2" s="8" t="inlineStr">
        <is>
          <t>MVP</t>
        </is>
      </c>
      <c r="AD2" s="5" t="inlineStr">
        <is>
          <t>Partial</t>
        </is>
      </c>
      <c r="AE2" s="5" t="inlineStr">
        <is>
          <t>Not verified</t>
        </is>
      </c>
      <c r="AF2" s="5" t="inlineStr">
        <is>
          <t>Not verified</t>
        </is>
      </c>
      <c r="AG2" s="5" t="inlineStr">
        <is>
          <t>Not verified</t>
        </is>
      </c>
      <c r="AH2" s="5" t="inlineStr">
        <is>
          <t>Not verified</t>
        </is>
      </c>
      <c r="AI2" s="8" t="inlineStr">
        <is>
          <t>No</t>
        </is>
      </c>
      <c r="AJ2" s="8" t="inlineStr">
        <is>
          <t>Built - partial</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S-0562</t>
        </is>
      </c>
      <c r="B3" s="8" t="inlineStr">
        <is>
          <t>S</t>
        </is>
      </c>
      <c r="C3" s="5" t="inlineStr">
        <is>
          <t>System / Inventory Engine</t>
        </is>
      </c>
      <c r="D3" s="5" t="inlineStr">
        <is>
          <t>Inventory Lifecycle</t>
        </is>
      </c>
      <c r="E3" s="5" t="inlineStr">
        <is>
          <t>Orphaned inventory allocation release worker on expired cart sessions</t>
        </is>
      </c>
      <c r="F3" s="5" t="inlineStr">
        <is>
          <t>System / Inventory Worker</t>
        </is>
      </c>
      <c r="G3" s="5" t="inlineStr">
        <is>
          <t>Store Cashier</t>
        </is>
      </c>
      <c r="H3" s="5" t="inlineStr">
        <is>
          <t>Automatically release reserved stock back to available pool when uncompleted POS/web cart expires</t>
        </is>
      </c>
      <c r="I3" s="5" t="inlineStr">
        <is>
          <t>Decrements reserved_quantity and increments available_quantity on StockBalance after 30-min timeout</t>
        </is>
      </c>
      <c r="J3" s="20" t="inlineStr">
        <is>
          <t>P1</t>
        </is>
      </c>
      <c r="K3" s="23" t="inlineStr">
        <is>
          <t>Partial</t>
        </is>
      </c>
      <c r="L3" s="5" t="inlineStr">
        <is>
          <t>No CartSession model and no 30-minute cart-expiry release worker were found. Do not treat that timeout as implemented.</t>
        </is>
      </c>
      <c r="M3" s="8" t="inlineStr">
        <is>
          <t>Strategic expansion</t>
        </is>
      </c>
      <c r="N3" s="8" t="inlineStr">
        <is>
          <t>System engine</t>
        </is>
      </c>
      <c r="O3" s="8" t="inlineStr">
        <is>
          <t>P1</t>
        </is>
      </c>
      <c r="P3" s="5" t="inlineStr">
        <is>
          <t>Unchanged</t>
        </is>
      </c>
      <c r="Q3" s="23" t="inlineStr">
        <is>
          <t>Partial</t>
        </is>
      </c>
      <c r="R3" s="5" t="inlineStr">
        <is>
          <t>Previous note cited CartSession.updated_at. That model does not exist.</t>
        </is>
      </c>
      <c r="S3" s="8" t="inlineStr">
        <is>
          <t>INV</t>
        </is>
      </c>
      <c r="T3" s="5" t="inlineStr">
        <is>
          <t>Inventory lifecycle</t>
        </is>
      </c>
      <c r="U3" s="8" t="inlineStr"/>
      <c r="V3" s="8" t="inlineStr">
        <is>
          <t>inventory</t>
        </is>
      </c>
      <c r="W3" s="8" t="inlineStr">
        <is>
          <t>RUN</t>
        </is>
      </c>
      <c r="X3" s="5" t="inlineStr">
        <is>
          <t>Core</t>
        </is>
      </c>
      <c r="Y3" s="5" t="inlineStr">
        <is>
          <t>System</t>
        </is>
      </c>
      <c r="Z3" s="5" t="inlineStr">
        <is>
          <t>High</t>
        </is>
      </c>
      <c r="AA3" s="5" t="inlineStr">
        <is>
          <t>High</t>
        </is>
      </c>
      <c r="AB3" s="8" t="inlineStr">
        <is>
          <t>Low</t>
        </is>
      </c>
      <c r="AC3" s="8" t="inlineStr">
        <is>
          <t>Pilot</t>
        </is>
      </c>
      <c r="AD3" s="5" t="inlineStr">
        <is>
          <t>Partial</t>
        </is>
      </c>
      <c r="AE3" s="5" t="inlineStr">
        <is>
          <t>Not verified</t>
        </is>
      </c>
      <c r="AF3" s="5" t="inlineStr">
        <is>
          <t>Not verified</t>
        </is>
      </c>
      <c r="AG3" s="5" t="inlineStr">
        <is>
          <t>Not verified</t>
        </is>
      </c>
      <c r="AH3" s="5" t="inlineStr">
        <is>
          <t>Not verified</t>
        </is>
      </c>
      <c r="AI3" s="8" t="inlineStr">
        <is>
          <t>No</t>
        </is>
      </c>
      <c r="AJ3" s="8" t="inlineStr">
        <is>
          <t>Built - partial</t>
        </is>
      </c>
      <c r="AK3" s="8" t="inlineStr">
        <is>
          <t>P1</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S-0563</t>
        </is>
      </c>
      <c r="B4" s="8" t="inlineStr">
        <is>
          <t>S</t>
        </is>
      </c>
      <c r="C4" s="5" t="inlineStr">
        <is>
          <t>System / Cache Engine</t>
        </is>
      </c>
      <c r="D4" s="5" t="inlineStr">
        <is>
          <t>Master Data &amp; Authorization</t>
        </is>
      </c>
      <c r="E4" s="5" t="inlineStr">
        <is>
          <t>Event-driven product catalog cache invalidation across distributed POS nodes</t>
        </is>
      </c>
      <c r="F4" s="5" t="inlineStr">
        <is>
          <t>System / Redis Cache</t>
        </is>
      </c>
      <c r="G4" s="5" t="inlineStr">
        <is>
          <t>Billing Clerk</t>
        </is>
      </c>
      <c r="H4" s="5" t="inlineStr">
        <is>
          <t>Price or tax changes made on central server instantly purge local Redis/memory caches on POS terminals</t>
        </is>
      </c>
      <c r="I4" s="5" t="inlineStr">
        <is>
          <t>Broadcasts WebSocket invalidation message; forces POS client-side indexedDB cache refresh within 500ms</t>
        </is>
      </c>
      <c r="J4" s="20" t="inlineStr">
        <is>
          <t>P1</t>
        </is>
      </c>
      <c r="K4" s="20" t="inlineStr">
        <is>
          <t>Validated (Supported)</t>
        </is>
      </c>
      <c r="L4" s="5" t="inlineStr">
        <is>
          <t>Django post_save signal on Product master triggers Redis pub/sub cache purge event.</t>
        </is>
      </c>
      <c r="M4" s="8" t="inlineStr">
        <is>
          <t>Strategic expansion</t>
        </is>
      </c>
      <c r="N4" s="8" t="inlineStr">
        <is>
          <t>System engine</t>
        </is>
      </c>
      <c r="O4" s="8" t="inlineStr">
        <is>
          <t>P1</t>
        </is>
      </c>
      <c r="P4" s="5" t="inlineStr">
        <is>
          <t>Unchanged</t>
        </is>
      </c>
      <c r="Q4" s="20" t="inlineStr">
        <is>
          <t>Author assertion</t>
        </is>
      </c>
      <c r="R4" s="5" t="inlineStr"/>
      <c r="S4" s="8" t="inlineStr">
        <is>
          <t>MASTER</t>
        </is>
      </c>
      <c r="T4" s="5" t="inlineStr">
        <is>
          <t>Master data and authorization</t>
        </is>
      </c>
      <c r="U4" s="8" t="inlineStr"/>
      <c r="V4" s="8" t="inlineStr">
        <is>
          <t>masters</t>
        </is>
      </c>
      <c r="W4" s="8" t="inlineStr">
        <is>
          <t>KERNEL</t>
        </is>
      </c>
      <c r="X4" s="5" t="inlineStr">
        <is>
          <t>Core</t>
        </is>
      </c>
      <c r="Y4" s="5" t="inlineStr">
        <is>
          <t>System</t>
        </is>
      </c>
      <c r="Z4" s="5" t="inlineStr">
        <is>
          <t>Medium</t>
        </is>
      </c>
      <c r="AA4" s="5" t="inlineStr">
        <is>
          <t>Medium</t>
        </is>
      </c>
      <c r="AB4" s="8" t="inlineStr">
        <is>
          <t>Low</t>
        </is>
      </c>
      <c r="AC4" s="8" t="inlineStr">
        <is>
          <t>Later</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P1</t>
        </is>
      </c>
      <c r="AL4" s="8" t="n">
        <v>6</v>
      </c>
      <c r="AM4" s="5" t="inlineStr"/>
      <c r="AN4" s="5" t="inlineStr"/>
      <c r="AO4" s="5" t="inlineStr"/>
      <c r="AP4" s="5" t="inlineStr"/>
      <c r="AQ4" s="5" t="inlineStr"/>
      <c r="AR4" s="5" t="inlineStr"/>
      <c r="AS4" s="5" t="inlineStr"/>
      <c r="AT4" s="5" t="inlineStr"/>
      <c r="AU4" s="8" t="inlineStr">
        <is>
          <t>Not run</t>
        </is>
      </c>
    </row>
    <row r="5" ht="32" customHeight="1">
      <c r="A5" s="16" t="inlineStr">
        <is>
          <t>S-0564</t>
        </is>
      </c>
      <c r="B5" s="8" t="inlineStr">
        <is>
          <t>S</t>
        </is>
      </c>
      <c r="C5" s="5" t="inlineStr">
        <is>
          <t>System / Document Engine</t>
        </is>
      </c>
      <c r="D5" s="5" t="inlineStr">
        <is>
          <t>Security / Exception / Recovery</t>
        </is>
      </c>
      <c r="E5" s="5" t="inlineStr">
        <is>
          <t>Asynchronous PDF document generation queue for high-volume invoice printing</t>
        </is>
      </c>
      <c r="F5" s="5" t="inlineStr">
        <is>
          <t>System / Celery Worker</t>
        </is>
      </c>
      <c r="G5" s="5" t="inlineStr">
        <is>
          <t>Billing Clerk</t>
        </is>
      </c>
      <c r="H5" s="5" t="inlineStr">
        <is>
          <t>Sub-second checkout response by offloading heavy WeasyPrint/PDF generation to background worker pool</t>
        </is>
      </c>
      <c r="I5" s="5" t="inlineStr">
        <is>
          <t>Returns instant HTTP 201 Created with JSON; queues PDF render job; pushes download URL via WebSocket</t>
        </is>
      </c>
      <c r="J5" s="20" t="inlineStr">
        <is>
          <t>P1</t>
        </is>
      </c>
      <c r="K5" s="20" t="inlineStr">
        <is>
          <t>Validated (Supported)</t>
        </is>
      </c>
      <c r="L5" s="5" t="inlineStr">
        <is>
          <t>Offloads PDF rendering to dedicated Celery worker; decouples HTTP request-response cycle.</t>
        </is>
      </c>
      <c r="M5" s="8" t="inlineStr">
        <is>
          <t>Strategic expansion</t>
        </is>
      </c>
      <c r="N5" s="8" t="inlineStr">
        <is>
          <t>System engine</t>
        </is>
      </c>
      <c r="O5" s="8" t="inlineStr">
        <is>
          <t>P1</t>
        </is>
      </c>
      <c r="P5" s="5" t="inlineStr">
        <is>
          <t>Unchanged</t>
        </is>
      </c>
      <c r="Q5" s="20" t="inlineStr">
        <is>
          <t>Author assertion</t>
        </is>
      </c>
      <c r="R5" s="5" t="inlineStr"/>
      <c r="S5" s="8" t="inlineStr">
        <is>
          <t>OTHER</t>
        </is>
      </c>
      <c r="T5" s="5" t="inlineStr">
        <is>
          <t>Security / Exception / Recovery</t>
        </is>
      </c>
      <c r="U5" s="8" t="inlineStr"/>
      <c r="V5" s="8" t="inlineStr"/>
      <c r="W5" s="8" t="inlineStr">
        <is>
          <t>CONTROL</t>
        </is>
      </c>
      <c r="X5" s="5" t="inlineStr">
        <is>
          <t>Core</t>
        </is>
      </c>
      <c r="Y5" s="5" t="inlineStr">
        <is>
          <t>System</t>
        </is>
      </c>
      <c r="Z5" s="5" t="inlineStr">
        <is>
          <t>High</t>
        </is>
      </c>
      <c r="AA5" s="5" t="inlineStr">
        <is>
          <t>Medium</t>
        </is>
      </c>
      <c r="AB5" s="8" t="inlineStr">
        <is>
          <t>Medium</t>
        </is>
      </c>
      <c r="AC5" s="8" t="inlineStr">
        <is>
          <t>Pilot</t>
        </is>
      </c>
      <c r="AD5" s="5" t="inlineStr">
        <is>
          <t>Not independently checked</t>
        </is>
      </c>
      <c r="AE5" s="5" t="inlineStr">
        <is>
          <t>Not verified</t>
        </is>
      </c>
      <c r="AF5" s="5" t="inlineStr">
        <is>
          <t>Not verified</t>
        </is>
      </c>
      <c r="AG5" s="5" t="inlineStr">
        <is>
          <t>Not verified</t>
        </is>
      </c>
      <c r="AH5" s="5" t="inlineStr">
        <is>
          <t>Not verified</t>
        </is>
      </c>
      <c r="AI5" s="8" t="inlineStr">
        <is>
          <t>No</t>
        </is>
      </c>
      <c r="AJ5" s="8" t="inlineStr">
        <is>
          <t>Claimed - unverified</t>
        </is>
      </c>
      <c r="AK5" s="8" t="inlineStr">
        <is>
          <t>P1</t>
        </is>
      </c>
      <c r="AL5" s="8" t="n">
        <v>12</v>
      </c>
      <c r="AM5" s="5" t="inlineStr"/>
      <c r="AN5" s="5" t="inlineStr"/>
      <c r="AO5" s="5" t="inlineStr"/>
      <c r="AP5" s="5" t="inlineStr"/>
      <c r="AQ5" s="5" t="inlineStr"/>
      <c r="AR5" s="5" t="inlineStr"/>
      <c r="AS5" s="5" t="inlineStr"/>
      <c r="AT5" s="5" t="inlineStr"/>
      <c r="AU5" s="8" t="inlineStr">
        <is>
          <t>Not run</t>
        </is>
      </c>
    </row>
    <row r="6" ht="32" customHeight="1">
      <c r="A6" s="16" t="inlineStr">
        <is>
          <t>S-0565</t>
        </is>
      </c>
      <c r="B6" s="8" t="inlineStr">
        <is>
          <t>S</t>
        </is>
      </c>
      <c r="C6" s="5" t="inlineStr">
        <is>
          <t>System / Sequence Engine</t>
        </is>
      </c>
      <c r="D6" s="5" t="inlineStr">
        <is>
          <t>Security / Exception / Recovery</t>
        </is>
      </c>
      <c r="E6" s="5" t="inlineStr">
        <is>
          <t>Atomic database sequence locking preventing concurrent invoice numbering gaps</t>
        </is>
      </c>
      <c r="F6" s="5" t="inlineStr">
        <is>
          <t>System / Database Engine</t>
        </is>
      </c>
      <c r="G6" s="5" t="inlineStr">
        <is>
          <t>All Billing Users</t>
        </is>
      </c>
      <c r="H6" s="5" t="inlineStr">
        <is>
          <t>Guarantee zero missing numbers in statutory invoice sequences even under heavy concurrent billing</t>
        </is>
      </c>
      <c r="I6" s="5" t="inlineStr">
        <is>
          <t>Uses PostgreSQL SELECT FOR UPDATE on DocumentSequence row; strictly guarantees sequential numbering</t>
        </is>
      </c>
      <c r="J6" s="19" t="inlineStr">
        <is>
          <t>P0</t>
        </is>
      </c>
      <c r="K6" s="20" t="inlineStr">
        <is>
          <t>Validated (Supported)</t>
        </is>
      </c>
      <c r="L6" s="5" t="inlineStr">
        <is>
          <t>Postgres row-level lock on sequence master; strictly satisfies GST Rule 46 sequentiality mandate.</t>
        </is>
      </c>
      <c r="M6" s="8" t="inlineStr">
        <is>
          <t>Strategic expansion</t>
        </is>
      </c>
      <c r="N6" s="8" t="inlineStr">
        <is>
          <t>System engine</t>
        </is>
      </c>
      <c r="O6" s="8" t="inlineStr">
        <is>
          <t>P0</t>
        </is>
      </c>
      <c r="P6" s="5" t="inlineStr">
        <is>
          <t>Unchanged</t>
        </is>
      </c>
      <c r="Q6" s="20" t="inlineStr">
        <is>
          <t>Author assertion</t>
        </is>
      </c>
      <c r="R6" s="5" t="inlineStr"/>
      <c r="S6" s="8" t="inlineStr">
        <is>
          <t>OTHER</t>
        </is>
      </c>
      <c r="T6" s="5" t="inlineStr">
        <is>
          <t>Security / Exception / Recovery</t>
        </is>
      </c>
      <c r="U6" s="8" t="inlineStr"/>
      <c r="V6" s="8" t="inlineStr"/>
      <c r="W6" s="8" t="inlineStr">
        <is>
          <t>CONTROL</t>
        </is>
      </c>
      <c r="X6" s="5" t="inlineStr">
        <is>
          <t>Core</t>
        </is>
      </c>
      <c r="Y6" s="5" t="inlineStr">
        <is>
          <t>System</t>
        </is>
      </c>
      <c r="Z6" s="5" t="inlineStr">
        <is>
          <t>High</t>
        </is>
      </c>
      <c r="AA6" s="5" t="inlineStr">
        <is>
          <t>Medium</t>
        </is>
      </c>
      <c r="AB6" s="8" t="inlineStr">
        <is>
          <t>Medium</t>
        </is>
      </c>
      <c r="AC6" s="8" t="inlineStr">
        <is>
          <t>MVP</t>
        </is>
      </c>
      <c r="AD6" s="5" t="inlineStr">
        <is>
          <t>Not independently checked</t>
        </is>
      </c>
      <c r="AE6" s="5" t="inlineStr">
        <is>
          <t>Not verified</t>
        </is>
      </c>
      <c r="AF6" s="5" t="inlineStr">
        <is>
          <t>Not verified</t>
        </is>
      </c>
      <c r="AG6" s="5" t="inlineStr">
        <is>
          <t>Not verified</t>
        </is>
      </c>
      <c r="AH6" s="5" t="inlineStr">
        <is>
          <t>Not verified</t>
        </is>
      </c>
      <c r="AI6" s="8" t="inlineStr">
        <is>
          <t>No</t>
        </is>
      </c>
      <c r="AJ6" s="8" t="inlineStr">
        <is>
          <t>Claimed - unverified</t>
        </is>
      </c>
      <c r="AK6" s="8" t="inlineStr">
        <is>
          <t>P0</t>
        </is>
      </c>
      <c r="AL6" s="8" t="n">
        <v>12</v>
      </c>
      <c r="AM6" s="5" t="inlineStr"/>
      <c r="AN6" s="5" t="inlineStr"/>
      <c r="AO6" s="5" t="inlineStr"/>
      <c r="AP6" s="5" t="inlineStr"/>
      <c r="AQ6" s="5" t="inlineStr"/>
      <c r="AR6" s="5" t="inlineStr"/>
      <c r="AS6" s="5" t="inlineStr"/>
      <c r="AT6" s="5" t="inlineStr"/>
      <c r="AU6" s="8" t="inlineStr">
        <is>
          <t>Not run</t>
        </is>
      </c>
    </row>
    <row r="7" ht="32" customHeight="1">
      <c r="A7" s="16" t="inlineStr">
        <is>
          <t>S-0566</t>
        </is>
      </c>
      <c r="B7" s="8" t="inlineStr">
        <is>
          <t>S</t>
        </is>
      </c>
      <c r="C7" s="5" t="inlineStr">
        <is>
          <t>System / Outbox Engine</t>
        </is>
      </c>
      <c r="D7" s="5" t="inlineStr">
        <is>
          <t>Communication &amp; Integrations</t>
        </is>
      </c>
      <c r="E7" s="5" t="inlineStr">
        <is>
          <t>Transactional Outbox pattern for external webhook and message dispatch</t>
        </is>
      </c>
      <c r="F7" s="5" t="inlineStr">
        <is>
          <t>System / Outbox Worker</t>
        </is>
      </c>
      <c r="G7" s="5" t="inlineStr">
        <is>
          <t>Customer</t>
        </is>
      </c>
      <c r="H7" s="5" t="inlineStr">
        <is>
          <t>Guarantees that WhatsApp/SMS notifications are never lost if external provider fails during checkout</t>
        </is>
      </c>
      <c r="I7" s="5" t="inlineStr">
        <is>
          <t>Writes notification payload to database in same atomic transaction as invoice; background worker polls and sends</t>
        </is>
      </c>
      <c r="J7" s="20" t="inlineStr">
        <is>
          <t>P1</t>
        </is>
      </c>
      <c r="K7" s="20" t="inlineStr">
        <is>
          <t>Validated (Supported)</t>
        </is>
      </c>
      <c r="L7" s="5" t="inlineStr">
        <is>
          <t>Transactional Outbox pattern implementation; achieves at-least-once delivery guarantee.</t>
        </is>
      </c>
      <c r="M7" s="8" t="inlineStr">
        <is>
          <t>Strategic expansion</t>
        </is>
      </c>
      <c r="N7" s="8" t="inlineStr">
        <is>
          <t>System engine</t>
        </is>
      </c>
      <c r="O7" s="8" t="inlineStr">
        <is>
          <t>P1</t>
        </is>
      </c>
      <c r="P7" s="5" t="inlineStr">
        <is>
          <t>Unchanged</t>
        </is>
      </c>
      <c r="Q7" s="20" t="inlineStr">
        <is>
          <t>Author assertion</t>
        </is>
      </c>
      <c r="R7" s="5" t="inlineStr"/>
      <c r="S7" s="8" t="inlineStr">
        <is>
          <t>INT</t>
        </is>
      </c>
      <c r="T7" s="5" t="inlineStr">
        <is>
          <t>Communication and integrations</t>
        </is>
      </c>
      <c r="U7" s="8" t="inlineStr"/>
      <c r="V7" s="8" t="inlineStr">
        <is>
          <t>integrations</t>
        </is>
      </c>
      <c r="W7" s="8" t="inlineStr">
        <is>
          <t>KERNEL</t>
        </is>
      </c>
      <c r="X7" s="5" t="inlineStr">
        <is>
          <t>Core</t>
        </is>
      </c>
      <c r="Y7" s="5" t="inlineStr">
        <is>
          <t>System</t>
        </is>
      </c>
      <c r="Z7" s="5" t="inlineStr">
        <is>
          <t>Medium</t>
        </is>
      </c>
      <c r="AA7" s="5" t="inlineStr">
        <is>
          <t>Medium</t>
        </is>
      </c>
      <c r="AB7" s="8" t="inlineStr">
        <is>
          <t>Low</t>
        </is>
      </c>
      <c r="AC7" s="8" t="inlineStr">
        <is>
          <t>Later</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6</v>
      </c>
      <c r="AM7" s="5" t="inlineStr"/>
      <c r="AN7" s="5" t="inlineStr"/>
      <c r="AO7" s="5" t="inlineStr"/>
      <c r="AP7" s="5" t="inlineStr"/>
      <c r="AQ7" s="5" t="inlineStr"/>
      <c r="AR7" s="5" t="inlineStr"/>
      <c r="AS7" s="5" t="inlineStr"/>
      <c r="AT7" s="5" t="inlineStr"/>
      <c r="AU7" s="8" t="inlineStr">
        <is>
          <t>Not run</t>
        </is>
      </c>
    </row>
    <row r="8" ht="32" customHeight="1">
      <c r="A8" s="16" t="inlineStr">
        <is>
          <t>S-0567</t>
        </is>
      </c>
      <c r="B8" s="8" t="inlineStr">
        <is>
          <t>S</t>
        </is>
      </c>
      <c r="C8" s="5" t="inlineStr">
        <is>
          <t>System / Aging Engine</t>
        </is>
      </c>
      <c r="D8" s="5" t="inlineStr">
        <is>
          <t>Receivables &amp; Payables</t>
        </is>
      </c>
      <c r="E8" s="5" t="inlineStr">
        <is>
          <t>Nightly automated accounts receivable and payable aging bucket reclassification</t>
        </is>
      </c>
      <c r="F8" s="5" t="inlineStr">
        <is>
          <t>System / Cron Worker</t>
        </is>
      </c>
      <c r="G8" s="5" t="inlineStr">
        <is>
          <t>Credit Controller</t>
        </is>
      </c>
      <c r="H8" s="5" t="inlineStr">
        <is>
          <t>Daily recalculation of debtor and creditor aging buckets (0-30, 31-60, 61-90, 90+ days) at midnight</t>
        </is>
      </c>
      <c r="I8" s="5" t="inlineStr">
        <is>
          <t>Updates cached aging summaries on Customer and Supplier records; refreshes executive dashboard</t>
        </is>
      </c>
      <c r="J8" s="20" t="inlineStr">
        <is>
          <t>P1</t>
        </is>
      </c>
      <c r="K8" s="20" t="inlineStr">
        <is>
          <t>Validated (Supported)</t>
        </is>
      </c>
      <c r="L8" s="5" t="inlineStr">
        <is>
          <t>Nightly cron job evaluating (today - invoice.due_date); updates denormalized aging summary table.</t>
        </is>
      </c>
      <c r="M8" s="8" t="inlineStr">
        <is>
          <t>Strategic expansion</t>
        </is>
      </c>
      <c r="N8" s="8" t="inlineStr">
        <is>
          <t>System engine</t>
        </is>
      </c>
      <c r="O8" s="8" t="inlineStr">
        <is>
          <t>P1</t>
        </is>
      </c>
      <c r="P8" s="5" t="inlineStr">
        <is>
          <t>Unchanged</t>
        </is>
      </c>
      <c r="Q8" s="21" t="inlineStr">
        <is>
          <t>Code symbol found</t>
        </is>
      </c>
      <c r="R8" s="5" t="inlineStr">
        <is>
          <t>Matched due_date in product code. This is not a functional test.</t>
        </is>
      </c>
      <c r="S8" s="8" t="inlineStr">
        <is>
          <t>ARAP</t>
        </is>
      </c>
      <c r="T8" s="5" t="inlineStr">
        <is>
          <t>Receivables and payables</t>
        </is>
      </c>
      <c r="U8" s="8" t="inlineStr"/>
      <c r="V8" s="8" t="inlineStr">
        <is>
          <t>ledgers</t>
        </is>
      </c>
      <c r="W8" s="8" t="inlineStr">
        <is>
          <t>CONTROL</t>
        </is>
      </c>
      <c r="X8" s="5" t="inlineStr">
        <is>
          <t>Core</t>
        </is>
      </c>
      <c r="Y8" s="5" t="inlineStr">
        <is>
          <t>System</t>
        </is>
      </c>
      <c r="Z8" s="5" t="inlineStr">
        <is>
          <t>Critical</t>
        </is>
      </c>
      <c r="AA8" s="5" t="inlineStr">
        <is>
          <t>High</t>
        </is>
      </c>
      <c r="AB8" s="8" t="inlineStr">
        <is>
          <t>Medium</t>
        </is>
      </c>
      <c r="AC8" s="8" t="inlineStr">
        <is>
          <t>Pilot</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18</v>
      </c>
      <c r="AM8" s="5" t="inlineStr"/>
      <c r="AN8" s="5" t="inlineStr"/>
      <c r="AO8" s="5" t="inlineStr"/>
      <c r="AP8" s="5" t="inlineStr"/>
      <c r="AQ8" s="5" t="inlineStr"/>
      <c r="AR8" s="5" t="inlineStr"/>
      <c r="AS8" s="5" t="inlineStr"/>
      <c r="AT8" s="5" t="inlineStr"/>
      <c r="AU8" s="8" t="inlineStr">
        <is>
          <t>Not run</t>
        </is>
      </c>
    </row>
    <row r="9" ht="32" customHeight="1">
      <c r="A9" s="16" t="inlineStr">
        <is>
          <t>S-0568</t>
        </is>
      </c>
      <c r="B9" s="8" t="inlineStr">
        <is>
          <t>S</t>
        </is>
      </c>
      <c r="C9" s="5" t="inlineStr">
        <is>
          <t>System / Integrity Engine</t>
        </is>
      </c>
      <c r="D9" s="5" t="inlineStr">
        <is>
          <t>Security / Exception / Recovery</t>
        </is>
      </c>
      <c r="E9" s="5" t="inlineStr">
        <is>
          <t>Database foreign key cascade deletion defense and soft-delete enforcement</t>
        </is>
      </c>
      <c r="F9" s="5" t="inlineStr">
        <is>
          <t>System / ORM Guard</t>
        </is>
      </c>
      <c r="G9" s="5" t="inlineStr">
        <is>
          <t>System Administrator</t>
        </is>
      </c>
      <c r="H9" s="5" t="inlineStr">
        <is>
          <t>Prevent accidental cascading deletion of critical historical invoices when master entity is removed</t>
        </is>
      </c>
      <c r="I9" s="5" t="inlineStr">
        <is>
          <t>Enforces on_delete=models.PROTECT on all transaction foreign keys; routes deletions to is_deleted=True</t>
        </is>
      </c>
      <c r="J9" s="19" t="inlineStr">
        <is>
          <t>P0</t>
        </is>
      </c>
      <c r="K9" s="20" t="inlineStr">
        <is>
          <t>Validated (Supported)</t>
        </is>
      </c>
      <c r="L9" s="5" t="inlineStr">
        <is>
          <t>Core architectural invariant: models.PROTECT enforced across all financial and inventory FKs.</t>
        </is>
      </c>
      <c r="M9" s="8" t="inlineStr">
        <is>
          <t>Strategic expansion</t>
        </is>
      </c>
      <c r="N9" s="8" t="inlineStr">
        <is>
          <t>System engine</t>
        </is>
      </c>
      <c r="O9" s="8" t="inlineStr">
        <is>
          <t>P0</t>
        </is>
      </c>
      <c r="P9" s="5" t="inlineStr">
        <is>
          <t>Unchanged</t>
        </is>
      </c>
      <c r="Q9" s="20" t="inlineStr">
        <is>
          <t>Author assertion</t>
        </is>
      </c>
      <c r="R9" s="5" t="inlineStr"/>
      <c r="S9" s="8" t="inlineStr">
        <is>
          <t>OTHER</t>
        </is>
      </c>
      <c r="T9" s="5" t="inlineStr">
        <is>
          <t>Security / Exception / Recovery</t>
        </is>
      </c>
      <c r="U9" s="8" t="inlineStr"/>
      <c r="V9" s="8" t="inlineStr"/>
      <c r="W9" s="8" t="inlineStr">
        <is>
          <t>CONTROL</t>
        </is>
      </c>
      <c r="X9" s="5" t="inlineStr">
        <is>
          <t>Core</t>
        </is>
      </c>
      <c r="Y9" s="5" t="inlineStr">
        <is>
          <t>System</t>
        </is>
      </c>
      <c r="Z9" s="5" t="inlineStr">
        <is>
          <t>High</t>
        </is>
      </c>
      <c r="AA9" s="5" t="inlineStr">
        <is>
          <t>Medium</t>
        </is>
      </c>
      <c r="AB9" s="8" t="inlineStr">
        <is>
          <t>Medium</t>
        </is>
      </c>
      <c r="AC9" s="8" t="inlineStr">
        <is>
          <t>MVP</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P0</t>
        </is>
      </c>
      <c r="AL9" s="8" t="n">
        <v>12</v>
      </c>
      <c r="AM9" s="5" t="inlineStr"/>
      <c r="AN9" s="5" t="inlineStr"/>
      <c r="AO9" s="5" t="inlineStr"/>
      <c r="AP9" s="5" t="inlineStr"/>
      <c r="AQ9" s="5" t="inlineStr"/>
      <c r="AR9" s="5" t="inlineStr"/>
      <c r="AS9" s="5" t="inlineStr"/>
      <c r="AT9" s="5" t="inlineStr"/>
      <c r="AU9" s="8" t="inlineStr">
        <is>
          <t>Not run</t>
        </is>
      </c>
    </row>
    <row r="10" ht="32" customHeight="1">
      <c r="A10" s="16" t="inlineStr">
        <is>
          <t>S-0569</t>
        </is>
      </c>
      <c r="B10" s="8" t="inlineStr">
        <is>
          <t>S</t>
        </is>
      </c>
      <c r="C10" s="5" t="inlineStr">
        <is>
          <t>System / Telemetry Engine</t>
        </is>
      </c>
      <c r="D10" s="5" t="inlineStr">
        <is>
          <t>Security / Exception / Recovery</t>
        </is>
      </c>
      <c r="E10" s="5" t="inlineStr">
        <is>
          <t>Automated API latency, error rate, and slow-query telemetry logger</t>
        </is>
      </c>
      <c r="F10" s="5" t="inlineStr">
        <is>
          <t>System / Telemetry Middleware</t>
        </is>
      </c>
      <c r="G10" s="5" t="inlineStr">
        <is>
          <t>DevOps / Architect</t>
        </is>
      </c>
      <c r="H10" s="5" t="inlineStr">
        <is>
          <t>Track 95th percentile (P95) response times and pinpoint database queries taking &gt; 200ms</t>
        </is>
      </c>
      <c r="I10" s="5" t="inlineStr">
        <is>
          <t>Logs structured JSON telemetry to APM; alerts engineering if checkout latency breaches 1.0 second</t>
        </is>
      </c>
      <c r="J10" s="24" t="inlineStr">
        <is>
          <t>P3</t>
        </is>
      </c>
      <c r="K10" s="20" t="inlineStr">
        <is>
          <t>Validated (Supported)</t>
        </is>
      </c>
      <c r="L10" s="5" t="inlineStr">
        <is>
          <t>Django middleware logging request duration, SQL query count, and memory allocation.</t>
        </is>
      </c>
      <c r="M10" s="8" t="inlineStr">
        <is>
          <t>Strategic expansion</t>
        </is>
      </c>
      <c r="N10" s="8" t="inlineStr">
        <is>
          <t>System engine</t>
        </is>
      </c>
      <c r="O10" s="8" t="inlineStr">
        <is>
          <t>P2</t>
        </is>
      </c>
      <c r="P10" s="5" t="inlineStr">
        <is>
          <t>Kept P3. The previous workbook had P3. Authored priority was P2.</t>
        </is>
      </c>
      <c r="Q10" s="20" t="inlineStr">
        <is>
          <t>Author assertion</t>
        </is>
      </c>
      <c r="R10" s="5" t="inlineStr">
        <is>
          <t>Kept P3. The previous workbook had P3. Authored priority was P2.</t>
        </is>
      </c>
      <c r="S10" s="8" t="inlineStr">
        <is>
          <t>OTHER</t>
        </is>
      </c>
      <c r="T10" s="5" t="inlineStr">
        <is>
          <t>Security / Exception / Recovery</t>
        </is>
      </c>
      <c r="U10" s="8" t="inlineStr"/>
      <c r="V10" s="8" t="inlineStr"/>
      <c r="W10" s="8" t="inlineStr">
        <is>
          <t>CONTROL</t>
        </is>
      </c>
      <c r="X10" s="5" t="inlineStr">
        <is>
          <t>Future</t>
        </is>
      </c>
      <c r="Y10" s="5" t="inlineStr">
        <is>
          <t>System</t>
        </is>
      </c>
      <c r="Z10" s="5" t="inlineStr">
        <is>
          <t>Low</t>
        </is>
      </c>
      <c r="AA10" s="5" t="inlineStr">
        <is>
          <t>Low</t>
        </is>
      </c>
      <c r="AB10" s="8" t="inlineStr">
        <is>
          <t>Medium</t>
        </is>
      </c>
      <c r="AC10" s="8" t="inlineStr">
        <is>
          <t>Later</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P3</t>
        </is>
      </c>
      <c r="AL10" s="8" t="n">
        <v>2</v>
      </c>
      <c r="AM10" s="5" t="inlineStr"/>
      <c r="AN10" s="5" t="inlineStr"/>
      <c r="AO10" s="5" t="inlineStr"/>
      <c r="AP10" s="5" t="inlineStr"/>
      <c r="AQ10" s="5" t="inlineStr"/>
      <c r="AR10" s="5" t="inlineStr"/>
      <c r="AS10" s="5" t="inlineStr"/>
      <c r="AT10" s="5" t="inlineStr"/>
      <c r="AU10" s="8" t="inlineStr">
        <is>
          <t>Not run</t>
        </is>
      </c>
    </row>
    <row r="11" ht="32" customHeight="1">
      <c r="A11" s="16" t="inlineStr">
        <is>
          <t>S-0570</t>
        </is>
      </c>
      <c r="B11" s="8" t="inlineStr">
        <is>
          <t>S</t>
        </is>
      </c>
      <c r="C11" s="5" t="inlineStr">
        <is>
          <t>System / Backup Engine</t>
        </is>
      </c>
      <c r="D11" s="5" t="inlineStr">
        <is>
          <t>Security / Exception / Recovery</t>
        </is>
      </c>
      <c r="E11" s="5" t="inlineStr">
        <is>
          <t>Automated continuous WAL archiving and daily encrypted PostgreSQL pg_dump snapshot</t>
        </is>
      </c>
      <c r="F11" s="5" t="inlineStr">
        <is>
          <t>System / Backup Daemon</t>
        </is>
      </c>
      <c r="G11" s="5" t="inlineStr">
        <is>
          <t>System Administrator</t>
        </is>
      </c>
      <c r="H11" s="5" t="inlineStr">
        <is>
          <t>Zero-data-loss point-in-time recovery (PITR) capability in case of physical cloud hardware catastrophe</t>
        </is>
      </c>
      <c r="I11" s="5" t="inlineStr">
        <is>
          <t>Uploads encrypted pg_dump and Write-Ahead Logs (WAL) to air-gapped S3 bucket with 30-day retention</t>
        </is>
      </c>
      <c r="J11" s="19" t="inlineStr">
        <is>
          <t>P0</t>
        </is>
      </c>
      <c r="K11" s="20" t="inlineStr">
        <is>
          <t>Validated (Supported)</t>
        </is>
      </c>
      <c r="L11" s="5" t="inlineStr">
        <is>
          <t>Automated backup script with AES-256 encryption and automated test-restore health check.</t>
        </is>
      </c>
      <c r="M11" s="8" t="inlineStr">
        <is>
          <t>Strategic expansion</t>
        </is>
      </c>
      <c r="N11" s="8" t="inlineStr">
        <is>
          <t>System engine</t>
        </is>
      </c>
      <c r="O11" s="8" t="inlineStr">
        <is>
          <t>P0</t>
        </is>
      </c>
      <c r="P11" s="5" t="inlineStr">
        <is>
          <t>Unchanged</t>
        </is>
      </c>
      <c r="Q11" s="20" t="inlineStr">
        <is>
          <t>Author assertion</t>
        </is>
      </c>
      <c r="R11" s="5" t="inlineStr"/>
      <c r="S11" s="8" t="inlineStr">
        <is>
          <t>OTHER</t>
        </is>
      </c>
      <c r="T11" s="5" t="inlineStr">
        <is>
          <t>Security / Exception / Recovery</t>
        </is>
      </c>
      <c r="U11" s="8" t="inlineStr"/>
      <c r="V11" s="8" t="inlineStr"/>
      <c r="W11" s="8" t="inlineStr">
        <is>
          <t>CONTROL</t>
        </is>
      </c>
      <c r="X11" s="5" t="inlineStr">
        <is>
          <t>Core</t>
        </is>
      </c>
      <c r="Y11" s="5" t="inlineStr">
        <is>
          <t>System</t>
        </is>
      </c>
      <c r="Z11" s="5" t="inlineStr">
        <is>
          <t>High</t>
        </is>
      </c>
      <c r="AA11" s="5" t="inlineStr">
        <is>
          <t>Medium</t>
        </is>
      </c>
      <c r="AB11" s="8" t="inlineStr">
        <is>
          <t>Medium</t>
        </is>
      </c>
      <c r="AC11" s="8" t="inlineStr">
        <is>
          <t>MVP</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P0</t>
        </is>
      </c>
      <c r="AL11" s="8" t="n">
        <v>12</v>
      </c>
      <c r="AM11" s="5" t="inlineStr"/>
      <c r="AN11" s="5" t="inlineStr"/>
      <c r="AO11" s="5" t="inlineStr"/>
      <c r="AP11" s="5" t="inlineStr"/>
      <c r="AQ11" s="5" t="inlineStr"/>
      <c r="AR11" s="5" t="inlineStr"/>
      <c r="AS11" s="5" t="inlineStr"/>
      <c r="AT11" s="5" t="inlineStr"/>
      <c r="AU11" s="8" t="inlineStr">
        <is>
          <t>Not run</t>
        </is>
      </c>
    </row>
    <row r="12" ht="32" customHeight="1">
      <c r="A12" s="16" t="inlineStr">
        <is>
          <t>S-0571</t>
        </is>
      </c>
      <c r="B12" s="8" t="inlineStr">
        <is>
          <t>S</t>
        </is>
      </c>
      <c r="C12" s="5" t="inlineStr">
        <is>
          <t>System / Cleanup Engine</t>
        </is>
      </c>
      <c r="D12" s="5" t="inlineStr">
        <is>
          <t>Import / Export / Period Close</t>
        </is>
      </c>
      <c r="E12" s="5" t="inlineStr">
        <is>
          <t>Temporary file and export archive garbage collection worker</t>
        </is>
      </c>
      <c r="F12" s="5" t="inlineStr">
        <is>
          <t>System / Maintenance Worker</t>
        </is>
      </c>
      <c r="G12" s="5" t="inlineStr">
        <is>
          <t>None</t>
        </is>
      </c>
      <c r="H12" s="5" t="inlineStr">
        <is>
          <t>Prevent server disk exhaustion by automatically purging generated Excel/PDF export temp files older than 48h</t>
        </is>
      </c>
      <c r="I12" s="5" t="inlineStr">
        <is>
          <t>Deletes expired temporary media files and orphaned import CSV uploads; frees local server storage</t>
        </is>
      </c>
      <c r="J12" s="24" t="inlineStr">
        <is>
          <t>P3</t>
        </is>
      </c>
      <c r="K12" s="20" t="inlineStr">
        <is>
          <t>Validated (Supported)</t>
        </is>
      </c>
      <c r="L12" s="5" t="inlineStr">
        <is>
          <t>Daily Celery maintenance job cleaning /tmp/media_exports/ directory.</t>
        </is>
      </c>
      <c r="M12" s="8" t="inlineStr">
        <is>
          <t>Strategic expansion</t>
        </is>
      </c>
      <c r="N12" s="8" t="inlineStr">
        <is>
          <t>System engine</t>
        </is>
      </c>
      <c r="O12" s="8" t="inlineStr">
        <is>
          <t>P2</t>
        </is>
      </c>
      <c r="P12" s="5" t="inlineStr">
        <is>
          <t>Kept P3. The previous workbook had P3. Authored priority was P2.</t>
        </is>
      </c>
      <c r="Q12" s="20" t="inlineStr">
        <is>
          <t>Author assertion</t>
        </is>
      </c>
      <c r="R12" s="5" t="inlineStr">
        <is>
          <t>Kept P3. The previous workbook had P3. Authored priority was P2.</t>
        </is>
      </c>
      <c r="S12" s="8" t="inlineStr">
        <is>
          <t>CLOSE</t>
        </is>
      </c>
      <c r="T12" s="5" t="inlineStr">
        <is>
          <t>Import, export, and period close</t>
        </is>
      </c>
      <c r="U12" s="8" t="inlineStr"/>
      <c r="V12" s="8" t="inlineStr">
        <is>
          <t>accounting</t>
        </is>
      </c>
      <c r="W12" s="8" t="inlineStr">
        <is>
          <t>CONTROL</t>
        </is>
      </c>
      <c r="X12" s="5" t="inlineStr">
        <is>
          <t>Future</t>
        </is>
      </c>
      <c r="Y12" s="5" t="inlineStr">
        <is>
          <t>System</t>
        </is>
      </c>
      <c r="Z12" s="5" t="inlineStr">
        <is>
          <t>Low</t>
        </is>
      </c>
      <c r="AA12" s="5" t="inlineStr">
        <is>
          <t>Low</t>
        </is>
      </c>
      <c r="AB12" s="8" t="inlineStr">
        <is>
          <t>Low</t>
        </is>
      </c>
      <c r="AC12" s="8" t="inlineStr">
        <is>
          <t>Later</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P3</t>
        </is>
      </c>
      <c r="AL12" s="8" t="n">
        <v>1</v>
      </c>
      <c r="AM12" s="5" t="inlineStr"/>
      <c r="AN12" s="5" t="inlineStr"/>
      <c r="AO12" s="5" t="inlineStr"/>
      <c r="AP12" s="5" t="inlineStr"/>
      <c r="AQ12" s="5" t="inlineStr"/>
      <c r="AR12" s="5" t="inlineStr"/>
      <c r="AS12" s="5" t="inlineStr"/>
      <c r="AT12" s="5" t="inlineStr"/>
      <c r="AU12" s="8" t="inlineStr">
        <is>
          <t>Not run</t>
        </is>
      </c>
    </row>
    <row r="13" ht="32" customHeight="1">
      <c r="A13" s="16" t="inlineStr">
        <is>
          <t>S-0572</t>
        </is>
      </c>
      <c r="B13" s="8" t="inlineStr">
        <is>
          <t>S</t>
        </is>
      </c>
      <c r="C13" s="5" t="inlineStr">
        <is>
          <t>System / Rate Limiter</t>
        </is>
      </c>
      <c r="D13" s="5" t="inlineStr">
        <is>
          <t>Security / Exception / Recovery</t>
        </is>
      </c>
      <c r="E13" s="5" t="inlineStr">
        <is>
          <t>Distributed Redis token bucket rate limiting on public-facing API endpoints</t>
        </is>
      </c>
      <c r="F13" s="5" t="inlineStr">
        <is>
          <t>System / Redis Rate Limiter</t>
        </is>
      </c>
      <c r="G13" s="5" t="inlineStr">
        <is>
          <t>Anonymous / External Users</t>
        </is>
      </c>
      <c r="H13" s="5" t="inlineStr">
        <is>
          <t>Prevent brute force password guessing, OTP flooding, and DDoS attacks on auth and public checkout APIs</t>
        </is>
      </c>
      <c r="I13" s="5" t="inlineStr">
        <is>
          <t>Enforces strict per-IP and per-tenant rate limits (e.g. max 5 login attempts/min, 100 API requests/min)</t>
        </is>
      </c>
      <c r="J13" s="19" t="inlineStr">
        <is>
          <t>P0</t>
        </is>
      </c>
      <c r="K13" s="20" t="inlineStr">
        <is>
          <t>Validated (Supported)</t>
        </is>
      </c>
      <c r="L13" s="5" t="inlineStr">
        <is>
          <t>Django Ratelimit with Redis backend; returns HTTP 429 Too Many Requests.</t>
        </is>
      </c>
      <c r="M13" s="8" t="inlineStr">
        <is>
          <t>Strategic expansion</t>
        </is>
      </c>
      <c r="N13" s="8" t="inlineStr">
        <is>
          <t>System engine</t>
        </is>
      </c>
      <c r="O13" s="8" t="inlineStr">
        <is>
          <t>P0</t>
        </is>
      </c>
      <c r="P13" s="5" t="inlineStr">
        <is>
          <t>Unchanged</t>
        </is>
      </c>
      <c r="Q13" s="20" t="inlineStr">
        <is>
          <t>Author assertion</t>
        </is>
      </c>
      <c r="R13" s="5" t="inlineStr"/>
      <c r="S13" s="8" t="inlineStr">
        <is>
          <t>OTHER</t>
        </is>
      </c>
      <c r="T13" s="5" t="inlineStr">
        <is>
          <t>Security / Exception / Recovery</t>
        </is>
      </c>
      <c r="U13" s="8" t="inlineStr"/>
      <c r="V13" s="8" t="inlineStr"/>
      <c r="W13" s="8" t="inlineStr">
        <is>
          <t>CONTROL</t>
        </is>
      </c>
      <c r="X13" s="5" t="inlineStr">
        <is>
          <t>Core</t>
        </is>
      </c>
      <c r="Y13" s="5" t="inlineStr">
        <is>
          <t>System</t>
        </is>
      </c>
      <c r="Z13" s="5" t="inlineStr">
        <is>
          <t>High</t>
        </is>
      </c>
      <c r="AA13" s="5" t="inlineStr">
        <is>
          <t>Medium</t>
        </is>
      </c>
      <c r="AB13" s="8" t="inlineStr">
        <is>
          <t>Medium</t>
        </is>
      </c>
      <c r="AC13" s="8" t="inlineStr">
        <is>
          <t>MVP</t>
        </is>
      </c>
      <c r="AD13" s="5" t="inlineStr">
        <is>
          <t>Not independently checked</t>
        </is>
      </c>
      <c r="AE13" s="5" t="inlineStr">
        <is>
          <t>Not verified</t>
        </is>
      </c>
      <c r="AF13" s="5" t="inlineStr">
        <is>
          <t>Not verified</t>
        </is>
      </c>
      <c r="AG13" s="5" t="inlineStr">
        <is>
          <t>Not verified</t>
        </is>
      </c>
      <c r="AH13" s="5" t="inlineStr">
        <is>
          <t>Not verified</t>
        </is>
      </c>
      <c r="AI13" s="8" t="inlineStr">
        <is>
          <t>No</t>
        </is>
      </c>
      <c r="AJ13" s="8" t="inlineStr">
        <is>
          <t>Claimed - unverified</t>
        </is>
      </c>
      <c r="AK13" s="8" t="inlineStr">
        <is>
          <t>P0</t>
        </is>
      </c>
      <c r="AL13" s="8" t="n">
        <v>12</v>
      </c>
      <c r="AM13" s="5" t="inlineStr"/>
      <c r="AN13" s="5" t="inlineStr"/>
      <c r="AO13" s="5" t="inlineStr"/>
      <c r="AP13" s="5" t="inlineStr"/>
      <c r="AQ13" s="5" t="inlineStr"/>
      <c r="AR13" s="5" t="inlineStr"/>
      <c r="AS13" s="5" t="inlineStr"/>
      <c r="AT13" s="5" t="inlineStr"/>
      <c r="AU13" s="8" t="inlineStr">
        <is>
          <t>Not run</t>
        </is>
      </c>
    </row>
    <row r="14" ht="32" customHeight="1">
      <c r="A14" s="16" t="inlineStr">
        <is>
          <t>S-0573</t>
        </is>
      </c>
      <c r="B14" s="8" t="inlineStr">
        <is>
          <t>S</t>
        </is>
      </c>
      <c r="C14" s="5" t="inlineStr">
        <is>
          <t>System / Reconciliation Worker</t>
        </is>
      </c>
      <c r="D14" s="5" t="inlineStr">
        <is>
          <t>Payments &amp; Reconciliation</t>
        </is>
      </c>
      <c r="E14" s="5" t="inlineStr">
        <is>
          <t>Automated payment gateway webhook signature cryptographic verification worker</t>
        </is>
      </c>
      <c r="F14" s="5" t="inlineStr">
        <is>
          <t>System / Webhook Engine</t>
        </is>
      </c>
      <c r="G14" s="5" t="inlineStr">
        <is>
          <t>Cashier</t>
        </is>
      </c>
      <c r="H14" s="5" t="inlineStr">
        <is>
          <t>Ensure payment gateway callback authenticity and reject fraudulent spoofed payment completion requests</t>
        </is>
      </c>
      <c r="I14" s="5" t="inlineStr">
        <is>
          <t>Verifies HMAC SHA-256 signature using webhook secret; rejects unverified payload with HTTP 400</t>
        </is>
      </c>
      <c r="J14" s="19" t="inlineStr">
        <is>
          <t>P0</t>
        </is>
      </c>
      <c r="K14" s="20" t="inlineStr">
        <is>
          <t>Validated (Supported)</t>
        </is>
      </c>
      <c r="L14" s="5" t="inlineStr">
        <is>
          <t>Core security invariant: HMAC signature verification required before marking invoice PAID.</t>
        </is>
      </c>
      <c r="M14" s="8" t="inlineStr">
        <is>
          <t>Strategic expansion</t>
        </is>
      </c>
      <c r="N14" s="8" t="inlineStr">
        <is>
          <t>System engine</t>
        </is>
      </c>
      <c r="O14" s="8" t="inlineStr">
        <is>
          <t>P0</t>
        </is>
      </c>
      <c r="P14" s="5" t="inlineStr">
        <is>
          <t>Unchanged</t>
        </is>
      </c>
      <c r="Q14" s="20" t="inlineStr">
        <is>
          <t>Author assertion</t>
        </is>
      </c>
      <c r="R14" s="5" t="inlineStr"/>
      <c r="S14" s="8" t="inlineStr">
        <is>
          <t>PAYREC</t>
        </is>
      </c>
      <c r="T14" s="5" t="inlineStr">
        <is>
          <t>Payments and reconciliation</t>
        </is>
      </c>
      <c r="U14" s="8" t="inlineStr"/>
      <c r="V14" s="8" t="inlineStr">
        <is>
          <t>payments</t>
        </is>
      </c>
      <c r="W14" s="8" t="inlineStr">
        <is>
          <t>RUN</t>
        </is>
      </c>
      <c r="X14" s="5" t="inlineStr">
        <is>
          <t>Core</t>
        </is>
      </c>
      <c r="Y14" s="5" t="inlineStr">
        <is>
          <t>System</t>
        </is>
      </c>
      <c r="Z14" s="5" t="inlineStr">
        <is>
          <t>High</t>
        </is>
      </c>
      <c r="AA14" s="5" t="inlineStr">
        <is>
          <t>High</t>
        </is>
      </c>
      <c r="AB14" s="8" t="inlineStr">
        <is>
          <t>Low</t>
        </is>
      </c>
      <c r="AC14" s="8" t="inlineStr">
        <is>
          <t>MVP</t>
        </is>
      </c>
      <c r="AD14" s="5" t="inlineStr">
        <is>
          <t>Not independently checked</t>
        </is>
      </c>
      <c r="AE14" s="5" t="inlineStr">
        <is>
          <t>Not verified</t>
        </is>
      </c>
      <c r="AF14" s="5" t="inlineStr">
        <is>
          <t>Not verified</t>
        </is>
      </c>
      <c r="AG14" s="5" t="inlineStr">
        <is>
          <t>Not verified</t>
        </is>
      </c>
      <c r="AH14" s="5" t="inlineStr">
        <is>
          <t>Not verified</t>
        </is>
      </c>
      <c r="AI14" s="8" t="inlineStr">
        <is>
          <t>No</t>
        </is>
      </c>
      <c r="AJ14" s="8" t="inlineStr">
        <is>
          <t>Claimed - unverified</t>
        </is>
      </c>
      <c r="AK14" s="8" t="inlineStr">
        <is>
          <t>P0</t>
        </is>
      </c>
      <c r="AL14" s="8" t="n">
        <v>9</v>
      </c>
      <c r="AM14" s="5" t="inlineStr"/>
      <c r="AN14" s="5" t="inlineStr"/>
      <c r="AO14" s="5" t="inlineStr"/>
      <c r="AP14" s="5" t="inlineStr"/>
      <c r="AQ14" s="5" t="inlineStr"/>
      <c r="AR14" s="5" t="inlineStr"/>
      <c r="AS14" s="5" t="inlineStr"/>
      <c r="AT14" s="5" t="inlineStr"/>
      <c r="AU14" s="8" t="inlineStr">
        <is>
          <t>Not run</t>
        </is>
      </c>
    </row>
    <row r="15" ht="32" customHeight="1">
      <c r="A15" s="16" t="inlineStr">
        <is>
          <t>S-0574</t>
        </is>
      </c>
      <c r="B15" s="8" t="inlineStr">
        <is>
          <t>S</t>
        </is>
      </c>
      <c r="C15" s="5" t="inlineStr">
        <is>
          <t>System / Alert Engine</t>
        </is>
      </c>
      <c r="D15" s="5" t="inlineStr">
        <is>
          <t>Reporting &amp; Business Intelligence</t>
        </is>
      </c>
      <c r="E15" s="5" t="inlineStr">
        <is>
          <t>Threshold-based anomaly detector for unusual cash discounts or abnormal bill amounts</t>
        </is>
      </c>
      <c r="F15" s="5" t="inlineStr">
        <is>
          <t>System / AI Anomaly Worker</t>
        </is>
      </c>
      <c r="G15" s="5" t="inlineStr">
        <is>
          <t>Business Owner</t>
        </is>
      </c>
      <c r="H15" s="5" t="inlineStr">
        <is>
          <t>Detect employee fraud or fat-finger typos (e.g. ₹5,00,000 bill on retail counter or 90% discount)</t>
        </is>
      </c>
      <c r="I15" s="5" t="inlineStr">
        <is>
          <t>Flags transaction as STATISTICAL_OUTLIER; generates urgent AttentionRowState notification for owner</t>
        </is>
      </c>
      <c r="J15" s="20" t="inlineStr">
        <is>
          <t>P1</t>
        </is>
      </c>
      <c r="K15" s="19" t="inlineStr">
        <is>
          <t>Mechanism not found</t>
        </is>
      </c>
      <c r="L15" s="5" t="inlineStr">
        <is>
          <t>Z-score statistical anomaly detector running on invoice completion signal.</t>
        </is>
      </c>
      <c r="M15" s="8" t="inlineStr">
        <is>
          <t>Strategic expansion</t>
        </is>
      </c>
      <c r="N15" s="8" t="inlineStr">
        <is>
          <t>System engine</t>
        </is>
      </c>
      <c r="O15" s="8" t="inlineStr">
        <is>
          <t>P1</t>
        </is>
      </c>
      <c r="P15" s="5" t="inlineStr">
        <is>
          <t>Unchanged</t>
        </is>
      </c>
      <c r="Q15" s="19" t="inlineStr">
        <is>
          <t>Mechanism not found</t>
        </is>
      </c>
      <c r="R15" s="5" t="inlineStr">
        <is>
          <t>No Z-score invoice anomaly detector was found.</t>
        </is>
      </c>
      <c r="S15" s="8" t="inlineStr">
        <is>
          <t>RPT</t>
        </is>
      </c>
      <c r="T15" s="5" t="inlineStr">
        <is>
          <t>Reporting and business intelligence</t>
        </is>
      </c>
      <c r="U15" s="8" t="inlineStr"/>
      <c r="V15" s="8" t="inlineStr">
        <is>
          <t>reporting</t>
        </is>
      </c>
      <c r="W15" s="8" t="inlineStr">
        <is>
          <t>CONTROL</t>
        </is>
      </c>
      <c r="X15" s="5" t="inlineStr">
        <is>
          <t>Core</t>
        </is>
      </c>
      <c r="Y15" s="5" t="inlineStr">
        <is>
          <t>System</t>
        </is>
      </c>
      <c r="Z15" s="5" t="inlineStr">
        <is>
          <t>Medium</t>
        </is>
      </c>
      <c r="AA15" s="5" t="inlineStr">
        <is>
          <t>Medium</t>
        </is>
      </c>
      <c r="AB15" s="8" t="inlineStr">
        <is>
          <t>Low</t>
        </is>
      </c>
      <c r="AC15" s="8" t="inlineStr">
        <is>
          <t>Pilot</t>
        </is>
      </c>
      <c r="AD15" s="5" t="inlineStr">
        <is>
          <t>Not in code</t>
        </is>
      </c>
      <c r="AE15" s="5" t="inlineStr">
        <is>
          <t>Not verified</t>
        </is>
      </c>
      <c r="AF15" s="5" t="inlineStr">
        <is>
          <t>Not verified</t>
        </is>
      </c>
      <c r="AG15" s="5" t="inlineStr">
        <is>
          <t>Not verified</t>
        </is>
      </c>
      <c r="AH15" s="5" t="inlineStr">
        <is>
          <t>Not verified</t>
        </is>
      </c>
      <c r="AI15" s="8" t="inlineStr">
        <is>
          <t>No</t>
        </is>
      </c>
      <c r="AJ15" s="8" t="inlineStr">
        <is>
          <t>Gap</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S-0575</t>
        </is>
      </c>
      <c r="B16" s="8" t="inlineStr">
        <is>
          <t>S</t>
        </is>
      </c>
      <c r="C16" s="5" t="inlineStr">
        <is>
          <t>System / Lock Engine</t>
        </is>
      </c>
      <c r="D16" s="5" t="inlineStr">
        <is>
          <t>Inventory Lifecycle</t>
        </is>
      </c>
      <c r="E16" s="5" t="inlineStr">
        <is>
          <t>Pessimistic database locking on concurrent warehouse stock deduction</t>
        </is>
      </c>
      <c r="F16" s="5" t="inlineStr">
        <is>
          <t>System / Database Engine</t>
        </is>
      </c>
      <c r="G16" s="5" t="inlineStr">
        <is>
          <t>Multiple Billing Clerks</t>
        </is>
      </c>
      <c r="H16" s="5" t="inlineStr">
        <is>
          <t>Prevent negative inventory race condition when two cashiers bill the last remaining unit simultaneously</t>
        </is>
      </c>
      <c r="I16" s="5" t="inlineStr">
        <is>
          <t>Executes SELECT FOR UPDATE on StockBalance row; serializes deduction; rejects second bill cleanly</t>
        </is>
      </c>
      <c r="J16" s="19" t="inlineStr">
        <is>
          <t>P0</t>
        </is>
      </c>
      <c r="K16" s="20" t="inlineStr">
        <is>
          <t>Validated (Supported)</t>
        </is>
      </c>
      <c r="L16" s="5" t="inlineStr">
        <is>
          <t>Core concurrency invariant: atomic row-level lock on StockBalance during checkout.</t>
        </is>
      </c>
      <c r="M16" s="8" t="inlineStr">
        <is>
          <t>Strategic expansion</t>
        </is>
      </c>
      <c r="N16" s="8" t="inlineStr">
        <is>
          <t>System engine</t>
        </is>
      </c>
      <c r="O16" s="8" t="inlineStr">
        <is>
          <t>P0</t>
        </is>
      </c>
      <c r="P16" s="5" t="inlineStr">
        <is>
          <t>Unchanged</t>
        </is>
      </c>
      <c r="Q16" s="21" t="inlineStr">
        <is>
          <t>Code symbol found</t>
        </is>
      </c>
      <c r="R16" s="5" t="inlineStr">
        <is>
          <t>Matched StockBalance in product code. This is not a functional test.</t>
        </is>
      </c>
      <c r="S16" s="8" t="inlineStr">
        <is>
          <t>INV</t>
        </is>
      </c>
      <c r="T16" s="5" t="inlineStr">
        <is>
          <t>Inventory lifecycle</t>
        </is>
      </c>
      <c r="U16" s="8" t="inlineStr"/>
      <c r="V16" s="8" t="inlineStr">
        <is>
          <t>inventory</t>
        </is>
      </c>
      <c r="W16" s="8" t="inlineStr">
        <is>
          <t>RUN</t>
        </is>
      </c>
      <c r="X16" s="5" t="inlineStr">
        <is>
          <t>Core</t>
        </is>
      </c>
      <c r="Y16" s="5" t="inlineStr">
        <is>
          <t>System</t>
        </is>
      </c>
      <c r="Z16" s="5" t="inlineStr">
        <is>
          <t>High</t>
        </is>
      </c>
      <c r="AA16" s="5" t="inlineStr">
        <is>
          <t>High</t>
        </is>
      </c>
      <c r="AB16" s="8" t="inlineStr">
        <is>
          <t>Low</t>
        </is>
      </c>
      <c r="AC16" s="8" t="inlineStr">
        <is>
          <t>MVP</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P0</t>
        </is>
      </c>
      <c r="AL16" s="8" t="n">
        <v>9</v>
      </c>
      <c r="AM16" s="5" t="inlineStr"/>
      <c r="AN16" s="5" t="inlineStr"/>
      <c r="AO16" s="5" t="inlineStr"/>
      <c r="AP16" s="5" t="inlineStr"/>
      <c r="AQ16" s="5" t="inlineStr"/>
      <c r="AR16" s="5" t="inlineStr"/>
      <c r="AS16" s="5" t="inlineStr"/>
      <c r="AT16" s="5" t="inlineStr"/>
      <c r="AU16" s="8" t="inlineStr">
        <is>
          <t>Not run</t>
        </is>
      </c>
    </row>
    <row r="17" ht="32" customHeight="1">
      <c r="A17" s="16" t="inlineStr">
        <is>
          <t>S-0576</t>
        </is>
      </c>
      <c r="B17" s="8" t="inlineStr">
        <is>
          <t>S</t>
        </is>
      </c>
      <c r="C17" s="5" t="inlineStr">
        <is>
          <t>System / Indexing Engine</t>
        </is>
      </c>
      <c r="D17" s="5" t="inlineStr">
        <is>
          <t>Customer-to-Cash</t>
        </is>
      </c>
      <c r="E17" s="5" t="inlineStr">
        <is>
          <t>Automated PostgreSQL Trigram and GIN full-text search indexing on product catalog</t>
        </is>
      </c>
      <c r="F17" s="5" t="inlineStr">
        <is>
          <t>System / Search Engine</t>
        </is>
      </c>
      <c r="G17" s="5" t="inlineStr">
        <is>
          <t>Billing Clerk</t>
        </is>
      </c>
      <c r="H17" s="5" t="inlineStr">
        <is>
          <t>Sub-50ms search response when scanning barcodes or typing misspelled product brand names</t>
        </is>
      </c>
      <c r="I17" s="5" t="inlineStr">
        <is>
          <t>Maintains PostgreSQL pg_trgm and GIN indexes across SKU, Barcode, Brand, and Generic Composition</t>
        </is>
      </c>
      <c r="J17" s="20" t="inlineStr">
        <is>
          <t>P1</t>
        </is>
      </c>
      <c r="K17" s="20" t="inlineStr">
        <is>
          <t>Validated (Supported)</t>
        </is>
      </c>
      <c r="L17" s="5" t="inlineStr">
        <is>
          <t>Database GIN trigram index on products; handles partial matching and typo tolerance.</t>
        </is>
      </c>
      <c r="M17" s="8" t="inlineStr">
        <is>
          <t>Strategic expansion</t>
        </is>
      </c>
      <c r="N17" s="8" t="inlineStr">
        <is>
          <t>System engine</t>
        </is>
      </c>
      <c r="O17" s="8" t="inlineStr">
        <is>
          <t>P1</t>
        </is>
      </c>
      <c r="P17" s="5" t="inlineStr">
        <is>
          <t>Unchanged</t>
        </is>
      </c>
      <c r="Q17" s="20" t="inlineStr">
        <is>
          <t>Author assertion</t>
        </is>
      </c>
      <c r="R17" s="5" t="inlineStr"/>
      <c r="S17" s="8" t="inlineStr">
        <is>
          <t>C2C</t>
        </is>
      </c>
      <c r="T17" s="5" t="inlineStr">
        <is>
          <t>Customer to cash</t>
        </is>
      </c>
      <c r="U17" s="8" t="inlineStr"/>
      <c r="V17" s="8" t="inlineStr">
        <is>
          <t>sales</t>
        </is>
      </c>
      <c r="W17" s="8" t="inlineStr">
        <is>
          <t>RUN</t>
        </is>
      </c>
      <c r="X17" s="5" t="inlineStr">
        <is>
          <t>Core</t>
        </is>
      </c>
      <c r="Y17" s="5" t="inlineStr">
        <is>
          <t>System</t>
        </is>
      </c>
      <c r="Z17" s="5" t="inlineStr">
        <is>
          <t>Medium</t>
        </is>
      </c>
      <c r="AA17" s="5" t="inlineStr">
        <is>
          <t>Medium</t>
        </is>
      </c>
      <c r="AB17" s="8" t="inlineStr">
        <is>
          <t>Low</t>
        </is>
      </c>
      <c r="AC17" s="8" t="inlineStr">
        <is>
          <t>Pilot</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P1</t>
        </is>
      </c>
      <c r="AL17" s="8" t="n">
        <v>6</v>
      </c>
      <c r="AM17" s="5" t="inlineStr"/>
      <c r="AN17" s="5" t="inlineStr"/>
      <c r="AO17" s="5" t="inlineStr"/>
      <c r="AP17" s="5" t="inlineStr"/>
      <c r="AQ17" s="5" t="inlineStr"/>
      <c r="AR17" s="5" t="inlineStr"/>
      <c r="AS17" s="5" t="inlineStr"/>
      <c r="AT17" s="5" t="inlineStr"/>
      <c r="AU17" s="8" t="inlineStr">
        <is>
          <t>Not run</t>
        </is>
      </c>
    </row>
    <row r="18" ht="32" customHeight="1">
      <c r="A18" s="16" t="inlineStr">
        <is>
          <t>S-0577</t>
        </is>
      </c>
      <c r="B18" s="8" t="inlineStr">
        <is>
          <t>S</t>
        </is>
      </c>
      <c r="C18" s="5" t="inlineStr">
        <is>
          <t>System / Session Worker</t>
        </is>
      </c>
      <c r="D18" s="5" t="inlineStr">
        <is>
          <t>Security / Exception / Recovery</t>
        </is>
      </c>
      <c r="E18" s="5" t="inlineStr">
        <is>
          <t>Concurrent session limiter and idle token expiration worker</t>
        </is>
      </c>
      <c r="F18" s="5" t="inlineStr">
        <is>
          <t>System / Auth Worker</t>
        </is>
      </c>
      <c r="G18" s="5" t="inlineStr">
        <is>
          <t>All Users</t>
        </is>
      </c>
      <c r="H18" s="5" t="inlineStr">
        <is>
          <t>Enforce single-device login policy per user license and automatically terminate stale browser sessions</t>
        </is>
      </c>
      <c r="I18" s="5" t="inlineStr">
        <is>
          <t>Invalidates JWT refresh tokens on idle timeout (60 mins); blocks second concurrent browser login</t>
        </is>
      </c>
      <c r="J18" s="20" t="inlineStr">
        <is>
          <t>P1</t>
        </is>
      </c>
      <c r="K18" s="20" t="inlineStr">
        <is>
          <t>Validated (Supported)</t>
        </is>
      </c>
      <c r="L18" s="5" t="inlineStr">
        <is>
          <t>Redis session store tracking active user JWT tokens; rejects simultaneous logins if unlicensed.</t>
        </is>
      </c>
      <c r="M18" s="8" t="inlineStr">
        <is>
          <t>Strategic expansion</t>
        </is>
      </c>
      <c r="N18" s="8" t="inlineStr">
        <is>
          <t>System engine</t>
        </is>
      </c>
      <c r="O18" s="8" t="inlineStr">
        <is>
          <t>P1</t>
        </is>
      </c>
      <c r="P18" s="5" t="inlineStr">
        <is>
          <t>Unchanged</t>
        </is>
      </c>
      <c r="Q18" s="20" t="inlineStr">
        <is>
          <t>Author assertion</t>
        </is>
      </c>
      <c r="R18" s="5" t="inlineStr"/>
      <c r="S18" s="8" t="inlineStr">
        <is>
          <t>OTHER</t>
        </is>
      </c>
      <c r="T18" s="5" t="inlineStr">
        <is>
          <t>Security / Exception / Recovery</t>
        </is>
      </c>
      <c r="U18" s="8" t="inlineStr"/>
      <c r="V18" s="8" t="inlineStr"/>
      <c r="W18" s="8" t="inlineStr">
        <is>
          <t>CONTROL</t>
        </is>
      </c>
      <c r="X18" s="5" t="inlineStr">
        <is>
          <t>Core</t>
        </is>
      </c>
      <c r="Y18" s="5" t="inlineStr">
        <is>
          <t>System</t>
        </is>
      </c>
      <c r="Z18" s="5" t="inlineStr">
        <is>
          <t>High</t>
        </is>
      </c>
      <c r="AA18" s="5" t="inlineStr">
        <is>
          <t>Medium</t>
        </is>
      </c>
      <c r="AB18" s="8" t="inlineStr">
        <is>
          <t>Medium</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12</v>
      </c>
      <c r="AM18" s="5" t="inlineStr"/>
      <c r="AN18" s="5" t="inlineStr"/>
      <c r="AO18" s="5" t="inlineStr"/>
      <c r="AP18" s="5" t="inlineStr"/>
      <c r="AQ18" s="5" t="inlineStr"/>
      <c r="AR18" s="5" t="inlineStr"/>
      <c r="AS18" s="5" t="inlineStr"/>
      <c r="AT18" s="5" t="inlineStr"/>
      <c r="AU18" s="8" t="inlineStr">
        <is>
          <t>Not run</t>
        </is>
      </c>
    </row>
    <row r="19" ht="32" customHeight="1">
      <c r="A19" s="16" t="inlineStr">
        <is>
          <t>S-0578</t>
        </is>
      </c>
      <c r="B19" s="8" t="inlineStr">
        <is>
          <t>S</t>
        </is>
      </c>
      <c r="C19" s="5" t="inlineStr">
        <is>
          <t>System / Valuation Worker</t>
        </is>
      </c>
      <c r="D19" s="5" t="inlineStr">
        <is>
          <t>Inventory Lifecycle</t>
        </is>
      </c>
      <c r="E19" s="5" t="inlineStr">
        <is>
          <t>FIFO cost layer consumption and recalculation worker on back-dated purchase intake</t>
        </is>
      </c>
      <c r="F19" s="5" t="inlineStr">
        <is>
          <t>System / Costing Engine</t>
        </is>
      </c>
      <c r="G19" s="5" t="inlineStr">
        <is>
          <t>In-house Accountant</t>
        </is>
      </c>
      <c r="H19" s="5" t="inlineStr">
        <is>
          <t>Ensure inventory cost layers and Cost of Goods Sold (COGS) are retroactively accurate if bills arrive late</t>
        </is>
      </c>
      <c r="I19" s="5" t="inlineStr">
        <is>
          <t>Re-traverses outward sales movements chronologically; updates COGS and gross margin variance</t>
        </is>
      </c>
      <c r="J19" s="20" t="inlineStr">
        <is>
          <t>P1</t>
        </is>
      </c>
      <c r="K19" s="20" t="inlineStr">
        <is>
          <t>Validated (Supported)</t>
        </is>
      </c>
      <c r="L19" s="5" t="inlineStr">
        <is>
          <t>Perpetual FIFO cost re-sequencing engine with accounting adjustment journal creation.</t>
        </is>
      </c>
      <c r="M19" s="8" t="inlineStr">
        <is>
          <t>Strategic expansion</t>
        </is>
      </c>
      <c r="N19" s="8" t="inlineStr">
        <is>
          <t>System engine</t>
        </is>
      </c>
      <c r="O19" s="8" t="inlineStr">
        <is>
          <t>P1</t>
        </is>
      </c>
      <c r="P19" s="5" t="inlineStr">
        <is>
          <t>Unchanged</t>
        </is>
      </c>
      <c r="Q19" s="20" t="inlineStr">
        <is>
          <t>Author assertion</t>
        </is>
      </c>
      <c r="R19" s="5" t="inlineStr"/>
      <c r="S19" s="8" t="inlineStr">
        <is>
          <t>INV</t>
        </is>
      </c>
      <c r="T19" s="5" t="inlineStr">
        <is>
          <t>Inventory lifecycle</t>
        </is>
      </c>
      <c r="U19" s="8" t="inlineStr"/>
      <c r="V19" s="8" t="inlineStr">
        <is>
          <t>inventory</t>
        </is>
      </c>
      <c r="W19" s="8" t="inlineStr">
        <is>
          <t>RUN</t>
        </is>
      </c>
      <c r="X19" s="5" t="inlineStr">
        <is>
          <t>Core</t>
        </is>
      </c>
      <c r="Y19" s="5" t="inlineStr">
        <is>
          <t>System</t>
        </is>
      </c>
      <c r="Z19" s="5" t="inlineStr">
        <is>
          <t>High</t>
        </is>
      </c>
      <c r="AA19" s="5" t="inlineStr">
        <is>
          <t>High</t>
        </is>
      </c>
      <c r="AB19" s="8" t="inlineStr">
        <is>
          <t>Low</t>
        </is>
      </c>
      <c r="AC19" s="8" t="inlineStr">
        <is>
          <t>Pilot</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P1</t>
        </is>
      </c>
      <c r="AL19" s="8" t="n">
        <v>9</v>
      </c>
      <c r="AM19" s="5" t="inlineStr"/>
      <c r="AN19" s="5" t="inlineStr"/>
      <c r="AO19" s="5" t="inlineStr"/>
      <c r="AP19" s="5" t="inlineStr"/>
      <c r="AQ19" s="5" t="inlineStr"/>
      <c r="AR19" s="5" t="inlineStr"/>
      <c r="AS19" s="5" t="inlineStr"/>
      <c r="AT19" s="5" t="inlineStr"/>
      <c r="AU19" s="8" t="inlineStr">
        <is>
          <t>Not run</t>
        </is>
      </c>
    </row>
    <row r="20" ht="32" customHeight="1">
      <c r="A20" s="16" t="inlineStr">
        <is>
          <t>S-0579</t>
        </is>
      </c>
      <c r="B20" s="8" t="inlineStr">
        <is>
          <t>S</t>
        </is>
      </c>
      <c r="C20" s="5" t="inlineStr">
        <is>
          <t>System / Audit Watchdog</t>
        </is>
      </c>
      <c r="D20" s="5" t="inlineStr">
        <is>
          <t>Security / Exception / Recovery</t>
        </is>
      </c>
      <c r="E20" s="5" t="inlineStr">
        <is>
          <t>Tamper-evident cryptographic hash chaining on audit trail activity records</t>
        </is>
      </c>
      <c r="F20" s="5" t="inlineStr">
        <is>
          <t>System / Security Daemon</t>
        </is>
      </c>
      <c r="G20" s="5" t="inlineStr">
        <is>
          <t>Statutory Auditor</t>
        </is>
      </c>
      <c r="H20" s="5" t="inlineStr">
        <is>
          <t>Cryptographically prove in a court of law or tax audit that activity logs have never been altered</t>
        </is>
      </c>
      <c r="I20" s="5" t="inlineStr">
        <is>
          <t>Computes SHA-256 hash = hash(prev_hash + log_data); creates immutable blockchain-style audit chain</t>
        </is>
      </c>
      <c r="J20" s="19" t="inlineStr">
        <is>
          <t>P0</t>
        </is>
      </c>
      <c r="K20" s="19" t="inlineStr">
        <is>
          <t>Mechanism not found</t>
        </is>
      </c>
      <c r="L20" s="5" t="inlineStr">
        <is>
          <t>Cryptographic audit chain satisfying Section 65B Indian Evidence Act for digital records.</t>
        </is>
      </c>
      <c r="M20" s="8" t="inlineStr">
        <is>
          <t>Strategic expansion</t>
        </is>
      </c>
      <c r="N20" s="8" t="inlineStr">
        <is>
          <t>System engine</t>
        </is>
      </c>
      <c r="O20" s="8" t="inlineStr">
        <is>
          <t>P0</t>
        </is>
      </c>
      <c r="P20" s="5" t="inlineStr">
        <is>
          <t>Unchanged</t>
        </is>
      </c>
      <c r="Q20" s="19" t="inlineStr">
        <is>
          <t>Mechanism not found</t>
        </is>
      </c>
      <c r="R20" s="5" t="inlineStr">
        <is>
          <t>No cryptographic hash chain on the audit trail was found.</t>
        </is>
      </c>
      <c r="S20" s="8" t="inlineStr">
        <is>
          <t>OTHER</t>
        </is>
      </c>
      <c r="T20" s="5" t="inlineStr">
        <is>
          <t>Security / Exception / Recovery</t>
        </is>
      </c>
      <c r="U20" s="8" t="inlineStr"/>
      <c r="V20" s="8" t="inlineStr"/>
      <c r="W20" s="8" t="inlineStr">
        <is>
          <t>CONTROL</t>
        </is>
      </c>
      <c r="X20" s="5" t="inlineStr">
        <is>
          <t>Core</t>
        </is>
      </c>
      <c r="Y20" s="5" t="inlineStr">
        <is>
          <t>System</t>
        </is>
      </c>
      <c r="Z20" s="5" t="inlineStr">
        <is>
          <t>High</t>
        </is>
      </c>
      <c r="AA20" s="5" t="inlineStr">
        <is>
          <t>Medium</t>
        </is>
      </c>
      <c r="AB20" s="8" t="inlineStr">
        <is>
          <t>Medium</t>
        </is>
      </c>
      <c r="AC20" s="8" t="inlineStr">
        <is>
          <t>MVP</t>
        </is>
      </c>
      <c r="AD20" s="5" t="inlineStr">
        <is>
          <t>Not in code</t>
        </is>
      </c>
      <c r="AE20" s="5" t="inlineStr">
        <is>
          <t>Not verified</t>
        </is>
      </c>
      <c r="AF20" s="5" t="inlineStr">
        <is>
          <t>Not verified</t>
        </is>
      </c>
      <c r="AG20" s="5" t="inlineStr">
        <is>
          <t>Not verified</t>
        </is>
      </c>
      <c r="AH20" s="5" t="inlineStr">
        <is>
          <t>Not verified</t>
        </is>
      </c>
      <c r="AI20" s="8" t="inlineStr">
        <is>
          <t>No</t>
        </is>
      </c>
      <c r="AJ20" s="8" t="inlineStr">
        <is>
          <t>Gap</t>
        </is>
      </c>
      <c r="AK20" s="8" t="inlineStr">
        <is>
          <t>P0</t>
        </is>
      </c>
      <c r="AL20" s="8" t="n">
        <v>12</v>
      </c>
      <c r="AM20" s="5" t="inlineStr"/>
      <c r="AN20" s="5" t="inlineStr"/>
      <c r="AO20" s="5" t="inlineStr"/>
      <c r="AP20" s="5" t="inlineStr"/>
      <c r="AQ20" s="5" t="inlineStr"/>
      <c r="AR20" s="5" t="inlineStr"/>
      <c r="AS20" s="5" t="inlineStr"/>
      <c r="AT20" s="5" t="inlineStr"/>
      <c r="AU20" s="8" t="inlineStr">
        <is>
          <t>Not run</t>
        </is>
      </c>
    </row>
    <row r="21" ht="32" customHeight="1">
      <c r="A21" s="16" t="inlineStr">
        <is>
          <t>S-0580</t>
        </is>
      </c>
      <c r="B21" s="8" t="inlineStr">
        <is>
          <t>S</t>
        </is>
      </c>
      <c r="C21" s="5" t="inlineStr">
        <is>
          <t>System / EWB Watchdog</t>
        </is>
      </c>
      <c r="D21" s="5" t="inlineStr">
        <is>
          <t>GST / Tax / Compliance</t>
        </is>
      </c>
      <c r="E21" s="5" t="inlineStr">
        <is>
          <t>Automated E-Way Bill expiry warning crawler</t>
        </is>
      </c>
      <c r="F21" s="5" t="inlineStr">
        <is>
          <t>System / Compliance Worker</t>
        </is>
      </c>
      <c r="G21" s="5" t="inlineStr">
        <is>
          <t>Logistics Dispatcher</t>
        </is>
      </c>
      <c r="H21" s="5" t="inlineStr">
        <is>
          <t>Scan active E-Way Bills hourly and alert logistics team 4 hours prior to transit validity expiry</t>
        </is>
      </c>
      <c r="I21" s="5" t="inlineStr">
        <is>
          <t>Surfaces high-priority EWB_EXPIRING_SOON alert; prompts one-click 8-hour validity extension</t>
        </is>
      </c>
      <c r="J21" s="19" t="inlineStr">
        <is>
          <t>P0</t>
        </is>
      </c>
      <c r="K21" s="20" t="inlineStr">
        <is>
          <t>Validated (Supported)</t>
        </is>
      </c>
      <c r="L21" s="5" t="inlineStr">
        <is>
          <t>Hourly cron job comparing ewb.valid_upto against now(); pushes alerts to dispatch desk.</t>
        </is>
      </c>
      <c r="M21" s="8" t="inlineStr">
        <is>
          <t>Strategic expansion</t>
        </is>
      </c>
      <c r="N21" s="8" t="inlineStr">
        <is>
          <t>System engine</t>
        </is>
      </c>
      <c r="O21" s="8" t="inlineStr">
        <is>
          <t>P1</t>
        </is>
      </c>
      <c r="P21" s="5" t="inlineStr">
        <is>
          <t>Kept P0. The previous workbook had P0. Authored priority was P1.</t>
        </is>
      </c>
      <c r="Q21" s="21" t="inlineStr">
        <is>
          <t>Code symbol found</t>
        </is>
      </c>
      <c r="R21" s="5" t="inlineStr">
        <is>
          <t>Matched valid_upto in product code. This is not a functional test. Kept P0. The previous workbook had P0. Authored priority was P1.</t>
        </is>
      </c>
      <c r="S21" s="8" t="inlineStr">
        <is>
          <t>GST</t>
        </is>
      </c>
      <c r="T21" s="5" t="inlineStr">
        <is>
          <t>GST and tax compliance</t>
        </is>
      </c>
      <c r="U21" s="8" t="inlineStr"/>
      <c r="V21" s="8" t="inlineStr">
        <is>
          <t>accounting</t>
        </is>
      </c>
      <c r="W21" s="8" t="inlineStr">
        <is>
          <t>CONTROL</t>
        </is>
      </c>
      <c r="X21" s="5" t="inlineStr">
        <is>
          <t>Core</t>
        </is>
      </c>
      <c r="Y21" s="5" t="inlineStr">
        <is>
          <t>System</t>
        </is>
      </c>
      <c r="Z21" s="5" t="inlineStr">
        <is>
          <t>Critical</t>
        </is>
      </c>
      <c r="AA21" s="5" t="inlineStr">
        <is>
          <t>High</t>
        </is>
      </c>
      <c r="AB21" s="8" t="inlineStr">
        <is>
          <t>High</t>
        </is>
      </c>
      <c r="AC21" s="8" t="inlineStr">
        <is>
          <t>MVP</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P0</t>
        </is>
      </c>
      <c r="AL21" s="8" t="n">
        <v>27</v>
      </c>
      <c r="AM21" s="5" t="inlineStr"/>
      <c r="AN21" s="5" t="inlineStr"/>
      <c r="AO21" s="5" t="inlineStr"/>
      <c r="AP21" s="5" t="inlineStr"/>
      <c r="AQ21" s="5" t="inlineStr"/>
      <c r="AR21" s="5" t="inlineStr"/>
      <c r="AS21" s="5" t="inlineStr"/>
      <c r="AT21" s="5" t="inlineStr"/>
      <c r="AU21" s="8" t="inlineStr">
        <is>
          <t>Not run</t>
        </is>
      </c>
    </row>
    <row r="22" ht="32" customHeight="1">
      <c r="A22" s="16" t="inlineStr">
        <is>
          <t>UX-0581</t>
        </is>
      </c>
      <c r="B22" s="8" t="inlineStr">
        <is>
          <t>UX</t>
        </is>
      </c>
      <c r="C22" s="5" t="inlineStr">
        <is>
          <t>Counter Clerk / POS Operator</t>
        </is>
      </c>
      <c r="D22" s="5" t="inlineStr">
        <is>
          <t>Customer-to-Cash</t>
        </is>
      </c>
      <c r="E22" s="5" t="inlineStr">
        <is>
          <t>Full keyboard-only hotkey navigation across POS rapid checkout</t>
        </is>
      </c>
      <c r="F22" s="5" t="inlineStr">
        <is>
          <t>Counter Billing Clerk</t>
        </is>
      </c>
      <c r="G22" s="5" t="inlineStr">
        <is>
          <t>None</t>
        </is>
      </c>
      <c r="H22" s="5" t="inlineStr">
        <is>
          <t>Cashier can complete 100% of retail checkout (scan, discount, tender, print) without touching mouse</t>
        </is>
      </c>
      <c r="I22" s="5" t="inlineStr">
        <is>
          <t>Reduces checkout time from 45s to 12s per customer; eliminates repetitive strain injury</t>
        </is>
      </c>
      <c r="J22" s="20" t="inlineStr">
        <is>
          <t>P1</t>
        </is>
      </c>
      <c r="K22" s="23" t="inlineStr">
        <is>
          <t>Partial</t>
        </is>
      </c>
      <c r="L22" s="5" t="inlineStr">
        <is>
          <t>POS keys in web/src/pages/pos/PosPage.tsx: F2 focuses search, F1 cash, F4 card, F5 and F6 UPI, F7 credit, F8 holds the session. The previous note reversed this map.</t>
        </is>
      </c>
      <c r="M22" s="8" t="inlineStr">
        <is>
          <t>Strategic expansion</t>
        </is>
      </c>
      <c r="N22" s="8" t="inlineStr">
        <is>
          <t>Named role</t>
        </is>
      </c>
      <c r="O22" s="8" t="inlineStr">
        <is>
          <t>P1</t>
        </is>
      </c>
      <c r="P22" s="5" t="inlineStr">
        <is>
          <t>Unchanged</t>
        </is>
      </c>
      <c r="Q22" s="23" t="inlineStr">
        <is>
          <t>Partial</t>
        </is>
      </c>
      <c r="R22" s="5" t="inlineStr">
        <is>
          <t>Previous note said F1 search, F4 cash, and F8 print.</t>
        </is>
      </c>
      <c r="S22" s="8" t="inlineStr">
        <is>
          <t>C2C</t>
        </is>
      </c>
      <c r="T22" s="5" t="inlineStr">
        <is>
          <t>Customer to cash</t>
        </is>
      </c>
      <c r="U22" s="8" t="inlineStr"/>
      <c r="V22" s="8" t="inlineStr">
        <is>
          <t>sales</t>
        </is>
      </c>
      <c r="W22" s="8" t="inlineStr">
        <is>
          <t>RUN</t>
        </is>
      </c>
      <c r="X22" s="5" t="inlineStr">
        <is>
          <t>Differentiator</t>
        </is>
      </c>
      <c r="Y22" s="5" t="inlineStr">
        <is>
          <t>Named role</t>
        </is>
      </c>
      <c r="Z22" s="5" t="inlineStr">
        <is>
          <t>Medium</t>
        </is>
      </c>
      <c r="AA22" s="5" t="inlineStr">
        <is>
          <t>Medium</t>
        </is>
      </c>
      <c r="AB22" s="8" t="inlineStr">
        <is>
          <t>Low</t>
        </is>
      </c>
      <c r="AC22" s="8" t="inlineStr">
        <is>
          <t>Later</t>
        </is>
      </c>
      <c r="AD22" s="5" t="inlineStr">
        <is>
          <t>Partial</t>
        </is>
      </c>
      <c r="AE22" s="5" t="inlineStr">
        <is>
          <t>Not verified</t>
        </is>
      </c>
      <c r="AF22" s="5" t="inlineStr">
        <is>
          <t>Not verified</t>
        </is>
      </c>
      <c r="AG22" s="5" t="inlineStr">
        <is>
          <t>Not verified</t>
        </is>
      </c>
      <c r="AH22" s="5" t="inlineStr">
        <is>
          <t>Not verified</t>
        </is>
      </c>
      <c r="AI22" s="8" t="inlineStr">
        <is>
          <t>No</t>
        </is>
      </c>
      <c r="AJ22" s="8" t="inlineStr">
        <is>
          <t>Built - partial</t>
        </is>
      </c>
      <c r="AK22" s="8" t="inlineStr">
        <is>
          <t>P1</t>
        </is>
      </c>
      <c r="AL22" s="8" t="n">
        <v>4</v>
      </c>
      <c r="AM22" s="5" t="inlineStr"/>
      <c r="AN22" s="5" t="inlineStr"/>
      <c r="AO22" s="5" t="inlineStr"/>
      <c r="AP22" s="5" t="inlineStr"/>
      <c r="AQ22" s="5" t="inlineStr"/>
      <c r="AR22" s="5" t="inlineStr"/>
      <c r="AS22" s="5" t="inlineStr"/>
      <c r="AT22" s="5" t="inlineStr"/>
      <c r="AU22" s="8" t="inlineStr">
        <is>
          <t>Not run</t>
        </is>
      </c>
    </row>
    <row r="23" ht="32" customHeight="1">
      <c r="A23" s="16" t="inlineStr">
        <is>
          <t>UX-0582</t>
        </is>
      </c>
      <c r="B23" s="8" t="inlineStr">
        <is>
          <t>UX</t>
        </is>
      </c>
      <c r="C23" s="5" t="inlineStr">
        <is>
          <t>Counter Clerk / POS Operator</t>
        </is>
      </c>
      <c r="D23" s="5" t="inlineStr">
        <is>
          <t>Customer-to-Cash</t>
        </is>
      </c>
      <c r="E23" s="5" t="inlineStr">
        <is>
          <t>Multi-cart hold and recall tabs for interrupted counter checkout</t>
        </is>
      </c>
      <c r="F23" s="5" t="inlineStr">
        <is>
          <t>Counter Billing Clerk</t>
        </is>
      </c>
      <c r="G23" s="5" t="inlineStr">
        <is>
          <t>Walk-in Customer</t>
        </is>
      </c>
      <c r="H23" s="5" t="inlineStr">
        <is>
          <t>Hold current customer's cart when they step away to pick another item; bill next customer immediately</t>
        </is>
      </c>
      <c r="I23" s="5" t="inlineStr">
        <is>
          <t>Saves active cart in memory/indexedDB; recalls held cart with 1 click; eliminates queue blockage</t>
        </is>
      </c>
      <c r="J23" s="20" t="inlineStr">
        <is>
          <t>P1</t>
        </is>
      </c>
      <c r="K23" s="23" t="inlineStr">
        <is>
          <t>Partial</t>
        </is>
      </c>
      <c r="L23" s="5" t="inlineStr">
        <is>
          <t>Session hold is F8 (holdAndCreateSession). F9 recalls when more than one session exists. F6 tenders UPI. A five-cart cap was not verified.</t>
        </is>
      </c>
      <c r="M23" s="8" t="inlineStr">
        <is>
          <t>Strategic expansion</t>
        </is>
      </c>
      <c r="N23" s="8" t="inlineStr">
        <is>
          <t>Named role</t>
        </is>
      </c>
      <c r="O23" s="8" t="inlineStr">
        <is>
          <t>P1</t>
        </is>
      </c>
      <c r="P23" s="5" t="inlineStr">
        <is>
          <t>Unchanged</t>
        </is>
      </c>
      <c r="Q23" s="23" t="inlineStr">
        <is>
          <t>Partial</t>
        </is>
      </c>
      <c r="R23" s="5" t="inlineStr">
        <is>
          <t>Previous note called F6 Hold Bill.</t>
        </is>
      </c>
      <c r="S23" s="8" t="inlineStr">
        <is>
          <t>C2C</t>
        </is>
      </c>
      <c r="T23" s="5" t="inlineStr">
        <is>
          <t>Customer to cash</t>
        </is>
      </c>
      <c r="U23" s="8" t="inlineStr"/>
      <c r="V23" s="8" t="inlineStr">
        <is>
          <t>sales</t>
        </is>
      </c>
      <c r="W23" s="8" t="inlineStr">
        <is>
          <t>RUN</t>
        </is>
      </c>
      <c r="X23" s="5" t="inlineStr">
        <is>
          <t>Differentiator</t>
        </is>
      </c>
      <c r="Y23" s="5" t="inlineStr">
        <is>
          <t>Named role</t>
        </is>
      </c>
      <c r="Z23" s="5" t="inlineStr">
        <is>
          <t>Medium</t>
        </is>
      </c>
      <c r="AA23" s="5" t="inlineStr">
        <is>
          <t>Medium</t>
        </is>
      </c>
      <c r="AB23" s="8" t="inlineStr">
        <is>
          <t>Low</t>
        </is>
      </c>
      <c r="AC23" s="8" t="inlineStr">
        <is>
          <t>Later</t>
        </is>
      </c>
      <c r="AD23" s="5" t="inlineStr">
        <is>
          <t>Partial</t>
        </is>
      </c>
      <c r="AE23" s="5" t="inlineStr">
        <is>
          <t>Not verified</t>
        </is>
      </c>
      <c r="AF23" s="5" t="inlineStr">
        <is>
          <t>Not verified</t>
        </is>
      </c>
      <c r="AG23" s="5" t="inlineStr">
        <is>
          <t>Not verified</t>
        </is>
      </c>
      <c r="AH23" s="5" t="inlineStr">
        <is>
          <t>Not verified</t>
        </is>
      </c>
      <c r="AI23" s="8" t="inlineStr">
        <is>
          <t>No</t>
        </is>
      </c>
      <c r="AJ23" s="8" t="inlineStr">
        <is>
          <t>Built - partial</t>
        </is>
      </c>
      <c r="AK23" s="8" t="inlineStr">
        <is>
          <t>P1</t>
        </is>
      </c>
      <c r="AL23" s="8" t="n">
        <v>4</v>
      </c>
      <c r="AM23" s="5" t="inlineStr"/>
      <c r="AN23" s="5" t="inlineStr"/>
      <c r="AO23" s="5" t="inlineStr"/>
      <c r="AP23" s="5" t="inlineStr"/>
      <c r="AQ23" s="5" t="inlineStr"/>
      <c r="AR23" s="5" t="inlineStr"/>
      <c r="AS23" s="5" t="inlineStr"/>
      <c r="AT23" s="5" t="inlineStr"/>
      <c r="AU23" s="8" t="inlineStr">
        <is>
          <t>Not run</t>
        </is>
      </c>
    </row>
    <row r="24" ht="32" customHeight="1">
      <c r="A24" s="16" t="inlineStr">
        <is>
          <t>UX-0583</t>
        </is>
      </c>
      <c r="B24" s="8" t="inlineStr">
        <is>
          <t>UX</t>
        </is>
      </c>
      <c r="C24" s="5" t="inlineStr">
        <is>
          <t>All Roles</t>
        </is>
      </c>
      <c r="D24" s="5" t="inlineStr">
        <is>
          <t>Security / Exception / Recovery</t>
        </is>
      </c>
      <c r="E24" s="5" t="inlineStr">
        <is>
          <t>Universal 10-second 'Undo' toast notification on accidental deletions or cancellations</t>
        </is>
      </c>
      <c r="F24" s="5" t="inlineStr">
        <is>
          <t>Business User</t>
        </is>
      </c>
      <c r="G24" s="5" t="inlineStr">
        <is>
          <t>None</t>
        </is>
      </c>
      <c r="H24" s="5" t="inlineStr">
        <is>
          <t>Allows user to instantly reverse accidental deletion of draft order or line item without data loss</t>
        </is>
      </c>
      <c r="I24" s="5" t="inlineStr">
        <is>
          <t>Delays destructive database purge by 10 seconds; restores UI state seamlessly if user clicks Undo</t>
        </is>
      </c>
      <c r="J24" s="20" t="inlineStr">
        <is>
          <t>P1</t>
        </is>
      </c>
      <c r="K24" s="20" t="inlineStr">
        <is>
          <t>Validated (Supported)</t>
        </is>
      </c>
      <c r="L24" s="5" t="inlineStr">
        <is>
          <t>Nielsen Heuristic 3: User Control &amp; Freedom. Snackbar toast with interactive Undo action.</t>
        </is>
      </c>
      <c r="M24" s="8" t="inlineStr">
        <is>
          <t>Strategic expansion</t>
        </is>
      </c>
      <c r="N24" s="8" t="inlineStr">
        <is>
          <t>Platform or theme scope</t>
        </is>
      </c>
      <c r="O24" s="8" t="inlineStr">
        <is>
          <t>P1</t>
        </is>
      </c>
      <c r="P24" s="5" t="inlineStr">
        <is>
          <t>Unchanged</t>
        </is>
      </c>
      <c r="Q24" s="20" t="inlineStr">
        <is>
          <t>Author assertion</t>
        </is>
      </c>
      <c r="R24" s="5" t="inlineStr"/>
      <c r="S24" s="8" t="inlineStr">
        <is>
          <t>OTHER</t>
        </is>
      </c>
      <c r="T24" s="5" t="inlineStr">
        <is>
          <t>Security / Exception / Recovery</t>
        </is>
      </c>
      <c r="U24" s="8" t="inlineStr"/>
      <c r="V24" s="8" t="inlineStr"/>
      <c r="W24" s="8" t="inlineStr">
        <is>
          <t>CONTROL</t>
        </is>
      </c>
      <c r="X24" s="5" t="inlineStr">
        <is>
          <t>Differentiator</t>
        </is>
      </c>
      <c r="Y24" s="5" t="inlineStr">
        <is>
          <t>Platform scope</t>
        </is>
      </c>
      <c r="Z24" s="5" t="inlineStr">
        <is>
          <t>Medium</t>
        </is>
      </c>
      <c r="AA24" s="5" t="inlineStr">
        <is>
          <t>Medium</t>
        </is>
      </c>
      <c r="AB24" s="8" t="inlineStr">
        <is>
          <t>Medium</t>
        </is>
      </c>
      <c r="AC24" s="8" t="inlineStr">
        <is>
          <t>Later</t>
        </is>
      </c>
      <c r="AD24" s="5" t="inlineStr">
        <is>
          <t>Not independently checked</t>
        </is>
      </c>
      <c r="AE24" s="5" t="inlineStr">
        <is>
          <t>Not verified</t>
        </is>
      </c>
      <c r="AF24" s="5" t="inlineStr">
        <is>
          <t>Not verified</t>
        </is>
      </c>
      <c r="AG24" s="5" t="inlineStr">
        <is>
          <t>Not verified</t>
        </is>
      </c>
      <c r="AH24" s="5" t="inlineStr">
        <is>
          <t>Not verified</t>
        </is>
      </c>
      <c r="AI24" s="8" t="inlineStr">
        <is>
          <t>No</t>
        </is>
      </c>
      <c r="AJ24" s="8" t="inlineStr">
        <is>
          <t>Claimed - unverified</t>
        </is>
      </c>
      <c r="AK24" s="8" t="inlineStr">
        <is>
          <t>P1</t>
        </is>
      </c>
      <c r="AL24" s="8" t="n">
        <v>8</v>
      </c>
      <c r="AM24" s="5" t="inlineStr"/>
      <c r="AN24" s="5" t="inlineStr"/>
      <c r="AO24" s="5" t="inlineStr"/>
      <c r="AP24" s="5" t="inlineStr"/>
      <c r="AQ24" s="5" t="inlineStr"/>
      <c r="AR24" s="5" t="inlineStr"/>
      <c r="AS24" s="5" t="inlineStr"/>
      <c r="AT24" s="5" t="inlineStr"/>
      <c r="AU24" s="8" t="inlineStr">
        <is>
          <t>Not run</t>
        </is>
      </c>
    </row>
    <row r="25" ht="32" customHeight="1">
      <c r="A25" s="16" t="inlineStr">
        <is>
          <t>UX-0584</t>
        </is>
      </c>
      <c r="B25" s="8" t="inlineStr">
        <is>
          <t>UX</t>
        </is>
      </c>
      <c r="C25" s="5" t="inlineStr">
        <is>
          <t>All Roles</t>
        </is>
      </c>
      <c r="D25" s="5" t="inlineStr">
        <is>
          <t>Customer-to-Cash</t>
        </is>
      </c>
      <c r="E25" s="5" t="inlineStr">
        <is>
          <t>Contextual inline error guidance with auto-fix suggestions on GST validation failures</t>
        </is>
      </c>
      <c r="F25" s="5" t="inlineStr">
        <is>
          <t>Billing Clerk / Accountant</t>
        </is>
      </c>
      <c r="G25" s="5" t="inlineStr">
        <is>
          <t>None</t>
        </is>
      </c>
      <c r="H25" s="5" t="inlineStr">
        <is>
          <t>Instead of cryptic 'Invalid Tax' error, UI explains: 'Customer is in Maharashtra. Apply IGST instead of CGST'</t>
        </is>
      </c>
      <c r="I25" s="5" t="inlineStr">
        <is>
          <t>Provides 1-click 'Auto-Fix Tax' button; resolves user confusion and eliminates support tickets</t>
        </is>
      </c>
      <c r="J25" s="20" t="inlineStr">
        <is>
          <t>P1</t>
        </is>
      </c>
      <c r="K25" s="20" t="inlineStr">
        <is>
          <t>Validated (Supported)</t>
        </is>
      </c>
      <c r="L25" s="5" t="inlineStr">
        <is>
          <t>Nielsen Heuristic 9: Error Recovery. Inline alert banner with prescriptive remediation action.</t>
        </is>
      </c>
      <c r="M25" s="8" t="inlineStr">
        <is>
          <t>Strategic expansion</t>
        </is>
      </c>
      <c r="N25" s="8" t="inlineStr">
        <is>
          <t>Platform or theme scope</t>
        </is>
      </c>
      <c r="O25" s="8" t="inlineStr">
        <is>
          <t>P1</t>
        </is>
      </c>
      <c r="P25" s="5" t="inlineStr">
        <is>
          <t>Unchanged</t>
        </is>
      </c>
      <c r="Q25" s="20" t="inlineStr">
        <is>
          <t>Author assertion</t>
        </is>
      </c>
      <c r="R25" s="5" t="inlineStr"/>
      <c r="S25" s="8" t="inlineStr">
        <is>
          <t>C2C</t>
        </is>
      </c>
      <c r="T25" s="5" t="inlineStr">
        <is>
          <t>Customer to cash</t>
        </is>
      </c>
      <c r="U25" s="8" t="inlineStr"/>
      <c r="V25" s="8" t="inlineStr">
        <is>
          <t>sales</t>
        </is>
      </c>
      <c r="W25" s="8" t="inlineStr">
        <is>
          <t>RUN</t>
        </is>
      </c>
      <c r="X25" s="5" t="inlineStr">
        <is>
          <t>Differentiator</t>
        </is>
      </c>
      <c r="Y25" s="5" t="inlineStr">
        <is>
          <t>Platform scope</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P1</t>
        </is>
      </c>
      <c r="AL25" s="8" t="n">
        <v>4</v>
      </c>
      <c r="AM25" s="5" t="inlineStr"/>
      <c r="AN25" s="5" t="inlineStr"/>
      <c r="AO25" s="5" t="inlineStr"/>
      <c r="AP25" s="5" t="inlineStr"/>
      <c r="AQ25" s="5" t="inlineStr"/>
      <c r="AR25" s="5" t="inlineStr"/>
      <c r="AS25" s="5" t="inlineStr"/>
      <c r="AT25" s="5" t="inlineStr"/>
      <c r="AU25" s="8" t="inlineStr">
        <is>
          <t>Not run</t>
        </is>
      </c>
    </row>
    <row r="26" ht="32" customHeight="1">
      <c r="A26" s="16" t="inlineStr">
        <is>
          <t>UX-0585</t>
        </is>
      </c>
      <c r="B26" s="8" t="inlineStr">
        <is>
          <t>UX</t>
        </is>
      </c>
      <c r="C26" s="5" t="inlineStr">
        <is>
          <t>Managing Proprietor</t>
        </is>
      </c>
      <c r="D26" s="5" t="inlineStr">
        <is>
          <t>Reporting &amp; Business Intelligence</t>
        </is>
      </c>
      <c r="E26" s="5" t="inlineStr">
        <is>
          <t>Visual empty-state illustrations with actionable onboarding shortcuts</t>
        </is>
      </c>
      <c r="F26" s="5" t="inlineStr">
        <is>
          <t>New Business Owner</t>
        </is>
      </c>
      <c r="G26" s="5" t="inlineStr">
        <is>
          <t>None</t>
        </is>
      </c>
      <c r="H26" s="5" t="inlineStr">
        <is>
          <t>When opening a new account with zero sales, screen shows friendly graphic and 'Create Your First Bill' button</t>
        </is>
      </c>
      <c r="I26" s="5" t="inlineStr">
        <is>
          <t>Guides user directly into productive action; reduces first-day churn by 40%</t>
        </is>
      </c>
      <c r="J26" s="20" t="inlineStr">
        <is>
          <t>P1</t>
        </is>
      </c>
      <c r="K26" s="20" t="inlineStr">
        <is>
          <t>Validated (Supported)</t>
        </is>
      </c>
      <c r="L26" s="5" t="inlineStr">
        <is>
          <t>Designed empty states with call-to-action buttons across Invoices, Customers, and Products.</t>
        </is>
      </c>
      <c r="M26" s="8" t="inlineStr">
        <is>
          <t>Strategic expansion</t>
        </is>
      </c>
      <c r="N26" s="8" t="inlineStr">
        <is>
          <t>Named role</t>
        </is>
      </c>
      <c r="O26" s="8" t="inlineStr">
        <is>
          <t>P1</t>
        </is>
      </c>
      <c r="P26" s="5" t="inlineStr">
        <is>
          <t>Unchanged</t>
        </is>
      </c>
      <c r="Q26" s="20" t="inlineStr">
        <is>
          <t>Author assertion</t>
        </is>
      </c>
      <c r="R26" s="5" t="inlineStr"/>
      <c r="S26" s="8" t="inlineStr">
        <is>
          <t>RPT</t>
        </is>
      </c>
      <c r="T26" s="5" t="inlineStr">
        <is>
          <t>Reporting and business intelligence</t>
        </is>
      </c>
      <c r="U26" s="8" t="inlineStr"/>
      <c r="V26" s="8" t="inlineStr">
        <is>
          <t>reporting</t>
        </is>
      </c>
      <c r="W26" s="8" t="inlineStr">
        <is>
          <t>CONTROL</t>
        </is>
      </c>
      <c r="X26" s="5" t="inlineStr">
        <is>
          <t>Differentiator</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P1</t>
        </is>
      </c>
      <c r="AL26" s="8" t="n">
        <v>4</v>
      </c>
      <c r="AM26" s="5" t="inlineStr"/>
      <c r="AN26" s="5" t="inlineStr"/>
      <c r="AO26" s="5" t="inlineStr"/>
      <c r="AP26" s="5" t="inlineStr"/>
      <c r="AQ26" s="5" t="inlineStr"/>
      <c r="AR26" s="5" t="inlineStr"/>
      <c r="AS26" s="5" t="inlineStr"/>
      <c r="AT26" s="5" t="inlineStr"/>
      <c r="AU26" s="8" t="inlineStr">
        <is>
          <t>Not run</t>
        </is>
      </c>
    </row>
    <row r="27" ht="32" customHeight="1">
      <c r="A27" s="16" t="inlineStr">
        <is>
          <t>UX-0586</t>
        </is>
      </c>
      <c r="B27" s="8" t="inlineStr">
        <is>
          <t>UX</t>
        </is>
      </c>
      <c r="C27" s="5" t="inlineStr">
        <is>
          <t>All Roles</t>
        </is>
      </c>
      <c r="D27" s="5" t="inlineStr">
        <is>
          <t>Reporting &amp; Business Intelligence</t>
        </is>
      </c>
      <c r="E27" s="5" t="inlineStr">
        <is>
          <t>Global omnibar quick-search (Ctrl+K / Cmd+K) across commands, customers, and invoices</t>
        </is>
      </c>
      <c r="F27" s="5" t="inlineStr">
        <is>
          <t>Power User / Owner</t>
        </is>
      </c>
      <c r="G27" s="5" t="inlineStr">
        <is>
          <t>None</t>
        </is>
      </c>
      <c r="H27" s="5" t="inlineStr">
        <is>
          <t>Instantly navigate to any customer profile, invoice, report, or action from anywhere in app via Ctrl+K</t>
        </is>
      </c>
      <c r="I27" s="5" t="inlineStr">
        <is>
          <t>Reduces menu clicking; allows keyboard navigation to any screen in under 2 seconds</t>
        </is>
      </c>
      <c r="J27" s="20" t="inlineStr">
        <is>
          <t>P1</t>
        </is>
      </c>
      <c r="K27" s="19" t="inlineStr">
        <is>
          <t>Mechanism not found</t>
        </is>
      </c>
      <c r="L27" s="5" t="inlineStr">
        <is>
          <t>Command Palette modal (Ctrl+K) indexing system routes, recent records, and quick actions.</t>
        </is>
      </c>
      <c r="M27" s="8" t="inlineStr">
        <is>
          <t>Strategic expansion</t>
        </is>
      </c>
      <c r="N27" s="8" t="inlineStr">
        <is>
          <t>Platform or theme scope</t>
        </is>
      </c>
      <c r="O27" s="8" t="inlineStr">
        <is>
          <t>P1</t>
        </is>
      </c>
      <c r="P27" s="5" t="inlineStr">
        <is>
          <t>Unchanged</t>
        </is>
      </c>
      <c r="Q27" s="19" t="inlineStr">
        <is>
          <t>Mechanism not found</t>
        </is>
      </c>
      <c r="R27" s="5" t="inlineStr">
        <is>
          <t>No Ctrl+K command palette was found in the web client.</t>
        </is>
      </c>
      <c r="S27" s="8" t="inlineStr">
        <is>
          <t>RPT</t>
        </is>
      </c>
      <c r="T27" s="5" t="inlineStr">
        <is>
          <t>Reporting and business intelligence</t>
        </is>
      </c>
      <c r="U27" s="8" t="inlineStr"/>
      <c r="V27" s="8" t="inlineStr">
        <is>
          <t>reporting</t>
        </is>
      </c>
      <c r="W27" s="8" t="inlineStr">
        <is>
          <t>CONTROL</t>
        </is>
      </c>
      <c r="X27" s="5" t="inlineStr">
        <is>
          <t>Differentiator</t>
        </is>
      </c>
      <c r="Y27" s="5" t="inlineStr">
        <is>
          <t>Platform scope</t>
        </is>
      </c>
      <c r="Z27" s="5" t="inlineStr">
        <is>
          <t>Medium</t>
        </is>
      </c>
      <c r="AA27" s="5" t="inlineStr">
        <is>
          <t>Medium</t>
        </is>
      </c>
      <c r="AB27" s="8" t="inlineStr">
        <is>
          <t>Low</t>
        </is>
      </c>
      <c r="AC27" s="8" t="inlineStr">
        <is>
          <t>Later</t>
        </is>
      </c>
      <c r="AD27" s="5" t="inlineStr">
        <is>
          <t>Not in code</t>
        </is>
      </c>
      <c r="AE27" s="5" t="inlineStr">
        <is>
          <t>Not verified</t>
        </is>
      </c>
      <c r="AF27" s="5" t="inlineStr">
        <is>
          <t>Not verified</t>
        </is>
      </c>
      <c r="AG27" s="5" t="inlineStr">
        <is>
          <t>Not verified</t>
        </is>
      </c>
      <c r="AH27" s="5" t="inlineStr">
        <is>
          <t>Not verified</t>
        </is>
      </c>
      <c r="AI27" s="8" t="inlineStr">
        <is>
          <t>No</t>
        </is>
      </c>
      <c r="AJ27" s="8" t="inlineStr">
        <is>
          <t>Gap</t>
        </is>
      </c>
      <c r="AK27" s="8" t="inlineStr">
        <is>
          <t>P1</t>
        </is>
      </c>
      <c r="AL27" s="8" t="n">
        <v>4</v>
      </c>
      <c r="AM27" s="5" t="inlineStr"/>
      <c r="AN27" s="5" t="inlineStr"/>
      <c r="AO27" s="5" t="inlineStr"/>
      <c r="AP27" s="5" t="inlineStr"/>
      <c r="AQ27" s="5" t="inlineStr"/>
      <c r="AR27" s="5" t="inlineStr"/>
      <c r="AS27" s="5" t="inlineStr"/>
      <c r="AT27" s="5" t="inlineStr"/>
      <c r="AU27" s="8" t="inlineStr">
        <is>
          <t>Not run</t>
        </is>
      </c>
    </row>
    <row r="28" ht="32" customHeight="1">
      <c r="A28" s="16" t="inlineStr">
        <is>
          <t>UX-0587</t>
        </is>
      </c>
      <c r="B28" s="8" t="inlineStr">
        <is>
          <t>UX</t>
        </is>
      </c>
      <c r="C28" s="5" t="inlineStr">
        <is>
          <t>Billing Clerk / Salesperson</t>
        </is>
      </c>
      <c r="D28" s="5" t="inlineStr">
        <is>
          <t>Customer-to-Cash</t>
        </is>
      </c>
      <c r="E28" s="5" t="inlineStr">
        <is>
          <t>Dynamic customer credit health pill with color-coded risk indicator during billing</t>
        </is>
      </c>
      <c r="F28" s="5" t="inlineStr">
        <is>
          <t>Billing Clerk</t>
        </is>
      </c>
      <c r="G28" s="5" t="inlineStr">
        <is>
          <t>Customer</t>
        </is>
      </c>
      <c r="H28" s="5" t="inlineStr">
        <is>
          <t>Real-time visual pill on billing header showing customer credit status (Green: OK, Yellow: Near Limit, Red: Blocked)</t>
        </is>
      </c>
      <c r="I28" s="5" t="inlineStr">
        <is>
          <t>Prevents embarrassing checkout arguments; alerts clerk to customer payment status before packing items</t>
        </is>
      </c>
      <c r="J28" s="20" t="inlineStr">
        <is>
          <t>P1</t>
        </is>
      </c>
      <c r="K28" s="20" t="inlineStr">
        <is>
          <t>Validated (Supported)</t>
        </is>
      </c>
      <c r="L28" s="5" t="inlineStr">
        <is>
          <t>Color-coded Credit Health badge on customer search dropdown and order cart header.</t>
        </is>
      </c>
      <c r="M28" s="8" t="inlineStr">
        <is>
          <t>Strategic expansion</t>
        </is>
      </c>
      <c r="N28" s="8" t="inlineStr">
        <is>
          <t>Named role</t>
        </is>
      </c>
      <c r="O28" s="8" t="inlineStr">
        <is>
          <t>P1</t>
        </is>
      </c>
      <c r="P28" s="5" t="inlineStr">
        <is>
          <t>Unchanged</t>
        </is>
      </c>
      <c r="Q28" s="20" t="inlineStr">
        <is>
          <t>Author assertion</t>
        </is>
      </c>
      <c r="R28" s="5" t="inlineStr"/>
      <c r="S28" s="8" t="inlineStr">
        <is>
          <t>C2C</t>
        </is>
      </c>
      <c r="T28" s="5" t="inlineStr">
        <is>
          <t>Customer to cash</t>
        </is>
      </c>
      <c r="U28" s="8" t="inlineStr"/>
      <c r="V28" s="8" t="inlineStr">
        <is>
          <t>sales</t>
        </is>
      </c>
      <c r="W28" s="8" t="inlineStr">
        <is>
          <t>RUN</t>
        </is>
      </c>
      <c r="X28" s="5" t="inlineStr">
        <is>
          <t>Differentiator</t>
        </is>
      </c>
      <c r="Y28" s="5" t="inlineStr">
        <is>
          <t>Named role</t>
        </is>
      </c>
      <c r="Z28" s="5" t="inlineStr">
        <is>
          <t>Medium</t>
        </is>
      </c>
      <c r="AA28" s="5" t="inlineStr">
        <is>
          <t>Medium</t>
        </is>
      </c>
      <c r="AB28" s="8" t="inlineStr">
        <is>
          <t>Low</t>
        </is>
      </c>
      <c r="AC28" s="8" t="inlineStr">
        <is>
          <t>Later</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4</v>
      </c>
      <c r="AM28" s="5" t="inlineStr"/>
      <c r="AN28" s="5" t="inlineStr"/>
      <c r="AO28" s="5" t="inlineStr"/>
      <c r="AP28" s="5" t="inlineStr"/>
      <c r="AQ28" s="5" t="inlineStr"/>
      <c r="AR28" s="5" t="inlineStr"/>
      <c r="AS28" s="5" t="inlineStr"/>
      <c r="AT28" s="5" t="inlineStr"/>
      <c r="AU28" s="8" t="inlineStr">
        <is>
          <t>Not run</t>
        </is>
      </c>
    </row>
    <row r="29" ht="32" customHeight="1">
      <c r="A29" s="16" t="inlineStr">
        <is>
          <t>UX-0588</t>
        </is>
      </c>
      <c r="B29" s="8" t="inlineStr">
        <is>
          <t>UX</t>
        </is>
      </c>
      <c r="C29" s="5" t="inlineStr">
        <is>
          <t>Inventory Staff</t>
        </is>
      </c>
      <c r="D29" s="5" t="inlineStr">
        <is>
          <t>Inventory Lifecycle</t>
        </is>
      </c>
      <c r="E29" s="5" t="inlineStr">
        <is>
          <t>Visual warehouse shelf/rack visual locator badge on stock search</t>
        </is>
      </c>
      <c r="F29" s="5" t="inlineStr">
        <is>
          <t>Warehouse Picker</t>
        </is>
      </c>
      <c r="G29" s="5" t="inlineStr">
        <is>
          <t>None</t>
        </is>
      </c>
      <c r="H29" s="5" t="inlineStr">
        <is>
          <t>Stock search displays exact physical warehouse location tag (e.g. 'Godown 1 &gt; Aisle B &gt; Shelf 3')</t>
        </is>
      </c>
      <c r="I29" s="5" t="inlineStr">
        <is>
          <t>Reduces order picking search time from 5 minutes to 30 seconds per item</t>
        </is>
      </c>
      <c r="J29" s="22" t="inlineStr">
        <is>
          <t>P2</t>
        </is>
      </c>
      <c r="K29" s="19" t="inlineStr">
        <is>
          <t>Mechanism not found</t>
        </is>
      </c>
      <c r="L29" s="5" t="inlineStr">
        <is>
          <t>Displays location_tag pill on product row in warehouse pick lists and search results.</t>
        </is>
      </c>
      <c r="M29" s="8" t="inlineStr">
        <is>
          <t>Strategic expansion</t>
        </is>
      </c>
      <c r="N29" s="8" t="inlineStr">
        <is>
          <t>Named role</t>
        </is>
      </c>
      <c r="O29" s="8" t="inlineStr">
        <is>
          <t>P2</t>
        </is>
      </c>
      <c r="P29" s="5" t="inlineStr">
        <is>
          <t>Unchanged</t>
        </is>
      </c>
      <c r="Q29" s="19" t="inlineStr">
        <is>
          <t>Mechanism not found</t>
        </is>
      </c>
      <c r="R29" s="5" t="inlineStr">
        <is>
          <t>No location_tag shelf-locator field was found.</t>
        </is>
      </c>
      <c r="S29" s="8" t="inlineStr">
        <is>
          <t>INV</t>
        </is>
      </c>
      <c r="T29" s="5" t="inlineStr">
        <is>
          <t>Inventory lifecycle</t>
        </is>
      </c>
      <c r="U29" s="8" t="inlineStr"/>
      <c r="V29" s="8" t="inlineStr">
        <is>
          <t>inventory</t>
        </is>
      </c>
      <c r="W29" s="8" t="inlineStr">
        <is>
          <t>RUN</t>
        </is>
      </c>
      <c r="X29" s="5" t="inlineStr">
        <is>
          <t>Differentiator</t>
        </is>
      </c>
      <c r="Y29" s="5" t="inlineStr">
        <is>
          <t>Named role</t>
        </is>
      </c>
      <c r="Z29" s="5" t="inlineStr">
        <is>
          <t>Medium</t>
        </is>
      </c>
      <c r="AA29" s="5" t="inlineStr">
        <is>
          <t>High</t>
        </is>
      </c>
      <c r="AB29" s="8" t="inlineStr">
        <is>
          <t>Low</t>
        </is>
      </c>
      <c r="AC29" s="8" t="inlineStr">
        <is>
          <t>Later</t>
        </is>
      </c>
      <c r="AD29" s="5" t="inlineStr">
        <is>
          <t>Not in code</t>
        </is>
      </c>
      <c r="AE29" s="5" t="inlineStr">
        <is>
          <t>Not verified</t>
        </is>
      </c>
      <c r="AF29" s="5" t="inlineStr">
        <is>
          <t>Not verified</t>
        </is>
      </c>
      <c r="AG29" s="5" t="inlineStr">
        <is>
          <t>Not verified</t>
        </is>
      </c>
      <c r="AH29" s="5" t="inlineStr">
        <is>
          <t>Not verified</t>
        </is>
      </c>
      <c r="AI29" s="8" t="inlineStr">
        <is>
          <t>No</t>
        </is>
      </c>
      <c r="AJ29" s="8" t="inlineStr">
        <is>
          <t>Gap</t>
        </is>
      </c>
      <c r="AK29" s="8" t="inlineStr">
        <is>
          <t>P2</t>
        </is>
      </c>
      <c r="AL29" s="8" t="n">
        <v>6</v>
      </c>
      <c r="AM29" s="5" t="inlineStr"/>
      <c r="AN29" s="5" t="inlineStr"/>
      <c r="AO29" s="5" t="inlineStr"/>
      <c r="AP29" s="5" t="inlineStr"/>
      <c r="AQ29" s="5" t="inlineStr"/>
      <c r="AR29" s="5" t="inlineStr"/>
      <c r="AS29" s="5" t="inlineStr"/>
      <c r="AT29" s="5" t="inlineStr"/>
      <c r="AU29" s="8" t="inlineStr">
        <is>
          <t>Not run</t>
        </is>
      </c>
    </row>
    <row r="30" ht="32" customHeight="1">
      <c r="A30" s="16" t="inlineStr">
        <is>
          <t>UX-0589</t>
        </is>
      </c>
      <c r="B30" s="8" t="inlineStr">
        <is>
          <t>UX</t>
        </is>
      </c>
      <c r="C30" s="5" t="inlineStr">
        <is>
          <t>In-house Accountant</t>
        </is>
      </c>
      <c r="D30" s="5" t="inlineStr">
        <is>
          <t>Import / Export / Period Close</t>
        </is>
      </c>
      <c r="E30" s="5" t="inlineStr">
        <is>
          <t>Interactive spreadsheet-style inline grid editing for bulk transaction review</t>
        </is>
      </c>
      <c r="F30" s="5" t="inlineStr">
        <is>
          <t>In-house Accountant</t>
        </is>
      </c>
      <c r="G30" s="5" t="inlineStr">
        <is>
          <t>None</t>
        </is>
      </c>
      <c r="H30" s="5" t="inlineStr">
        <is>
          <t>Edit HSN codes, tax rates, or accounts across 50 purchase bills in single Excel-like data grid</t>
        </is>
      </c>
      <c r="I30" s="5" t="inlineStr">
        <is>
          <t>Eliminates opening 50 individual forms; enables rapid month-end review in 15 minutes</t>
        </is>
      </c>
      <c r="J30" s="20" t="inlineStr">
        <is>
          <t>P1</t>
        </is>
      </c>
      <c r="K30" s="20" t="inlineStr">
        <is>
          <t>Validated (Supported)</t>
        </is>
      </c>
      <c r="L30" s="5" t="inlineStr">
        <is>
          <t>Keyboard-driven DataGrid with arrow key navigation, cell copy-paste, and batch save.</t>
        </is>
      </c>
      <c r="M30" s="8" t="inlineStr">
        <is>
          <t>Strategic expansion</t>
        </is>
      </c>
      <c r="N30" s="8" t="inlineStr">
        <is>
          <t>Named role</t>
        </is>
      </c>
      <c r="O30" s="8" t="inlineStr">
        <is>
          <t>P1</t>
        </is>
      </c>
      <c r="P30" s="5" t="inlineStr">
        <is>
          <t>Unchanged</t>
        </is>
      </c>
      <c r="Q30" s="20" t="inlineStr">
        <is>
          <t>Author assertion</t>
        </is>
      </c>
      <c r="R30" s="5" t="inlineStr"/>
      <c r="S30" s="8" t="inlineStr">
        <is>
          <t>CLOSE</t>
        </is>
      </c>
      <c r="T30" s="5" t="inlineStr">
        <is>
          <t>Import, export, and period close</t>
        </is>
      </c>
      <c r="U30" s="8" t="inlineStr"/>
      <c r="V30" s="8" t="inlineStr">
        <is>
          <t>accounting</t>
        </is>
      </c>
      <c r="W30" s="8" t="inlineStr">
        <is>
          <t>CONTROL</t>
        </is>
      </c>
      <c r="X30" s="5" t="inlineStr">
        <is>
          <t>Differentiator</t>
        </is>
      </c>
      <c r="Y30" s="5" t="inlineStr">
        <is>
          <t>Accountant</t>
        </is>
      </c>
      <c r="Z30" s="5" t="inlineStr">
        <is>
          <t>Medium</t>
        </is>
      </c>
      <c r="AA30" s="5" t="inlineStr">
        <is>
          <t>Medium</t>
        </is>
      </c>
      <c r="AB30" s="8" t="inlineStr">
        <is>
          <t>Low</t>
        </is>
      </c>
      <c r="AC30" s="8" t="inlineStr">
        <is>
          <t>Later</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4</v>
      </c>
      <c r="AM30" s="5" t="inlineStr"/>
      <c r="AN30" s="5" t="inlineStr"/>
      <c r="AO30" s="5" t="inlineStr"/>
      <c r="AP30" s="5" t="inlineStr"/>
      <c r="AQ30" s="5" t="inlineStr"/>
      <c r="AR30" s="5" t="inlineStr"/>
      <c r="AS30" s="5" t="inlineStr"/>
      <c r="AT30" s="5" t="inlineStr"/>
      <c r="AU30" s="8" t="inlineStr">
        <is>
          <t>Not run</t>
        </is>
      </c>
    </row>
    <row r="31" ht="32" customHeight="1">
      <c r="A31" s="16" t="inlineStr">
        <is>
          <t>UX-0590</t>
        </is>
      </c>
      <c r="B31" s="8" t="inlineStr">
        <is>
          <t>UX</t>
        </is>
      </c>
      <c r="C31" s="5" t="inlineStr">
        <is>
          <t>All Roles</t>
        </is>
      </c>
      <c r="D31" s="5" t="inlineStr">
        <is>
          <t>Security / Exception / Recovery</t>
        </is>
      </c>
      <c r="E31" s="5" t="inlineStr">
        <is>
          <t>Deterministic progress bar with estimated time remaining on bulk CSV imports</t>
        </is>
      </c>
      <c r="F31" s="5" t="inlineStr">
        <is>
          <t>Business User</t>
        </is>
      </c>
      <c r="G31" s="5" t="inlineStr">
        <is>
          <t>None</t>
        </is>
      </c>
      <c r="H31" s="5" t="inlineStr">
        <is>
          <t>Shows real-time progress bar (e.g. 'Row 450 of 1,200 imported - 15 seconds remaining') during large imports</t>
        </is>
      </c>
      <c r="I31" s="5" t="inlineStr">
        <is>
          <t>Prevents anxious users from refreshing browser or aborting ongoing database import jobs</t>
        </is>
      </c>
      <c r="J31" s="20" t="inlineStr">
        <is>
          <t>P1</t>
        </is>
      </c>
      <c r="K31" s="19" t="inlineStr">
        <is>
          <t>Mechanism not found</t>
        </is>
      </c>
      <c r="L31" s="5" t="inlineStr">
        <is>
          <t>Nielsen Heuristic 1: Visibility of System Status. WebSocket progress bar with row counter.</t>
        </is>
      </c>
      <c r="M31" s="8" t="inlineStr">
        <is>
          <t>Strategic expansion</t>
        </is>
      </c>
      <c r="N31" s="8" t="inlineStr">
        <is>
          <t>Platform or theme scope</t>
        </is>
      </c>
      <c r="O31" s="8" t="inlineStr">
        <is>
          <t>P1</t>
        </is>
      </c>
      <c r="P31" s="5" t="inlineStr">
        <is>
          <t>Unchanged</t>
        </is>
      </c>
      <c r="Q31" s="19" t="inlineStr">
        <is>
          <t>Mechanism not found</t>
        </is>
      </c>
      <c r="R31" s="5" t="inlineStr">
        <is>
          <t>No WebSocket import-progress channel was found.</t>
        </is>
      </c>
      <c r="S31" s="8" t="inlineStr">
        <is>
          <t>OTHER</t>
        </is>
      </c>
      <c r="T31" s="5" t="inlineStr">
        <is>
          <t>Security / Exception / Recovery</t>
        </is>
      </c>
      <c r="U31" s="8" t="inlineStr"/>
      <c r="V31" s="8" t="inlineStr"/>
      <c r="W31" s="8" t="inlineStr">
        <is>
          <t>CONTROL</t>
        </is>
      </c>
      <c r="X31" s="5" t="inlineStr">
        <is>
          <t>Differentiator</t>
        </is>
      </c>
      <c r="Y31" s="5" t="inlineStr">
        <is>
          <t>Platform scope</t>
        </is>
      </c>
      <c r="Z31" s="5" t="inlineStr">
        <is>
          <t>Medium</t>
        </is>
      </c>
      <c r="AA31" s="5" t="inlineStr">
        <is>
          <t>Medium</t>
        </is>
      </c>
      <c r="AB31" s="8" t="inlineStr">
        <is>
          <t>Medium</t>
        </is>
      </c>
      <c r="AC31" s="8" t="inlineStr">
        <is>
          <t>Later</t>
        </is>
      </c>
      <c r="AD31" s="5" t="inlineStr">
        <is>
          <t>Not in code</t>
        </is>
      </c>
      <c r="AE31" s="5" t="inlineStr">
        <is>
          <t>Not verified</t>
        </is>
      </c>
      <c r="AF31" s="5" t="inlineStr">
        <is>
          <t>Not verified</t>
        </is>
      </c>
      <c r="AG31" s="5" t="inlineStr">
        <is>
          <t>Not verified</t>
        </is>
      </c>
      <c r="AH31" s="5" t="inlineStr">
        <is>
          <t>Not verified</t>
        </is>
      </c>
      <c r="AI31" s="8" t="inlineStr">
        <is>
          <t>No</t>
        </is>
      </c>
      <c r="AJ31" s="8" t="inlineStr">
        <is>
          <t>Gap</t>
        </is>
      </c>
      <c r="AK31" s="8" t="inlineStr">
        <is>
          <t>P1</t>
        </is>
      </c>
      <c r="AL31" s="8" t="n">
        <v>8</v>
      </c>
      <c r="AM31" s="5" t="inlineStr"/>
      <c r="AN31" s="5" t="inlineStr"/>
      <c r="AO31" s="5" t="inlineStr"/>
      <c r="AP31" s="5" t="inlineStr"/>
      <c r="AQ31" s="5" t="inlineStr"/>
      <c r="AR31" s="5" t="inlineStr"/>
      <c r="AS31" s="5" t="inlineStr"/>
      <c r="AT31" s="5" t="inlineStr"/>
      <c r="AU31" s="8" t="inlineStr">
        <is>
          <t>Not run</t>
        </is>
      </c>
    </row>
    <row r="32" ht="32" customHeight="1">
      <c r="A32" s="16" t="inlineStr">
        <is>
          <t>UX-0591</t>
        </is>
      </c>
      <c r="B32" s="8" t="inlineStr">
        <is>
          <t>UX</t>
        </is>
      </c>
      <c r="C32" s="5" t="inlineStr">
        <is>
          <t>Managing Proprietor</t>
        </is>
      </c>
      <c r="D32" s="5" t="inlineStr">
        <is>
          <t>Reporting &amp; Business Intelligence</t>
        </is>
      </c>
      <c r="E32" s="5" t="inlineStr">
        <is>
          <t>One-click 'Privacy Mask' toggle hiding rupee figures from bystander view</t>
        </is>
      </c>
      <c r="F32" s="5" t="inlineStr">
        <is>
          <t>Business Owner ('Sethji')</t>
        </is>
      </c>
      <c r="G32" s="5" t="inlineStr">
        <is>
          <t>Bystanders / Customers</t>
        </is>
      </c>
      <c r="H32" s="5" t="inlineStr">
        <is>
          <t>Quick eye icon toggle that obscures revenue, bank balance, and profit numbers when customers are standing nearby</t>
        </is>
      </c>
      <c r="I32" s="5" t="inlineStr">
        <is>
          <t>Protects business financial confidentiality while allowing owner to review operational lists</t>
        </is>
      </c>
      <c r="J32" s="24" t="inlineStr">
        <is>
          <t>P3</t>
        </is>
      </c>
      <c r="K32" s="19" t="inlineStr">
        <is>
          <t>Mechanism not found</t>
        </is>
      </c>
      <c r="L32" s="5" t="inlineStr">
        <is>
          <t>Privacy Mode toggle (Shift+P) replacing currency digits with '₹ ••••••' across dashboard.</t>
        </is>
      </c>
      <c r="M32" s="8" t="inlineStr">
        <is>
          <t>Strategic expansion</t>
        </is>
      </c>
      <c r="N32" s="8" t="inlineStr">
        <is>
          <t>Named role</t>
        </is>
      </c>
      <c r="O32" s="8" t="inlineStr">
        <is>
          <t>P2</t>
        </is>
      </c>
      <c r="P32" s="5" t="inlineStr">
        <is>
          <t>Set to P3. The previous workbook had P2. Authored priority was P2.</t>
        </is>
      </c>
      <c r="Q32" s="19" t="inlineStr">
        <is>
          <t>Mechanism not found</t>
        </is>
      </c>
      <c r="R32" s="5" t="inlineStr">
        <is>
          <t>No Shift+P privacy mask was found in the web client. Set to P3. The previous workbook had P2. Authored priority was P2.</t>
        </is>
      </c>
      <c r="S32" s="8" t="inlineStr">
        <is>
          <t>RPT</t>
        </is>
      </c>
      <c r="T32" s="5" t="inlineStr">
        <is>
          <t>Reporting and business intelligence</t>
        </is>
      </c>
      <c r="U32" s="8" t="inlineStr"/>
      <c r="V32" s="8" t="inlineStr">
        <is>
          <t>reporting</t>
        </is>
      </c>
      <c r="W32" s="8" t="inlineStr">
        <is>
          <t>CONTROL</t>
        </is>
      </c>
      <c r="X32" s="5" t="inlineStr">
        <is>
          <t>Future</t>
        </is>
      </c>
      <c r="Y32" s="5" t="inlineStr">
        <is>
          <t>Owner</t>
        </is>
      </c>
      <c r="Z32" s="5" t="inlineStr">
        <is>
          <t>Low</t>
        </is>
      </c>
      <c r="AA32" s="5" t="inlineStr">
        <is>
          <t>Low</t>
        </is>
      </c>
      <c r="AB32" s="8" t="inlineStr">
        <is>
          <t>Low</t>
        </is>
      </c>
      <c r="AC32" s="8" t="inlineStr">
        <is>
          <t>Later</t>
        </is>
      </c>
      <c r="AD32" s="5" t="inlineStr">
        <is>
          <t>Not in code</t>
        </is>
      </c>
      <c r="AE32" s="5" t="inlineStr">
        <is>
          <t>Not verified</t>
        </is>
      </c>
      <c r="AF32" s="5" t="inlineStr">
        <is>
          <t>Not verified</t>
        </is>
      </c>
      <c r="AG32" s="5" t="inlineStr">
        <is>
          <t>Not verified</t>
        </is>
      </c>
      <c r="AH32" s="5" t="inlineStr">
        <is>
          <t>Not verified</t>
        </is>
      </c>
      <c r="AI32" s="8" t="inlineStr">
        <is>
          <t>No</t>
        </is>
      </c>
      <c r="AJ32" s="8" t="inlineStr">
        <is>
          <t>Gap</t>
        </is>
      </c>
      <c r="AK32" s="8" t="inlineStr">
        <is>
          <t>P3</t>
        </is>
      </c>
      <c r="AL32" s="8" t="n">
        <v>1</v>
      </c>
      <c r="AM32" s="5" t="inlineStr"/>
      <c r="AN32" s="5" t="inlineStr"/>
      <c r="AO32" s="5" t="inlineStr"/>
      <c r="AP32" s="5" t="inlineStr"/>
      <c r="AQ32" s="5" t="inlineStr"/>
      <c r="AR32" s="5" t="inlineStr"/>
      <c r="AS32" s="5" t="inlineStr"/>
      <c r="AT32" s="5" t="inlineStr"/>
      <c r="AU32" s="8" t="inlineStr">
        <is>
          <t>Not run</t>
        </is>
      </c>
    </row>
    <row r="33" ht="32" customHeight="1">
      <c r="A33" s="16" t="inlineStr">
        <is>
          <t>UX-0592</t>
        </is>
      </c>
      <c r="B33" s="8" t="inlineStr">
        <is>
          <t>UX</t>
        </is>
      </c>
      <c r="C33" s="5" t="inlineStr">
        <is>
          <t>Counter Clerk</t>
        </is>
      </c>
      <c r="D33" s="5" t="inlineStr">
        <is>
          <t>Customer-to-Cash</t>
        </is>
      </c>
      <c r="E33" s="5" t="inlineStr">
        <is>
          <t>Sound feedback cues on barcode scan success, duplicate scan, and error</t>
        </is>
      </c>
      <c r="F33" s="5" t="inlineStr">
        <is>
          <t>Billing Clerk</t>
        </is>
      </c>
      <c r="G33" s="5" t="inlineStr">
        <is>
          <t>None</t>
        </is>
      </c>
      <c r="H33" s="5" t="inlineStr">
        <is>
          <t>Distinct audible beeps confirming successful barcode scan (high chime) vs error/out-of-stock (low buzz)</t>
        </is>
      </c>
      <c r="I33" s="5" t="inlineStr">
        <is>
          <t>Allows clerk to scan rapid supermarket items without glancing back and forth at computer monitor</t>
        </is>
      </c>
      <c r="J33" s="24" t="inlineStr">
        <is>
          <t>P3</t>
        </is>
      </c>
      <c r="K33" s="20" t="inlineStr">
        <is>
          <t>Validated (Supported)</t>
        </is>
      </c>
      <c r="L33" s="5" t="inlineStr">
        <is>
          <t>Web Audio API sound synthesizers for SCAN_SUCCESS, DUPLICATE_WARNING, and ERROR_BLOCK.</t>
        </is>
      </c>
      <c r="M33" s="8" t="inlineStr">
        <is>
          <t>Strategic expansion</t>
        </is>
      </c>
      <c r="N33" s="8" t="inlineStr">
        <is>
          <t>Named role</t>
        </is>
      </c>
      <c r="O33" s="8" t="inlineStr">
        <is>
          <t>P2</t>
        </is>
      </c>
      <c r="P33" s="5" t="inlineStr">
        <is>
          <t>Kept P3. The previous workbook had P3. Authored priority was P2.</t>
        </is>
      </c>
      <c r="Q33" s="20" t="inlineStr">
        <is>
          <t>Author assertion</t>
        </is>
      </c>
      <c r="R33" s="5" t="inlineStr">
        <is>
          <t>Kept P3. The previous workbook had P3. Authored priority was P2.</t>
        </is>
      </c>
      <c r="S33" s="8" t="inlineStr">
        <is>
          <t>C2C</t>
        </is>
      </c>
      <c r="T33" s="5" t="inlineStr">
        <is>
          <t>Customer to cash</t>
        </is>
      </c>
      <c r="U33" s="8" t="inlineStr"/>
      <c r="V33" s="8" t="inlineStr">
        <is>
          <t>sales</t>
        </is>
      </c>
      <c r="W33" s="8" t="inlineStr">
        <is>
          <t>RUN</t>
        </is>
      </c>
      <c r="X33" s="5" t="inlineStr">
        <is>
          <t>Future</t>
        </is>
      </c>
      <c r="Y33" s="5" t="inlineStr">
        <is>
          <t>Named role</t>
        </is>
      </c>
      <c r="Z33" s="5" t="inlineStr">
        <is>
          <t>Low</t>
        </is>
      </c>
      <c r="AA33" s="5" t="inlineStr">
        <is>
          <t>Low</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P3</t>
        </is>
      </c>
      <c r="AL33" s="8" t="n">
        <v>1</v>
      </c>
      <c r="AM33" s="5" t="inlineStr"/>
      <c r="AN33" s="5" t="inlineStr"/>
      <c r="AO33" s="5" t="inlineStr"/>
      <c r="AP33" s="5" t="inlineStr"/>
      <c r="AQ33" s="5" t="inlineStr"/>
      <c r="AR33" s="5" t="inlineStr"/>
      <c r="AS33" s="5" t="inlineStr"/>
      <c r="AT33" s="5" t="inlineStr"/>
      <c r="AU33" s="8" t="inlineStr">
        <is>
          <t>Not run</t>
        </is>
      </c>
    </row>
    <row r="34" ht="32" customHeight="1">
      <c r="A34" s="16" t="inlineStr">
        <is>
          <t>UX-0593</t>
        </is>
      </c>
      <c r="B34" s="8" t="inlineStr">
        <is>
          <t>UX</t>
        </is>
      </c>
      <c r="C34" s="5" t="inlineStr">
        <is>
          <t>Field Salesperson</t>
        </is>
      </c>
      <c r="D34" s="5" t="inlineStr">
        <is>
          <t>Sales / CRM / Customer Lifecycle</t>
        </is>
      </c>
      <c r="E34" s="5" t="inlineStr">
        <is>
          <t>High-contrast outdoor glare mode for mobile field order booking</t>
        </is>
      </c>
      <c r="F34" s="5" t="inlineStr">
        <is>
          <t>Field Salesperson</t>
        </is>
      </c>
      <c r="G34" s="5" t="inlineStr">
        <is>
          <t>Retailer</t>
        </is>
      </c>
      <c r="H34" s="5" t="inlineStr">
        <is>
          <t>Optimized ultra-high-contrast UI theme designed for readability under direct bright Indian sunlight</t>
        </is>
      </c>
      <c r="I34" s="5" t="inlineStr">
        <is>
          <t>Eliminates outdoor screen squinting; enables smooth order booking on dusty street corners</t>
        </is>
      </c>
      <c r="J34" s="22" t="inlineStr">
        <is>
          <t>P2</t>
        </is>
      </c>
      <c r="K34" s="20" t="inlineStr">
        <is>
          <t>Validated (Supported)</t>
        </is>
      </c>
      <c r="L34" s="5" t="inlineStr">
        <is>
          <t>Outdoor Sunlight Mode with pure black text on pure white background and bold 16px typography.</t>
        </is>
      </c>
      <c r="M34" s="8" t="inlineStr">
        <is>
          <t>Strategic expansion</t>
        </is>
      </c>
      <c r="N34" s="8" t="inlineStr">
        <is>
          <t>Named role</t>
        </is>
      </c>
      <c r="O34" s="8" t="inlineStr">
        <is>
          <t>P2</t>
        </is>
      </c>
      <c r="P34" s="5" t="inlineStr">
        <is>
          <t>Restored to authored P2. The previous workbook had P3 after a keyword rebalance.</t>
        </is>
      </c>
      <c r="Q34" s="20" t="inlineStr">
        <is>
          <t>Author assertion</t>
        </is>
      </c>
      <c r="R34" s="5" t="inlineStr">
        <is>
          <t>Restored to authored P2. The previous workbook had P3 after a keyword rebalance.</t>
        </is>
      </c>
      <c r="S34" s="8" t="inlineStr">
        <is>
          <t>CRM</t>
        </is>
      </c>
      <c r="T34" s="5" t="inlineStr">
        <is>
          <t>Sales and CRM lifecycle</t>
        </is>
      </c>
      <c r="U34" s="8" t="inlineStr"/>
      <c r="V34" s="8" t="inlineStr">
        <is>
          <t>crm</t>
        </is>
      </c>
      <c r="W34" s="8" t="inlineStr">
        <is>
          <t>GROW</t>
        </is>
      </c>
      <c r="X34" s="5" t="inlineStr">
        <is>
          <t>Differentiator</t>
        </is>
      </c>
      <c r="Y34" s="5" t="inlineStr">
        <is>
          <t>Sales</t>
        </is>
      </c>
      <c r="Z34" s="5" t="inlineStr">
        <is>
          <t>Medium</t>
        </is>
      </c>
      <c r="AA34" s="5" t="inlineStr">
        <is>
          <t>Medium</t>
        </is>
      </c>
      <c r="AB34" s="8" t="inlineStr">
        <is>
          <t>Low</t>
        </is>
      </c>
      <c r="AC34" s="8" t="inlineStr">
        <is>
          <t>Later</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P2</t>
        </is>
      </c>
      <c r="AL34" s="8" t="n">
        <v>4</v>
      </c>
      <c r="AM34" s="5" t="inlineStr"/>
      <c r="AN34" s="5" t="inlineStr"/>
      <c r="AO34" s="5" t="inlineStr"/>
      <c r="AP34" s="5" t="inlineStr"/>
      <c r="AQ34" s="5" t="inlineStr"/>
      <c r="AR34" s="5" t="inlineStr"/>
      <c r="AS34" s="5" t="inlineStr"/>
      <c r="AT34" s="5" t="inlineStr"/>
      <c r="AU34" s="8" t="inlineStr">
        <is>
          <t>Not run</t>
        </is>
      </c>
    </row>
    <row r="35" ht="32" customHeight="1">
      <c r="A35" s="16" t="inlineStr">
        <is>
          <t>UX-0594</t>
        </is>
      </c>
      <c r="B35" s="8" t="inlineStr">
        <is>
          <t>UX</t>
        </is>
      </c>
      <c r="C35" s="5" t="inlineStr">
        <is>
          <t>All Roles</t>
        </is>
      </c>
      <c r="D35" s="5" t="inlineStr">
        <is>
          <t>Customer-to-Cash</t>
        </is>
      </c>
      <c r="E35" s="5" t="inlineStr">
        <is>
          <t>Persistent customer quick-create side drawer without losing current document state</t>
        </is>
      </c>
      <c r="F35" s="5" t="inlineStr">
        <is>
          <t>Billing Clerk / Salesperson</t>
        </is>
      </c>
      <c r="G35" s="5" t="inlineStr">
        <is>
          <t>New Customer</t>
        </is>
      </c>
      <c r="H35" s="5" t="inlineStr">
        <is>
          <t>Slide-out drawer allowing full new customer onboarding without navigating away or losing active cart items</t>
        </is>
      </c>
      <c r="I35" s="5" t="inlineStr">
        <is>
          <t>Saves customer master; auto-selects newly created party in active bill; cart remains 100% intact</t>
        </is>
      </c>
      <c r="J35" s="20" t="inlineStr">
        <is>
          <t>P1</t>
        </is>
      </c>
      <c r="K35" s="20" t="inlineStr">
        <is>
          <t>Validated (Supported)</t>
        </is>
      </c>
      <c r="L35" s="5" t="inlineStr">
        <is>
          <t>Non-modal slide-over drawer (Flyout) with isolated form state preserving background cart.</t>
        </is>
      </c>
      <c r="M35" s="8" t="inlineStr">
        <is>
          <t>Strategic expansion</t>
        </is>
      </c>
      <c r="N35" s="8" t="inlineStr">
        <is>
          <t>Platform or theme scope</t>
        </is>
      </c>
      <c r="O35" s="8" t="inlineStr">
        <is>
          <t>P1</t>
        </is>
      </c>
      <c r="P35" s="5" t="inlineStr">
        <is>
          <t>Unchanged</t>
        </is>
      </c>
      <c r="Q35" s="20" t="inlineStr">
        <is>
          <t>Author assertion</t>
        </is>
      </c>
      <c r="R35" s="5" t="inlineStr"/>
      <c r="S35" s="8" t="inlineStr">
        <is>
          <t>C2C</t>
        </is>
      </c>
      <c r="T35" s="5" t="inlineStr">
        <is>
          <t>Customer to cash</t>
        </is>
      </c>
      <c r="U35" s="8" t="inlineStr"/>
      <c r="V35" s="8" t="inlineStr">
        <is>
          <t>sales</t>
        </is>
      </c>
      <c r="W35" s="8" t="inlineStr">
        <is>
          <t>RUN</t>
        </is>
      </c>
      <c r="X35" s="5" t="inlineStr">
        <is>
          <t>Differentiator</t>
        </is>
      </c>
      <c r="Y35" s="5" t="inlineStr">
        <is>
          <t>Platform scope</t>
        </is>
      </c>
      <c r="Z35" s="5" t="inlineStr">
        <is>
          <t>Medium</t>
        </is>
      </c>
      <c r="AA35" s="5" t="inlineStr">
        <is>
          <t>Medium</t>
        </is>
      </c>
      <c r="AB35" s="8" t="inlineStr">
        <is>
          <t>Low</t>
        </is>
      </c>
      <c r="AC35" s="8" t="inlineStr">
        <is>
          <t>Later</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P1</t>
        </is>
      </c>
      <c r="AL35" s="8" t="n">
        <v>4</v>
      </c>
      <c r="AM35" s="5" t="inlineStr"/>
      <c r="AN35" s="5" t="inlineStr"/>
      <c r="AO35" s="5" t="inlineStr"/>
      <c r="AP35" s="5" t="inlineStr"/>
      <c r="AQ35" s="5" t="inlineStr"/>
      <c r="AR35" s="5" t="inlineStr"/>
      <c r="AS35" s="5" t="inlineStr"/>
      <c r="AT35" s="5" t="inlineStr"/>
      <c r="AU35" s="8" t="inlineStr">
        <is>
          <t>Not run</t>
        </is>
      </c>
    </row>
    <row r="36" ht="32" customHeight="1">
      <c r="A36" s="16" t="inlineStr">
        <is>
          <t>UX-0595</t>
        </is>
      </c>
      <c r="B36" s="8" t="inlineStr">
        <is>
          <t>UX</t>
        </is>
      </c>
      <c r="C36" s="5" t="inlineStr">
        <is>
          <t>Managing Proprietor</t>
        </is>
      </c>
      <c r="D36" s="5" t="inlineStr">
        <is>
          <t>Reporting &amp; Business Intelligence</t>
        </is>
      </c>
      <c r="E36" s="5" t="inlineStr">
        <is>
          <t>Executive Morning Briefing card summarizing '3 Things That Need You Today'</t>
        </is>
      </c>
      <c r="F36" s="5" t="inlineStr">
        <is>
          <t>Business Owner</t>
        </is>
      </c>
      <c r="G36" s="5" t="inlineStr">
        <is>
          <t>None</t>
        </is>
      </c>
      <c r="H36" s="5" t="inlineStr">
        <is>
          <t>Top of dashboard highlights 3 prioritized action items (e.g. '₹1.2L overdue from Sharma', '5 items out of stock')</t>
        </is>
      </c>
      <c r="I36" s="5" t="inlineStr">
        <is>
          <t>Eliminates analytical paralysis; gives owner clear 5-minute action plan every morning</t>
        </is>
      </c>
      <c r="J36" s="20" t="inlineStr">
        <is>
          <t>P1</t>
        </is>
      </c>
      <c r="K36" s="20" t="inlineStr">
        <is>
          <t>Validated (Supported)</t>
        </is>
      </c>
      <c r="L36" s="5" t="inlineStr">
        <is>
          <t>Priority Triage Engine generating 3 high-impact daily call-to-action cards.</t>
        </is>
      </c>
      <c r="M36" s="8" t="inlineStr">
        <is>
          <t>Strategic expansion</t>
        </is>
      </c>
      <c r="N36" s="8" t="inlineStr">
        <is>
          <t>Named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Differentiator</t>
        </is>
      </c>
      <c r="Y36" s="5" t="inlineStr">
        <is>
          <t>Owner</t>
        </is>
      </c>
      <c r="Z36" s="5" t="inlineStr">
        <is>
          <t>Medium</t>
        </is>
      </c>
      <c r="AA36" s="5" t="inlineStr">
        <is>
          <t>Medium</t>
        </is>
      </c>
      <c r="AB36" s="8" t="inlineStr">
        <is>
          <t>Low</t>
        </is>
      </c>
      <c r="AC36" s="8" t="inlineStr">
        <is>
          <t>Later</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4</v>
      </c>
      <c r="AM36" s="5" t="inlineStr"/>
      <c r="AN36" s="5" t="inlineStr"/>
      <c r="AO36" s="5" t="inlineStr"/>
      <c r="AP36" s="5" t="inlineStr"/>
      <c r="AQ36" s="5" t="inlineStr"/>
      <c r="AR36" s="5" t="inlineStr"/>
      <c r="AS36" s="5" t="inlineStr"/>
      <c r="AT36" s="5" t="inlineStr"/>
      <c r="AU36" s="8" t="inlineStr">
        <is>
          <t>Not run</t>
        </is>
      </c>
    </row>
    <row r="37" ht="32" customHeight="1">
      <c r="A37" s="16" t="inlineStr">
        <is>
          <t>UX-0596</t>
        </is>
      </c>
      <c r="B37" s="8" t="inlineStr">
        <is>
          <t>UX</t>
        </is>
      </c>
      <c r="C37" s="5" t="inlineStr">
        <is>
          <t>All Roles</t>
        </is>
      </c>
      <c r="D37" s="5" t="inlineStr">
        <is>
          <t>Security / Exception / Recovery</t>
        </is>
      </c>
      <c r="E37" s="5" t="inlineStr">
        <is>
          <t>Clear destructive action confirmation dialog with explicit entity name typing</t>
        </is>
      </c>
      <c r="F37" s="5" t="inlineStr">
        <is>
          <t>Business User</t>
        </is>
      </c>
      <c r="G37" s="5" t="inlineStr">
        <is>
          <t>System Administrator</t>
        </is>
      </c>
      <c r="H37" s="5" t="inlineStr">
        <is>
          <t>Permanently cancelling an annual return or deleting a company requires typing 'DELETE' to confirm</t>
        </is>
      </c>
      <c r="I37" s="5" t="inlineStr">
        <is>
          <t>Prevents catastrophic accidental clicks on destructive administrative actions</t>
        </is>
      </c>
      <c r="J37" s="19" t="inlineStr">
        <is>
          <t>P0</t>
        </is>
      </c>
      <c r="K37" s="20" t="inlineStr">
        <is>
          <t>Validated (Supported)</t>
        </is>
      </c>
      <c r="L37" s="5" t="inlineStr">
        <is>
          <t>Nielsen Heuristic 5: Error Prevention. Type-to-confirm modal on high-risk operations.</t>
        </is>
      </c>
      <c r="M37" s="8" t="inlineStr">
        <is>
          <t>Strategic expansion</t>
        </is>
      </c>
      <c r="N37" s="8" t="inlineStr">
        <is>
          <t>Platform or theme scope</t>
        </is>
      </c>
      <c r="O37" s="8" t="inlineStr">
        <is>
          <t>P0</t>
        </is>
      </c>
      <c r="P37" s="5" t="inlineStr">
        <is>
          <t>Unchanged</t>
        </is>
      </c>
      <c r="Q37" s="20" t="inlineStr">
        <is>
          <t>Author assertion</t>
        </is>
      </c>
      <c r="R37" s="5" t="inlineStr"/>
      <c r="S37" s="8" t="inlineStr">
        <is>
          <t>OTHER</t>
        </is>
      </c>
      <c r="T37" s="5" t="inlineStr">
        <is>
          <t>Security / Exception / Recovery</t>
        </is>
      </c>
      <c r="U37" s="8" t="inlineStr"/>
      <c r="V37" s="8" t="inlineStr"/>
      <c r="W37" s="8" t="inlineStr">
        <is>
          <t>CONTROL</t>
        </is>
      </c>
      <c r="X37" s="5" t="inlineStr">
        <is>
          <t>Differentiator</t>
        </is>
      </c>
      <c r="Y37" s="5" t="inlineStr">
        <is>
          <t>Platform scope</t>
        </is>
      </c>
      <c r="Z37" s="5" t="inlineStr">
        <is>
          <t>Medium</t>
        </is>
      </c>
      <c r="AA37" s="5" t="inlineStr">
        <is>
          <t>Medium</t>
        </is>
      </c>
      <c r="AB37" s="8" t="inlineStr">
        <is>
          <t>Medium</t>
        </is>
      </c>
      <c r="AC37" s="8" t="inlineStr">
        <is>
          <t>MVP</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P0</t>
        </is>
      </c>
      <c r="AL37" s="8" t="n">
        <v>8</v>
      </c>
      <c r="AM37" s="5" t="inlineStr"/>
      <c r="AN37" s="5" t="inlineStr"/>
      <c r="AO37" s="5" t="inlineStr"/>
      <c r="AP37" s="5" t="inlineStr"/>
      <c r="AQ37" s="5" t="inlineStr"/>
      <c r="AR37" s="5" t="inlineStr"/>
      <c r="AS37" s="5" t="inlineStr"/>
      <c r="AT37" s="5" t="inlineStr"/>
      <c r="AU37" s="8" t="inlineStr">
        <is>
          <t>Not run</t>
        </is>
      </c>
    </row>
    <row r="38" ht="32" customHeight="1">
      <c r="A38" s="16" t="inlineStr">
        <is>
          <t>UX-0597</t>
        </is>
      </c>
      <c r="B38" s="8" t="inlineStr">
        <is>
          <t>UX</t>
        </is>
      </c>
      <c r="C38" s="5" t="inlineStr">
        <is>
          <t>Counter Clerk</t>
        </is>
      </c>
      <c r="D38" s="5" t="inlineStr">
        <is>
          <t>Customer-to-Cash</t>
        </is>
      </c>
      <c r="E38" s="5" t="inlineStr">
        <is>
          <t>Quick quantity multiplier keypad shortcuts during retail barcode scanning</t>
        </is>
      </c>
      <c r="F38" s="5" t="inlineStr">
        <is>
          <t>Counter Billing Clerk</t>
        </is>
      </c>
      <c r="G38" s="5" t="inlineStr">
        <is>
          <t>None</t>
        </is>
      </c>
      <c r="H38" s="5" t="inlineStr">
        <is>
          <t>Typing '5*' followed by scanning barcode automatically adds 5 units without scanning 5 individual times</t>
        </is>
      </c>
      <c r="I38" s="5" t="inlineStr">
        <is>
          <t>Accelerates supermarket checkout for multi-pack items (e.g. 10 soap bars)</t>
        </is>
      </c>
      <c r="J38" s="20" t="inlineStr">
        <is>
          <t>P1</t>
        </is>
      </c>
      <c r="K38" s="20" t="inlineStr">
        <is>
          <t>Validated (Supported)</t>
        </is>
      </c>
      <c r="L38" s="5" t="inlineStr">
        <is>
          <t>POS input parser supporting syntax 'N*BARCODE' or scanning followed by '+' key increment.</t>
        </is>
      </c>
      <c r="M38" s="8" t="inlineStr">
        <is>
          <t>Strategic expansion</t>
        </is>
      </c>
      <c r="N38" s="8" t="inlineStr">
        <is>
          <t>Named role</t>
        </is>
      </c>
      <c r="O38" s="8" t="inlineStr">
        <is>
          <t>P1</t>
        </is>
      </c>
      <c r="P38" s="5" t="inlineStr">
        <is>
          <t>Unchanged</t>
        </is>
      </c>
      <c r="Q38" s="20" t="inlineStr">
        <is>
          <t>Author assertion</t>
        </is>
      </c>
      <c r="R38" s="5" t="inlineStr"/>
      <c r="S38" s="8" t="inlineStr">
        <is>
          <t>C2C</t>
        </is>
      </c>
      <c r="T38" s="5" t="inlineStr">
        <is>
          <t>Customer to cash</t>
        </is>
      </c>
      <c r="U38" s="8" t="inlineStr"/>
      <c r="V38" s="8" t="inlineStr">
        <is>
          <t>sales</t>
        </is>
      </c>
      <c r="W38" s="8" t="inlineStr">
        <is>
          <t>RUN</t>
        </is>
      </c>
      <c r="X38" s="5" t="inlineStr">
        <is>
          <t>Differentiator</t>
        </is>
      </c>
      <c r="Y38" s="5" t="inlineStr">
        <is>
          <t>Named role</t>
        </is>
      </c>
      <c r="Z38" s="5" t="inlineStr">
        <is>
          <t>Medium</t>
        </is>
      </c>
      <c r="AA38" s="5" t="inlineStr">
        <is>
          <t>Medium</t>
        </is>
      </c>
      <c r="AB38" s="8" t="inlineStr">
        <is>
          <t>Low</t>
        </is>
      </c>
      <c r="AC38" s="8" t="inlineStr">
        <is>
          <t>Later</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4</v>
      </c>
      <c r="AM38" s="5" t="inlineStr"/>
      <c r="AN38" s="5" t="inlineStr"/>
      <c r="AO38" s="5" t="inlineStr"/>
      <c r="AP38" s="5" t="inlineStr"/>
      <c r="AQ38" s="5" t="inlineStr"/>
      <c r="AR38" s="5" t="inlineStr"/>
      <c r="AS38" s="5" t="inlineStr"/>
      <c r="AT38" s="5" t="inlineStr"/>
      <c r="AU38" s="8" t="inlineStr">
        <is>
          <t>Not run</t>
        </is>
      </c>
    </row>
    <row r="39" ht="32" customHeight="1">
      <c r="A39" s="16" t="inlineStr">
        <is>
          <t>UX-0598</t>
        </is>
      </c>
      <c r="B39" s="8" t="inlineStr">
        <is>
          <t>UX</t>
        </is>
      </c>
      <c r="C39" s="5" t="inlineStr">
        <is>
          <t>All Roles</t>
        </is>
      </c>
      <c r="D39" s="5" t="inlineStr">
        <is>
          <t>Customer-to-Cash</t>
        </is>
      </c>
      <c r="E39" s="5" t="inlineStr">
        <is>
          <t>Live responsive document print preview with paper size switching (A4 vs A5 vs Thermal)</t>
        </is>
      </c>
      <c r="F39" s="5" t="inlineStr">
        <is>
          <t>Billing Clerk</t>
        </is>
      </c>
      <c r="G39" s="5" t="inlineStr">
        <is>
          <t>Customer</t>
        </is>
      </c>
      <c r="H39" s="5" t="inlineStr">
        <is>
          <t>Instant visual preview of invoice layout showing exact pagination, logo placement, and fold lines</t>
        </is>
      </c>
      <c r="I39" s="5" t="inlineStr">
        <is>
          <t>Allows instant toggling between 2-inch thermal slip, 3-inch roll, and A4 tax invoice before printing</t>
        </is>
      </c>
      <c r="J39" s="20" t="inlineStr">
        <is>
          <t>P1</t>
        </is>
      </c>
      <c r="K39" s="20" t="inlineStr">
        <is>
          <t>Validated (Supported)</t>
        </is>
      </c>
      <c r="L39" s="5" t="inlineStr">
        <is>
          <t>Client-side SVG/HTML print preview modal with live CSS media query switching.</t>
        </is>
      </c>
      <c r="M39" s="8" t="inlineStr">
        <is>
          <t>Strategic expansion</t>
        </is>
      </c>
      <c r="N39" s="8" t="inlineStr">
        <is>
          <t>Platform or theme scope</t>
        </is>
      </c>
      <c r="O39" s="8" t="inlineStr">
        <is>
          <t>P1</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Differentiator</t>
        </is>
      </c>
      <c r="Y39" s="5" t="inlineStr">
        <is>
          <t>Platform scope</t>
        </is>
      </c>
      <c r="Z39" s="5" t="inlineStr">
        <is>
          <t>Medium</t>
        </is>
      </c>
      <c r="AA39" s="5" t="inlineStr">
        <is>
          <t>Medium</t>
        </is>
      </c>
      <c r="AB39" s="8" t="inlineStr">
        <is>
          <t>Low</t>
        </is>
      </c>
      <c r="AC39" s="8" t="inlineStr">
        <is>
          <t>Later</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P1</t>
        </is>
      </c>
      <c r="AL39" s="8" t="n">
        <v>4</v>
      </c>
      <c r="AM39" s="5" t="inlineStr"/>
      <c r="AN39" s="5" t="inlineStr"/>
      <c r="AO39" s="5" t="inlineStr"/>
      <c r="AP39" s="5" t="inlineStr"/>
      <c r="AQ39" s="5" t="inlineStr"/>
      <c r="AR39" s="5" t="inlineStr"/>
      <c r="AS39" s="5" t="inlineStr"/>
      <c r="AT39" s="5" t="inlineStr"/>
      <c r="AU39" s="8" t="inlineStr">
        <is>
          <t>Not run</t>
        </is>
      </c>
    </row>
    <row r="40" ht="32" customHeight="1">
      <c r="A40" s="16" t="inlineStr">
        <is>
          <t>UX-0599</t>
        </is>
      </c>
      <c r="B40" s="8" t="inlineStr">
        <is>
          <t>UX</t>
        </is>
      </c>
      <c r="C40" s="5" t="inlineStr">
        <is>
          <t>In-house Accountant</t>
        </is>
      </c>
      <c r="D40" s="5" t="inlineStr">
        <is>
          <t>GST / Tax / Compliance</t>
        </is>
      </c>
      <c r="E40" s="5" t="inlineStr">
        <is>
          <t>Split-screen side-by-side reconciliation interface with drag-and-drop manual matching</t>
        </is>
      </c>
      <c r="F40" s="5" t="inlineStr">
        <is>
          <t>In-house Accountant</t>
        </is>
      </c>
      <c r="G40" s="5" t="inlineStr">
        <is>
          <t>Supplier</t>
        </is>
      </c>
      <c r="H40" s="5" t="inlineStr">
        <is>
          <t>Left pane shows Purchase Register; right pane shows GSTR-2B government feed; click to match</t>
        </is>
      </c>
      <c r="I40" s="5" t="inlineStr">
        <is>
          <t>Makes tax reconciliation intuitive and visually satisfying; highlights rate and date differences in red</t>
        </is>
      </c>
      <c r="J40" s="20" t="inlineStr">
        <is>
          <t>P1</t>
        </is>
      </c>
      <c r="K40" s="20" t="inlineStr">
        <is>
          <t>Validated (Supported)</t>
        </is>
      </c>
      <c r="L40" s="5" t="inlineStr">
        <is>
          <t>Dual-pane interactive reconciliation workbench with automated match suggestions.</t>
        </is>
      </c>
      <c r="M40" s="8" t="inlineStr">
        <is>
          <t>Strategic expansion</t>
        </is>
      </c>
      <c r="N40" s="8" t="inlineStr">
        <is>
          <t>Named role</t>
        </is>
      </c>
      <c r="O40" s="8" t="inlineStr">
        <is>
          <t>P1</t>
        </is>
      </c>
      <c r="P40" s="5" t="inlineStr">
        <is>
          <t>Unchanged</t>
        </is>
      </c>
      <c r="Q40" s="20" t="inlineStr">
        <is>
          <t>Author assertion</t>
        </is>
      </c>
      <c r="R40" s="5" t="inlineStr"/>
      <c r="S40" s="8" t="inlineStr">
        <is>
          <t>GST</t>
        </is>
      </c>
      <c r="T40" s="5" t="inlineStr">
        <is>
          <t>GST and tax compliance</t>
        </is>
      </c>
      <c r="U40" s="8" t="inlineStr"/>
      <c r="V40" s="8" t="inlineStr">
        <is>
          <t>accounting</t>
        </is>
      </c>
      <c r="W40" s="8" t="inlineStr">
        <is>
          <t>CONTROL</t>
        </is>
      </c>
      <c r="X40" s="5" t="inlineStr">
        <is>
          <t>Differentiator</t>
        </is>
      </c>
      <c r="Y40" s="5" t="inlineStr">
        <is>
          <t>Accountant</t>
        </is>
      </c>
      <c r="Z40" s="5" t="inlineStr">
        <is>
          <t>Critical</t>
        </is>
      </c>
      <c r="AA40" s="5" t="inlineStr">
        <is>
          <t>High</t>
        </is>
      </c>
      <c r="AB40" s="8" t="inlineStr">
        <is>
          <t>High</t>
        </is>
      </c>
      <c r="AC40" s="8" t="inlineStr">
        <is>
          <t>Later</t>
        </is>
      </c>
      <c r="AD40" s="5" t="inlineStr">
        <is>
          <t>Not independently checked</t>
        </is>
      </c>
      <c r="AE40" s="5" t="inlineStr">
        <is>
          <t>Not verified</t>
        </is>
      </c>
      <c r="AF40" s="5" t="inlineStr">
        <is>
          <t>Not verified</t>
        </is>
      </c>
      <c r="AG40" s="5" t="inlineStr">
        <is>
          <t>Not verified</t>
        </is>
      </c>
      <c r="AH40" s="5" t="inlineStr">
        <is>
          <t>Not verified</t>
        </is>
      </c>
      <c r="AI40" s="8" t="inlineStr">
        <is>
          <t>No</t>
        </is>
      </c>
      <c r="AJ40" s="8" t="inlineStr">
        <is>
          <t>Claimed - unverified</t>
        </is>
      </c>
      <c r="AK40" s="8" t="inlineStr">
        <is>
          <t>P1</t>
        </is>
      </c>
      <c r="AL40" s="8" t="n">
        <v>18</v>
      </c>
      <c r="AM40" s="5" t="inlineStr"/>
      <c r="AN40" s="5" t="inlineStr"/>
      <c r="AO40" s="5" t="inlineStr"/>
      <c r="AP40" s="5" t="inlineStr"/>
      <c r="AQ40" s="5" t="inlineStr"/>
      <c r="AR40" s="5" t="inlineStr"/>
      <c r="AS40" s="5" t="inlineStr"/>
      <c r="AT40" s="5" t="inlineStr"/>
      <c r="AU40" s="8" t="inlineStr">
        <is>
          <t>Not run</t>
        </is>
      </c>
    </row>
    <row r="41" ht="32" customHeight="1">
      <c r="A41" s="16" t="inlineStr">
        <is>
          <t>UX-0600</t>
        </is>
      </c>
      <c r="B41" s="8" t="inlineStr">
        <is>
          <t>UX</t>
        </is>
      </c>
      <c r="C41" s="5" t="inlineStr">
        <is>
          <t>All Roles</t>
        </is>
      </c>
      <c r="D41" s="5" t="inlineStr">
        <is>
          <t>Communication &amp; Integrations</t>
        </is>
      </c>
      <c r="E41" s="5" t="inlineStr">
        <is>
          <t>Contextual in-app chat and comment threads on specific invoices and orders</t>
        </is>
      </c>
      <c r="F41" s="5" t="inlineStr">
        <is>
          <t>Salesperson / Accountant</t>
        </is>
      </c>
      <c r="G41" s="5" t="inlineStr">
        <is>
          <t>Business Owner</t>
        </is>
      </c>
      <c r="H41" s="5" t="inlineStr">
        <is>
          <t>Internal staff can leave notes ('Customer requested 3 days extra credit') directly on invoice audit panel</t>
        </is>
      </c>
      <c r="I41" s="5" t="inlineStr">
        <is>
          <t>Eliminates scattered WhatsApp internal chat; preserves institutional context alongside transaction</t>
        </is>
      </c>
      <c r="J41" s="22" t="inlineStr">
        <is>
          <t>P2</t>
        </is>
      </c>
      <c r="K41" s="20" t="inlineStr">
        <is>
          <t>Validated (Supported)</t>
        </is>
      </c>
      <c r="L41" s="5" t="inlineStr">
        <is>
          <t>Activity Timeline comment box with user @mentions attached to Document model.</t>
        </is>
      </c>
      <c r="M41" s="8" t="inlineStr">
        <is>
          <t>Strategic expansion</t>
        </is>
      </c>
      <c r="N41" s="8" t="inlineStr">
        <is>
          <t>Platform or theme scope</t>
        </is>
      </c>
      <c r="O41" s="8" t="inlineStr">
        <is>
          <t>P2</t>
        </is>
      </c>
      <c r="P41" s="5" t="inlineStr">
        <is>
          <t>Unchanged</t>
        </is>
      </c>
      <c r="Q41" s="20" t="inlineStr">
        <is>
          <t>Author assertion</t>
        </is>
      </c>
      <c r="R41" s="5" t="inlineStr"/>
      <c r="S41" s="8" t="inlineStr">
        <is>
          <t>INT</t>
        </is>
      </c>
      <c r="T41" s="5" t="inlineStr">
        <is>
          <t>Communication and integrations</t>
        </is>
      </c>
      <c r="U41" s="8" t="inlineStr"/>
      <c r="V41" s="8" t="inlineStr">
        <is>
          <t>integrations</t>
        </is>
      </c>
      <c r="W41" s="8" t="inlineStr">
        <is>
          <t>KERNEL</t>
        </is>
      </c>
      <c r="X41" s="5" t="inlineStr">
        <is>
          <t>Differentiator</t>
        </is>
      </c>
      <c r="Y41" s="5" t="inlineStr">
        <is>
          <t>Platform scope</t>
        </is>
      </c>
      <c r="Z41" s="5" t="inlineStr">
        <is>
          <t>Medium</t>
        </is>
      </c>
      <c r="AA41" s="5" t="inlineStr">
        <is>
          <t>Medium</t>
        </is>
      </c>
      <c r="AB41" s="8" t="inlineStr">
        <is>
          <t>Low</t>
        </is>
      </c>
      <c r="AC41" s="8" t="inlineStr">
        <is>
          <t>Later</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P2</t>
        </is>
      </c>
      <c r="AL41" s="8" t="n">
        <v>4</v>
      </c>
      <c r="AM41" s="5" t="inlineStr"/>
      <c r="AN41" s="5" t="inlineStr"/>
      <c r="AO41" s="5" t="inlineStr"/>
      <c r="AP41" s="5" t="inlineStr"/>
      <c r="AQ41" s="5" t="inlineStr"/>
      <c r="AR41" s="5" t="inlineStr"/>
      <c r="AS41" s="5" t="inlineStr"/>
      <c r="AT41" s="5" t="inlineStr"/>
      <c r="AU41" s="8" t="inlineStr">
        <is>
          <t>Not run</t>
        </is>
      </c>
    </row>
    <row r="42" ht="32" customHeight="1">
      <c r="A42" s="16" t="inlineStr">
        <is>
          <t>C-0601</t>
        </is>
      </c>
      <c r="B42" s="8" t="inlineStr">
        <is>
          <t>C</t>
        </is>
      </c>
      <c r="C42" s="5" t="inlineStr">
        <is>
          <t>Statutory Compliance</t>
        </is>
      </c>
      <c r="D42" s="5" t="inlineStr">
        <is>
          <t>GST / Tax / Compliance</t>
        </is>
      </c>
      <c r="E42" s="5" t="inlineStr">
        <is>
          <t>CGST Rule 46 mandatory invoice particulars validation guard</t>
        </is>
      </c>
      <c r="F42" s="5" t="inlineStr">
        <is>
          <t>Tax Engine / Validator</t>
        </is>
      </c>
      <c r="G42" s="5" t="inlineStr">
        <is>
          <t>Billing Clerk</t>
        </is>
      </c>
      <c r="H42" s="5" t="inlineStr">
        <is>
          <t>Ensure all 16 statutory particulars required by Rule 46 (GSTIN, HSN, Place of Supply, Date, Serial) are present</t>
        </is>
      </c>
      <c r="I42" s="5" t="inlineStr">
        <is>
          <t>Hard-blocks saving invoice if any mandatory statutory field is missing; guarantees legal defensibility</t>
        </is>
      </c>
      <c r="J42" s="19" t="inlineStr">
        <is>
          <t>P0</t>
        </is>
      </c>
      <c r="K42" s="20" t="inlineStr">
        <is>
          <t>Validated (Supported)</t>
        </is>
      </c>
      <c r="L42" s="5" t="inlineStr">
        <is>
          <t>Rule 46 statutory validator running on SalesInvoice.pre_save; raises descriptive ValidationError.</t>
        </is>
      </c>
      <c r="M42" s="8" t="inlineStr">
        <is>
          <t>Strategic expansion</t>
        </is>
      </c>
      <c r="N42" s="8" t="inlineStr">
        <is>
          <t>Platform or theme scope</t>
        </is>
      </c>
      <c r="O42" s="8" t="inlineStr">
        <is>
          <t>P0</t>
        </is>
      </c>
      <c r="P42" s="5" t="inlineStr">
        <is>
          <t>Unchanged</t>
        </is>
      </c>
      <c r="Q42" s="21" t="inlineStr">
        <is>
          <t>Code symbol found</t>
        </is>
      </c>
      <c r="R42" s="5" t="inlineStr">
        <is>
          <t>Matched ValidationError in product code. This is not a functional test.</t>
        </is>
      </c>
      <c r="S42" s="8" t="inlineStr">
        <is>
          <t>GST</t>
        </is>
      </c>
      <c r="T42" s="5" t="inlineStr">
        <is>
          <t>GST and tax compliance</t>
        </is>
      </c>
      <c r="U42" s="8" t="inlineStr"/>
      <c r="V42" s="8" t="inlineStr">
        <is>
          <t>accounting</t>
        </is>
      </c>
      <c r="W42" s="8" t="inlineStr">
        <is>
          <t>CONTROL</t>
        </is>
      </c>
      <c r="X42" s="5" t="inlineStr">
        <is>
          <t>Core</t>
        </is>
      </c>
      <c r="Y42" s="5" t="inlineStr">
        <is>
          <t>Platform scope</t>
        </is>
      </c>
      <c r="Z42" s="5" t="inlineStr">
        <is>
          <t>Critical</t>
        </is>
      </c>
      <c r="AA42" s="5" t="inlineStr">
        <is>
          <t>High</t>
        </is>
      </c>
      <c r="AB42" s="8" t="inlineStr">
        <is>
          <t>High</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27</v>
      </c>
      <c r="AM42" s="5" t="inlineStr"/>
      <c r="AN42" s="5" t="inlineStr"/>
      <c r="AO42" s="5" t="inlineStr"/>
      <c r="AP42" s="5" t="inlineStr"/>
      <c r="AQ42" s="5" t="inlineStr"/>
      <c r="AR42" s="5" t="inlineStr"/>
      <c r="AS42" s="5" t="inlineStr"/>
      <c r="AT42" s="5" t="inlineStr"/>
      <c r="AU42" s="8" t="inlineStr">
        <is>
          <t>Not run</t>
        </is>
      </c>
    </row>
    <row r="43" ht="32" customHeight="1">
      <c r="A43" s="16" t="inlineStr">
        <is>
          <t>C-0602</t>
        </is>
      </c>
      <c r="B43" s="8" t="inlineStr">
        <is>
          <t>C</t>
        </is>
      </c>
      <c r="C43" s="5" t="inlineStr">
        <is>
          <t>Statutory Compliance</t>
        </is>
      </c>
      <c r="D43" s="5" t="inlineStr">
        <is>
          <t>GST / Tax / Compliance</t>
        </is>
      </c>
      <c r="E43" s="5" t="inlineStr">
        <is>
          <t>Section 16(2) CGST Act 4-condition statutory Input Tax Credit entitlement verification</t>
        </is>
      </c>
      <c r="F43" s="5" t="inlineStr">
        <is>
          <t>Tax Auditor / Accountant</t>
        </is>
      </c>
      <c r="G43" s="5" t="inlineStr">
        <is>
          <t>In-house Accountant</t>
        </is>
      </c>
      <c r="H43" s="5" t="inlineStr">
        <is>
          <t>Verify all 4 statutory conditions: tax invoice in hand, goods received, tax paid to govt, return filed</t>
        </is>
      </c>
      <c r="I43" s="5" t="inlineStr">
        <is>
          <t>Tags ITC verification checklist on purchase bill; prevents claiming irregular credit subject to 24% interest</t>
        </is>
      </c>
      <c r="J43" s="19" t="inlineStr">
        <is>
          <t>P0</t>
        </is>
      </c>
      <c r="K43" s="20" t="inlineStr">
        <is>
          <t>Validated (Supported)</t>
        </is>
      </c>
      <c r="L43" s="5" t="inlineStr">
        <is>
          <t>4-condition statutory ITC checklist on Purchase Invoice audit verification panel.</t>
        </is>
      </c>
      <c r="M43" s="8" t="inlineStr">
        <is>
          <t>Strategic expansion</t>
        </is>
      </c>
      <c r="N43" s="8" t="inlineStr">
        <is>
          <t>Platform or theme scope</t>
        </is>
      </c>
      <c r="O43" s="8" t="inlineStr">
        <is>
          <t>P0</t>
        </is>
      </c>
      <c r="P43" s="5" t="inlineStr">
        <is>
          <t>Unchanged</t>
        </is>
      </c>
      <c r="Q43" s="20" t="inlineStr">
        <is>
          <t>Author assertion</t>
        </is>
      </c>
      <c r="R43" s="5" t="inlineStr"/>
      <c r="S43" s="8" t="inlineStr">
        <is>
          <t>GST</t>
        </is>
      </c>
      <c r="T43" s="5" t="inlineStr">
        <is>
          <t>GST and tax compliance</t>
        </is>
      </c>
      <c r="U43" s="8" t="inlineStr"/>
      <c r="V43" s="8" t="inlineStr">
        <is>
          <t>accounting</t>
        </is>
      </c>
      <c r="W43" s="8" t="inlineStr">
        <is>
          <t>CONTROL</t>
        </is>
      </c>
      <c r="X43" s="5" t="inlineStr">
        <is>
          <t>Core</t>
        </is>
      </c>
      <c r="Y43" s="5" t="inlineStr">
        <is>
          <t>Platform scope</t>
        </is>
      </c>
      <c r="Z43" s="5" t="inlineStr">
        <is>
          <t>Critical</t>
        </is>
      </c>
      <c r="AA43" s="5" t="inlineStr">
        <is>
          <t>High</t>
        </is>
      </c>
      <c r="AB43" s="8" t="inlineStr">
        <is>
          <t>High</t>
        </is>
      </c>
      <c r="AC43" s="8" t="inlineStr">
        <is>
          <t>MVP</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P0</t>
        </is>
      </c>
      <c r="AL43" s="8" t="n">
        <v>27</v>
      </c>
      <c r="AM43" s="5" t="inlineStr"/>
      <c r="AN43" s="5" t="inlineStr"/>
      <c r="AO43" s="5" t="inlineStr"/>
      <c r="AP43" s="5" t="inlineStr"/>
      <c r="AQ43" s="5" t="inlineStr"/>
      <c r="AR43" s="5" t="inlineStr"/>
      <c r="AS43" s="5" t="inlineStr"/>
      <c r="AT43" s="5" t="inlineStr"/>
      <c r="AU43" s="8" t="inlineStr">
        <is>
          <t>Not run</t>
        </is>
      </c>
    </row>
    <row r="44" ht="32" customHeight="1">
      <c r="A44" s="16" t="inlineStr">
        <is>
          <t>C-0603</t>
        </is>
      </c>
      <c r="B44" s="8" t="inlineStr">
        <is>
          <t>C</t>
        </is>
      </c>
      <c r="C44" s="5" t="inlineStr">
        <is>
          <t>Statutory Compliance</t>
        </is>
      </c>
      <c r="D44" s="5" t="inlineStr">
        <is>
          <t>GST / Tax / Compliance</t>
        </is>
      </c>
      <c r="E44" s="5" t="inlineStr">
        <is>
          <t>Section 16(4) time-barring automated alert and ITC exclusion engine</t>
        </is>
      </c>
      <c r="F44" s="5" t="inlineStr">
        <is>
          <t>Tax Engine / Cron</t>
        </is>
      </c>
      <c r="G44" s="5" t="inlineStr">
        <is>
          <t>In-house Accountant</t>
        </is>
      </c>
      <c r="H44" s="5" t="inlineStr">
        <is>
          <t>Strictly identify purchase invoices approaching the 30th November cutoff for claiming previous year's ITC</t>
        </is>
      </c>
      <c r="I44" s="5" t="inlineStr">
        <is>
          <t>Alerts user 60 days, 30 days, and 7 days prior to cutoff; flags expired invoices as ITC_TIME_BARRED</t>
        </is>
      </c>
      <c r="J44" s="19" t="inlineStr">
        <is>
          <t>P0</t>
        </is>
      </c>
      <c r="K44" s="19" t="inlineStr">
        <is>
          <t>Mechanism not found</t>
        </is>
      </c>
      <c r="L44" s="5" t="inlineStr">
        <is>
          <t>Automated rule evaluating invoice.date vs FY cutoff date (30th Nov); sets itc_status=TIME_BARRED.</t>
        </is>
      </c>
      <c r="M44" s="8" t="inlineStr">
        <is>
          <t>Strategic expansion</t>
        </is>
      </c>
      <c r="N44" s="8" t="inlineStr">
        <is>
          <t>Platform or theme scope</t>
        </is>
      </c>
      <c r="O44" s="8" t="inlineStr">
        <is>
          <t>P0</t>
        </is>
      </c>
      <c r="P44" s="5" t="inlineStr">
        <is>
          <t>Unchanged</t>
        </is>
      </c>
      <c r="Q44" s="19" t="inlineStr">
        <is>
          <t>Mechanism not found</t>
        </is>
      </c>
      <c r="R44" s="5" t="inlineStr">
        <is>
          <t>No itc_status TIME_BARRED flag was found.</t>
        </is>
      </c>
      <c r="S44" s="8" t="inlineStr">
        <is>
          <t>GST</t>
        </is>
      </c>
      <c r="T44" s="5" t="inlineStr">
        <is>
          <t>GST and tax compliance</t>
        </is>
      </c>
      <c r="U44" s="8" t="inlineStr"/>
      <c r="V44" s="8" t="inlineStr">
        <is>
          <t>accounting</t>
        </is>
      </c>
      <c r="W44" s="8" t="inlineStr">
        <is>
          <t>CONTROL</t>
        </is>
      </c>
      <c r="X44" s="5" t="inlineStr">
        <is>
          <t>Core</t>
        </is>
      </c>
      <c r="Y44" s="5" t="inlineStr">
        <is>
          <t>Platform scope</t>
        </is>
      </c>
      <c r="Z44" s="5" t="inlineStr">
        <is>
          <t>Critical</t>
        </is>
      </c>
      <c r="AA44" s="5" t="inlineStr">
        <is>
          <t>High</t>
        </is>
      </c>
      <c r="AB44" s="8" t="inlineStr">
        <is>
          <t>High</t>
        </is>
      </c>
      <c r="AC44" s="8" t="inlineStr">
        <is>
          <t>MVP</t>
        </is>
      </c>
      <c r="AD44" s="5" t="inlineStr">
        <is>
          <t>Not in code</t>
        </is>
      </c>
      <c r="AE44" s="5" t="inlineStr">
        <is>
          <t>Not verified</t>
        </is>
      </c>
      <c r="AF44" s="5" t="inlineStr">
        <is>
          <t>Not verified</t>
        </is>
      </c>
      <c r="AG44" s="5" t="inlineStr">
        <is>
          <t>Not verified</t>
        </is>
      </c>
      <c r="AH44" s="5" t="inlineStr">
        <is>
          <t>Not verified</t>
        </is>
      </c>
      <c r="AI44" s="8" t="inlineStr">
        <is>
          <t>No</t>
        </is>
      </c>
      <c r="AJ44" s="8" t="inlineStr">
        <is>
          <t>Gap</t>
        </is>
      </c>
      <c r="AK44" s="8" t="inlineStr">
        <is>
          <t>P0</t>
        </is>
      </c>
      <c r="AL44" s="8" t="n">
        <v>27</v>
      </c>
      <c r="AM44" s="5" t="inlineStr"/>
      <c r="AN44" s="5" t="inlineStr"/>
      <c r="AO44" s="5" t="inlineStr"/>
      <c r="AP44" s="5" t="inlineStr"/>
      <c r="AQ44" s="5" t="inlineStr"/>
      <c r="AR44" s="5" t="inlineStr"/>
      <c r="AS44" s="5" t="inlineStr"/>
      <c r="AT44" s="5" t="inlineStr"/>
      <c r="AU44" s="8" t="inlineStr">
        <is>
          <t>Not run</t>
        </is>
      </c>
    </row>
    <row r="45" ht="32" customHeight="1">
      <c r="A45" s="16" t="inlineStr">
        <is>
          <t>C-0604</t>
        </is>
      </c>
      <c r="B45" s="8" t="inlineStr">
        <is>
          <t>C</t>
        </is>
      </c>
      <c r="C45" s="5" t="inlineStr">
        <is>
          <t>Statutory Compliance</t>
        </is>
      </c>
      <c r="D45" s="5" t="inlineStr">
        <is>
          <t>GST / Tax / Compliance</t>
        </is>
      </c>
      <c r="E45" s="5" t="inlineStr">
        <is>
          <t>Section 17(5) blocked credit automated identification and accounting reclassification</t>
        </is>
      </c>
      <c r="F45" s="5" t="inlineStr">
        <is>
          <t>Tax Engine</t>
        </is>
      </c>
      <c r="G45" s="5" t="inlineStr">
        <is>
          <t>In-house Accountant</t>
        </is>
      </c>
      <c r="H45" s="5" t="inlineStr">
        <is>
          <t>Automatically flag purchase expenses on motor vehicles, food &amp; beverages, and gifts as ineligible ITC</t>
        </is>
      </c>
      <c r="I45" s="5" t="inlineStr">
        <is>
          <t>Transfers tax amount to Expense/Asset cost rather than Input Tax Credit ledger per Section 17(5)</t>
        </is>
      </c>
      <c r="J45" s="19" t="inlineStr">
        <is>
          <t>P0</t>
        </is>
      </c>
      <c r="K45" s="20" t="inlineStr">
        <is>
          <t>Validated (Supported)</t>
        </is>
      </c>
      <c r="L45" s="5" t="inlineStr">
        <is>
          <t>Built-in HSN/SAC statutory classification rule tagging blocked credits directly to expense ledgers.</t>
        </is>
      </c>
      <c r="M45" s="8" t="inlineStr">
        <is>
          <t>Strategic expansion</t>
        </is>
      </c>
      <c r="N45" s="8" t="inlineStr">
        <is>
          <t>Platform or theme scope</t>
        </is>
      </c>
      <c r="O45" s="8" t="inlineStr">
        <is>
          <t>P0</t>
        </is>
      </c>
      <c r="P45" s="5" t="inlineStr">
        <is>
          <t>Unchanged</t>
        </is>
      </c>
      <c r="Q45" s="20" t="inlineStr">
        <is>
          <t>Author assertion</t>
        </is>
      </c>
      <c r="R45" s="5" t="inlineStr"/>
      <c r="S45" s="8" t="inlineStr">
        <is>
          <t>GST</t>
        </is>
      </c>
      <c r="T45" s="5" t="inlineStr">
        <is>
          <t>GST and tax compliance</t>
        </is>
      </c>
      <c r="U45" s="8" t="inlineStr"/>
      <c r="V45" s="8" t="inlineStr">
        <is>
          <t>accounting</t>
        </is>
      </c>
      <c r="W45" s="8" t="inlineStr">
        <is>
          <t>CONTROL</t>
        </is>
      </c>
      <c r="X45" s="5" t="inlineStr">
        <is>
          <t>Core</t>
        </is>
      </c>
      <c r="Y45" s="5" t="inlineStr">
        <is>
          <t>Platform scope</t>
        </is>
      </c>
      <c r="Z45" s="5" t="inlineStr">
        <is>
          <t>Critical</t>
        </is>
      </c>
      <c r="AA45" s="5" t="inlineStr">
        <is>
          <t>High</t>
        </is>
      </c>
      <c r="AB45" s="8" t="inlineStr">
        <is>
          <t>High</t>
        </is>
      </c>
      <c r="AC45" s="8" t="inlineStr">
        <is>
          <t>MVP</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P0</t>
        </is>
      </c>
      <c r="AL45" s="8" t="n">
        <v>27</v>
      </c>
      <c r="AM45" s="5" t="inlineStr"/>
      <c r="AN45" s="5" t="inlineStr"/>
      <c r="AO45" s="5" t="inlineStr"/>
      <c r="AP45" s="5" t="inlineStr"/>
      <c r="AQ45" s="5" t="inlineStr"/>
      <c r="AR45" s="5" t="inlineStr"/>
      <c r="AS45" s="5" t="inlineStr"/>
      <c r="AT45" s="5" t="inlineStr"/>
      <c r="AU45" s="8" t="inlineStr">
        <is>
          <t>Not run</t>
        </is>
      </c>
    </row>
    <row r="46" ht="32" customHeight="1">
      <c r="A46" s="16" t="inlineStr">
        <is>
          <t>C-0605</t>
        </is>
      </c>
      <c r="B46" s="8" t="inlineStr">
        <is>
          <t>C</t>
        </is>
      </c>
      <c r="C46" s="5" t="inlineStr">
        <is>
          <t>Statutory Compliance</t>
        </is>
      </c>
      <c r="D46" s="5" t="inlineStr">
        <is>
          <t>GST / Tax / Compliance</t>
        </is>
      </c>
      <c r="E46" s="5" t="inlineStr">
        <is>
          <t>Section 34 CGST Act Credit and Debit Note statutory linking and time-limit validation</t>
        </is>
      </c>
      <c r="F46" s="5" t="inlineStr">
        <is>
          <t>Tax Engine</t>
        </is>
      </c>
      <c r="G46" s="5" t="inlineStr">
        <is>
          <t>Billing Clerk / Accountant</t>
        </is>
      </c>
      <c r="H46" s="5" t="inlineStr">
        <is>
          <t>Ensure every GST credit note references original tax invoice number and date, and is issued before statutory cutoff</t>
        </is>
      </c>
      <c r="I46" s="5" t="inlineStr">
        <is>
          <t>Validates original invoice link; blocks credit note issuance after 30th November of subsequent FY</t>
        </is>
      </c>
      <c r="J46" s="19" t="inlineStr">
        <is>
          <t>P0</t>
        </is>
      </c>
      <c r="K46" s="20" t="inlineStr">
        <is>
          <t>Validated (Supported)</t>
        </is>
      </c>
      <c r="L46" s="5" t="inlineStr">
        <is>
          <t>Section 34 validator enforcing mandatory original_invoice_id and statutory date limit check.</t>
        </is>
      </c>
      <c r="M46" s="8" t="inlineStr">
        <is>
          <t>Strategic expansion</t>
        </is>
      </c>
      <c r="N46" s="8" t="inlineStr">
        <is>
          <t>Platform or theme scope</t>
        </is>
      </c>
      <c r="O46" s="8" t="inlineStr">
        <is>
          <t>P0</t>
        </is>
      </c>
      <c r="P46" s="5" t="inlineStr">
        <is>
          <t>Unchanged</t>
        </is>
      </c>
      <c r="Q46" s="20" t="inlineStr">
        <is>
          <t>Author assertion</t>
        </is>
      </c>
      <c r="R46" s="5" t="inlineStr"/>
      <c r="S46" s="8" t="inlineStr">
        <is>
          <t>GST</t>
        </is>
      </c>
      <c r="T46" s="5" t="inlineStr">
        <is>
          <t>GST and tax compliance</t>
        </is>
      </c>
      <c r="U46" s="8" t="inlineStr"/>
      <c r="V46" s="8" t="inlineStr">
        <is>
          <t>accounting</t>
        </is>
      </c>
      <c r="W46" s="8" t="inlineStr">
        <is>
          <t>CONTROL</t>
        </is>
      </c>
      <c r="X46" s="5" t="inlineStr">
        <is>
          <t>Core</t>
        </is>
      </c>
      <c r="Y46" s="5" t="inlineStr">
        <is>
          <t>Platform scope</t>
        </is>
      </c>
      <c r="Z46" s="5" t="inlineStr">
        <is>
          <t>Critical</t>
        </is>
      </c>
      <c r="AA46" s="5" t="inlineStr">
        <is>
          <t>High</t>
        </is>
      </c>
      <c r="AB46" s="8" t="inlineStr">
        <is>
          <t>High</t>
        </is>
      </c>
      <c r="AC46" s="8" t="inlineStr">
        <is>
          <t>MVP</t>
        </is>
      </c>
      <c r="AD46" s="5" t="inlineStr">
        <is>
          <t>Not independently checked</t>
        </is>
      </c>
      <c r="AE46" s="5" t="inlineStr">
        <is>
          <t>Not verified</t>
        </is>
      </c>
      <c r="AF46" s="5" t="inlineStr">
        <is>
          <t>Not verified</t>
        </is>
      </c>
      <c r="AG46" s="5" t="inlineStr">
        <is>
          <t>Not verified</t>
        </is>
      </c>
      <c r="AH46" s="5" t="inlineStr">
        <is>
          <t>Not verified</t>
        </is>
      </c>
      <c r="AI46" s="8" t="inlineStr">
        <is>
          <t>No</t>
        </is>
      </c>
      <c r="AJ46" s="8" t="inlineStr">
        <is>
          <t>Claimed - unverified</t>
        </is>
      </c>
      <c r="AK46" s="8" t="inlineStr">
        <is>
          <t>P0</t>
        </is>
      </c>
      <c r="AL46" s="8" t="n">
        <v>27</v>
      </c>
      <c r="AM46" s="5" t="inlineStr"/>
      <c r="AN46" s="5" t="inlineStr"/>
      <c r="AO46" s="5" t="inlineStr"/>
      <c r="AP46" s="5" t="inlineStr"/>
      <c r="AQ46" s="5" t="inlineStr"/>
      <c r="AR46" s="5" t="inlineStr"/>
      <c r="AS46" s="5" t="inlineStr"/>
      <c r="AT46" s="5" t="inlineStr"/>
      <c r="AU46" s="8" t="inlineStr">
        <is>
          <t>Not run</t>
        </is>
      </c>
    </row>
    <row r="47" ht="32" customHeight="1">
      <c r="A47" s="16" t="inlineStr">
        <is>
          <t>C-0606</t>
        </is>
      </c>
      <c r="B47" s="8" t="inlineStr">
        <is>
          <t>C</t>
        </is>
      </c>
      <c r="C47" s="5" t="inlineStr">
        <is>
          <t>Statutory Compliance</t>
        </is>
      </c>
      <c r="D47" s="5" t="inlineStr">
        <is>
          <t>GST / Tax / Compliance</t>
        </is>
      </c>
      <c r="E47" s="5" t="inlineStr">
        <is>
          <t>Rule 138 CGST Rules mandatory E-Way Bill distance calculation via postal PIN codes</t>
        </is>
      </c>
      <c r="F47" s="5" t="inlineStr">
        <is>
          <t>E-Way Bill Engine</t>
        </is>
      </c>
      <c r="G47" s="5" t="inlineStr">
        <is>
          <t>Logistics Dispatcher</t>
        </is>
      </c>
      <c r="H47" s="5" t="inlineStr">
        <is>
          <t>Accurate calculation of road transit distance between consignor and consignee PIN codes per government logic</t>
        </is>
      </c>
      <c r="I47" s="5" t="inlineStr">
        <is>
          <t>Fetches official NIC PIN-to-PIN distance; computes statutory E-Way Bill validity days (1 day per 200 km)</t>
        </is>
      </c>
      <c r="J47" s="19" t="inlineStr">
        <is>
          <t>P0</t>
        </is>
      </c>
      <c r="K47" s="20" t="inlineStr">
        <is>
          <t>Validated (Supported)</t>
        </is>
      </c>
      <c r="L47" s="5" t="inlineStr">
        <is>
          <t>NIC E-Way Bill Distance API integration with fallback offline PIN code distance matrix.</t>
        </is>
      </c>
      <c r="M47" s="8" t="inlineStr">
        <is>
          <t>Strategic expansion</t>
        </is>
      </c>
      <c r="N47" s="8" t="inlineStr">
        <is>
          <t>Platform or theme scope</t>
        </is>
      </c>
      <c r="O47" s="8" t="inlineStr">
        <is>
          <t>P0</t>
        </is>
      </c>
      <c r="P47" s="5" t="inlineStr">
        <is>
          <t>Unchanged</t>
        </is>
      </c>
      <c r="Q47" s="20" t="inlineStr">
        <is>
          <t>Author assertion</t>
        </is>
      </c>
      <c r="R47" s="5" t="inlineStr"/>
      <c r="S47" s="8" t="inlineStr">
        <is>
          <t>GST</t>
        </is>
      </c>
      <c r="T47" s="5" t="inlineStr">
        <is>
          <t>GST and tax compliance</t>
        </is>
      </c>
      <c r="U47" s="8" t="inlineStr"/>
      <c r="V47" s="8" t="inlineStr">
        <is>
          <t>accounting</t>
        </is>
      </c>
      <c r="W47" s="8" t="inlineStr">
        <is>
          <t>CONTROL</t>
        </is>
      </c>
      <c r="X47" s="5" t="inlineStr">
        <is>
          <t>Core</t>
        </is>
      </c>
      <c r="Y47" s="5" t="inlineStr">
        <is>
          <t>Platform scope</t>
        </is>
      </c>
      <c r="Z47" s="5" t="inlineStr">
        <is>
          <t>Critical</t>
        </is>
      </c>
      <c r="AA47" s="5" t="inlineStr">
        <is>
          <t>High</t>
        </is>
      </c>
      <c r="AB47" s="8" t="inlineStr">
        <is>
          <t>High</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27</v>
      </c>
      <c r="AM47" s="5" t="inlineStr"/>
      <c r="AN47" s="5" t="inlineStr"/>
      <c r="AO47" s="5" t="inlineStr"/>
      <c r="AP47" s="5" t="inlineStr"/>
      <c r="AQ47" s="5" t="inlineStr"/>
      <c r="AR47" s="5" t="inlineStr"/>
      <c r="AS47" s="5" t="inlineStr"/>
      <c r="AT47" s="5" t="inlineStr"/>
      <c r="AU47" s="8" t="inlineStr">
        <is>
          <t>Not run</t>
        </is>
      </c>
    </row>
    <row r="48" ht="32" customHeight="1">
      <c r="A48" s="16" t="inlineStr">
        <is>
          <t>C-0607</t>
        </is>
      </c>
      <c r="B48" s="8" t="inlineStr">
        <is>
          <t>C</t>
        </is>
      </c>
      <c r="C48" s="5" t="inlineStr">
        <is>
          <t>Statutory Compliance</t>
        </is>
      </c>
      <c r="D48" s="5" t="inlineStr">
        <is>
          <t>GST / Tax / Compliance</t>
        </is>
      </c>
      <c r="E48" s="5" t="inlineStr">
        <is>
          <t>Section 50 CGST Act delayed tax payment interest calculator (18% &amp; 24% p.a.)</t>
        </is>
      </c>
      <c r="F48" s="5" t="inlineStr">
        <is>
          <t>Tax Engine / Calculator</t>
        </is>
      </c>
      <c r="G48" s="5" t="inlineStr">
        <is>
          <t>In-house Accountant</t>
        </is>
      </c>
      <c r="H48" s="5" t="inlineStr">
        <is>
          <t>Calculate statutory interest on delayed tax liability payment from electronic cash ledger</t>
        </is>
      </c>
      <c r="I48" s="5" t="inlineStr">
        <is>
          <t>Computes interest on net tax liability paid through cash after return due date per Section 50(1)</t>
        </is>
      </c>
      <c r="J48" s="19" t="inlineStr">
        <is>
          <t>P0</t>
        </is>
      </c>
      <c r="K48" s="20" t="inlineStr">
        <is>
          <t>Validated (Supported)</t>
        </is>
      </c>
      <c r="L48" s="5" t="inlineStr">
        <is>
          <t>Automated interest computation worksheet for delayed GSTR-3B filings.</t>
        </is>
      </c>
      <c r="M48" s="8" t="inlineStr">
        <is>
          <t>Strategic expansion</t>
        </is>
      </c>
      <c r="N48" s="8" t="inlineStr">
        <is>
          <t>Platform or theme scope</t>
        </is>
      </c>
      <c r="O48" s="8" t="inlineStr">
        <is>
          <t>P1</t>
        </is>
      </c>
      <c r="P48" s="5" t="inlineStr">
        <is>
          <t>Kept P0. The previous workbook had P0. Authored priority was P1.</t>
        </is>
      </c>
      <c r="Q48" s="20" t="inlineStr">
        <is>
          <t>Author assertion</t>
        </is>
      </c>
      <c r="R48" s="5" t="inlineStr">
        <is>
          <t>Kept P0. The previous workbook had P0. Authored priority was P1.</t>
        </is>
      </c>
      <c r="S48" s="8" t="inlineStr">
        <is>
          <t>GST</t>
        </is>
      </c>
      <c r="T48" s="5" t="inlineStr">
        <is>
          <t>GST and tax compliance</t>
        </is>
      </c>
      <c r="U48" s="8" t="inlineStr"/>
      <c r="V48" s="8" t="inlineStr">
        <is>
          <t>accounting</t>
        </is>
      </c>
      <c r="W48" s="8" t="inlineStr">
        <is>
          <t>CONTROL</t>
        </is>
      </c>
      <c r="X48" s="5" t="inlineStr">
        <is>
          <t>Core</t>
        </is>
      </c>
      <c r="Y48" s="5" t="inlineStr">
        <is>
          <t>Platform scope</t>
        </is>
      </c>
      <c r="Z48" s="5" t="inlineStr">
        <is>
          <t>Critical</t>
        </is>
      </c>
      <c r="AA48" s="5" t="inlineStr">
        <is>
          <t>High</t>
        </is>
      </c>
      <c r="AB48" s="8" t="inlineStr">
        <is>
          <t>High</t>
        </is>
      </c>
      <c r="AC48" s="8" t="inlineStr">
        <is>
          <t>MVP</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P0</t>
        </is>
      </c>
      <c r="AL48" s="8" t="n">
        <v>27</v>
      </c>
      <c r="AM48" s="5" t="inlineStr"/>
      <c r="AN48" s="5" t="inlineStr"/>
      <c r="AO48" s="5" t="inlineStr"/>
      <c r="AP48" s="5" t="inlineStr"/>
      <c r="AQ48" s="5" t="inlineStr"/>
      <c r="AR48" s="5" t="inlineStr"/>
      <c r="AS48" s="5" t="inlineStr"/>
      <c r="AT48" s="5" t="inlineStr"/>
      <c r="AU48" s="8" t="inlineStr">
        <is>
          <t>Not run</t>
        </is>
      </c>
    </row>
    <row r="49" ht="32" customHeight="1">
      <c r="A49" s="16" t="inlineStr">
        <is>
          <t>C-0608</t>
        </is>
      </c>
      <c r="B49" s="8" t="inlineStr">
        <is>
          <t>C</t>
        </is>
      </c>
      <c r="C49" s="5" t="inlineStr">
        <is>
          <t>Statutory Compliance</t>
        </is>
      </c>
      <c r="D49" s="5" t="inlineStr">
        <is>
          <t>GST / Tax / Compliance</t>
        </is>
      </c>
      <c r="E49" s="5" t="inlineStr">
        <is>
          <t>Drug License Form 20B / 21B statutory licence number printing on pharmaceutical bills</t>
        </is>
      </c>
      <c r="F49" s="5" t="inlineStr">
        <is>
          <t>Document Renderer</t>
        </is>
      </c>
      <c r="G49" s="5" t="inlineStr">
        <is>
          <t>Pharmacist</t>
        </is>
      </c>
      <c r="H49" s="5" t="inlineStr">
        <is>
          <t>Mandatory display of wholesale/retail Drug License numbers and Pharmacist Registration ID on medicine invoices</t>
        </is>
      </c>
      <c r="I49" s="5" t="inlineStr">
        <is>
          <t>Renders DL numbers prominently on invoice header per Drugs and Cosmetics Act requirements</t>
        </is>
      </c>
      <c r="J49" s="19" t="inlineStr">
        <is>
          <t>P0</t>
        </is>
      </c>
      <c r="K49" s="20" t="inlineStr">
        <is>
          <t>Validated (Supported)</t>
        </is>
      </c>
      <c r="L49" s="5" t="inlineStr">
        <is>
          <t>CompanyStatutoryLicence model integration; auto-embeds Form 20B/21B licence strings.</t>
        </is>
      </c>
      <c r="M49" s="8" t="inlineStr">
        <is>
          <t>Strategic expansion</t>
        </is>
      </c>
      <c r="N49" s="8" t="inlineStr">
        <is>
          <t>Platform or theme scope</t>
        </is>
      </c>
      <c r="O49" s="8" t="inlineStr">
        <is>
          <t>P0</t>
        </is>
      </c>
      <c r="P49" s="5" t="inlineStr">
        <is>
          <t>Unchanged</t>
        </is>
      </c>
      <c r="Q49" s="21" t="inlineStr">
        <is>
          <t>Code symbol found</t>
        </is>
      </c>
      <c r="R49" s="5" t="inlineStr">
        <is>
          <t>Matched CompanyStatutoryLicence in product code. This is not a functional test.</t>
        </is>
      </c>
      <c r="S49" s="8" t="inlineStr">
        <is>
          <t>GST</t>
        </is>
      </c>
      <c r="T49" s="5" t="inlineStr">
        <is>
          <t>GST and tax compliance</t>
        </is>
      </c>
      <c r="U49" s="8" t="inlineStr"/>
      <c r="V49" s="8" t="inlineStr">
        <is>
          <t>accounting</t>
        </is>
      </c>
      <c r="W49" s="8" t="inlineStr">
        <is>
          <t>CONTROL</t>
        </is>
      </c>
      <c r="X49" s="5" t="inlineStr">
        <is>
          <t>Core</t>
        </is>
      </c>
      <c r="Y49" s="5" t="inlineStr">
        <is>
          <t>Platform scope</t>
        </is>
      </c>
      <c r="Z49" s="5" t="inlineStr">
        <is>
          <t>Critical</t>
        </is>
      </c>
      <c r="AA49" s="5" t="inlineStr">
        <is>
          <t>High</t>
        </is>
      </c>
      <c r="AB49" s="8" t="inlineStr">
        <is>
          <t>High</t>
        </is>
      </c>
      <c r="AC49" s="8" t="inlineStr">
        <is>
          <t>MVP</t>
        </is>
      </c>
      <c r="AD49" s="5" t="inlineStr">
        <is>
          <t>Cited in code</t>
        </is>
      </c>
      <c r="AE49" s="5" t="inlineStr">
        <is>
          <t>Not verified</t>
        </is>
      </c>
      <c r="AF49" s="5" t="inlineStr">
        <is>
          <t>Not verified</t>
        </is>
      </c>
      <c r="AG49" s="5" t="inlineStr">
        <is>
          <t>Not verified</t>
        </is>
      </c>
      <c r="AH49" s="5" t="inlineStr">
        <is>
          <t>Not verified</t>
        </is>
      </c>
      <c r="AI49" s="8" t="inlineStr">
        <is>
          <t>No</t>
        </is>
      </c>
      <c r="AJ49" s="8" t="inlineStr">
        <is>
          <t>Built - unverified</t>
        </is>
      </c>
      <c r="AK49" s="8" t="inlineStr">
        <is>
          <t>P0</t>
        </is>
      </c>
      <c r="AL49" s="8" t="n">
        <v>27</v>
      </c>
      <c r="AM49" s="5" t="inlineStr"/>
      <c r="AN49" s="5" t="inlineStr"/>
      <c r="AO49" s="5" t="inlineStr"/>
      <c r="AP49" s="5" t="inlineStr"/>
      <c r="AQ49" s="5" t="inlineStr"/>
      <c r="AR49" s="5" t="inlineStr"/>
      <c r="AS49" s="5" t="inlineStr"/>
      <c r="AT49" s="5" t="inlineStr"/>
      <c r="AU49" s="8" t="inlineStr">
        <is>
          <t>Not run</t>
        </is>
      </c>
    </row>
    <row r="50" ht="32" customHeight="1">
      <c r="A50" s="16" t="inlineStr">
        <is>
          <t>C-0609</t>
        </is>
      </c>
      <c r="B50" s="8" t="inlineStr">
        <is>
          <t>C</t>
        </is>
      </c>
      <c r="C50" s="5" t="inlineStr">
        <is>
          <t>Statutory Compliance</t>
        </is>
      </c>
      <c r="D50" s="5" t="inlineStr">
        <is>
          <t>GST / Tax / Compliance</t>
        </is>
      </c>
      <c r="E50" s="5" t="inlineStr">
        <is>
          <t>Schedule H and Schedule X restricted drug sales register and doctor prescription logging</t>
        </is>
      </c>
      <c r="F50" s="5" t="inlineStr">
        <is>
          <t>Pharmacist / Dispenser</t>
        </is>
      </c>
      <c r="G50" s="5" t="inlineStr">
        <is>
          <t>Drug Inspector</t>
        </is>
      </c>
      <c r="H50" s="5" t="inlineStr">
        <is>
          <t>Maintain statutory prescription drug register recording prescribing doctor name, patient address, and batch</t>
        </is>
      </c>
      <c r="I50" s="5" t="inlineStr">
        <is>
          <t>Generates Schedule H/H1 inspection register exportable for state Drug Controller audits</t>
        </is>
      </c>
      <c r="J50" s="19" t="inlineStr">
        <is>
          <t>P0</t>
        </is>
      </c>
      <c r="K50" s="20" t="inlineStr">
        <is>
          <t>Validated (Supported)</t>
        </is>
      </c>
      <c r="L50" s="5" t="inlineStr">
        <is>
          <t>Supported via Prescription / Doctor logging modal on Schedule H pharma products.</t>
        </is>
      </c>
      <c r="M50" s="8" t="inlineStr">
        <is>
          <t>Strategic expansion</t>
        </is>
      </c>
      <c r="N50" s="8" t="inlineStr">
        <is>
          <t>Platform or theme scope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Platform scope</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C-0610</t>
        </is>
      </c>
      <c r="B51" s="8" t="inlineStr">
        <is>
          <t>C</t>
        </is>
      </c>
      <c r="C51" s="5" t="inlineStr">
        <is>
          <t>Statutory Compliance</t>
        </is>
      </c>
      <c r="D51" s="5" t="inlineStr">
        <is>
          <t>GST / Tax / Compliance</t>
        </is>
      </c>
      <c r="E51" s="5" t="inlineStr">
        <is>
          <t>FSSAI 14-digit food safety licence number validation and mandatory invoice printing</t>
        </is>
      </c>
      <c r="F51" s="5" t="inlineStr">
        <is>
          <t>Document Renderer</t>
        </is>
      </c>
      <c r="G51" s="5" t="inlineStr">
        <is>
          <t>Kirana / FMCG Merchant</t>
        </is>
      </c>
      <c r="H51" s="5" t="inlineStr">
        <is>
          <t>Enforce printing of mandatory 14-digit FSSAI licence number on all food product invoices per FSSAI order</t>
        </is>
      </c>
      <c r="I51" s="5" t="inlineStr">
        <is>
          <t>Validates 14-digit FSSAI regex; embeds licence on invoice footer; separates food from non-food HSNs</t>
        </is>
      </c>
      <c r="J51" s="19" t="inlineStr">
        <is>
          <t>P0</t>
        </is>
      </c>
      <c r="K51" s="20" t="inlineStr">
        <is>
          <t>Validated (Supported)</t>
        </is>
      </c>
      <c r="L51" s="5" t="inlineStr">
        <is>
          <t>CompanyStatutoryLicence FSSAI validator and invoice template footer rendering.</t>
        </is>
      </c>
      <c r="M51" s="8" t="inlineStr">
        <is>
          <t>Strategic expansion</t>
        </is>
      </c>
      <c r="N51" s="8" t="inlineStr">
        <is>
          <t>Platform or theme scope</t>
        </is>
      </c>
      <c r="O51" s="8" t="inlineStr">
        <is>
          <t>P0</t>
        </is>
      </c>
      <c r="P51" s="5" t="inlineStr">
        <is>
          <t>Unchanged</t>
        </is>
      </c>
      <c r="Q51" s="21" t="inlineStr">
        <is>
          <t>Code symbol found</t>
        </is>
      </c>
      <c r="R51" s="5" t="inlineStr">
        <is>
          <t>Matched CompanyStatutoryLicence in product code. This is not a functional test.</t>
        </is>
      </c>
      <c r="S51" s="8" t="inlineStr">
        <is>
          <t>GST</t>
        </is>
      </c>
      <c r="T51" s="5" t="inlineStr">
        <is>
          <t>GST and tax compliance</t>
        </is>
      </c>
      <c r="U51" s="8" t="inlineStr"/>
      <c r="V51" s="8" t="inlineStr">
        <is>
          <t>accounting</t>
        </is>
      </c>
      <c r="W51" s="8" t="inlineStr">
        <is>
          <t>CONTROL</t>
        </is>
      </c>
      <c r="X51" s="5" t="inlineStr">
        <is>
          <t>Core</t>
        </is>
      </c>
      <c r="Y51" s="5" t="inlineStr">
        <is>
          <t>Platform scope</t>
        </is>
      </c>
      <c r="Z51" s="5" t="inlineStr">
        <is>
          <t>Critical</t>
        </is>
      </c>
      <c r="AA51" s="5" t="inlineStr">
        <is>
          <t>High</t>
        </is>
      </c>
      <c r="AB51" s="8" t="inlineStr">
        <is>
          <t>High</t>
        </is>
      </c>
      <c r="AC51" s="8" t="inlineStr">
        <is>
          <t>MVP</t>
        </is>
      </c>
      <c r="AD51" s="5" t="inlineStr">
        <is>
          <t>Cited in code</t>
        </is>
      </c>
      <c r="AE51" s="5" t="inlineStr">
        <is>
          <t>Not verified</t>
        </is>
      </c>
      <c r="AF51" s="5" t="inlineStr">
        <is>
          <t>Not verified</t>
        </is>
      </c>
      <c r="AG51" s="5" t="inlineStr">
        <is>
          <t>Not verified</t>
        </is>
      </c>
      <c r="AH51" s="5" t="inlineStr">
        <is>
          <t>Not verified</t>
        </is>
      </c>
      <c r="AI51" s="8" t="inlineStr">
        <is>
          <t>No</t>
        </is>
      </c>
      <c r="AJ51" s="8" t="inlineStr">
        <is>
          <t>Built - unverified</t>
        </is>
      </c>
      <c r="AK51" s="8" t="inlineStr">
        <is>
          <t>P0</t>
        </is>
      </c>
      <c r="AL51" s="8" t="n">
        <v>27</v>
      </c>
      <c r="AM51" s="5" t="inlineStr"/>
      <c r="AN51" s="5" t="inlineStr"/>
      <c r="AO51" s="5" t="inlineStr"/>
      <c r="AP51" s="5" t="inlineStr"/>
      <c r="AQ51" s="5" t="inlineStr"/>
      <c r="AR51" s="5" t="inlineStr"/>
      <c r="AS51" s="5" t="inlineStr"/>
      <c r="AT51" s="5" t="inlineStr"/>
      <c r="AU51" s="8" t="inlineStr">
        <is>
          <t>Not run</t>
        </is>
      </c>
    </row>
    <row r="52" ht="32" customHeight="1">
      <c r="A52" s="16" t="inlineStr">
        <is>
          <t>C-0611</t>
        </is>
      </c>
      <c r="B52" s="8" t="inlineStr">
        <is>
          <t>C</t>
        </is>
      </c>
      <c r="C52" s="5" t="inlineStr">
        <is>
          <t>Statutory Compliance</t>
        </is>
      </c>
      <c r="D52" s="5" t="inlineStr">
        <is>
          <t>GST / Tax / Compliance</t>
        </is>
      </c>
      <c r="E52" s="5" t="inlineStr">
        <is>
          <t>Legal Metrology (Packaged Commodities) Rules mandatory unit price declaration</t>
        </is>
      </c>
      <c r="F52" s="5" t="inlineStr">
        <is>
          <t>Document Renderer</t>
        </is>
      </c>
      <c r="G52" s="5" t="inlineStr">
        <is>
          <t>Retail Merchant</t>
        </is>
      </c>
      <c r="H52" s="5" t="inlineStr">
        <is>
          <t>Display both packaged MRP and unit selling price (per gram / per ml / per piece) on retail bills</t>
        </is>
      </c>
      <c r="I52" s="5" t="inlineStr">
        <is>
          <t>Computes and prints unit price declaration compliant with Legal Metrology Amendment Rules</t>
        </is>
      </c>
      <c r="J52" s="20" t="inlineStr">
        <is>
          <t>P1</t>
        </is>
      </c>
      <c r="K52" s="20" t="inlineStr">
        <is>
          <t>Validated (Supported)</t>
        </is>
      </c>
      <c r="L52" s="5" t="inlineStr">
        <is>
          <t>Supported via Unit Sale Price (USP) calculator and POS receipt formatting.</t>
        </is>
      </c>
      <c r="M52" s="8" t="inlineStr">
        <is>
          <t>Strategic expansion</t>
        </is>
      </c>
      <c r="N52" s="8" t="inlineStr">
        <is>
          <t>Platform or theme scope</t>
        </is>
      </c>
      <c r="O52" s="8" t="inlineStr">
        <is>
          <t>P1</t>
        </is>
      </c>
      <c r="P52" s="5" t="inlineStr">
        <is>
          <t>Unchanged</t>
        </is>
      </c>
      <c r="Q52" s="20" t="inlineStr">
        <is>
          <t>Author assertion</t>
        </is>
      </c>
      <c r="R52" s="5" t="inlineStr"/>
      <c r="S52" s="8" t="inlineStr">
        <is>
          <t>GST</t>
        </is>
      </c>
      <c r="T52" s="5" t="inlineStr">
        <is>
          <t>GST and tax compliance</t>
        </is>
      </c>
      <c r="U52" s="8" t="inlineStr"/>
      <c r="V52" s="8" t="inlineStr">
        <is>
          <t>accounting</t>
        </is>
      </c>
      <c r="W52" s="8" t="inlineStr">
        <is>
          <t>CONTROL</t>
        </is>
      </c>
      <c r="X52" s="5" t="inlineStr">
        <is>
          <t>Core</t>
        </is>
      </c>
      <c r="Y52" s="5" t="inlineStr">
        <is>
          <t>Platform scope</t>
        </is>
      </c>
      <c r="Z52" s="5" t="inlineStr">
        <is>
          <t>Critical</t>
        </is>
      </c>
      <c r="AA52" s="5" t="inlineStr">
        <is>
          <t>High</t>
        </is>
      </c>
      <c r="AB52" s="8" t="inlineStr">
        <is>
          <t>High</t>
        </is>
      </c>
      <c r="AC52" s="8" t="inlineStr">
        <is>
          <t>Pilot</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P1</t>
        </is>
      </c>
      <c r="AL52" s="8" t="n">
        <v>27</v>
      </c>
      <c r="AM52" s="5" t="inlineStr"/>
      <c r="AN52" s="5" t="inlineStr"/>
      <c r="AO52" s="5" t="inlineStr"/>
      <c r="AP52" s="5" t="inlineStr"/>
      <c r="AQ52" s="5" t="inlineStr"/>
      <c r="AR52" s="5" t="inlineStr"/>
      <c r="AS52" s="5" t="inlineStr"/>
      <c r="AT52" s="5" t="inlineStr"/>
      <c r="AU52" s="8" t="inlineStr">
        <is>
          <t>Not run</t>
        </is>
      </c>
    </row>
    <row r="53" ht="32" customHeight="1">
      <c r="A53" s="16" t="inlineStr">
        <is>
          <t>C-0612</t>
        </is>
      </c>
      <c r="B53" s="8" t="inlineStr">
        <is>
          <t>C</t>
        </is>
      </c>
      <c r="C53" s="5" t="inlineStr">
        <is>
          <t>Statutory Compliance</t>
        </is>
      </c>
      <c r="D53" s="5" t="inlineStr">
        <is>
          <t>GST / Tax / Compliance</t>
        </is>
      </c>
      <c r="E53" s="5" t="inlineStr">
        <is>
          <t>Section 194C TDS withholding on commercial transport and contractor payments</t>
        </is>
      </c>
      <c r="F53" s="5" t="inlineStr">
        <is>
          <t>In-house Accountant</t>
        </is>
      </c>
      <c r="G53" s="5" t="inlineStr">
        <is>
          <t>Transporter / Contractor</t>
        </is>
      </c>
      <c r="H53" s="5" t="inlineStr">
        <is>
          <t>Deduct 1% (Individual) or 2% (Company) TDS on freight payments exceeding ₹30,000 single or ₹1,00,000 aggregate</t>
        </is>
      </c>
      <c r="I53" s="5" t="inlineStr">
        <is>
          <t>Credits TDS Payable (Sec 194C) account; generates Form 26Q quarterly compliance entries</t>
        </is>
      </c>
      <c r="J53" s="20" t="inlineStr">
        <is>
          <t>P1</t>
        </is>
      </c>
      <c r="K53" s="20" t="inlineStr">
        <is>
          <t>Validated (Supported)</t>
        </is>
      </c>
      <c r="L53" s="5" t="inlineStr">
        <is>
          <t>Expense entry Section 194C withholding rule with transporter PAN validation.</t>
        </is>
      </c>
      <c r="M53" s="8" t="inlineStr">
        <is>
          <t>Strategic expansion</t>
        </is>
      </c>
      <c r="N53" s="8" t="inlineStr">
        <is>
          <t>Platform or theme scope</t>
        </is>
      </c>
      <c r="O53" s="8" t="inlineStr">
        <is>
          <t>P1</t>
        </is>
      </c>
      <c r="P53" s="5" t="inlineStr">
        <is>
          <t>Unchanged</t>
        </is>
      </c>
      <c r="Q53" s="20" t="inlineStr">
        <is>
          <t>Author assertion</t>
        </is>
      </c>
      <c r="R53" s="5" t="inlineStr"/>
      <c r="S53" s="8" t="inlineStr">
        <is>
          <t>GST</t>
        </is>
      </c>
      <c r="T53" s="5" t="inlineStr">
        <is>
          <t>GST and tax compliance</t>
        </is>
      </c>
      <c r="U53" s="8" t="inlineStr"/>
      <c r="V53" s="8" t="inlineStr">
        <is>
          <t>accounting</t>
        </is>
      </c>
      <c r="W53" s="8" t="inlineStr">
        <is>
          <t>CONTROL</t>
        </is>
      </c>
      <c r="X53" s="5" t="inlineStr">
        <is>
          <t>Core</t>
        </is>
      </c>
      <c r="Y53" s="5" t="inlineStr">
        <is>
          <t>Platform scope</t>
        </is>
      </c>
      <c r="Z53" s="5" t="inlineStr">
        <is>
          <t>Critical</t>
        </is>
      </c>
      <c r="AA53" s="5" t="inlineStr">
        <is>
          <t>High</t>
        </is>
      </c>
      <c r="AB53" s="8" t="inlineStr">
        <is>
          <t>High</t>
        </is>
      </c>
      <c r="AC53" s="8" t="inlineStr">
        <is>
          <t>Pilot</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P1</t>
        </is>
      </c>
      <c r="AL53" s="8" t="n">
        <v>27</v>
      </c>
      <c r="AM53" s="5" t="inlineStr"/>
      <c r="AN53" s="5" t="inlineStr"/>
      <c r="AO53" s="5" t="inlineStr"/>
      <c r="AP53" s="5" t="inlineStr"/>
      <c r="AQ53" s="5" t="inlineStr"/>
      <c r="AR53" s="5" t="inlineStr"/>
      <c r="AS53" s="5" t="inlineStr"/>
      <c r="AT53" s="5" t="inlineStr"/>
      <c r="AU53" s="8" t="inlineStr">
        <is>
          <t>Not run</t>
        </is>
      </c>
    </row>
    <row r="54" ht="32" customHeight="1">
      <c r="A54" s="16" t="inlineStr">
        <is>
          <t>C-0613</t>
        </is>
      </c>
      <c r="B54" s="8" t="inlineStr">
        <is>
          <t>C</t>
        </is>
      </c>
      <c r="C54" s="5" t="inlineStr">
        <is>
          <t>Statutory Compliance</t>
        </is>
      </c>
      <c r="D54" s="5" t="inlineStr">
        <is>
          <t>GST / Tax / Compliance</t>
        </is>
      </c>
      <c r="E54" s="5" t="inlineStr">
        <is>
          <t>Section 194J TDS withholding on professional and legal service fees</t>
        </is>
      </c>
      <c r="F54" s="5" t="inlineStr">
        <is>
          <t>In-house Accountant</t>
        </is>
      </c>
      <c r="G54" s="5" t="inlineStr">
        <is>
          <t>External CA / Legal Counsel</t>
        </is>
      </c>
      <c r="H54" s="5" t="inlineStr">
        <is>
          <t>Deduct 10% (or 2% technical service) TDS on professional consultancy fees exceeding ₹30,000 threshold</t>
        </is>
      </c>
      <c r="I54" s="5" t="inlineStr">
        <is>
          <t>Creates TDS payable liability; tracks annual professional fee expenditure per consultant</t>
        </is>
      </c>
      <c r="J54" s="20" t="inlineStr">
        <is>
          <t>P1</t>
        </is>
      </c>
      <c r="K54" s="20" t="inlineStr">
        <is>
          <t>Validated (Supported)</t>
        </is>
      </c>
      <c r="L54" s="5" t="inlineStr">
        <is>
          <t>Expense voucher Section 194J deduction rule with Form 16A certificate generation.</t>
        </is>
      </c>
      <c r="M54" s="8" t="inlineStr">
        <is>
          <t>Strategic expansion</t>
        </is>
      </c>
      <c r="N54" s="8" t="inlineStr">
        <is>
          <t>Platform or theme scope</t>
        </is>
      </c>
      <c r="O54" s="8" t="inlineStr">
        <is>
          <t>P1</t>
        </is>
      </c>
      <c r="P54" s="5" t="inlineStr">
        <is>
          <t>Unchanged</t>
        </is>
      </c>
      <c r="Q54" s="20" t="inlineStr">
        <is>
          <t>Author assertion</t>
        </is>
      </c>
      <c r="R54" s="5" t="inlineStr"/>
      <c r="S54" s="8" t="inlineStr">
        <is>
          <t>GST</t>
        </is>
      </c>
      <c r="T54" s="5" t="inlineStr">
        <is>
          <t>GST and tax compliance</t>
        </is>
      </c>
      <c r="U54" s="8" t="inlineStr"/>
      <c r="V54" s="8" t="inlineStr">
        <is>
          <t>accounting</t>
        </is>
      </c>
      <c r="W54" s="8" t="inlineStr">
        <is>
          <t>CONTROL</t>
        </is>
      </c>
      <c r="X54" s="5" t="inlineStr">
        <is>
          <t>Core</t>
        </is>
      </c>
      <c r="Y54" s="5" t="inlineStr">
        <is>
          <t>Platform scope</t>
        </is>
      </c>
      <c r="Z54" s="5" t="inlineStr">
        <is>
          <t>Critical</t>
        </is>
      </c>
      <c r="AA54" s="5" t="inlineStr">
        <is>
          <t>High</t>
        </is>
      </c>
      <c r="AB54" s="8" t="inlineStr">
        <is>
          <t>High</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27</v>
      </c>
      <c r="AM54" s="5" t="inlineStr"/>
      <c r="AN54" s="5" t="inlineStr"/>
      <c r="AO54" s="5" t="inlineStr"/>
      <c r="AP54" s="5" t="inlineStr"/>
      <c r="AQ54" s="5" t="inlineStr"/>
      <c r="AR54" s="5" t="inlineStr"/>
      <c r="AS54" s="5" t="inlineStr"/>
      <c r="AT54" s="5" t="inlineStr"/>
      <c r="AU54" s="8" t="inlineStr">
        <is>
          <t>Not run</t>
        </is>
      </c>
    </row>
    <row r="55" ht="32" customHeight="1">
      <c r="A55" s="16" t="inlineStr">
        <is>
          <t>C-0614</t>
        </is>
      </c>
      <c r="B55" s="8" t="inlineStr">
        <is>
          <t>C</t>
        </is>
      </c>
      <c r="C55" s="5" t="inlineStr">
        <is>
          <t>Statutory Compliance</t>
        </is>
      </c>
      <c r="D55" s="5" t="inlineStr">
        <is>
          <t>GST / Tax / Compliance</t>
        </is>
      </c>
      <c r="E55" s="5" t="inlineStr">
        <is>
          <t>Section 206AB / 206CCA active compliance verification via Income Tax Department PAN utility</t>
        </is>
      </c>
      <c r="F55" s="5" t="inlineStr">
        <is>
          <t>Tax Engine / Compliance</t>
        </is>
      </c>
      <c r="G55" s="5" t="inlineStr">
        <is>
          <t>Supplier / Customer</t>
        </is>
      </c>
      <c r="H55" s="5" t="inlineStr">
        <is>
          <t>Verify whether supplier/customer is a 'Specified Person' subject to 5% higher TDS/TCS deduction</t>
        </is>
      </c>
      <c r="I55" s="5" t="inlineStr">
        <is>
          <t>Stores Section 206AB verification status on party master; updates deduction rates automatically</t>
        </is>
      </c>
      <c r="J55" s="20" t="inlineStr">
        <is>
          <t>P1</t>
        </is>
      </c>
      <c r="K55" s="19" t="inlineStr">
        <is>
          <t>Mechanism not found</t>
        </is>
      </c>
      <c r="L55" s="5" t="inlineStr">
        <is>
          <t>PAN 206AB compliance check utility supporting bulk party verification.</t>
        </is>
      </c>
      <c r="M55" s="8" t="inlineStr">
        <is>
          <t>Strategic expansion</t>
        </is>
      </c>
      <c r="N55" s="8" t="inlineStr">
        <is>
          <t>Platform or theme scope</t>
        </is>
      </c>
      <c r="O55" s="8" t="inlineStr">
        <is>
          <t>P1</t>
        </is>
      </c>
      <c r="P55" s="5" t="inlineStr">
        <is>
          <t>Unchanged</t>
        </is>
      </c>
      <c r="Q55" s="19" t="inlineStr">
        <is>
          <t>Mechanism not found</t>
        </is>
      </c>
      <c r="R55" s="5" t="inlineStr">
        <is>
          <t>No Section 206AB PAN check was found.</t>
        </is>
      </c>
      <c r="S55" s="8" t="inlineStr">
        <is>
          <t>GST</t>
        </is>
      </c>
      <c r="T55" s="5" t="inlineStr">
        <is>
          <t>GST and tax compliance</t>
        </is>
      </c>
      <c r="U55" s="8" t="inlineStr"/>
      <c r="V55" s="8" t="inlineStr">
        <is>
          <t>accounting</t>
        </is>
      </c>
      <c r="W55" s="8" t="inlineStr">
        <is>
          <t>CONTROL</t>
        </is>
      </c>
      <c r="X55" s="5" t="inlineStr">
        <is>
          <t>Core</t>
        </is>
      </c>
      <c r="Y55" s="5" t="inlineStr">
        <is>
          <t>Platform scope</t>
        </is>
      </c>
      <c r="Z55" s="5" t="inlineStr">
        <is>
          <t>Critical</t>
        </is>
      </c>
      <c r="AA55" s="5" t="inlineStr">
        <is>
          <t>High</t>
        </is>
      </c>
      <c r="AB55" s="8" t="inlineStr">
        <is>
          <t>High</t>
        </is>
      </c>
      <c r="AC55" s="8" t="inlineStr">
        <is>
          <t>Pilot</t>
        </is>
      </c>
      <c r="AD55" s="5" t="inlineStr">
        <is>
          <t>Not in code</t>
        </is>
      </c>
      <c r="AE55" s="5" t="inlineStr">
        <is>
          <t>Not verified</t>
        </is>
      </c>
      <c r="AF55" s="5" t="inlineStr">
        <is>
          <t>Not verified</t>
        </is>
      </c>
      <c r="AG55" s="5" t="inlineStr">
        <is>
          <t>Not verified</t>
        </is>
      </c>
      <c r="AH55" s="5" t="inlineStr">
        <is>
          <t>Not verified</t>
        </is>
      </c>
      <c r="AI55" s="8" t="inlineStr">
        <is>
          <t>No</t>
        </is>
      </c>
      <c r="AJ55" s="8" t="inlineStr">
        <is>
          <t>Gap</t>
        </is>
      </c>
      <c r="AK55" s="8" t="inlineStr">
        <is>
          <t>P1</t>
        </is>
      </c>
      <c r="AL55" s="8" t="n">
        <v>27</v>
      </c>
      <c r="AM55" s="5" t="inlineStr"/>
      <c r="AN55" s="5" t="inlineStr"/>
      <c r="AO55" s="5" t="inlineStr"/>
      <c r="AP55" s="5" t="inlineStr"/>
      <c r="AQ55" s="5" t="inlineStr"/>
      <c r="AR55" s="5" t="inlineStr"/>
      <c r="AS55" s="5" t="inlineStr"/>
      <c r="AT55" s="5" t="inlineStr"/>
      <c r="AU55" s="8" t="inlineStr">
        <is>
          <t>Not run</t>
        </is>
      </c>
    </row>
    <row r="56" ht="32" customHeight="1">
      <c r="A56" s="16" t="inlineStr">
        <is>
          <t>C-0615</t>
        </is>
      </c>
      <c r="B56" s="8" t="inlineStr">
        <is>
          <t>C</t>
        </is>
      </c>
      <c r="C56" s="5" t="inlineStr">
        <is>
          <t>Statutory Compliance</t>
        </is>
      </c>
      <c r="D56" s="5" t="inlineStr">
        <is>
          <t>GST / Tax / Compliance</t>
        </is>
      </c>
      <c r="E56" s="5" t="inlineStr">
        <is>
          <t>Rule 42 and Rule 43 CGST Rules proportionate reversal of common input tax credit</t>
        </is>
      </c>
      <c r="F56" s="5" t="inlineStr">
        <is>
          <t>Tax Engine</t>
        </is>
      </c>
      <c r="G56" s="5" t="inlineStr">
        <is>
          <t>External CA / Accountant</t>
        </is>
      </c>
      <c r="H56" s="5" t="inlineStr">
        <is>
          <t>Calculate monthly and annual proportionate ITC reversal for goods used for both taxable and exempt supplies</t>
        </is>
      </c>
      <c r="I56" s="5" t="inlineStr">
        <is>
          <t>Computes common credit reversal ratio; posts reversal journal voucher to GL and GSTR-3B Table 4(B)(1)</t>
        </is>
      </c>
      <c r="J56" s="20" t="inlineStr">
        <is>
          <t>P1</t>
        </is>
      </c>
      <c r="K56" s="20" t="inlineStr">
        <is>
          <t>Validated (Supported)</t>
        </is>
      </c>
      <c r="L56" s="5" t="inlineStr">
        <is>
          <t>Rule 42/43 Common Credit Reversal Worksheet compiler in gst module.</t>
        </is>
      </c>
      <c r="M56" s="8" t="inlineStr">
        <is>
          <t>Strategic expansion</t>
        </is>
      </c>
      <c r="N56" s="8" t="inlineStr">
        <is>
          <t>Platform or theme scope</t>
        </is>
      </c>
      <c r="O56" s="8" t="inlineStr">
        <is>
          <t>P1</t>
        </is>
      </c>
      <c r="P56" s="5" t="inlineStr">
        <is>
          <t>Unchanged</t>
        </is>
      </c>
      <c r="Q56" s="20" t="inlineStr">
        <is>
          <t>Author assertion</t>
        </is>
      </c>
      <c r="R56" s="5" t="inlineStr"/>
      <c r="S56" s="8" t="inlineStr">
        <is>
          <t>GST</t>
        </is>
      </c>
      <c r="T56" s="5" t="inlineStr">
        <is>
          <t>GST and tax compliance</t>
        </is>
      </c>
      <c r="U56" s="8" t="inlineStr"/>
      <c r="V56" s="8" t="inlineStr">
        <is>
          <t>accounting</t>
        </is>
      </c>
      <c r="W56" s="8" t="inlineStr">
        <is>
          <t>CONTROL</t>
        </is>
      </c>
      <c r="X56" s="5" t="inlineStr">
        <is>
          <t>Core</t>
        </is>
      </c>
      <c r="Y56" s="5" t="inlineStr">
        <is>
          <t>Platform scope</t>
        </is>
      </c>
      <c r="Z56" s="5" t="inlineStr">
        <is>
          <t>Critical</t>
        </is>
      </c>
      <c r="AA56" s="5" t="inlineStr">
        <is>
          <t>High</t>
        </is>
      </c>
      <c r="AB56" s="8" t="inlineStr">
        <is>
          <t>High</t>
        </is>
      </c>
      <c r="AC56" s="8" t="inlineStr">
        <is>
          <t>Pilot</t>
        </is>
      </c>
      <c r="AD56" s="5" t="inlineStr">
        <is>
          <t>Not independently checked</t>
        </is>
      </c>
      <c r="AE56" s="5" t="inlineStr">
        <is>
          <t>Not verified</t>
        </is>
      </c>
      <c r="AF56" s="5" t="inlineStr">
        <is>
          <t>Not verified</t>
        </is>
      </c>
      <c r="AG56" s="5" t="inlineStr">
        <is>
          <t>Not verified</t>
        </is>
      </c>
      <c r="AH56" s="5" t="inlineStr">
        <is>
          <t>Not verified</t>
        </is>
      </c>
      <c r="AI56" s="8" t="inlineStr">
        <is>
          <t>No</t>
        </is>
      </c>
      <c r="AJ56" s="8" t="inlineStr">
        <is>
          <t>Claimed - unverified</t>
        </is>
      </c>
      <c r="AK56" s="8" t="inlineStr">
        <is>
          <t>P1</t>
        </is>
      </c>
      <c r="AL56" s="8" t="n">
        <v>27</v>
      </c>
      <c r="AM56" s="5" t="inlineStr"/>
      <c r="AN56" s="5" t="inlineStr"/>
      <c r="AO56" s="5" t="inlineStr"/>
      <c r="AP56" s="5" t="inlineStr"/>
      <c r="AQ56" s="5" t="inlineStr"/>
      <c r="AR56" s="5" t="inlineStr"/>
      <c r="AS56" s="5" t="inlineStr"/>
      <c r="AT56" s="5" t="inlineStr"/>
      <c r="AU56" s="8" t="inlineStr">
        <is>
          <t>Not run</t>
        </is>
      </c>
    </row>
    <row r="57" ht="32" customHeight="1">
      <c r="A57" s="16" t="inlineStr">
        <is>
          <t>C-0616</t>
        </is>
      </c>
      <c r="B57" s="8" t="inlineStr">
        <is>
          <t>C</t>
        </is>
      </c>
      <c r="C57" s="5" t="inlineStr">
        <is>
          <t>Statutory Compliance</t>
        </is>
      </c>
      <c r="D57" s="5" t="inlineStr">
        <is>
          <t>Security / Exception / Recovery</t>
        </is>
      </c>
      <c r="E57" s="5" t="inlineStr">
        <is>
          <t>Companies (Accounts) Rules Rule 3(1) and Rule 11(g) audit trail compliance certification</t>
        </is>
      </c>
      <c r="F57" s="5" t="inlineStr">
        <is>
          <t>Statutory Auditor</t>
        </is>
      </c>
      <c r="G57" s="5" t="inlineStr">
        <is>
          <t>Managing Proprietor</t>
        </is>
      </c>
      <c r="H57" s="5" t="inlineStr">
        <is>
          <t>Generate cryptographic certification log proving that software edit log feature was enabled at all times</t>
        </is>
      </c>
      <c r="I57" s="5" t="inlineStr">
        <is>
          <t>Renders MCA Audit Trail Compliance Report detailing database immutability and user change logs</t>
        </is>
      </c>
      <c r="J57" s="19" t="inlineStr">
        <is>
          <t>P0</t>
        </is>
      </c>
      <c r="K57" s="20" t="inlineStr">
        <is>
          <t>Validated (Supported)</t>
        </is>
      </c>
      <c r="L57" s="5" t="inlineStr">
        <is>
          <t>MCA Rule 11(g) compliance export module verifying zero disabled audit logging intervals.</t>
        </is>
      </c>
      <c r="M57" s="8" t="inlineStr">
        <is>
          <t>Strategic expansion</t>
        </is>
      </c>
      <c r="N57" s="8" t="inlineStr">
        <is>
          <t>Platform or theme scope</t>
        </is>
      </c>
      <c r="O57" s="8" t="inlineStr">
        <is>
          <t>P0</t>
        </is>
      </c>
      <c r="P57" s="5" t="inlineStr">
        <is>
          <t>Unchanged</t>
        </is>
      </c>
      <c r="Q57" s="20" t="inlineStr">
        <is>
          <t>Author assertion</t>
        </is>
      </c>
      <c r="R57" s="5" t="inlineStr"/>
      <c r="S57" s="8" t="inlineStr">
        <is>
          <t>OTHER</t>
        </is>
      </c>
      <c r="T57" s="5" t="inlineStr">
        <is>
          <t>Security / Exception / Recovery</t>
        </is>
      </c>
      <c r="U57" s="8" t="inlineStr"/>
      <c r="V57" s="8" t="inlineStr"/>
      <c r="W57" s="8" t="inlineStr">
        <is>
          <t>CONTROL</t>
        </is>
      </c>
      <c r="X57" s="5" t="inlineStr">
        <is>
          <t>Core</t>
        </is>
      </c>
      <c r="Y57" s="5" t="inlineStr">
        <is>
          <t>Platform scope</t>
        </is>
      </c>
      <c r="Z57" s="5" t="inlineStr">
        <is>
          <t>High</t>
        </is>
      </c>
      <c r="AA57" s="5" t="inlineStr">
        <is>
          <t>Medium</t>
        </is>
      </c>
      <c r="AB57" s="8" t="inlineStr">
        <is>
          <t>Medium</t>
        </is>
      </c>
      <c r="AC57" s="8" t="inlineStr">
        <is>
          <t>MVP</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P0</t>
        </is>
      </c>
      <c r="AL57" s="8" t="n">
        <v>12</v>
      </c>
      <c r="AM57" s="5" t="inlineStr"/>
      <c r="AN57" s="5" t="inlineStr"/>
      <c r="AO57" s="5" t="inlineStr"/>
      <c r="AP57" s="5" t="inlineStr"/>
      <c r="AQ57" s="5" t="inlineStr"/>
      <c r="AR57" s="5" t="inlineStr"/>
      <c r="AS57" s="5" t="inlineStr"/>
      <c r="AT57" s="5" t="inlineStr"/>
      <c r="AU57" s="8" t="inlineStr">
        <is>
          <t>Not run</t>
        </is>
      </c>
    </row>
    <row r="58" ht="32" customHeight="1">
      <c r="A58" s="16" t="inlineStr">
        <is>
          <t>C-0617</t>
        </is>
      </c>
      <c r="B58" s="8" t="inlineStr">
        <is>
          <t>C</t>
        </is>
      </c>
      <c r="C58" s="5" t="inlineStr">
        <is>
          <t>Statutory Compliance</t>
        </is>
      </c>
      <c r="D58" s="5" t="inlineStr">
        <is>
          <t>GST / Tax / Compliance</t>
        </is>
      </c>
      <c r="E58" s="5" t="inlineStr">
        <is>
          <t>Section 128A CGST Act amnesty scheme conditional waiver tracking and reconciliation</t>
        </is>
      </c>
      <c r="F58" s="5" t="inlineStr">
        <is>
          <t>In-house Accountant</t>
        </is>
      </c>
      <c r="G58" s="5" t="inlineStr">
        <is>
          <t>External CA</t>
        </is>
      </c>
      <c r="H58" s="5" t="inlineStr">
        <is>
          <t>Track tax demand notices eligible for interest and penalty waiver under Section 128A GST amnesty</t>
        </is>
      </c>
      <c r="I58" s="5" t="inlineStr">
        <is>
          <t>Prepares statement of disputed tax paid; reconciles waiver eligibility for FY 2017-18 to 2019-20</t>
        </is>
      </c>
      <c r="J58" s="24" t="inlineStr">
        <is>
          <t>P3</t>
        </is>
      </c>
      <c r="K58" s="20" t="inlineStr">
        <is>
          <t>Validated (Supported)</t>
        </is>
      </c>
      <c r="L58" s="5" t="inlineStr">
        <is>
          <t>Section 128A amnesty reconciliation tracking report in GST compliance module.</t>
        </is>
      </c>
      <c r="M58" s="8" t="inlineStr">
        <is>
          <t>Strategic expansion</t>
        </is>
      </c>
      <c r="N58" s="8" t="inlineStr">
        <is>
          <t>Platform or theme scope</t>
        </is>
      </c>
      <c r="O58" s="8" t="inlineStr">
        <is>
          <t>P2</t>
        </is>
      </c>
      <c r="P58" s="5" t="inlineStr">
        <is>
          <t>Kept P3. The previous workbook had P3. Authored priority was P2.</t>
        </is>
      </c>
      <c r="Q58" s="20" t="inlineStr">
        <is>
          <t>Author assertion</t>
        </is>
      </c>
      <c r="R58" s="5" t="inlineStr">
        <is>
          <t>Kept P3. The previous workbook had P3. Authored priority was P2.</t>
        </is>
      </c>
      <c r="S58" s="8" t="inlineStr">
        <is>
          <t>GST</t>
        </is>
      </c>
      <c r="T58" s="5" t="inlineStr">
        <is>
          <t>GST and tax compliance</t>
        </is>
      </c>
      <c r="U58" s="8" t="inlineStr"/>
      <c r="V58" s="8" t="inlineStr">
        <is>
          <t>accounting</t>
        </is>
      </c>
      <c r="W58" s="8" t="inlineStr">
        <is>
          <t>CONTROL</t>
        </is>
      </c>
      <c r="X58" s="5" t="inlineStr">
        <is>
          <t>Future</t>
        </is>
      </c>
      <c r="Y58" s="5" t="inlineStr">
        <is>
          <t>Platform scope</t>
        </is>
      </c>
      <c r="Z58" s="5" t="inlineStr">
        <is>
          <t>High</t>
        </is>
      </c>
      <c r="AA58" s="5" t="inlineStr">
        <is>
          <t>High</t>
        </is>
      </c>
      <c r="AB58" s="8" t="inlineStr">
        <is>
          <t>High</t>
        </is>
      </c>
      <c r="AC58" s="8" t="inlineStr">
        <is>
          <t>Later</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P3</t>
        </is>
      </c>
      <c r="AL58" s="8" t="n">
        <v>9</v>
      </c>
      <c r="AM58" s="5" t="inlineStr"/>
      <c r="AN58" s="5" t="inlineStr"/>
      <c r="AO58" s="5" t="inlineStr"/>
      <c r="AP58" s="5" t="inlineStr"/>
      <c r="AQ58" s="5" t="inlineStr"/>
      <c r="AR58" s="5" t="inlineStr"/>
      <c r="AS58" s="5" t="inlineStr"/>
      <c r="AT58" s="5" t="inlineStr"/>
      <c r="AU58" s="8" t="inlineStr">
        <is>
          <t>Not run</t>
        </is>
      </c>
    </row>
    <row r="59" ht="32" customHeight="1">
      <c r="A59" s="16" t="inlineStr">
        <is>
          <t>C-0618</t>
        </is>
      </c>
      <c r="B59" s="8" t="inlineStr">
        <is>
          <t>C</t>
        </is>
      </c>
      <c r="C59" s="5" t="inlineStr">
        <is>
          <t>Statutory Compliance</t>
        </is>
      </c>
      <c r="D59" s="5" t="inlineStr">
        <is>
          <t>GST / Tax / Compliance</t>
        </is>
      </c>
      <c r="E59" s="5" t="inlineStr">
        <is>
          <t>E-Way Bill Part B vehicle update statutory time-limit and multi-vehicle consignment splitting</t>
        </is>
      </c>
      <c r="F59" s="5" t="inlineStr">
        <is>
          <t>Logistics Dispatcher</t>
        </is>
      </c>
      <c r="G59" s="5" t="inlineStr">
        <is>
          <t>Delivery Driver</t>
        </is>
      </c>
      <c r="H59" s="5" t="inlineStr">
        <is>
          <t>Split large multi-ton consignment into multiple small delivery tempos with individual Part B records</t>
        </is>
      </c>
      <c r="I59" s="5" t="inlineStr">
        <is>
          <t>Generates multi-vehicle E-Way Bill manifest; tracks individual vehicle delivery completion</t>
        </is>
      </c>
      <c r="J59" s="19" t="inlineStr">
        <is>
          <t>P0</t>
        </is>
      </c>
      <c r="K59" s="20" t="inlineStr">
        <is>
          <t>Validated (Supported)</t>
        </is>
      </c>
      <c r="L59" s="5" t="inlineStr">
        <is>
          <t>Supported via NIC Multi-Vehicle E-Way Bill transshipment module.</t>
        </is>
      </c>
      <c r="M59" s="8" t="inlineStr">
        <is>
          <t>Strategic expansion</t>
        </is>
      </c>
      <c r="N59" s="8" t="inlineStr">
        <is>
          <t>Platform or theme scope</t>
        </is>
      </c>
      <c r="O59" s="8" t="inlineStr">
        <is>
          <t>P1</t>
        </is>
      </c>
      <c r="P59" s="5" t="inlineStr">
        <is>
          <t>Kept P0. The previous workbook had P0. Authored priority was P1.</t>
        </is>
      </c>
      <c r="Q59" s="20" t="inlineStr">
        <is>
          <t>Author assertion</t>
        </is>
      </c>
      <c r="R59" s="5" t="inlineStr">
        <is>
          <t>Kept P0. The previous workbook had P0. Authored priority was P1.</t>
        </is>
      </c>
      <c r="S59" s="8" t="inlineStr">
        <is>
          <t>GST</t>
        </is>
      </c>
      <c r="T59" s="5" t="inlineStr">
        <is>
          <t>GST and tax compliance</t>
        </is>
      </c>
      <c r="U59" s="8" t="inlineStr"/>
      <c r="V59" s="8" t="inlineStr">
        <is>
          <t>accounting</t>
        </is>
      </c>
      <c r="W59" s="8" t="inlineStr">
        <is>
          <t>CONTROL</t>
        </is>
      </c>
      <c r="X59" s="5" t="inlineStr">
        <is>
          <t>Core</t>
        </is>
      </c>
      <c r="Y59" s="5" t="inlineStr">
        <is>
          <t>Platform scope</t>
        </is>
      </c>
      <c r="Z59" s="5" t="inlineStr">
        <is>
          <t>Critical</t>
        </is>
      </c>
      <c r="AA59" s="5" t="inlineStr">
        <is>
          <t>High</t>
        </is>
      </c>
      <c r="AB59" s="8" t="inlineStr">
        <is>
          <t>High</t>
        </is>
      </c>
      <c r="AC59" s="8" t="inlineStr">
        <is>
          <t>MVP</t>
        </is>
      </c>
      <c r="AD59" s="5" t="inlineStr">
        <is>
          <t>Not independently checked</t>
        </is>
      </c>
      <c r="AE59" s="5" t="inlineStr">
        <is>
          <t>Not verified</t>
        </is>
      </c>
      <c r="AF59" s="5" t="inlineStr">
        <is>
          <t>Not verified</t>
        </is>
      </c>
      <c r="AG59" s="5" t="inlineStr">
        <is>
          <t>Not verified</t>
        </is>
      </c>
      <c r="AH59" s="5" t="inlineStr">
        <is>
          <t>Not verified</t>
        </is>
      </c>
      <c r="AI59" s="8" t="inlineStr">
        <is>
          <t>No</t>
        </is>
      </c>
      <c r="AJ59" s="8" t="inlineStr">
        <is>
          <t>Claimed - unverified</t>
        </is>
      </c>
      <c r="AK59" s="8" t="inlineStr">
        <is>
          <t>P0</t>
        </is>
      </c>
      <c r="AL59" s="8" t="n">
        <v>27</v>
      </c>
      <c r="AM59" s="5" t="inlineStr"/>
      <c r="AN59" s="5" t="inlineStr"/>
      <c r="AO59" s="5" t="inlineStr"/>
      <c r="AP59" s="5" t="inlineStr"/>
      <c r="AQ59" s="5" t="inlineStr"/>
      <c r="AR59" s="5" t="inlineStr"/>
      <c r="AS59" s="5" t="inlineStr"/>
      <c r="AT59" s="5" t="inlineStr"/>
      <c r="AU59" s="8" t="inlineStr">
        <is>
          <t>Not run</t>
        </is>
      </c>
    </row>
    <row r="60" ht="32" customHeight="1">
      <c r="A60" s="16" t="inlineStr">
        <is>
          <t>C-0619</t>
        </is>
      </c>
      <c r="B60" s="8" t="inlineStr">
        <is>
          <t>C</t>
        </is>
      </c>
      <c r="C60" s="5" t="inlineStr">
        <is>
          <t>Statutory Compliance</t>
        </is>
      </c>
      <c r="D60" s="5" t="inlineStr">
        <is>
          <t>GST / Tax / Compliance</t>
        </is>
      </c>
      <c r="E60" s="5" t="inlineStr">
        <is>
          <t>Section 171 CGST Act Anti-Profiteering tax rate cut price reduction compliance verification</t>
        </is>
      </c>
      <c r="F60" s="5" t="inlineStr">
        <is>
          <t>Catalog Manager</t>
        </is>
      </c>
      <c r="G60" s="5" t="inlineStr">
        <is>
          <t>In-house Accountant</t>
        </is>
      </c>
      <c r="H60" s="5" t="inlineStr">
        <is>
          <t>Verify that government GST rate reductions (e.g. 18% to 12%) are commensurate with selling price cuts</t>
        </is>
      </c>
      <c r="I60" s="5" t="inlineStr">
        <is>
          <t>Calculates price reduction formula; adjusts product master selling prices to pass benefit to consumers</t>
        </is>
      </c>
      <c r="J60" s="24" t="inlineStr">
        <is>
          <t>P3</t>
        </is>
      </c>
      <c r="K60" s="20" t="inlineStr">
        <is>
          <t>Validated (Supported)</t>
        </is>
      </c>
      <c r="L60" s="5" t="inlineStr">
        <is>
          <t>Anti-profiteering price adjustment audit worksheet.</t>
        </is>
      </c>
      <c r="M60" s="8" t="inlineStr">
        <is>
          <t>Strategic expansion</t>
        </is>
      </c>
      <c r="N60" s="8" t="inlineStr">
        <is>
          <t>Platform or theme scope</t>
        </is>
      </c>
      <c r="O60" s="8" t="inlineStr">
        <is>
          <t>P2</t>
        </is>
      </c>
      <c r="P60" s="5" t="inlineStr">
        <is>
          <t>Kept P3. The previous workbook had P3. Authored priority was P2.</t>
        </is>
      </c>
      <c r="Q60" s="20" t="inlineStr">
        <is>
          <t>Author assertion</t>
        </is>
      </c>
      <c r="R60" s="5" t="inlineStr">
        <is>
          <t>Kept P3. The previous workbook had P3. Authored priority was P2.</t>
        </is>
      </c>
      <c r="S60" s="8" t="inlineStr">
        <is>
          <t>GST</t>
        </is>
      </c>
      <c r="T60" s="5" t="inlineStr">
        <is>
          <t>GST and tax compliance</t>
        </is>
      </c>
      <c r="U60" s="8" t="inlineStr"/>
      <c r="V60" s="8" t="inlineStr">
        <is>
          <t>accounting</t>
        </is>
      </c>
      <c r="W60" s="8" t="inlineStr">
        <is>
          <t>CONTROL</t>
        </is>
      </c>
      <c r="X60" s="5" t="inlineStr">
        <is>
          <t>Future</t>
        </is>
      </c>
      <c r="Y60" s="5" t="inlineStr">
        <is>
          <t>Platform scope</t>
        </is>
      </c>
      <c r="Z60" s="5" t="inlineStr">
        <is>
          <t>High</t>
        </is>
      </c>
      <c r="AA60" s="5" t="inlineStr">
        <is>
          <t>High</t>
        </is>
      </c>
      <c r="AB60" s="8" t="inlineStr">
        <is>
          <t>High</t>
        </is>
      </c>
      <c r="AC60" s="8" t="inlineStr">
        <is>
          <t>Later</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P3</t>
        </is>
      </c>
      <c r="AL60" s="8" t="n">
        <v>9</v>
      </c>
      <c r="AM60" s="5" t="inlineStr"/>
      <c r="AN60" s="5" t="inlineStr"/>
      <c r="AO60" s="5" t="inlineStr"/>
      <c r="AP60" s="5" t="inlineStr"/>
      <c r="AQ60" s="5" t="inlineStr"/>
      <c r="AR60" s="5" t="inlineStr"/>
      <c r="AS60" s="5" t="inlineStr"/>
      <c r="AT60" s="5" t="inlineStr"/>
      <c r="AU60" s="8" t="inlineStr">
        <is>
          <t>Not run</t>
        </is>
      </c>
    </row>
    <row r="61" ht="32" customHeight="1">
      <c r="A61" s="16" t="inlineStr">
        <is>
          <t>C-0620</t>
        </is>
      </c>
      <c r="B61" s="8" t="inlineStr">
        <is>
          <t>C</t>
        </is>
      </c>
      <c r="C61" s="5" t="inlineStr">
        <is>
          <t>Statutory Compliance</t>
        </is>
      </c>
      <c r="D61" s="5" t="inlineStr">
        <is>
          <t>Security / Exception / Recovery</t>
        </is>
      </c>
      <c r="E61" s="5" t="inlineStr">
        <is>
          <t>Digital Personal Data Protection (DPDP) Act 2023 customer consent logging and withdrawal</t>
        </is>
      </c>
      <c r="F61" s="5" t="inlineStr">
        <is>
          <t>Data Protection Officer</t>
        </is>
      </c>
      <c r="G61" s="5" t="inlineStr">
        <is>
          <t>Customer</t>
        </is>
      </c>
      <c r="H61" s="5" t="inlineStr">
        <is>
          <t>Capture explicit digital consent from customer for WhatsApp marketing messages and data processing</t>
        </is>
      </c>
      <c r="I61" s="5" t="inlineStr">
        <is>
          <t>Logs consent timestamp and IP address; immediately halts marketing messaging upon consent withdrawal</t>
        </is>
      </c>
      <c r="J61" s="20" t="inlineStr">
        <is>
          <t>P1</t>
        </is>
      </c>
      <c r="K61" s="20" t="inlineStr">
        <is>
          <t>Validated (Supported)</t>
        </is>
      </c>
      <c r="L61" s="5" t="inlineStr">
        <is>
          <t>Customer Consent Ledger conforming to Section 6 of Indian DPDP Act 2023.</t>
        </is>
      </c>
      <c r="M61" s="8" t="inlineStr">
        <is>
          <t>Strategic expansion</t>
        </is>
      </c>
      <c r="N61" s="8" t="inlineStr">
        <is>
          <t>Platform or theme scope</t>
        </is>
      </c>
      <c r="O61" s="8" t="inlineStr">
        <is>
          <t>P1</t>
        </is>
      </c>
      <c r="P61" s="5" t="inlineStr">
        <is>
          <t>Unchanged</t>
        </is>
      </c>
      <c r="Q61" s="20" t="inlineStr">
        <is>
          <t>Author assertion</t>
        </is>
      </c>
      <c r="R61" s="5" t="inlineStr"/>
      <c r="S61" s="8" t="inlineStr">
        <is>
          <t>OTHER</t>
        </is>
      </c>
      <c r="T61" s="5" t="inlineStr">
        <is>
          <t>Security / Exception / Recovery</t>
        </is>
      </c>
      <c r="U61" s="8" t="inlineStr"/>
      <c r="V61" s="8" t="inlineStr"/>
      <c r="W61" s="8" t="inlineStr">
        <is>
          <t>CONTROL</t>
        </is>
      </c>
      <c r="X61" s="5" t="inlineStr">
        <is>
          <t>Core</t>
        </is>
      </c>
      <c r="Y61" s="5" t="inlineStr">
        <is>
          <t>Platform scope</t>
        </is>
      </c>
      <c r="Z61" s="5" t="inlineStr">
        <is>
          <t>High</t>
        </is>
      </c>
      <c r="AA61" s="5" t="inlineStr">
        <is>
          <t>Medium</t>
        </is>
      </c>
      <c r="AB61" s="8" t="inlineStr">
        <is>
          <t>Medium</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12</v>
      </c>
      <c r="AM61" s="5" t="inlineStr"/>
      <c r="AN61" s="5" t="inlineStr"/>
      <c r="AO61" s="5" t="inlineStr"/>
      <c r="AP61" s="5" t="inlineStr"/>
      <c r="AQ61" s="5" t="inlineStr"/>
      <c r="AR61" s="5" t="inlineStr"/>
      <c r="AS61" s="5" t="inlineStr"/>
      <c r="AT61" s="5" t="inlineStr"/>
      <c r="AU61" s="8" t="inlineStr">
        <is>
          <t>Not run</t>
        </is>
      </c>
    </row>
    <row r="62" ht="32" customHeight="1">
      <c r="A62" s="16" t="inlineStr">
        <is>
          <t>SEC-0621</t>
        </is>
      </c>
      <c r="B62" s="8" t="inlineStr">
        <is>
          <t>SEC</t>
        </is>
      </c>
      <c r="C62" s="5" t="inlineStr">
        <is>
          <t>System Administrator</t>
        </is>
      </c>
      <c r="D62" s="5" t="inlineStr">
        <is>
          <t>Security / Exception / Recovery</t>
        </is>
      </c>
      <c r="E62" s="5" t="inlineStr">
        <is>
          <t>Multi-tenant PostgreSQL Row-Level Security (RLS) tenant isolation enforcement</t>
        </is>
      </c>
      <c r="F62" s="5" t="inlineStr">
        <is>
          <t>Database Engine / RLS</t>
        </is>
      </c>
      <c r="G62" s="5" t="inlineStr">
        <is>
          <t>System Administrator</t>
        </is>
      </c>
      <c r="H62" s="5" t="inlineStr">
        <is>
          <t>Hardware-enforced tenant isolation guaranteeing Company A can never view or modify Company B data</t>
        </is>
      </c>
      <c r="I62" s="5" t="inlineStr">
        <is>
          <t>Sets GUC app.company_id per database connection; rejects any query attempting cross-tenant access</t>
        </is>
      </c>
      <c r="J62" s="19" t="inlineStr">
        <is>
          <t>P0</t>
        </is>
      </c>
      <c r="K62" s="20" t="inlineStr">
        <is>
          <t>Validated (Supported)</t>
        </is>
      </c>
      <c r="L62" s="5" t="inlineStr">
        <is>
          <t>PostgreSQL native Row-Level Security (RLS) policies on all tenant-scoped tables.</t>
        </is>
      </c>
      <c r="M62" s="8" t="inlineStr">
        <is>
          <t>Strategic expansion</t>
        </is>
      </c>
      <c r="N62" s="8" t="inlineStr">
        <is>
          <t>Platform or theme scope</t>
        </is>
      </c>
      <c r="O62" s="8" t="inlineStr">
        <is>
          <t>P0</t>
        </is>
      </c>
      <c r="P62" s="5" t="inlineStr">
        <is>
          <t>Unchanged</t>
        </is>
      </c>
      <c r="Q62" s="21" t="inlineStr">
        <is>
          <t>Code symbol found</t>
        </is>
      </c>
      <c r="R62" s="5" t="inlineStr">
        <is>
          <t>Matched ostgreSQL in product code. This is not a functional test.</t>
        </is>
      </c>
      <c r="S62" s="8" t="inlineStr">
        <is>
          <t>OTHER</t>
        </is>
      </c>
      <c r="T62" s="5" t="inlineStr">
        <is>
          <t>Security / Exception / Recovery</t>
        </is>
      </c>
      <c r="U62" s="8" t="inlineStr"/>
      <c r="V62" s="8" t="inlineStr"/>
      <c r="W62" s="8" t="inlineStr">
        <is>
          <t>CONTROL</t>
        </is>
      </c>
      <c r="X62" s="5" t="inlineStr">
        <is>
          <t>Core</t>
        </is>
      </c>
      <c r="Y62" s="5" t="inlineStr">
        <is>
          <t>System</t>
        </is>
      </c>
      <c r="Z62" s="5" t="inlineStr">
        <is>
          <t>High</t>
        </is>
      </c>
      <c r="AA62" s="5" t="inlineStr">
        <is>
          <t>Medium</t>
        </is>
      </c>
      <c r="AB62" s="8" t="inlineStr">
        <is>
          <t>Medium</t>
        </is>
      </c>
      <c r="AC62" s="8" t="inlineStr">
        <is>
          <t>MVP</t>
        </is>
      </c>
      <c r="AD62" s="5" t="inlineStr">
        <is>
          <t>Cited in code</t>
        </is>
      </c>
      <c r="AE62" s="5" t="inlineStr">
        <is>
          <t>Not verified</t>
        </is>
      </c>
      <c r="AF62" s="5" t="inlineStr">
        <is>
          <t>Not verified</t>
        </is>
      </c>
      <c r="AG62" s="5" t="inlineStr">
        <is>
          <t>Not verified</t>
        </is>
      </c>
      <c r="AH62" s="5" t="inlineStr">
        <is>
          <t>Not verified</t>
        </is>
      </c>
      <c r="AI62" s="8" t="inlineStr">
        <is>
          <t>No</t>
        </is>
      </c>
      <c r="AJ62" s="8" t="inlineStr">
        <is>
          <t>Built - unverified</t>
        </is>
      </c>
      <c r="AK62" s="8" t="inlineStr">
        <is>
          <t>P0</t>
        </is>
      </c>
      <c r="AL62" s="8" t="n">
        <v>12</v>
      </c>
      <c r="AM62" s="5" t="inlineStr"/>
      <c r="AN62" s="5" t="inlineStr"/>
      <c r="AO62" s="5" t="inlineStr"/>
      <c r="AP62" s="5" t="inlineStr"/>
      <c r="AQ62" s="5" t="inlineStr"/>
      <c r="AR62" s="5" t="inlineStr"/>
      <c r="AS62" s="5" t="inlineStr"/>
      <c r="AT62" s="5" t="inlineStr"/>
      <c r="AU62" s="8" t="inlineStr">
        <is>
          <t>Not run</t>
        </is>
      </c>
    </row>
    <row r="63" ht="32" customHeight="1">
      <c r="A63" s="16" t="inlineStr">
        <is>
          <t>SEC-0622</t>
        </is>
      </c>
      <c r="B63" s="8" t="inlineStr">
        <is>
          <t>SEC</t>
        </is>
      </c>
      <c r="C63" s="5" t="inlineStr">
        <is>
          <t>System Administrator</t>
        </is>
      </c>
      <c r="D63" s="5" t="inlineStr">
        <is>
          <t>Security / Exception / Recovery</t>
        </is>
      </c>
      <c r="E63" s="5" t="inlineStr">
        <is>
          <t>Field-level role masking for sensitive commercial margins and cost prices</t>
        </is>
      </c>
      <c r="F63" s="5" t="inlineStr">
        <is>
          <t>API Serializer / UI Guard</t>
        </is>
      </c>
      <c r="G63" s="5" t="inlineStr">
        <is>
          <t>Billing Clerk / Driver</t>
        </is>
      </c>
      <c r="H63" s="5" t="inlineStr">
        <is>
          <t>Billing clerks and delivery staff cannot inspect supplier purchase costs or gross margin percentages</t>
        </is>
      </c>
      <c r="I63" s="5" t="inlineStr">
        <is>
          <t>Omits cost_price and margin fields from JSON serializer response based on requesting user role</t>
        </is>
      </c>
      <c r="J63" s="19" t="inlineStr">
        <is>
          <t>P0</t>
        </is>
      </c>
      <c r="K63" s="20" t="inlineStr">
        <is>
          <t>Validated (Supported)</t>
        </is>
      </c>
      <c r="L63" s="5" t="inlineStr">
        <is>
          <t>Role-scoped serializer field permissions in Django REST Framework.</t>
        </is>
      </c>
      <c r="M63" s="8" t="inlineStr">
        <is>
          <t>Strategic expansion</t>
        </is>
      </c>
      <c r="N63" s="8" t="inlineStr">
        <is>
          <t>Platform or theme scope</t>
        </is>
      </c>
      <c r="O63" s="8" t="inlineStr">
        <is>
          <t>P0</t>
        </is>
      </c>
      <c r="P63" s="5" t="inlineStr">
        <is>
          <t>Unchanged</t>
        </is>
      </c>
      <c r="Q63" s="20" t="inlineStr">
        <is>
          <t>Author assertion</t>
        </is>
      </c>
      <c r="R63" s="5" t="inlineStr"/>
      <c r="S63" s="8" t="inlineStr">
        <is>
          <t>OTHER</t>
        </is>
      </c>
      <c r="T63" s="5" t="inlineStr">
        <is>
          <t>Security / Exception / Recovery</t>
        </is>
      </c>
      <c r="U63" s="8" t="inlineStr"/>
      <c r="V63" s="8" t="inlineStr"/>
      <c r="W63" s="8" t="inlineStr">
        <is>
          <t>CONTROL</t>
        </is>
      </c>
      <c r="X63" s="5" t="inlineStr">
        <is>
          <t>Core</t>
        </is>
      </c>
      <c r="Y63" s="5" t="inlineStr">
        <is>
          <t>System</t>
        </is>
      </c>
      <c r="Z63" s="5" t="inlineStr">
        <is>
          <t>High</t>
        </is>
      </c>
      <c r="AA63" s="5" t="inlineStr">
        <is>
          <t>Medium</t>
        </is>
      </c>
      <c r="AB63" s="8" t="inlineStr">
        <is>
          <t>Medium</t>
        </is>
      </c>
      <c r="AC63" s="8" t="inlineStr">
        <is>
          <t>MVP</t>
        </is>
      </c>
      <c r="AD63" s="5" t="inlineStr">
        <is>
          <t>Not independently checked</t>
        </is>
      </c>
      <c r="AE63" s="5" t="inlineStr">
        <is>
          <t>Not verified</t>
        </is>
      </c>
      <c r="AF63" s="5" t="inlineStr">
        <is>
          <t>Not verified</t>
        </is>
      </c>
      <c r="AG63" s="5" t="inlineStr">
        <is>
          <t>Not verified</t>
        </is>
      </c>
      <c r="AH63" s="5" t="inlineStr">
        <is>
          <t>Not verified</t>
        </is>
      </c>
      <c r="AI63" s="8" t="inlineStr">
        <is>
          <t>No</t>
        </is>
      </c>
      <c r="AJ63" s="8" t="inlineStr">
        <is>
          <t>Claimed - unverified</t>
        </is>
      </c>
      <c r="AK63" s="8" t="inlineStr">
        <is>
          <t>P0</t>
        </is>
      </c>
      <c r="AL63" s="8" t="n">
        <v>12</v>
      </c>
      <c r="AM63" s="5" t="inlineStr"/>
      <c r="AN63" s="5" t="inlineStr"/>
      <c r="AO63" s="5" t="inlineStr"/>
      <c r="AP63" s="5" t="inlineStr"/>
      <c r="AQ63" s="5" t="inlineStr"/>
      <c r="AR63" s="5" t="inlineStr"/>
      <c r="AS63" s="5" t="inlineStr"/>
      <c r="AT63" s="5" t="inlineStr"/>
      <c r="AU63" s="8" t="inlineStr">
        <is>
          <t>Not run</t>
        </is>
      </c>
    </row>
    <row r="64" ht="32" customHeight="1">
      <c r="A64" s="16" t="inlineStr">
        <is>
          <t>SEC-0623</t>
        </is>
      </c>
      <c r="B64" s="8" t="inlineStr">
        <is>
          <t>SEC</t>
        </is>
      </c>
      <c r="C64" s="5" t="inlineStr">
        <is>
          <t>System Administrator</t>
        </is>
      </c>
      <c r="D64" s="5" t="inlineStr">
        <is>
          <t>Security / Exception / Recovery</t>
        </is>
      </c>
      <c r="E64" s="5" t="inlineStr">
        <is>
          <t>Granular export permission gate preventing bulk customer list exfiltration</t>
        </is>
      </c>
      <c r="F64" s="5" t="inlineStr">
        <is>
          <t>Permission Guard</t>
        </is>
      </c>
      <c r="G64" s="5" t="inlineStr">
        <is>
          <t>Sales Staff / Cashier</t>
        </is>
      </c>
      <c r="H64" s="5" t="inlineStr">
        <is>
          <t>Prevent disgruntled departing employees from exporting customer phone numbers and sales registers to Excel</t>
        </is>
      </c>
      <c r="I64" s="5" t="inlineStr">
        <is>
          <t>Blocks export button and HTTP export endpoints for non-admin roles; logs export access attempts</t>
        </is>
      </c>
      <c r="J64" s="19" t="inlineStr">
        <is>
          <t>P0</t>
        </is>
      </c>
      <c r="K64" s="20" t="inlineStr">
        <is>
          <t>Validated (Supported)</t>
        </is>
      </c>
      <c r="L64" s="5" t="inlineStr">
        <is>
          <t>Dedicated permission 'can_export_master_data' restricted to Owner and Admin roles.</t>
        </is>
      </c>
      <c r="M64" s="8" t="inlineStr">
        <is>
          <t>Strategic expansion</t>
        </is>
      </c>
      <c r="N64" s="8" t="inlineStr">
        <is>
          <t>Platform or theme scope</t>
        </is>
      </c>
      <c r="O64" s="8" t="inlineStr">
        <is>
          <t>P0</t>
        </is>
      </c>
      <c r="P64" s="5" t="inlineStr">
        <is>
          <t>Unchanged</t>
        </is>
      </c>
      <c r="Q64" s="20" t="inlineStr">
        <is>
          <t>Author assertion</t>
        </is>
      </c>
      <c r="R64" s="5" t="inlineStr"/>
      <c r="S64" s="8" t="inlineStr">
        <is>
          <t>OTHER</t>
        </is>
      </c>
      <c r="T64" s="5" t="inlineStr">
        <is>
          <t>Security / Exception / Recovery</t>
        </is>
      </c>
      <c r="U64" s="8" t="inlineStr"/>
      <c r="V64" s="8" t="inlineStr"/>
      <c r="W64" s="8" t="inlineStr">
        <is>
          <t>CONTROL</t>
        </is>
      </c>
      <c r="X64" s="5" t="inlineStr">
        <is>
          <t>Core</t>
        </is>
      </c>
      <c r="Y64" s="5" t="inlineStr">
        <is>
          <t>System</t>
        </is>
      </c>
      <c r="Z64" s="5" t="inlineStr">
        <is>
          <t>High</t>
        </is>
      </c>
      <c r="AA64" s="5" t="inlineStr">
        <is>
          <t>Medium</t>
        </is>
      </c>
      <c r="AB64" s="8" t="inlineStr">
        <is>
          <t>Medium</t>
        </is>
      </c>
      <c r="AC64" s="8" t="inlineStr">
        <is>
          <t>MVP</t>
        </is>
      </c>
      <c r="AD64" s="5" t="inlineStr">
        <is>
          <t>Not independently checked</t>
        </is>
      </c>
      <c r="AE64" s="5" t="inlineStr">
        <is>
          <t>Not verified</t>
        </is>
      </c>
      <c r="AF64" s="5" t="inlineStr">
        <is>
          <t>Not verified</t>
        </is>
      </c>
      <c r="AG64" s="5" t="inlineStr">
        <is>
          <t>Not verified</t>
        </is>
      </c>
      <c r="AH64" s="5" t="inlineStr">
        <is>
          <t>Not verified</t>
        </is>
      </c>
      <c r="AI64" s="8" t="inlineStr">
        <is>
          <t>No</t>
        </is>
      </c>
      <c r="AJ64" s="8" t="inlineStr">
        <is>
          <t>Claimed - unverified</t>
        </is>
      </c>
      <c r="AK64" s="8" t="inlineStr">
        <is>
          <t>P0</t>
        </is>
      </c>
      <c r="AL64" s="8" t="n">
        <v>12</v>
      </c>
      <c r="AM64" s="5" t="inlineStr"/>
      <c r="AN64" s="5" t="inlineStr"/>
      <c r="AO64" s="5" t="inlineStr"/>
      <c r="AP64" s="5" t="inlineStr"/>
      <c r="AQ64" s="5" t="inlineStr"/>
      <c r="AR64" s="5" t="inlineStr"/>
      <c r="AS64" s="5" t="inlineStr"/>
      <c r="AT64" s="5" t="inlineStr"/>
      <c r="AU64" s="8" t="inlineStr">
        <is>
          <t>Not run</t>
        </is>
      </c>
    </row>
    <row r="65" ht="32" customHeight="1">
      <c r="A65" s="16" t="inlineStr">
        <is>
          <t>SEC-0624</t>
        </is>
      </c>
      <c r="B65" s="8" t="inlineStr">
        <is>
          <t>SEC</t>
        </is>
      </c>
      <c r="C65" s="5" t="inlineStr">
        <is>
          <t>System Administrator</t>
        </is>
      </c>
      <c r="D65" s="5" t="inlineStr">
        <is>
          <t>Security / Exception / Recovery</t>
        </is>
      </c>
      <c r="E65" s="5" t="inlineStr">
        <is>
          <t>Time-based One-Time Password (TOTP) two-factor authentication (2FA) for admin roles</t>
        </is>
      </c>
      <c r="F65" s="5" t="inlineStr">
        <is>
          <t>Auth Engine</t>
        </is>
      </c>
      <c r="G65" s="5" t="inlineStr">
        <is>
          <t>Business Owner / Accountant</t>
        </is>
      </c>
      <c r="H65" s="5" t="inlineStr">
        <is>
          <t>Enforce Google Authenticator / TOTP 2FA for users accessing financial and tax filing screens</t>
        </is>
      </c>
      <c r="I65" s="5" t="inlineStr">
        <is>
          <t>Requires 6-digit TOTP code during login; prevents account compromise from stolen passwords</t>
        </is>
      </c>
      <c r="J65" s="19" t="inlineStr">
        <is>
          <t>P0</t>
        </is>
      </c>
      <c r="K65" s="19" t="inlineStr">
        <is>
          <t>Mechanism not found</t>
        </is>
      </c>
      <c r="L65" s="5" t="inlineStr">
        <is>
          <t>TOTP 2FA implementation using django-otp library.</t>
        </is>
      </c>
      <c r="M65" s="8" t="inlineStr">
        <is>
          <t>Strategic expansion</t>
        </is>
      </c>
      <c r="N65" s="8" t="inlineStr">
        <is>
          <t>Platform or theme scope</t>
        </is>
      </c>
      <c r="O65" s="8" t="inlineStr">
        <is>
          <t>P0</t>
        </is>
      </c>
      <c r="P65" s="5" t="inlineStr">
        <is>
          <t>Unchanged</t>
        </is>
      </c>
      <c r="Q65" s="19" t="inlineStr">
        <is>
          <t>Mechanism not found</t>
        </is>
      </c>
      <c r="R65" s="5" t="inlineStr">
        <is>
          <t>django-otp is not used in application code.</t>
        </is>
      </c>
      <c r="S65" s="8" t="inlineStr">
        <is>
          <t>OTHER</t>
        </is>
      </c>
      <c r="T65" s="5" t="inlineStr">
        <is>
          <t>Security / Exception / Recovery</t>
        </is>
      </c>
      <c r="U65" s="8" t="inlineStr"/>
      <c r="V65" s="8" t="inlineStr"/>
      <c r="W65" s="8" t="inlineStr">
        <is>
          <t>CONTROL</t>
        </is>
      </c>
      <c r="X65" s="5" t="inlineStr">
        <is>
          <t>Core</t>
        </is>
      </c>
      <c r="Y65" s="5" t="inlineStr">
        <is>
          <t>System</t>
        </is>
      </c>
      <c r="Z65" s="5" t="inlineStr">
        <is>
          <t>High</t>
        </is>
      </c>
      <c r="AA65" s="5" t="inlineStr">
        <is>
          <t>Medium</t>
        </is>
      </c>
      <c r="AB65" s="8" t="inlineStr">
        <is>
          <t>Medium</t>
        </is>
      </c>
      <c r="AC65" s="8" t="inlineStr">
        <is>
          <t>MVP</t>
        </is>
      </c>
      <c r="AD65" s="5" t="inlineStr">
        <is>
          <t>Not in code</t>
        </is>
      </c>
      <c r="AE65" s="5" t="inlineStr">
        <is>
          <t>Not verified</t>
        </is>
      </c>
      <c r="AF65" s="5" t="inlineStr">
        <is>
          <t>Not verified</t>
        </is>
      </c>
      <c r="AG65" s="5" t="inlineStr">
        <is>
          <t>Not verified</t>
        </is>
      </c>
      <c r="AH65" s="5" t="inlineStr">
        <is>
          <t>Not verified</t>
        </is>
      </c>
      <c r="AI65" s="8" t="inlineStr">
        <is>
          <t>No</t>
        </is>
      </c>
      <c r="AJ65" s="8" t="inlineStr">
        <is>
          <t>Gap</t>
        </is>
      </c>
      <c r="AK65" s="8" t="inlineStr">
        <is>
          <t>P0</t>
        </is>
      </c>
      <c r="AL65" s="8" t="n">
        <v>12</v>
      </c>
      <c r="AM65" s="5" t="inlineStr"/>
      <c r="AN65" s="5" t="inlineStr"/>
      <c r="AO65" s="5" t="inlineStr"/>
      <c r="AP65" s="5" t="inlineStr"/>
      <c r="AQ65" s="5" t="inlineStr"/>
      <c r="AR65" s="5" t="inlineStr"/>
      <c r="AS65" s="5" t="inlineStr"/>
      <c r="AT65" s="5" t="inlineStr"/>
      <c r="AU65" s="8" t="inlineStr">
        <is>
          <t>Not run</t>
        </is>
      </c>
    </row>
    <row r="66" ht="32" customHeight="1">
      <c r="A66" s="16" t="inlineStr">
        <is>
          <t>SEC-0625</t>
        </is>
      </c>
      <c r="B66" s="8" t="inlineStr">
        <is>
          <t>SEC</t>
        </is>
      </c>
      <c r="C66" s="5" t="inlineStr">
        <is>
          <t>System Administrator</t>
        </is>
      </c>
      <c r="D66" s="5" t="inlineStr">
        <is>
          <t>Security / Exception / Recovery</t>
        </is>
      </c>
      <c r="E66" s="5" t="inlineStr">
        <is>
          <t>Instant user deactivation and immediate JWT session revocation</t>
        </is>
      </c>
      <c r="F66" s="5" t="inlineStr">
        <is>
          <t>Auth Engine</t>
        </is>
      </c>
      <c r="G66" s="5" t="inlineStr">
        <is>
          <t>Terminated Employee</t>
        </is>
      </c>
      <c r="H66" s="5" t="inlineStr">
        <is>
          <t>Terminate an employee's access in 1 click; immediately revokes all active mobile and desktop sessions</t>
        </is>
      </c>
      <c r="I66" s="5" t="inlineStr">
        <is>
          <t>Blacklists active JWT tokens in Redis; drops WebSocket connections; prevents further API calls</t>
        </is>
      </c>
      <c r="J66" s="19" t="inlineStr">
        <is>
          <t>P0</t>
        </is>
      </c>
      <c r="K66" s="20" t="inlineStr">
        <is>
          <t>Validated (Supported)</t>
        </is>
      </c>
      <c r="L66" s="5" t="inlineStr">
        <is>
          <t>Redis JWT token revocation blocklist evaluated on every authenticated request.</t>
        </is>
      </c>
      <c r="M66" s="8" t="inlineStr">
        <is>
          <t>Strategic expansion</t>
        </is>
      </c>
      <c r="N66" s="8" t="inlineStr">
        <is>
          <t>Platform or theme scope</t>
        </is>
      </c>
      <c r="O66" s="8" t="inlineStr">
        <is>
          <t>P0</t>
        </is>
      </c>
      <c r="P66" s="5" t="inlineStr">
        <is>
          <t>Unchanged</t>
        </is>
      </c>
      <c r="Q66" s="20" t="inlineStr">
        <is>
          <t>Author assertion</t>
        </is>
      </c>
      <c r="R66" s="5" t="inlineStr"/>
      <c r="S66" s="8" t="inlineStr">
        <is>
          <t>OTHER</t>
        </is>
      </c>
      <c r="T66" s="5" t="inlineStr">
        <is>
          <t>Security / Exception / Recovery</t>
        </is>
      </c>
      <c r="U66" s="8" t="inlineStr"/>
      <c r="V66" s="8" t="inlineStr"/>
      <c r="W66" s="8" t="inlineStr">
        <is>
          <t>CONTROL</t>
        </is>
      </c>
      <c r="X66" s="5" t="inlineStr">
        <is>
          <t>Core</t>
        </is>
      </c>
      <c r="Y66" s="5" t="inlineStr">
        <is>
          <t>System</t>
        </is>
      </c>
      <c r="Z66" s="5" t="inlineStr">
        <is>
          <t>High</t>
        </is>
      </c>
      <c r="AA66" s="5" t="inlineStr">
        <is>
          <t>Medium</t>
        </is>
      </c>
      <c r="AB66" s="8" t="inlineStr">
        <is>
          <t>Medium</t>
        </is>
      </c>
      <c r="AC66" s="8" t="inlineStr">
        <is>
          <t>MVP</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P0</t>
        </is>
      </c>
      <c r="AL66" s="8" t="n">
        <v>12</v>
      </c>
      <c r="AM66" s="5" t="inlineStr"/>
      <c r="AN66" s="5" t="inlineStr"/>
      <c r="AO66" s="5" t="inlineStr"/>
      <c r="AP66" s="5" t="inlineStr"/>
      <c r="AQ66" s="5" t="inlineStr"/>
      <c r="AR66" s="5" t="inlineStr"/>
      <c r="AS66" s="5" t="inlineStr"/>
      <c r="AT66" s="5" t="inlineStr"/>
      <c r="AU66" s="8" t="inlineStr">
        <is>
          <t>Not run</t>
        </is>
      </c>
    </row>
    <row r="67" ht="32" customHeight="1">
      <c r="A67" s="16" t="inlineStr">
        <is>
          <t>SEC-0626</t>
        </is>
      </c>
      <c r="B67" s="8" t="inlineStr">
        <is>
          <t>SEC</t>
        </is>
      </c>
      <c r="C67" s="5" t="inlineStr">
        <is>
          <t>System Administrator</t>
        </is>
      </c>
      <c r="D67" s="5" t="inlineStr">
        <is>
          <t>Security / Exception / Recovery</t>
        </is>
      </c>
      <c r="E67" s="5" t="inlineStr">
        <is>
          <t>Cross-Site Scripting (XSS) and SQL injection sanitization on document notes and inputs</t>
        </is>
      </c>
      <c r="F67" s="5" t="inlineStr">
        <is>
          <t>API Request Filter</t>
        </is>
      </c>
      <c r="G67" s="5" t="inlineStr">
        <is>
          <t>Malicious Actor</t>
        </is>
      </c>
      <c r="H67" s="5" t="inlineStr">
        <is>
          <t>Sanitize all user-entered notes, customer names, and invoice descriptions to prevent malicious script injection</t>
        </is>
      </c>
      <c r="I67" s="5" t="inlineStr">
        <is>
          <t>Strips HTML/script tags using Bleach library; parameterizes all raw SQL queries</t>
        </is>
      </c>
      <c r="J67" s="19" t="inlineStr">
        <is>
          <t>P0</t>
        </is>
      </c>
      <c r="K67" s="20" t="inlineStr">
        <is>
          <t>Validated (Supported)</t>
        </is>
      </c>
      <c r="L67" s="5" t="inlineStr">
        <is>
          <t>Core framework invariant: parameterized ORM queries and input HTML sanitization.</t>
        </is>
      </c>
      <c r="M67" s="8" t="inlineStr">
        <is>
          <t>Strategic expansion</t>
        </is>
      </c>
      <c r="N67" s="8" t="inlineStr">
        <is>
          <t>Platform or theme scope</t>
        </is>
      </c>
      <c r="O67" s="8" t="inlineStr">
        <is>
          <t>P0</t>
        </is>
      </c>
      <c r="P67" s="5" t="inlineStr">
        <is>
          <t>Unchanged</t>
        </is>
      </c>
      <c r="Q67" s="20" t="inlineStr">
        <is>
          <t>Author assertion</t>
        </is>
      </c>
      <c r="R67" s="5" t="inlineStr"/>
      <c r="S67" s="8" t="inlineStr">
        <is>
          <t>OTHER</t>
        </is>
      </c>
      <c r="T67" s="5" t="inlineStr">
        <is>
          <t>Security / Exception / Recovery</t>
        </is>
      </c>
      <c r="U67" s="8" t="inlineStr"/>
      <c r="V67" s="8" t="inlineStr"/>
      <c r="W67" s="8" t="inlineStr">
        <is>
          <t>CONTROL</t>
        </is>
      </c>
      <c r="X67" s="5" t="inlineStr">
        <is>
          <t>Core</t>
        </is>
      </c>
      <c r="Y67" s="5" t="inlineStr">
        <is>
          <t>System</t>
        </is>
      </c>
      <c r="Z67" s="5" t="inlineStr">
        <is>
          <t>High</t>
        </is>
      </c>
      <c r="AA67" s="5" t="inlineStr">
        <is>
          <t>Medium</t>
        </is>
      </c>
      <c r="AB67" s="8" t="inlineStr">
        <is>
          <t>Medium</t>
        </is>
      </c>
      <c r="AC67" s="8" t="inlineStr">
        <is>
          <t>MVP</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P0</t>
        </is>
      </c>
      <c r="AL67" s="8" t="n">
        <v>12</v>
      </c>
      <c r="AM67" s="5" t="inlineStr"/>
      <c r="AN67" s="5" t="inlineStr"/>
      <c r="AO67" s="5" t="inlineStr"/>
      <c r="AP67" s="5" t="inlineStr"/>
      <c r="AQ67" s="5" t="inlineStr"/>
      <c r="AR67" s="5" t="inlineStr"/>
      <c r="AS67" s="5" t="inlineStr"/>
      <c r="AT67" s="5" t="inlineStr"/>
      <c r="AU67" s="8" t="inlineStr">
        <is>
          <t>Not run</t>
        </is>
      </c>
    </row>
    <row r="68" ht="32" customHeight="1">
      <c r="A68" s="16" t="inlineStr">
        <is>
          <t>SEC-0627</t>
        </is>
      </c>
      <c r="B68" s="8" t="inlineStr">
        <is>
          <t>SEC</t>
        </is>
      </c>
      <c r="C68" s="5" t="inlineStr">
        <is>
          <t>System Administrator</t>
        </is>
      </c>
      <c r="D68" s="5" t="inlineStr">
        <is>
          <t>Security / Exception / Recovery</t>
        </is>
      </c>
      <c r="E68" s="5" t="inlineStr">
        <is>
          <t>IP address whitelisting for back-office accounting and admin access</t>
        </is>
      </c>
      <c r="F68" s="5" t="inlineStr">
        <is>
          <t>Security Guard</t>
        </is>
      </c>
      <c r="G68" s="5" t="inlineStr">
        <is>
          <t>External Hacker</t>
        </is>
      </c>
      <c r="H68" s="5" t="inlineStr">
        <is>
          <t>Restrict accounting and tax export operations to trusted store/office static IP addresses</t>
        </is>
      </c>
      <c r="I68" s="5" t="inlineStr">
        <is>
          <t>Rejects login attempts from unknown IP addresses when IP Whitelist policy is enabled for company</t>
        </is>
      </c>
      <c r="J68" s="20" t="inlineStr">
        <is>
          <t>P1</t>
        </is>
      </c>
      <c r="K68" s="20" t="inlineStr">
        <is>
          <t>Validated (Supported)</t>
        </is>
      </c>
      <c r="L68" s="5" t="inlineStr">
        <is>
          <t>Company-scoped IP Whitelist middleware evaluating HTTP X-Forwarded-For header.</t>
        </is>
      </c>
      <c r="M68" s="8" t="inlineStr">
        <is>
          <t>Strategic expansion</t>
        </is>
      </c>
      <c r="N68" s="8" t="inlineStr">
        <is>
          <t>Platform or theme scope</t>
        </is>
      </c>
      <c r="O68" s="8" t="inlineStr">
        <is>
          <t>P1</t>
        </is>
      </c>
      <c r="P68" s="5" t="inlineStr">
        <is>
          <t>Unchanged</t>
        </is>
      </c>
      <c r="Q68" s="20" t="inlineStr">
        <is>
          <t>Author assertion</t>
        </is>
      </c>
      <c r="R68" s="5" t="inlineStr"/>
      <c r="S68" s="8" t="inlineStr">
        <is>
          <t>OTHER</t>
        </is>
      </c>
      <c r="T68" s="5" t="inlineStr">
        <is>
          <t>Security / Exception / Recovery</t>
        </is>
      </c>
      <c r="U68" s="8" t="inlineStr"/>
      <c r="V68" s="8" t="inlineStr"/>
      <c r="W68" s="8" t="inlineStr">
        <is>
          <t>CONTROL</t>
        </is>
      </c>
      <c r="X68" s="5" t="inlineStr">
        <is>
          <t>Core</t>
        </is>
      </c>
      <c r="Y68" s="5" t="inlineStr">
        <is>
          <t>System</t>
        </is>
      </c>
      <c r="Z68" s="5" t="inlineStr">
        <is>
          <t>High</t>
        </is>
      </c>
      <c r="AA68" s="5" t="inlineStr">
        <is>
          <t>Medium</t>
        </is>
      </c>
      <c r="AB68" s="8" t="inlineStr">
        <is>
          <t>Medium</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12</v>
      </c>
      <c r="AM68" s="5" t="inlineStr"/>
      <c r="AN68" s="5" t="inlineStr"/>
      <c r="AO68" s="5" t="inlineStr"/>
      <c r="AP68" s="5" t="inlineStr"/>
      <c r="AQ68" s="5" t="inlineStr"/>
      <c r="AR68" s="5" t="inlineStr"/>
      <c r="AS68" s="5" t="inlineStr"/>
      <c r="AT68" s="5" t="inlineStr"/>
      <c r="AU68" s="8" t="inlineStr">
        <is>
          <t>Not run</t>
        </is>
      </c>
    </row>
    <row r="69" ht="32" customHeight="1">
      <c r="A69" s="16" t="inlineStr">
        <is>
          <t>SEC-0628</t>
        </is>
      </c>
      <c r="B69" s="8" t="inlineStr">
        <is>
          <t>SEC</t>
        </is>
      </c>
      <c r="C69" s="5" t="inlineStr">
        <is>
          <t>System Administrator</t>
        </is>
      </c>
      <c r="D69" s="5" t="inlineStr">
        <is>
          <t>Security / Exception / Recovery</t>
        </is>
      </c>
      <c r="E69" s="5" t="inlineStr">
        <is>
          <t>Cryptographic AES-256 encryption for stored bank account numbers and tax credentials</t>
        </is>
      </c>
      <c r="F69" s="5" t="inlineStr">
        <is>
          <t>Encryption Engine</t>
        </is>
      </c>
      <c r="G69" s="5" t="inlineStr">
        <is>
          <t>Database Administrator</t>
        </is>
      </c>
      <c r="H69" s="5" t="inlineStr">
        <is>
          <t>Ensure bank account numbers, IFSC codes, and GST portal passwords are encrypted at rest in database</t>
        </is>
      </c>
      <c r="I69" s="5" t="inlineStr">
        <is>
          <t>Encrypts fields using AES-256 before writing to disk; decrypts only in-memory upon authorized request</t>
        </is>
      </c>
      <c r="J69" s="19" t="inlineStr">
        <is>
          <t>P0</t>
        </is>
      </c>
      <c r="K69" s="20" t="inlineStr">
        <is>
          <t>Validated (Supported)</t>
        </is>
      </c>
      <c r="L69" s="5" t="inlineStr">
        <is>
          <t>Django EncryptedModelFields using AES-256-GCM authenticated encryption.</t>
        </is>
      </c>
      <c r="M69" s="8" t="inlineStr">
        <is>
          <t>Strategic expansion</t>
        </is>
      </c>
      <c r="N69" s="8" t="inlineStr">
        <is>
          <t>Platform or theme scope</t>
        </is>
      </c>
      <c r="O69" s="8" t="inlineStr">
        <is>
          <t>P0</t>
        </is>
      </c>
      <c r="P69" s="5" t="inlineStr">
        <is>
          <t>Unchanged</t>
        </is>
      </c>
      <c r="Q69" s="20" t="inlineStr">
        <is>
          <t>Author assertion</t>
        </is>
      </c>
      <c r="R69" s="5" t="inlineStr"/>
      <c r="S69" s="8" t="inlineStr">
        <is>
          <t>OTHER</t>
        </is>
      </c>
      <c r="T69" s="5" t="inlineStr">
        <is>
          <t>Security / Exception / Recovery</t>
        </is>
      </c>
      <c r="U69" s="8" t="inlineStr"/>
      <c r="V69" s="8" t="inlineStr"/>
      <c r="W69" s="8" t="inlineStr">
        <is>
          <t>CONTROL</t>
        </is>
      </c>
      <c r="X69" s="5" t="inlineStr">
        <is>
          <t>Core</t>
        </is>
      </c>
      <c r="Y69" s="5" t="inlineStr">
        <is>
          <t>System</t>
        </is>
      </c>
      <c r="Z69" s="5" t="inlineStr">
        <is>
          <t>High</t>
        </is>
      </c>
      <c r="AA69" s="5" t="inlineStr">
        <is>
          <t>Medium</t>
        </is>
      </c>
      <c r="AB69" s="8" t="inlineStr">
        <is>
          <t>Medium</t>
        </is>
      </c>
      <c r="AC69" s="8" t="inlineStr">
        <is>
          <t>MVP</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P0</t>
        </is>
      </c>
      <c r="AL69" s="8" t="n">
        <v>12</v>
      </c>
      <c r="AM69" s="5" t="inlineStr"/>
      <c r="AN69" s="5" t="inlineStr"/>
      <c r="AO69" s="5" t="inlineStr"/>
      <c r="AP69" s="5" t="inlineStr"/>
      <c r="AQ69" s="5" t="inlineStr"/>
      <c r="AR69" s="5" t="inlineStr"/>
      <c r="AS69" s="5" t="inlineStr"/>
      <c r="AT69" s="5" t="inlineStr"/>
      <c r="AU69" s="8" t="inlineStr">
        <is>
          <t>Not run</t>
        </is>
      </c>
    </row>
    <row r="70" ht="32" customHeight="1">
      <c r="A70" s="16" t="inlineStr">
        <is>
          <t>SEC-0629</t>
        </is>
      </c>
      <c r="B70" s="8" t="inlineStr">
        <is>
          <t>SEC</t>
        </is>
      </c>
      <c r="C70" s="5" t="inlineStr">
        <is>
          <t>System Administrator</t>
        </is>
      </c>
      <c r="D70" s="5" t="inlineStr">
        <is>
          <t>Security / Exception / Recovery</t>
        </is>
      </c>
      <c r="E70" s="5" t="inlineStr">
        <is>
          <t>Automated password complexity enforcement and breach dictionary checking</t>
        </is>
      </c>
      <c r="F70" s="5" t="inlineStr">
        <is>
          <t>Auth Validator</t>
        </is>
      </c>
      <c r="G70" s="5" t="inlineStr">
        <is>
          <t>All Users</t>
        </is>
      </c>
      <c r="H70" s="5" t="inlineStr">
        <is>
          <t>Prevent users from setting weak passwords (e.g. '123456', 'admin') that compromise business data</t>
        </is>
      </c>
      <c r="I70" s="5" t="inlineStr">
        <is>
          <t>Enforces minimum 10 characters, upper/lower case, digits, and checks HaveIBeenPwned breach list</t>
        </is>
      </c>
      <c r="J70" s="20" t="inlineStr">
        <is>
          <t>P1</t>
        </is>
      </c>
      <c r="K70" s="20" t="inlineStr">
        <is>
          <t>Validated (Supported)</t>
        </is>
      </c>
      <c r="L70" s="5" t="inlineStr">
        <is>
          <t>Django Auth Password Validators with zxcvbn password strength estimator.</t>
        </is>
      </c>
      <c r="M70" s="8" t="inlineStr">
        <is>
          <t>Strategic expansion</t>
        </is>
      </c>
      <c r="N70" s="8" t="inlineStr">
        <is>
          <t>Platform or theme scope</t>
        </is>
      </c>
      <c r="O70" s="8" t="inlineStr">
        <is>
          <t>P1</t>
        </is>
      </c>
      <c r="P70" s="5" t="inlineStr">
        <is>
          <t>Unchanged</t>
        </is>
      </c>
      <c r="Q70" s="20" t="inlineStr">
        <is>
          <t>Author assertion</t>
        </is>
      </c>
      <c r="R70" s="5" t="inlineStr"/>
      <c r="S70" s="8" t="inlineStr">
        <is>
          <t>OTHER</t>
        </is>
      </c>
      <c r="T70" s="5" t="inlineStr">
        <is>
          <t>Security / Exception / Recovery</t>
        </is>
      </c>
      <c r="U70" s="8" t="inlineStr"/>
      <c r="V70" s="8" t="inlineStr"/>
      <c r="W70" s="8" t="inlineStr">
        <is>
          <t>CONTROL</t>
        </is>
      </c>
      <c r="X70" s="5" t="inlineStr">
        <is>
          <t>Core</t>
        </is>
      </c>
      <c r="Y70" s="5" t="inlineStr">
        <is>
          <t>System</t>
        </is>
      </c>
      <c r="Z70" s="5" t="inlineStr">
        <is>
          <t>High</t>
        </is>
      </c>
      <c r="AA70" s="5" t="inlineStr">
        <is>
          <t>Medium</t>
        </is>
      </c>
      <c r="AB70" s="8" t="inlineStr">
        <is>
          <t>Medium</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12</v>
      </c>
      <c r="AM70" s="5" t="inlineStr"/>
      <c r="AN70" s="5" t="inlineStr"/>
      <c r="AO70" s="5" t="inlineStr"/>
      <c r="AP70" s="5" t="inlineStr"/>
      <c r="AQ70" s="5" t="inlineStr"/>
      <c r="AR70" s="5" t="inlineStr"/>
      <c r="AS70" s="5" t="inlineStr"/>
      <c r="AT70" s="5" t="inlineStr"/>
      <c r="AU70" s="8" t="inlineStr">
        <is>
          <t>Not run</t>
        </is>
      </c>
    </row>
    <row r="71" ht="32" customHeight="1">
      <c r="A71" s="16" t="inlineStr">
        <is>
          <t>SEC-0630</t>
        </is>
      </c>
      <c r="B71" s="8" t="inlineStr">
        <is>
          <t>SEC</t>
        </is>
      </c>
      <c r="C71" s="5" t="inlineStr">
        <is>
          <t>System Administrator</t>
        </is>
      </c>
      <c r="D71" s="5" t="inlineStr">
        <is>
          <t>Security / Exception / Recovery</t>
        </is>
      </c>
      <c r="E71" s="5" t="inlineStr">
        <is>
          <t>HTTP Strict Transport Security (HSTS) and secure cookie flags enforcement</t>
        </is>
      </c>
      <c r="F71" s="5" t="inlineStr">
        <is>
          <t>Security Middleware</t>
        </is>
      </c>
      <c r="G71" s="5" t="inlineStr">
        <is>
          <t>External Snooper</t>
        </is>
      </c>
      <c r="H71" s="5" t="inlineStr">
        <is>
          <t>Enforce HTTPS across all traffic; set Secure, HttpOnly, and SameSite=Lax flags on all session cookies</t>
        </is>
      </c>
      <c r="I71" s="5" t="inlineStr">
        <is>
          <t>Prevents man-in-the-middle packet sniffing and session cookie theft over unsecured public Wi-Fi</t>
        </is>
      </c>
      <c r="J71" s="19" t="inlineStr">
        <is>
          <t>P0</t>
        </is>
      </c>
      <c r="K71" s="20" t="inlineStr">
        <is>
          <t>Validated (Supported)</t>
        </is>
      </c>
      <c r="L71" s="5" t="inlineStr">
        <is>
          <t>Production SSL settings: SECURE_HSTS_SECONDS=31536000, SESSION_COOKIE_SECURE=True.</t>
        </is>
      </c>
      <c r="M71" s="8" t="inlineStr">
        <is>
          <t>Strategic expansion</t>
        </is>
      </c>
      <c r="N71" s="8" t="inlineStr">
        <is>
          <t>Platform or theme scope</t>
        </is>
      </c>
      <c r="O71" s="8" t="inlineStr">
        <is>
          <t>P0</t>
        </is>
      </c>
      <c r="P71" s="5" t="inlineStr">
        <is>
          <t>Unchanged</t>
        </is>
      </c>
      <c r="Q71" s="20" t="inlineStr">
        <is>
          <t>Author assertion</t>
        </is>
      </c>
      <c r="R71" s="5" t="inlineStr"/>
      <c r="S71" s="8" t="inlineStr">
        <is>
          <t>OTHER</t>
        </is>
      </c>
      <c r="T71" s="5" t="inlineStr">
        <is>
          <t>Security / Exception / Recovery</t>
        </is>
      </c>
      <c r="U71" s="8" t="inlineStr"/>
      <c r="V71" s="8" t="inlineStr"/>
      <c r="W71" s="8" t="inlineStr">
        <is>
          <t>CONTROL</t>
        </is>
      </c>
      <c r="X71" s="5" t="inlineStr">
        <is>
          <t>Core</t>
        </is>
      </c>
      <c r="Y71" s="5" t="inlineStr">
        <is>
          <t>System</t>
        </is>
      </c>
      <c r="Z71" s="5" t="inlineStr">
        <is>
          <t>High</t>
        </is>
      </c>
      <c r="AA71" s="5" t="inlineStr">
        <is>
          <t>Medium</t>
        </is>
      </c>
      <c r="AB71" s="8" t="inlineStr">
        <is>
          <t>Medium</t>
        </is>
      </c>
      <c r="AC71" s="8" t="inlineStr">
        <is>
          <t>MVP</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P0</t>
        </is>
      </c>
      <c r="AL71" s="8" t="n">
        <v>12</v>
      </c>
      <c r="AM71" s="5" t="inlineStr"/>
      <c r="AN71" s="5" t="inlineStr"/>
      <c r="AO71" s="5" t="inlineStr"/>
      <c r="AP71" s="5" t="inlineStr"/>
      <c r="AQ71" s="5" t="inlineStr"/>
      <c r="AR71" s="5" t="inlineStr"/>
      <c r="AS71" s="5" t="inlineStr"/>
      <c r="AT71" s="5" t="inlineStr"/>
      <c r="AU71" s="8" t="inlineStr">
        <is>
          <t>Not run</t>
        </is>
      </c>
    </row>
    <row r="72" ht="32" customHeight="1">
      <c r="A72" s="16" t="inlineStr">
        <is>
          <t>SEC-0631</t>
        </is>
      </c>
      <c r="B72" s="8" t="inlineStr">
        <is>
          <t>SEC</t>
        </is>
      </c>
      <c r="C72" s="5" t="inlineStr">
        <is>
          <t>System Administrator</t>
        </is>
      </c>
      <c r="D72" s="5" t="inlineStr">
        <is>
          <t>Security / Exception / Recovery</t>
        </is>
      </c>
      <c r="E72" s="5" t="inlineStr">
        <is>
          <t>Role-based discount percentage approval cap enforcement</t>
        </is>
      </c>
      <c r="F72" s="5" t="inlineStr">
        <is>
          <t>Permission Guard</t>
        </is>
      </c>
      <c r="G72" s="5" t="inlineStr">
        <is>
          <t>Billing Clerk / Manager</t>
        </is>
      </c>
      <c r="H72" s="5" t="inlineStr">
        <is>
          <t>Clerks can give up to 5% discount, managers up to 15%; higher discounts require owner authorization token</t>
        </is>
      </c>
      <c r="I72" s="5" t="inlineStr">
        <is>
          <t>Validates discount percentage against role policy; blocks transaction if limit is exceeded without override</t>
        </is>
      </c>
      <c r="J72" s="20" t="inlineStr">
        <is>
          <t>P1</t>
        </is>
      </c>
      <c r="K72" s="20" t="inlineStr">
        <is>
          <t>Validated (Supported)</t>
        </is>
      </c>
      <c r="L72" s="5" t="inlineStr">
        <is>
          <t>Role Permission Matrix discount limits enforced at API and UI checkout layers.</t>
        </is>
      </c>
      <c r="M72" s="8" t="inlineStr">
        <is>
          <t>Strategic expansion</t>
        </is>
      </c>
      <c r="N72" s="8" t="inlineStr">
        <is>
          <t>Platform or theme scope</t>
        </is>
      </c>
      <c r="O72" s="8" t="inlineStr">
        <is>
          <t>P1</t>
        </is>
      </c>
      <c r="P72" s="5" t="inlineStr">
        <is>
          <t>Unchanged</t>
        </is>
      </c>
      <c r="Q72" s="20" t="inlineStr">
        <is>
          <t>Author assertion</t>
        </is>
      </c>
      <c r="R72" s="5" t="inlineStr"/>
      <c r="S72" s="8" t="inlineStr">
        <is>
          <t>OTHER</t>
        </is>
      </c>
      <c r="T72" s="5" t="inlineStr">
        <is>
          <t>Security / Exception / Recovery</t>
        </is>
      </c>
      <c r="U72" s="8" t="inlineStr"/>
      <c r="V72" s="8" t="inlineStr"/>
      <c r="W72" s="8" t="inlineStr">
        <is>
          <t>CONTROL</t>
        </is>
      </c>
      <c r="X72" s="5" t="inlineStr">
        <is>
          <t>Core</t>
        </is>
      </c>
      <c r="Y72" s="5" t="inlineStr">
        <is>
          <t>System</t>
        </is>
      </c>
      <c r="Z72" s="5" t="inlineStr">
        <is>
          <t>High</t>
        </is>
      </c>
      <c r="AA72" s="5" t="inlineStr">
        <is>
          <t>Medium</t>
        </is>
      </c>
      <c r="AB72" s="8" t="inlineStr">
        <is>
          <t>Medium</t>
        </is>
      </c>
      <c r="AC72" s="8" t="inlineStr">
        <is>
          <t>Pilot</t>
        </is>
      </c>
      <c r="AD72" s="5" t="inlineStr">
        <is>
          <t>Not independently checked</t>
        </is>
      </c>
      <c r="AE72" s="5" t="inlineStr">
        <is>
          <t>Not verified</t>
        </is>
      </c>
      <c r="AF72" s="5" t="inlineStr">
        <is>
          <t>Not verified</t>
        </is>
      </c>
      <c r="AG72" s="5" t="inlineStr">
        <is>
          <t>Not verified</t>
        </is>
      </c>
      <c r="AH72" s="5" t="inlineStr">
        <is>
          <t>Not verified</t>
        </is>
      </c>
      <c r="AI72" s="8" t="inlineStr">
        <is>
          <t>No</t>
        </is>
      </c>
      <c r="AJ72" s="8" t="inlineStr">
        <is>
          <t>Claimed - unverified</t>
        </is>
      </c>
      <c r="AK72" s="8" t="inlineStr">
        <is>
          <t>P1</t>
        </is>
      </c>
      <c r="AL72" s="8" t="n">
        <v>12</v>
      </c>
      <c r="AM72" s="5" t="inlineStr"/>
      <c r="AN72" s="5" t="inlineStr"/>
      <c r="AO72" s="5" t="inlineStr"/>
      <c r="AP72" s="5" t="inlineStr"/>
      <c r="AQ72" s="5" t="inlineStr"/>
      <c r="AR72" s="5" t="inlineStr"/>
      <c r="AS72" s="5" t="inlineStr"/>
      <c r="AT72" s="5" t="inlineStr"/>
      <c r="AU72" s="8" t="inlineStr">
        <is>
          <t>Not run</t>
        </is>
      </c>
    </row>
    <row r="73" ht="32" customHeight="1">
      <c r="A73" s="16" t="inlineStr">
        <is>
          <t>SEC-0632</t>
        </is>
      </c>
      <c r="B73" s="8" t="inlineStr">
        <is>
          <t>SEC</t>
        </is>
      </c>
      <c r="C73" s="5" t="inlineStr">
        <is>
          <t>System Administrator</t>
        </is>
      </c>
      <c r="D73" s="5" t="inlineStr">
        <is>
          <t>Security / Exception / Recovery</t>
        </is>
      </c>
      <c r="E73" s="5" t="inlineStr">
        <is>
          <t>Automated security patch dependency scanner in CI/CD pipeline</t>
        </is>
      </c>
      <c r="F73" s="5" t="inlineStr">
        <is>
          <t>DevOps / Security Engine</t>
        </is>
      </c>
      <c r="G73" s="5" t="inlineStr">
        <is>
          <t>None</t>
        </is>
      </c>
      <c r="H73" s="5" t="inlineStr">
        <is>
          <t>Scan Python pip packages and npm libraries for known CVE security vulnerabilities before production deploy</t>
        </is>
      </c>
      <c r="I73" s="5" t="inlineStr">
        <is>
          <t>Blocks production build if any dependency contains high or critical CVE security vulnerability</t>
        </is>
      </c>
      <c r="J73" s="20" t="inlineStr">
        <is>
          <t>P1</t>
        </is>
      </c>
      <c r="K73" s="20" t="inlineStr">
        <is>
          <t>Validated (Supported)</t>
        </is>
      </c>
      <c r="L73" s="5" t="inlineStr">
        <is>
          <t>GitHub Actions CI/CD pipeline integrating Dependabot, Pip-Audit, and npm audit.</t>
        </is>
      </c>
      <c r="M73" s="8" t="inlineStr">
        <is>
          <t>Strategic expansion</t>
        </is>
      </c>
      <c r="N73" s="8" t="inlineStr">
        <is>
          <t>Platform or theme scope</t>
        </is>
      </c>
      <c r="O73" s="8" t="inlineStr">
        <is>
          <t>P1</t>
        </is>
      </c>
      <c r="P73" s="5" t="inlineStr">
        <is>
          <t>Unchanged</t>
        </is>
      </c>
      <c r="Q73" s="20" t="inlineStr">
        <is>
          <t>Author assertion</t>
        </is>
      </c>
      <c r="R73" s="5" t="inlineStr"/>
      <c r="S73" s="8" t="inlineStr">
        <is>
          <t>OTHER</t>
        </is>
      </c>
      <c r="T73" s="5" t="inlineStr">
        <is>
          <t>Security / Exception / Recovery</t>
        </is>
      </c>
      <c r="U73" s="8" t="inlineStr"/>
      <c r="V73" s="8" t="inlineStr"/>
      <c r="W73" s="8" t="inlineStr">
        <is>
          <t>CONTROL</t>
        </is>
      </c>
      <c r="X73" s="5" t="inlineStr">
        <is>
          <t>Core</t>
        </is>
      </c>
      <c r="Y73" s="5" t="inlineStr">
        <is>
          <t>System</t>
        </is>
      </c>
      <c r="Z73" s="5" t="inlineStr">
        <is>
          <t>High</t>
        </is>
      </c>
      <c r="AA73" s="5" t="inlineStr">
        <is>
          <t>Medium</t>
        </is>
      </c>
      <c r="AB73" s="8" t="inlineStr">
        <is>
          <t>Medium</t>
        </is>
      </c>
      <c r="AC73" s="8" t="inlineStr">
        <is>
          <t>Pilot</t>
        </is>
      </c>
      <c r="AD73" s="5" t="inlineStr">
        <is>
          <t>Not independently checked</t>
        </is>
      </c>
      <c r="AE73" s="5" t="inlineStr">
        <is>
          <t>Not verified</t>
        </is>
      </c>
      <c r="AF73" s="5" t="inlineStr">
        <is>
          <t>Not verified</t>
        </is>
      </c>
      <c r="AG73" s="5" t="inlineStr">
        <is>
          <t>Not verified</t>
        </is>
      </c>
      <c r="AH73" s="5" t="inlineStr">
        <is>
          <t>Not verified</t>
        </is>
      </c>
      <c r="AI73" s="8" t="inlineStr">
        <is>
          <t>No</t>
        </is>
      </c>
      <c r="AJ73" s="8" t="inlineStr">
        <is>
          <t>Claimed - unverified</t>
        </is>
      </c>
      <c r="AK73" s="8" t="inlineStr">
        <is>
          <t>P1</t>
        </is>
      </c>
      <c r="AL73" s="8" t="n">
        <v>12</v>
      </c>
      <c r="AM73" s="5" t="inlineStr"/>
      <c r="AN73" s="5" t="inlineStr"/>
      <c r="AO73" s="5" t="inlineStr"/>
      <c r="AP73" s="5" t="inlineStr"/>
      <c r="AQ73" s="5" t="inlineStr"/>
      <c r="AR73" s="5" t="inlineStr"/>
      <c r="AS73" s="5" t="inlineStr"/>
      <c r="AT73" s="5" t="inlineStr"/>
      <c r="AU73" s="8" t="inlineStr">
        <is>
          <t>Not run</t>
        </is>
      </c>
    </row>
    <row r="74" ht="32" customHeight="1">
      <c r="A74" s="16" t="inlineStr">
        <is>
          <t>SEC-0633</t>
        </is>
      </c>
      <c r="B74" s="8" t="inlineStr">
        <is>
          <t>SEC</t>
        </is>
      </c>
      <c r="C74" s="5" t="inlineStr">
        <is>
          <t>System Administrator</t>
        </is>
      </c>
      <c r="D74" s="5" t="inlineStr">
        <is>
          <t>Security / Exception / Recovery</t>
        </is>
      </c>
      <c r="E74" s="5" t="inlineStr">
        <is>
          <t>API webhook cryptographic HMAC replay attack prevention with timestamp verification</t>
        </is>
      </c>
      <c r="F74" s="5" t="inlineStr">
        <is>
          <t>Webhook Receiver</t>
        </is>
      </c>
      <c r="G74" s="5" t="inlineStr">
        <is>
          <t>Malicious Actor</t>
        </is>
      </c>
      <c r="H74" s="5" t="inlineStr">
        <is>
          <t>Reject replayed webhook payloads captured by network attackers</t>
        </is>
      </c>
      <c r="I74" s="5" t="inlineStr">
        <is>
          <t>Validates webhook timestamp header is within 5 minutes of server time; rejects stale replay requests</t>
        </is>
      </c>
      <c r="J74" s="20" t="inlineStr">
        <is>
          <t>P1</t>
        </is>
      </c>
      <c r="K74" s="20" t="inlineStr">
        <is>
          <t>Validated (Supported)</t>
        </is>
      </c>
      <c r="L74" s="5" t="inlineStr">
        <is>
          <t>Webhook replay defense comparing X-Webhook-Timestamp against current server clock.</t>
        </is>
      </c>
      <c r="M74" s="8" t="inlineStr">
        <is>
          <t>Strategic expansion</t>
        </is>
      </c>
      <c r="N74" s="8" t="inlineStr">
        <is>
          <t>Platform or theme scope</t>
        </is>
      </c>
      <c r="O74" s="8" t="inlineStr">
        <is>
          <t>P1</t>
        </is>
      </c>
      <c r="P74" s="5" t="inlineStr">
        <is>
          <t>Unchanged</t>
        </is>
      </c>
      <c r="Q74" s="20" t="inlineStr">
        <is>
          <t>Author assertion</t>
        </is>
      </c>
      <c r="R74" s="5" t="inlineStr"/>
      <c r="S74" s="8" t="inlineStr">
        <is>
          <t>OTHER</t>
        </is>
      </c>
      <c r="T74" s="5" t="inlineStr">
        <is>
          <t>Security / Exception / Recovery</t>
        </is>
      </c>
      <c r="U74" s="8" t="inlineStr"/>
      <c r="V74" s="8" t="inlineStr"/>
      <c r="W74" s="8" t="inlineStr">
        <is>
          <t>CONTROL</t>
        </is>
      </c>
      <c r="X74" s="5" t="inlineStr">
        <is>
          <t>Core</t>
        </is>
      </c>
      <c r="Y74" s="5" t="inlineStr">
        <is>
          <t>System</t>
        </is>
      </c>
      <c r="Z74" s="5" t="inlineStr">
        <is>
          <t>High</t>
        </is>
      </c>
      <c r="AA74" s="5" t="inlineStr">
        <is>
          <t>Medium</t>
        </is>
      </c>
      <c r="AB74" s="8" t="inlineStr">
        <is>
          <t>Medium</t>
        </is>
      </c>
      <c r="AC74" s="8" t="inlineStr">
        <is>
          <t>Pilot</t>
        </is>
      </c>
      <c r="AD74" s="5" t="inlineStr">
        <is>
          <t>Not independently checked</t>
        </is>
      </c>
      <c r="AE74" s="5" t="inlineStr">
        <is>
          <t>Not verified</t>
        </is>
      </c>
      <c r="AF74" s="5" t="inlineStr">
        <is>
          <t>Not verified</t>
        </is>
      </c>
      <c r="AG74" s="5" t="inlineStr">
        <is>
          <t>Not verified</t>
        </is>
      </c>
      <c r="AH74" s="5" t="inlineStr">
        <is>
          <t>Not verified</t>
        </is>
      </c>
      <c r="AI74" s="8" t="inlineStr">
        <is>
          <t>No</t>
        </is>
      </c>
      <c r="AJ74" s="8" t="inlineStr">
        <is>
          <t>Claimed - unverified</t>
        </is>
      </c>
      <c r="AK74" s="8" t="inlineStr">
        <is>
          <t>P1</t>
        </is>
      </c>
      <c r="AL74" s="8" t="n">
        <v>12</v>
      </c>
      <c r="AM74" s="5" t="inlineStr"/>
      <c r="AN74" s="5" t="inlineStr"/>
      <c r="AO74" s="5" t="inlineStr"/>
      <c r="AP74" s="5" t="inlineStr"/>
      <c r="AQ74" s="5" t="inlineStr"/>
      <c r="AR74" s="5" t="inlineStr"/>
      <c r="AS74" s="5" t="inlineStr"/>
      <c r="AT74" s="5" t="inlineStr"/>
      <c r="AU74" s="8" t="inlineStr">
        <is>
          <t>Not run</t>
        </is>
      </c>
    </row>
    <row r="75" ht="32" customHeight="1">
      <c r="A75" s="16" t="inlineStr">
        <is>
          <t>SEC-0634</t>
        </is>
      </c>
      <c r="B75" s="8" t="inlineStr">
        <is>
          <t>SEC</t>
        </is>
      </c>
      <c r="C75" s="5" t="inlineStr">
        <is>
          <t>System Administrator</t>
        </is>
      </c>
      <c r="D75" s="5" t="inlineStr">
        <is>
          <t>Security / Exception / Recovery</t>
        </is>
      </c>
      <c r="E75" s="5" t="inlineStr">
        <is>
          <t>Multi-factor authorization prompt for high-risk system configuration changes</t>
        </is>
      </c>
      <c r="F75" s="5" t="inlineStr">
        <is>
          <t>Security Guard</t>
        </is>
      </c>
      <c r="G75" s="5" t="inlineStr">
        <is>
          <t>System Administrator</t>
        </is>
      </c>
      <c r="H75" s="5" t="inlineStr">
        <is>
          <t>Re-prompt user for account password or TOTP before changing bank accounts or deleting company records</t>
        </is>
      </c>
      <c r="I75" s="5" t="inlineStr">
        <is>
          <t>Requires password confirmation modal (sudo mode) before executing critical administrative actions</t>
        </is>
      </c>
      <c r="J75" s="20" t="inlineStr">
        <is>
          <t>P1</t>
        </is>
      </c>
      <c r="K75" s="20" t="inlineStr">
        <is>
          <t>Validated (Supported)</t>
        </is>
      </c>
      <c r="L75" s="5" t="inlineStr">
        <is>
          <t>Sudo mode re-authentication decorator on high-risk settings endpoints.</t>
        </is>
      </c>
      <c r="M75" s="8" t="inlineStr">
        <is>
          <t>Strategic expansion</t>
        </is>
      </c>
      <c r="N75" s="8" t="inlineStr">
        <is>
          <t>Platform or theme scope</t>
        </is>
      </c>
      <c r="O75" s="8" t="inlineStr">
        <is>
          <t>P1</t>
        </is>
      </c>
      <c r="P75" s="5" t="inlineStr">
        <is>
          <t>Unchanged</t>
        </is>
      </c>
      <c r="Q75" s="20" t="inlineStr">
        <is>
          <t>Author assertion</t>
        </is>
      </c>
      <c r="R75" s="5" t="inlineStr"/>
      <c r="S75" s="8" t="inlineStr">
        <is>
          <t>OTHER</t>
        </is>
      </c>
      <c r="T75" s="5" t="inlineStr">
        <is>
          <t>Security / Exception / Recovery</t>
        </is>
      </c>
      <c r="U75" s="8" t="inlineStr"/>
      <c r="V75" s="8" t="inlineStr"/>
      <c r="W75" s="8" t="inlineStr">
        <is>
          <t>CONTROL</t>
        </is>
      </c>
      <c r="X75" s="5" t="inlineStr">
        <is>
          <t>Core</t>
        </is>
      </c>
      <c r="Y75" s="5" t="inlineStr">
        <is>
          <t>System</t>
        </is>
      </c>
      <c r="Z75" s="5" t="inlineStr">
        <is>
          <t>High</t>
        </is>
      </c>
      <c r="AA75" s="5" t="inlineStr">
        <is>
          <t>Medium</t>
        </is>
      </c>
      <c r="AB75" s="8" t="inlineStr">
        <is>
          <t>Medium</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12</v>
      </c>
      <c r="AM75" s="5" t="inlineStr"/>
      <c r="AN75" s="5" t="inlineStr"/>
      <c r="AO75" s="5" t="inlineStr"/>
      <c r="AP75" s="5" t="inlineStr"/>
      <c r="AQ75" s="5" t="inlineStr"/>
      <c r="AR75" s="5" t="inlineStr"/>
      <c r="AS75" s="5" t="inlineStr"/>
      <c r="AT75" s="5" t="inlineStr"/>
      <c r="AU75" s="8" t="inlineStr">
        <is>
          <t>Not run</t>
        </is>
      </c>
    </row>
    <row r="76" ht="32" customHeight="1">
      <c r="A76" s="16" t="inlineStr">
        <is>
          <t>SEC-0635</t>
        </is>
      </c>
      <c r="B76" s="8" t="inlineStr">
        <is>
          <t>SEC</t>
        </is>
      </c>
      <c r="C76" s="5" t="inlineStr">
        <is>
          <t>System Administrator</t>
        </is>
      </c>
      <c r="D76" s="5" t="inlineStr">
        <is>
          <t>Security / Exception / Recovery</t>
        </is>
      </c>
      <c r="E76" s="5" t="inlineStr">
        <is>
          <t>Automated dormant user account lockout after 90 days of inactivity</t>
        </is>
      </c>
      <c r="F76" s="5" t="inlineStr">
        <is>
          <t>Security Worker</t>
        </is>
      </c>
      <c r="G76" s="5" t="inlineStr">
        <is>
          <t>Inactive Users</t>
        </is>
      </c>
      <c r="H76" s="5" t="inlineStr">
        <is>
          <t>Automatically disable user accounts that have not logged in for 90 days to minimize attack surface</t>
        </is>
      </c>
      <c r="I76" s="5" t="inlineStr">
        <is>
          <t>Sets is_active=False on dormant users; alerts admin; requires admin re-activation to restore access</t>
        </is>
      </c>
      <c r="J76" s="24" t="inlineStr">
        <is>
          <t>P3</t>
        </is>
      </c>
      <c r="K76" s="20" t="inlineStr">
        <is>
          <t>Validated (Supported)</t>
        </is>
      </c>
      <c r="L76" s="5" t="inlineStr">
        <is>
          <t>Monthly cron job querying User.last_login &lt; now() - 90 days.</t>
        </is>
      </c>
      <c r="M76" s="8" t="inlineStr">
        <is>
          <t>Strategic expansion</t>
        </is>
      </c>
      <c r="N76" s="8" t="inlineStr">
        <is>
          <t>Platform or theme scope</t>
        </is>
      </c>
      <c r="O76" s="8" t="inlineStr">
        <is>
          <t>P2</t>
        </is>
      </c>
      <c r="P76" s="5" t="inlineStr">
        <is>
          <t>Kept P3. The previous workbook had P3. Authored priority was P2.</t>
        </is>
      </c>
      <c r="Q76" s="21" t="inlineStr">
        <is>
          <t>Code symbol found</t>
        </is>
      </c>
      <c r="R76" s="5" t="inlineStr">
        <is>
          <t>Matched last_login in product code. This is not a functional test. Kept P3. The previous workbook had P3. Authored priority was P2.</t>
        </is>
      </c>
      <c r="S76" s="8" t="inlineStr">
        <is>
          <t>OTHER</t>
        </is>
      </c>
      <c r="T76" s="5" t="inlineStr">
        <is>
          <t>Security / Exception / Recovery</t>
        </is>
      </c>
      <c r="U76" s="8" t="inlineStr"/>
      <c r="V76" s="8" t="inlineStr"/>
      <c r="W76" s="8" t="inlineStr">
        <is>
          <t>CONTROL</t>
        </is>
      </c>
      <c r="X76" s="5" t="inlineStr">
        <is>
          <t>Future</t>
        </is>
      </c>
      <c r="Y76" s="5" t="inlineStr">
        <is>
          <t>System</t>
        </is>
      </c>
      <c r="Z76" s="5" t="inlineStr">
        <is>
          <t>Low</t>
        </is>
      </c>
      <c r="AA76" s="5" t="inlineStr">
        <is>
          <t>Low</t>
        </is>
      </c>
      <c r="AB76" s="8" t="inlineStr">
        <is>
          <t>Medium</t>
        </is>
      </c>
      <c r="AC76" s="8" t="inlineStr">
        <is>
          <t>Later</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P3</t>
        </is>
      </c>
      <c r="AL76" s="8" t="n">
        <v>2</v>
      </c>
      <c r="AM76" s="5" t="inlineStr"/>
      <c r="AN76" s="5" t="inlineStr"/>
      <c r="AO76" s="5" t="inlineStr"/>
      <c r="AP76" s="5" t="inlineStr"/>
      <c r="AQ76" s="5" t="inlineStr"/>
      <c r="AR76" s="5" t="inlineStr"/>
      <c r="AS76" s="5" t="inlineStr"/>
      <c r="AT76" s="5" t="inlineStr"/>
      <c r="AU76" s="8" t="inlineStr">
        <is>
          <t>Not run</t>
        </is>
      </c>
    </row>
    <row r="77" ht="32" customHeight="1">
      <c r="A77" s="16" t="inlineStr">
        <is>
          <t>R-0636</t>
        </is>
      </c>
      <c r="B77" s="8" t="inlineStr">
        <is>
          <t>R</t>
        </is>
      </c>
      <c r="C77" s="5" t="inlineStr">
        <is>
          <t>Architecture &amp; Platform</t>
        </is>
      </c>
      <c r="D77" s="5" t="inlineStr">
        <is>
          <t>Customer-to-Cash</t>
        </is>
      </c>
      <c r="E77" s="5" t="inlineStr">
        <is>
          <t>Sub-200ms POS billing checkout latency under continuous queue load</t>
        </is>
      </c>
      <c r="F77" s="5" t="inlineStr">
        <is>
          <t>Billing Clerk / Cashier</t>
        </is>
      </c>
      <c r="G77" s="5" t="inlineStr">
        <is>
          <t>Walk-in Customer</t>
        </is>
      </c>
      <c r="H77" s="5" t="inlineStr">
        <is>
          <t>Cashier can complete sales invoices with &lt; 200ms round-trip API response time during peak festival rush</t>
        </is>
      </c>
      <c r="I77" s="5" t="inlineStr">
        <is>
          <t>Eliminates billing delays; handles 100+ checkouts per minute across store network without lag</t>
        </is>
      </c>
      <c r="J77" s="19" t="inlineStr">
        <is>
          <t>P0</t>
        </is>
      </c>
      <c r="K77" s="20" t="inlineStr">
        <is>
          <t>Validated (Supported)</t>
        </is>
      </c>
      <c r="L77" s="5" t="inlineStr">
        <is>
          <t>Optimized checkout transaction benchmarked via Locust load test to &lt; 200ms P95 latency.</t>
        </is>
      </c>
      <c r="M77" s="8" t="inlineStr">
        <is>
          <t>Strategic expansion</t>
        </is>
      </c>
      <c r="N77" s="8" t="inlineStr">
        <is>
          <t>Platform or theme scope</t>
        </is>
      </c>
      <c r="O77" s="8" t="inlineStr">
        <is>
          <t>P0</t>
        </is>
      </c>
      <c r="P77" s="5" t="inlineStr">
        <is>
          <t>Unchanged</t>
        </is>
      </c>
      <c r="Q77" s="20" t="inlineStr">
        <is>
          <t>Author assertion</t>
        </is>
      </c>
      <c r="R77" s="5" t="inlineStr"/>
      <c r="S77" s="8" t="inlineStr">
        <is>
          <t>C2C</t>
        </is>
      </c>
      <c r="T77" s="5" t="inlineStr">
        <is>
          <t>Customer to cash</t>
        </is>
      </c>
      <c r="U77" s="8" t="inlineStr"/>
      <c r="V77" s="8" t="inlineStr">
        <is>
          <t>sales</t>
        </is>
      </c>
      <c r="W77" s="8" t="inlineStr">
        <is>
          <t>RUN</t>
        </is>
      </c>
      <c r="X77" s="5" t="inlineStr">
        <is>
          <t>Core</t>
        </is>
      </c>
      <c r="Y77" s="5" t="inlineStr">
        <is>
          <t>Platform scope</t>
        </is>
      </c>
      <c r="Z77" s="5" t="inlineStr">
        <is>
          <t>Medium</t>
        </is>
      </c>
      <c r="AA77" s="5" t="inlineStr">
        <is>
          <t>Medium</t>
        </is>
      </c>
      <c r="AB77" s="8" t="inlineStr">
        <is>
          <t>Low</t>
        </is>
      </c>
      <c r="AC77" s="8" t="inlineStr">
        <is>
          <t>MVP</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P0</t>
        </is>
      </c>
      <c r="AL77" s="8" t="n">
        <v>6</v>
      </c>
      <c r="AM77" s="5" t="inlineStr"/>
      <c r="AN77" s="5" t="inlineStr"/>
      <c r="AO77" s="5" t="inlineStr"/>
      <c r="AP77" s="5" t="inlineStr"/>
      <c r="AQ77" s="5" t="inlineStr"/>
      <c r="AR77" s="5" t="inlineStr"/>
      <c r="AS77" s="5" t="inlineStr"/>
      <c r="AT77" s="5" t="inlineStr"/>
      <c r="AU77" s="8" t="inlineStr">
        <is>
          <t>Not run</t>
        </is>
      </c>
    </row>
    <row r="78" ht="32" customHeight="1">
      <c r="A78" s="16" t="inlineStr">
        <is>
          <t>R-0637</t>
        </is>
      </c>
      <c r="B78" s="8" t="inlineStr">
        <is>
          <t>R</t>
        </is>
      </c>
      <c r="C78" s="5" t="inlineStr">
        <is>
          <t>Architecture &amp; Platform</t>
        </is>
      </c>
      <c r="D78" s="5" t="inlineStr">
        <is>
          <t>Inventory Lifecycle</t>
        </is>
      </c>
      <c r="E78" s="5" t="inlineStr">
        <is>
          <t>10,000+ SKU instant client-side catalog search with zero network round-trip</t>
        </is>
      </c>
      <c r="F78" s="5" t="inlineStr">
        <is>
          <t>Billing Clerk</t>
        </is>
      </c>
      <c r="G78" s="5" t="inlineStr">
        <is>
          <t>None</t>
        </is>
      </c>
      <c r="H78" s="5" t="inlineStr">
        <is>
          <t>Instant keystroke SKU filtering across 10,000 products powered by client-side browser indexedDB cache</t>
        </is>
      </c>
      <c r="I78" s="5" t="inlineStr">
        <is>
          <t>Enables instant search results in &lt; 15ms even on low-cost store desktop computers</t>
        </is>
      </c>
      <c r="J78" s="20" t="inlineStr">
        <is>
          <t>P1</t>
        </is>
      </c>
      <c r="K78" s="20" t="inlineStr">
        <is>
          <t>Validated (Supported)</t>
        </is>
      </c>
      <c r="L78" s="5" t="inlineStr">
        <is>
          <t>Client-side IndexedDB caching using Dexie.js with memory-mapped SKU index.</t>
        </is>
      </c>
      <c r="M78" s="8" t="inlineStr">
        <is>
          <t>Strategic expansion</t>
        </is>
      </c>
      <c r="N78" s="8" t="inlineStr">
        <is>
          <t>Platform or theme scope</t>
        </is>
      </c>
      <c r="O78" s="8" t="inlineStr">
        <is>
          <t>P1</t>
        </is>
      </c>
      <c r="P78" s="5" t="inlineStr">
        <is>
          <t>Unchanged</t>
        </is>
      </c>
      <c r="Q78" s="21" t="inlineStr">
        <is>
          <t>Code symbol found</t>
        </is>
      </c>
      <c r="R78" s="5" t="inlineStr">
        <is>
          <t>Matched ndexedDB in product code. This is not a functional test.</t>
        </is>
      </c>
      <c r="S78" s="8" t="inlineStr">
        <is>
          <t>INV</t>
        </is>
      </c>
      <c r="T78" s="5" t="inlineStr">
        <is>
          <t>Inventory lifecycle</t>
        </is>
      </c>
      <c r="U78" s="8" t="inlineStr"/>
      <c r="V78" s="8" t="inlineStr">
        <is>
          <t>inventory</t>
        </is>
      </c>
      <c r="W78" s="8" t="inlineStr">
        <is>
          <t>RUN</t>
        </is>
      </c>
      <c r="X78" s="5" t="inlineStr">
        <is>
          <t>Core</t>
        </is>
      </c>
      <c r="Y78" s="5" t="inlineStr">
        <is>
          <t>Platform scope</t>
        </is>
      </c>
      <c r="Z78" s="5" t="inlineStr">
        <is>
          <t>High</t>
        </is>
      </c>
      <c r="AA78" s="5" t="inlineStr">
        <is>
          <t>High</t>
        </is>
      </c>
      <c r="AB78" s="8" t="inlineStr">
        <is>
          <t>Low</t>
        </is>
      </c>
      <c r="AC78" s="8" t="inlineStr">
        <is>
          <t>Pilot</t>
        </is>
      </c>
      <c r="AD78" s="5" t="inlineStr">
        <is>
          <t>Cited in code</t>
        </is>
      </c>
      <c r="AE78" s="5" t="inlineStr">
        <is>
          <t>Not verified</t>
        </is>
      </c>
      <c r="AF78" s="5" t="inlineStr">
        <is>
          <t>Not verified</t>
        </is>
      </c>
      <c r="AG78" s="5" t="inlineStr">
        <is>
          <t>Not verified</t>
        </is>
      </c>
      <c r="AH78" s="5" t="inlineStr">
        <is>
          <t>Not verified</t>
        </is>
      </c>
      <c r="AI78" s="8" t="inlineStr">
        <is>
          <t>No</t>
        </is>
      </c>
      <c r="AJ78" s="8" t="inlineStr">
        <is>
          <t>Built - unverified</t>
        </is>
      </c>
      <c r="AK78" s="8" t="inlineStr">
        <is>
          <t>P1</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R-0638</t>
        </is>
      </c>
      <c r="B79" s="8" t="inlineStr">
        <is>
          <t>R</t>
        </is>
      </c>
      <c r="C79" s="5" t="inlineStr">
        <is>
          <t>Architecture &amp; Platform</t>
        </is>
      </c>
      <c r="D79" s="5" t="inlineStr">
        <is>
          <t>Customer-to-Cash</t>
        </is>
      </c>
      <c r="E79" s="5" t="inlineStr">
        <is>
          <t>Offline-first POS billing queue with automatic background sync upon internet recovery</t>
        </is>
      </c>
      <c r="F79" s="5" t="inlineStr">
        <is>
          <t>Billing Clerk</t>
        </is>
      </c>
      <c r="G79" s="5" t="inlineStr">
        <is>
          <t>Customer</t>
        </is>
      </c>
      <c r="H79" s="5" t="inlineStr">
        <is>
          <t>Cashier can continue scanning, billing, and printing thermal receipts when store broadband drops</t>
        </is>
      </c>
      <c r="I79" s="5" t="inlineStr">
        <is>
          <t>Queues bills in local IndexedDB outbox; auto-synchronizes and reconciles with server when internet returns</t>
        </is>
      </c>
      <c r="J79" s="19" t="inlineStr">
        <is>
          <t>P0</t>
        </is>
      </c>
      <c r="K79" s="20" t="inlineStr">
        <is>
          <t>Validated (Supported)</t>
        </is>
      </c>
      <c r="L79" s="5" t="inlineStr">
        <is>
          <t>ServiceWorker offline billing engine with background sync and server idempotency key reconciliation.</t>
        </is>
      </c>
      <c r="M79" s="8" t="inlineStr">
        <is>
          <t>Strategic expansion</t>
        </is>
      </c>
      <c r="N79" s="8" t="inlineStr">
        <is>
          <t>Platform or theme scope</t>
        </is>
      </c>
      <c r="O79" s="8" t="inlineStr">
        <is>
          <t>P0</t>
        </is>
      </c>
      <c r="P79" s="5" t="inlineStr">
        <is>
          <t>Unchanged</t>
        </is>
      </c>
      <c r="Q79" s="20" t="inlineStr">
        <is>
          <t>Author assertion</t>
        </is>
      </c>
      <c r="R79" s="5" t="inlineStr"/>
      <c r="S79" s="8" t="inlineStr">
        <is>
          <t>C2C</t>
        </is>
      </c>
      <c r="T79" s="5" t="inlineStr">
        <is>
          <t>Customer to cash</t>
        </is>
      </c>
      <c r="U79" s="8" t="inlineStr"/>
      <c r="V79" s="8" t="inlineStr">
        <is>
          <t>sales</t>
        </is>
      </c>
      <c r="W79" s="8" t="inlineStr">
        <is>
          <t>RUN</t>
        </is>
      </c>
      <c r="X79" s="5" t="inlineStr">
        <is>
          <t>Core</t>
        </is>
      </c>
      <c r="Y79" s="5" t="inlineStr">
        <is>
          <t>Platform scope</t>
        </is>
      </c>
      <c r="Z79" s="5" t="inlineStr">
        <is>
          <t>Medium</t>
        </is>
      </c>
      <c r="AA79" s="5" t="inlineStr">
        <is>
          <t>Medium</t>
        </is>
      </c>
      <c r="AB79" s="8" t="inlineStr">
        <is>
          <t>Low</t>
        </is>
      </c>
      <c r="AC79" s="8" t="inlineStr">
        <is>
          <t>MVP</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P0</t>
        </is>
      </c>
      <c r="AL79" s="8" t="n">
        <v>6</v>
      </c>
      <c r="AM79" s="5" t="inlineStr"/>
      <c r="AN79" s="5" t="inlineStr"/>
      <c r="AO79" s="5" t="inlineStr"/>
      <c r="AP79" s="5" t="inlineStr"/>
      <c r="AQ79" s="5" t="inlineStr"/>
      <c r="AR79" s="5" t="inlineStr"/>
      <c r="AS79" s="5" t="inlineStr"/>
      <c r="AT79" s="5" t="inlineStr"/>
      <c r="AU79" s="8" t="inlineStr">
        <is>
          <t>Not run</t>
        </is>
      </c>
    </row>
    <row r="80" ht="32" customHeight="1">
      <c r="A80" s="16" t="inlineStr">
        <is>
          <t>R-0639</t>
        </is>
      </c>
      <c r="B80" s="8" t="inlineStr">
        <is>
          <t>R</t>
        </is>
      </c>
      <c r="C80" s="5" t="inlineStr">
        <is>
          <t>Architecture &amp; Platform</t>
        </is>
      </c>
      <c r="D80" s="5" t="inlineStr">
        <is>
          <t>Security / Exception / Recovery</t>
        </is>
      </c>
      <c r="E80" s="5" t="inlineStr">
        <is>
          <t>Idempotent API design guaranteeing zero duplicate orders on network timeout retries</t>
        </is>
      </c>
      <c r="F80" s="5" t="inlineStr">
        <is>
          <t>API Engine</t>
        </is>
      </c>
      <c r="G80" s="5" t="inlineStr">
        <is>
          <t>All Users</t>
        </is>
      </c>
      <c r="H80" s="5" t="inlineStr">
        <is>
          <t>Prevent accidental duplicate billing if user clicks 'Pay' twice or mobile app retries dropped connection</t>
        </is>
      </c>
      <c r="I80" s="5" t="inlineStr">
        <is>
          <t>Uses client-generated X-Idempotency-Key; returns existing transaction if duplicate key is received</t>
        </is>
      </c>
      <c r="J80" s="19" t="inlineStr">
        <is>
          <t>P0</t>
        </is>
      </c>
      <c r="K80" s="20" t="inlineStr">
        <is>
          <t>Validated (Supported)</t>
        </is>
      </c>
      <c r="L80" s="5" t="inlineStr">
        <is>
          <t>Idempotency middleware caching endpoint response in Redis for 120 seconds.</t>
        </is>
      </c>
      <c r="M80" s="8" t="inlineStr">
        <is>
          <t>Strategic expansion</t>
        </is>
      </c>
      <c r="N80" s="8" t="inlineStr">
        <is>
          <t>Platform or theme scope</t>
        </is>
      </c>
      <c r="O80" s="8" t="inlineStr">
        <is>
          <t>P0</t>
        </is>
      </c>
      <c r="P80" s="5" t="inlineStr">
        <is>
          <t>Unchanged</t>
        </is>
      </c>
      <c r="Q80" s="20" t="inlineStr">
        <is>
          <t>Author assertion</t>
        </is>
      </c>
      <c r="R80" s="5" t="inlineStr"/>
      <c r="S80" s="8" t="inlineStr">
        <is>
          <t>OTHER</t>
        </is>
      </c>
      <c r="T80" s="5" t="inlineStr">
        <is>
          <t>Security / Exception / Recovery</t>
        </is>
      </c>
      <c r="U80" s="8" t="inlineStr"/>
      <c r="V80" s="8" t="inlineStr"/>
      <c r="W80" s="8" t="inlineStr">
        <is>
          <t>CONTROL</t>
        </is>
      </c>
      <c r="X80" s="5" t="inlineStr">
        <is>
          <t>Core</t>
        </is>
      </c>
      <c r="Y80" s="5" t="inlineStr">
        <is>
          <t>Platform scope</t>
        </is>
      </c>
      <c r="Z80" s="5" t="inlineStr">
        <is>
          <t>High</t>
        </is>
      </c>
      <c r="AA80" s="5" t="inlineStr">
        <is>
          <t>Medium</t>
        </is>
      </c>
      <c r="AB80" s="8" t="inlineStr">
        <is>
          <t>Medium</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12</v>
      </c>
      <c r="AM80" s="5" t="inlineStr"/>
      <c r="AN80" s="5" t="inlineStr"/>
      <c r="AO80" s="5" t="inlineStr"/>
      <c r="AP80" s="5" t="inlineStr"/>
      <c r="AQ80" s="5" t="inlineStr"/>
      <c r="AR80" s="5" t="inlineStr"/>
      <c r="AS80" s="5" t="inlineStr"/>
      <c r="AT80" s="5" t="inlineStr"/>
      <c r="AU80" s="8" t="inlineStr">
        <is>
          <t>Not run</t>
        </is>
      </c>
    </row>
    <row r="81" ht="32" customHeight="1">
      <c r="A81" s="16" t="inlineStr">
        <is>
          <t>R-0640</t>
        </is>
      </c>
      <c r="B81" s="8" t="inlineStr">
        <is>
          <t>R</t>
        </is>
      </c>
      <c r="C81" s="5" t="inlineStr">
        <is>
          <t>Architecture &amp; Platform</t>
        </is>
      </c>
      <c r="D81" s="5" t="inlineStr">
        <is>
          <t>Reporting &amp; Business Intelligence</t>
        </is>
      </c>
      <c r="E81" s="5" t="inlineStr">
        <is>
          <t>Paginated cursor-based API streaming for high-volume ledger exports</t>
        </is>
      </c>
      <c r="F81" s="5" t="inlineStr">
        <is>
          <t>API Engine</t>
        </is>
      </c>
      <c r="G81" s="5" t="inlineStr">
        <is>
          <t>In-house Accountant</t>
        </is>
      </c>
      <c r="H81" s="5" t="inlineStr">
        <is>
          <t>Seamlessly export 100,000+ transaction rows to Excel without causing server Out-Of-Memory (OOM) crash</t>
        </is>
      </c>
      <c r="I81" s="5" t="inlineStr">
        <is>
          <t>Streams records using server-side database cursors and chunked HTTP response; zero RAM spike</t>
        </is>
      </c>
      <c r="J81" s="20" t="inlineStr">
        <is>
          <t>P1</t>
        </is>
      </c>
      <c r="K81" s="20" t="inlineStr">
        <is>
          <t>Validated (Supported)</t>
        </is>
      </c>
      <c r="L81" s="5" t="inlineStr">
        <is>
          <t>PostgreSQL server-side cursor streaming via Django iterator(chunk_size=2000).</t>
        </is>
      </c>
      <c r="M81" s="8" t="inlineStr">
        <is>
          <t>Strategic expansion</t>
        </is>
      </c>
      <c r="N81" s="8" t="inlineStr">
        <is>
          <t>Platform or theme scope</t>
        </is>
      </c>
      <c r="O81" s="8" t="inlineStr">
        <is>
          <t>P1</t>
        </is>
      </c>
      <c r="P81" s="5" t="inlineStr">
        <is>
          <t>Unchanged</t>
        </is>
      </c>
      <c r="Q81" s="21" t="inlineStr">
        <is>
          <t>Code symbol found</t>
        </is>
      </c>
      <c r="R81" s="5" t="inlineStr">
        <is>
          <t>Matched chunk_size in product code. This is not a functional test.</t>
        </is>
      </c>
      <c r="S81" s="8" t="inlineStr">
        <is>
          <t>RPT</t>
        </is>
      </c>
      <c r="T81" s="5" t="inlineStr">
        <is>
          <t>Reporting and business intelligence</t>
        </is>
      </c>
      <c r="U81" s="8" t="inlineStr"/>
      <c r="V81" s="8" t="inlineStr">
        <is>
          <t>reporting</t>
        </is>
      </c>
      <c r="W81" s="8" t="inlineStr">
        <is>
          <t>CONTROL</t>
        </is>
      </c>
      <c r="X81" s="5" t="inlineStr">
        <is>
          <t>Core</t>
        </is>
      </c>
      <c r="Y81" s="5" t="inlineStr">
        <is>
          <t>Platform scope</t>
        </is>
      </c>
      <c r="Z81" s="5" t="inlineStr">
        <is>
          <t>Medium</t>
        </is>
      </c>
      <c r="AA81" s="5" t="inlineStr">
        <is>
          <t>Medium</t>
        </is>
      </c>
      <c r="AB81" s="8" t="inlineStr">
        <is>
          <t>Low</t>
        </is>
      </c>
      <c r="AC81" s="8" t="inlineStr">
        <is>
          <t>Pilot</t>
        </is>
      </c>
      <c r="AD81" s="5" t="inlineStr">
        <is>
          <t>Cited in code</t>
        </is>
      </c>
      <c r="AE81" s="5" t="inlineStr">
        <is>
          <t>Not verified</t>
        </is>
      </c>
      <c r="AF81" s="5" t="inlineStr">
        <is>
          <t>Not verified</t>
        </is>
      </c>
      <c r="AG81" s="5" t="inlineStr">
        <is>
          <t>Not verified</t>
        </is>
      </c>
      <c r="AH81" s="5" t="inlineStr">
        <is>
          <t>Not verified</t>
        </is>
      </c>
      <c r="AI81" s="8" t="inlineStr">
        <is>
          <t>No</t>
        </is>
      </c>
      <c r="AJ81" s="8" t="inlineStr">
        <is>
          <t>Built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R-0641</t>
        </is>
      </c>
      <c r="B82" s="8" t="inlineStr">
        <is>
          <t>R</t>
        </is>
      </c>
      <c r="C82" s="5" t="inlineStr">
        <is>
          <t>Architecture &amp; Platform</t>
        </is>
      </c>
      <c r="D82" s="5" t="inlineStr">
        <is>
          <t>Security / Exception / Recovery</t>
        </is>
      </c>
      <c r="E82" s="5" t="inlineStr">
        <is>
          <t>Database connection pooling and keep-alive configuration for sudden traffic spikes</t>
        </is>
      </c>
      <c r="F82" s="5" t="inlineStr">
        <is>
          <t>Database Engine</t>
        </is>
      </c>
      <c r="G82" s="5" t="inlineStr">
        <is>
          <t>All Users</t>
        </is>
      </c>
      <c r="H82" s="5" t="inlineStr">
        <is>
          <t>Prevent 'Too Many Connections' database errors during Diwali/Akshaya Tritiya peak retail rushes</t>
        </is>
      </c>
      <c r="I82" s="5" t="inlineStr">
        <is>
          <t>Maintains PgBouncer connection pool with transaction-level reuse; handles 1,000+ concurrent clients</t>
        </is>
      </c>
      <c r="J82" s="19" t="inlineStr">
        <is>
          <t>P0</t>
        </is>
      </c>
      <c r="K82" s="20" t="inlineStr">
        <is>
          <t>Validated (Supported)</t>
        </is>
      </c>
      <c r="L82" s="5" t="inlineStr">
        <is>
          <t>PgBouncer transaction-mode connection pooler configured in front of PostgreSQL.</t>
        </is>
      </c>
      <c r="M82" s="8" t="inlineStr">
        <is>
          <t>Strategic expansion</t>
        </is>
      </c>
      <c r="N82" s="8" t="inlineStr">
        <is>
          <t>Platform or theme scope</t>
        </is>
      </c>
      <c r="O82" s="8" t="inlineStr">
        <is>
          <t>P0</t>
        </is>
      </c>
      <c r="P82" s="5" t="inlineStr">
        <is>
          <t>Unchanged</t>
        </is>
      </c>
      <c r="Q82" s="21" t="inlineStr">
        <is>
          <t>Code symbol found</t>
        </is>
      </c>
      <c r="R82" s="5" t="inlineStr">
        <is>
          <t>Matched ostgreSQL in product code. This is not a functional test.</t>
        </is>
      </c>
      <c r="S82" s="8" t="inlineStr">
        <is>
          <t>OTHER</t>
        </is>
      </c>
      <c r="T82" s="5" t="inlineStr">
        <is>
          <t>Security / Exception / Recovery</t>
        </is>
      </c>
      <c r="U82" s="8" t="inlineStr"/>
      <c r="V82" s="8" t="inlineStr"/>
      <c r="W82" s="8" t="inlineStr">
        <is>
          <t>CONTROL</t>
        </is>
      </c>
      <c r="X82" s="5" t="inlineStr">
        <is>
          <t>Core</t>
        </is>
      </c>
      <c r="Y82" s="5" t="inlineStr">
        <is>
          <t>Platform scope</t>
        </is>
      </c>
      <c r="Z82" s="5" t="inlineStr">
        <is>
          <t>High</t>
        </is>
      </c>
      <c r="AA82" s="5" t="inlineStr">
        <is>
          <t>Medium</t>
        </is>
      </c>
      <c r="AB82" s="8" t="inlineStr">
        <is>
          <t>Medium</t>
        </is>
      </c>
      <c r="AC82" s="8" t="inlineStr">
        <is>
          <t>MVP</t>
        </is>
      </c>
      <c r="AD82" s="5" t="inlineStr">
        <is>
          <t>Cited in code</t>
        </is>
      </c>
      <c r="AE82" s="5" t="inlineStr">
        <is>
          <t>Not verified</t>
        </is>
      </c>
      <c r="AF82" s="5" t="inlineStr">
        <is>
          <t>Not verified</t>
        </is>
      </c>
      <c r="AG82" s="5" t="inlineStr">
        <is>
          <t>Not verified</t>
        </is>
      </c>
      <c r="AH82" s="5" t="inlineStr">
        <is>
          <t>Not verified</t>
        </is>
      </c>
      <c r="AI82" s="8" t="inlineStr">
        <is>
          <t>No</t>
        </is>
      </c>
      <c r="AJ82" s="8" t="inlineStr">
        <is>
          <t>Built - unverified</t>
        </is>
      </c>
      <c r="AK82" s="8" t="inlineStr">
        <is>
          <t>P0</t>
        </is>
      </c>
      <c r="AL82" s="8" t="n">
        <v>12</v>
      </c>
      <c r="AM82" s="5" t="inlineStr"/>
      <c r="AN82" s="5" t="inlineStr"/>
      <c r="AO82" s="5" t="inlineStr"/>
      <c r="AP82" s="5" t="inlineStr"/>
      <c r="AQ82" s="5" t="inlineStr"/>
      <c r="AR82" s="5" t="inlineStr"/>
      <c r="AS82" s="5" t="inlineStr"/>
      <c r="AT82" s="5" t="inlineStr"/>
      <c r="AU82" s="8" t="inlineStr">
        <is>
          <t>Not run</t>
        </is>
      </c>
    </row>
    <row r="83" ht="32" customHeight="1">
      <c r="A83" s="16" t="inlineStr">
        <is>
          <t>R-0642</t>
        </is>
      </c>
      <c r="B83" s="8" t="inlineStr">
        <is>
          <t>R</t>
        </is>
      </c>
      <c r="C83" s="5" t="inlineStr">
        <is>
          <t>Architecture &amp; Platform</t>
        </is>
      </c>
      <c r="D83" s="5" t="inlineStr">
        <is>
          <t>Security / Exception / Recovery</t>
        </is>
      </c>
      <c r="E83" s="5" t="inlineStr">
        <is>
          <t>Circuit breaker pattern on third-party government and banking API integrations</t>
        </is>
      </c>
      <c r="F83" s="5" t="inlineStr">
        <is>
          <t>Integration Middleware</t>
        </is>
      </c>
      <c r="G83" s="5" t="inlineStr">
        <is>
          <t>Billing Clerk</t>
        </is>
      </c>
      <c r="H83" s="5" t="inlineStr">
        <is>
          <t>Prevent system freezing when government GST portal or NIC E-Way server is down or timing out</t>
        </is>
      </c>
      <c r="I83" s="5" t="inlineStr">
        <is>
          <t>Trips circuit breaker after 3 consecutive timeouts; fails fast; falls back to offline queue without blocking UI</t>
        </is>
      </c>
      <c r="J83" s="20" t="inlineStr">
        <is>
          <t>P1</t>
        </is>
      </c>
      <c r="K83" s="20" t="inlineStr">
        <is>
          <t>Validated (Supported)</t>
        </is>
      </c>
      <c r="L83" s="5" t="inlineStr">
        <is>
          <t>Circuit Breaker pattern implemented via pybreaker on external NIC and bank APIs.</t>
        </is>
      </c>
      <c r="M83" s="8" t="inlineStr">
        <is>
          <t>Strategic expansion</t>
        </is>
      </c>
      <c r="N83" s="8" t="inlineStr">
        <is>
          <t>Platform or theme scope</t>
        </is>
      </c>
      <c r="O83" s="8" t="inlineStr">
        <is>
          <t>P1</t>
        </is>
      </c>
      <c r="P83" s="5" t="inlineStr">
        <is>
          <t>Unchanged</t>
        </is>
      </c>
      <c r="Q83" s="20" t="inlineStr">
        <is>
          <t>Author assertion</t>
        </is>
      </c>
      <c r="R83" s="5" t="inlineStr"/>
      <c r="S83" s="8" t="inlineStr">
        <is>
          <t>OTHER</t>
        </is>
      </c>
      <c r="T83" s="5" t="inlineStr">
        <is>
          <t>Security / Exception / Recovery</t>
        </is>
      </c>
      <c r="U83" s="8" t="inlineStr"/>
      <c r="V83" s="8" t="inlineStr"/>
      <c r="W83" s="8" t="inlineStr">
        <is>
          <t>CONTROL</t>
        </is>
      </c>
      <c r="X83" s="5" t="inlineStr">
        <is>
          <t>Core</t>
        </is>
      </c>
      <c r="Y83" s="5" t="inlineStr">
        <is>
          <t>Platform scope</t>
        </is>
      </c>
      <c r="Z83" s="5" t="inlineStr">
        <is>
          <t>High</t>
        </is>
      </c>
      <c r="AA83" s="5" t="inlineStr">
        <is>
          <t>Medium</t>
        </is>
      </c>
      <c r="AB83" s="8" t="inlineStr">
        <is>
          <t>Medium</t>
        </is>
      </c>
      <c r="AC83" s="8" t="inlineStr">
        <is>
          <t>Pilot</t>
        </is>
      </c>
      <c r="AD83" s="5" t="inlineStr">
        <is>
          <t>Not independently checked</t>
        </is>
      </c>
      <c r="AE83" s="5" t="inlineStr">
        <is>
          <t>Not verified</t>
        </is>
      </c>
      <c r="AF83" s="5" t="inlineStr">
        <is>
          <t>Not verified</t>
        </is>
      </c>
      <c r="AG83" s="5" t="inlineStr">
        <is>
          <t>Not verified</t>
        </is>
      </c>
      <c r="AH83" s="5" t="inlineStr">
        <is>
          <t>Not verified</t>
        </is>
      </c>
      <c r="AI83" s="8" t="inlineStr">
        <is>
          <t>No</t>
        </is>
      </c>
      <c r="AJ83" s="8" t="inlineStr">
        <is>
          <t>Claimed - unverified</t>
        </is>
      </c>
      <c r="AK83" s="8" t="inlineStr">
        <is>
          <t>P1</t>
        </is>
      </c>
      <c r="AL83" s="8" t="n">
        <v>12</v>
      </c>
      <c r="AM83" s="5" t="inlineStr"/>
      <c r="AN83" s="5" t="inlineStr"/>
      <c r="AO83" s="5" t="inlineStr"/>
      <c r="AP83" s="5" t="inlineStr"/>
      <c r="AQ83" s="5" t="inlineStr"/>
      <c r="AR83" s="5" t="inlineStr"/>
      <c r="AS83" s="5" t="inlineStr"/>
      <c r="AT83" s="5" t="inlineStr"/>
      <c r="AU83" s="8" t="inlineStr">
        <is>
          <t>Not run</t>
        </is>
      </c>
    </row>
    <row r="84" ht="32" customHeight="1">
      <c r="A84" s="16" t="inlineStr">
        <is>
          <t>R-0643</t>
        </is>
      </c>
      <c r="B84" s="8" t="inlineStr">
        <is>
          <t>R</t>
        </is>
      </c>
      <c r="C84" s="5" t="inlineStr">
        <is>
          <t>Architecture &amp; Platform</t>
        </is>
      </c>
      <c r="D84" s="5" t="inlineStr">
        <is>
          <t>Security / Exception / Recovery</t>
        </is>
      </c>
      <c r="E84" s="5" t="inlineStr">
        <is>
          <t>Deadlock detection and automatic transaction retry on concurrent stock updates</t>
        </is>
      </c>
      <c r="F84" s="5" t="inlineStr">
        <is>
          <t>Database Engine</t>
        </is>
      </c>
      <c r="G84" s="5" t="inlineStr">
        <is>
          <t>Warehouse / Billing Staff</t>
        </is>
      </c>
      <c r="H84" s="5" t="inlineStr">
        <is>
          <t>Automatically retry database transactions when concurrent warehouse transfers encounter PostgreSQL deadlock</t>
        </is>
      </c>
      <c r="I84" s="5" t="inlineStr">
        <is>
          <t>Catches OperationalError (deadlock detected); re-executes transaction with exponential jitter up to 3 times</t>
        </is>
      </c>
      <c r="J84" s="20" t="inlineStr">
        <is>
          <t>P1</t>
        </is>
      </c>
      <c r="K84" s="20" t="inlineStr">
        <is>
          <t>Validated (Supported)</t>
        </is>
      </c>
      <c r="L84" s="5" t="inlineStr">
        <is>
          <t>Database retry decorator catching deadlock exceptions with randomized backoff.</t>
        </is>
      </c>
      <c r="M84" s="8" t="inlineStr">
        <is>
          <t>Strategic expansion</t>
        </is>
      </c>
      <c r="N84" s="8" t="inlineStr">
        <is>
          <t>Platform or theme scope</t>
        </is>
      </c>
      <c r="O84" s="8" t="inlineStr">
        <is>
          <t>P1</t>
        </is>
      </c>
      <c r="P84" s="5" t="inlineStr">
        <is>
          <t>Unchanged</t>
        </is>
      </c>
      <c r="Q84" s="20" t="inlineStr">
        <is>
          <t>Author assertion</t>
        </is>
      </c>
      <c r="R84" s="5" t="inlineStr"/>
      <c r="S84" s="8" t="inlineStr">
        <is>
          <t>OTHER</t>
        </is>
      </c>
      <c r="T84" s="5" t="inlineStr">
        <is>
          <t>Security / Exception / Recovery</t>
        </is>
      </c>
      <c r="U84" s="8" t="inlineStr"/>
      <c r="V84" s="8" t="inlineStr"/>
      <c r="W84" s="8" t="inlineStr">
        <is>
          <t>CONTROL</t>
        </is>
      </c>
      <c r="X84" s="5" t="inlineStr">
        <is>
          <t>Core</t>
        </is>
      </c>
      <c r="Y84" s="5" t="inlineStr">
        <is>
          <t>Platform scope</t>
        </is>
      </c>
      <c r="Z84" s="5" t="inlineStr">
        <is>
          <t>High</t>
        </is>
      </c>
      <c r="AA84" s="5" t="inlineStr">
        <is>
          <t>Medium</t>
        </is>
      </c>
      <c r="AB84" s="8" t="inlineStr">
        <is>
          <t>Medium</t>
        </is>
      </c>
      <c r="AC84" s="8" t="inlineStr">
        <is>
          <t>Pilot</t>
        </is>
      </c>
      <c r="AD84" s="5" t="inlineStr">
        <is>
          <t>Not independently checked</t>
        </is>
      </c>
      <c r="AE84" s="5" t="inlineStr">
        <is>
          <t>Not verified</t>
        </is>
      </c>
      <c r="AF84" s="5" t="inlineStr">
        <is>
          <t>Not verified</t>
        </is>
      </c>
      <c r="AG84" s="5" t="inlineStr">
        <is>
          <t>Not verified</t>
        </is>
      </c>
      <c r="AH84" s="5" t="inlineStr">
        <is>
          <t>Not verified</t>
        </is>
      </c>
      <c r="AI84" s="8" t="inlineStr">
        <is>
          <t>No</t>
        </is>
      </c>
      <c r="AJ84" s="8" t="inlineStr">
        <is>
          <t>Claimed - unverified</t>
        </is>
      </c>
      <c r="AK84" s="8" t="inlineStr">
        <is>
          <t>P1</t>
        </is>
      </c>
      <c r="AL84" s="8" t="n">
        <v>12</v>
      </c>
      <c r="AM84" s="5" t="inlineStr"/>
      <c r="AN84" s="5" t="inlineStr"/>
      <c r="AO84" s="5" t="inlineStr"/>
      <c r="AP84" s="5" t="inlineStr"/>
      <c r="AQ84" s="5" t="inlineStr"/>
      <c r="AR84" s="5" t="inlineStr"/>
      <c r="AS84" s="5" t="inlineStr"/>
      <c r="AT84" s="5" t="inlineStr"/>
      <c r="AU84" s="8" t="inlineStr">
        <is>
          <t>Not run</t>
        </is>
      </c>
    </row>
    <row r="85" ht="32" customHeight="1">
      <c r="A85" s="16" t="inlineStr">
        <is>
          <t>R-0644</t>
        </is>
      </c>
      <c r="B85" s="8" t="inlineStr">
        <is>
          <t>R</t>
        </is>
      </c>
      <c r="C85" s="5" t="inlineStr">
        <is>
          <t>Architecture &amp; Platform</t>
        </is>
      </c>
      <c r="D85" s="5" t="inlineStr">
        <is>
          <t>Security / Exception / Recovery</t>
        </is>
      </c>
      <c r="E85" s="5" t="inlineStr">
        <is>
          <t>Graceful degradation to read-only mode during scheduled database maintenance</t>
        </is>
      </c>
      <c r="F85" s="5" t="inlineStr">
        <is>
          <t>Platform Engine</t>
        </is>
      </c>
      <c r="G85" s="5" t="inlineStr">
        <is>
          <t>All Users</t>
        </is>
      </c>
      <c r="H85" s="5" t="inlineStr">
        <is>
          <t>Allow users to view customer balances, search prices, and print past invoices while DB migration runs</t>
        </is>
      </c>
      <c r="I85" s="5" t="inlineStr">
        <is>
          <t>Routes read queries to read-replica; displays friendly maintenance banner explaining write freeze</t>
        </is>
      </c>
      <c r="J85" s="24" t="inlineStr">
        <is>
          <t>P3</t>
        </is>
      </c>
      <c r="K85" s="20" t="inlineStr">
        <is>
          <t>Validated (Supported)</t>
        </is>
      </c>
      <c r="L85" s="5" t="inlineStr">
        <is>
          <t>Read-replica routing middleware supporting read-only maintenance mode.</t>
        </is>
      </c>
      <c r="M85" s="8" t="inlineStr">
        <is>
          <t>Strategic expansion</t>
        </is>
      </c>
      <c r="N85" s="8" t="inlineStr">
        <is>
          <t>Platform or theme scope</t>
        </is>
      </c>
      <c r="O85" s="8" t="inlineStr">
        <is>
          <t>P2</t>
        </is>
      </c>
      <c r="P85" s="5" t="inlineStr">
        <is>
          <t>Kept P3. The previous workbook had P3. Authored priority was P2.</t>
        </is>
      </c>
      <c r="Q85" s="20" t="inlineStr">
        <is>
          <t>Author assertion</t>
        </is>
      </c>
      <c r="R85" s="5" t="inlineStr">
        <is>
          <t>Kept P3. The previous workbook had P3. Authored priority was P2.</t>
        </is>
      </c>
      <c r="S85" s="8" t="inlineStr">
        <is>
          <t>OTHER</t>
        </is>
      </c>
      <c r="T85" s="5" t="inlineStr">
        <is>
          <t>Security / Exception / Recovery</t>
        </is>
      </c>
      <c r="U85" s="8" t="inlineStr"/>
      <c r="V85" s="8" t="inlineStr"/>
      <c r="W85" s="8" t="inlineStr">
        <is>
          <t>CONTROL</t>
        </is>
      </c>
      <c r="X85" s="5" t="inlineStr">
        <is>
          <t>Future</t>
        </is>
      </c>
      <c r="Y85" s="5" t="inlineStr">
        <is>
          <t>Platform scope</t>
        </is>
      </c>
      <c r="Z85" s="5" t="inlineStr">
        <is>
          <t>Low</t>
        </is>
      </c>
      <c r="AA85" s="5" t="inlineStr">
        <is>
          <t>Low</t>
        </is>
      </c>
      <c r="AB85" s="8" t="inlineStr">
        <is>
          <t>Medium</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P3</t>
        </is>
      </c>
      <c r="AL85" s="8" t="n">
        <v>2</v>
      </c>
      <c r="AM85" s="5" t="inlineStr"/>
      <c r="AN85" s="5" t="inlineStr"/>
      <c r="AO85" s="5" t="inlineStr"/>
      <c r="AP85" s="5" t="inlineStr"/>
      <c r="AQ85" s="5" t="inlineStr"/>
      <c r="AR85" s="5" t="inlineStr"/>
      <c r="AS85" s="5" t="inlineStr"/>
      <c r="AT85" s="5" t="inlineStr"/>
      <c r="AU85" s="8" t="inlineStr">
        <is>
          <t>Not run</t>
        </is>
      </c>
    </row>
    <row r="86" ht="32" customHeight="1">
      <c r="A86" s="16" t="inlineStr">
        <is>
          <t>R-0645</t>
        </is>
      </c>
      <c r="B86" s="8" t="inlineStr">
        <is>
          <t>R</t>
        </is>
      </c>
      <c r="C86" s="5" t="inlineStr">
        <is>
          <t>Architecture &amp; Platform</t>
        </is>
      </c>
      <c r="D86" s="5" t="inlineStr">
        <is>
          <t>Reporting &amp; Business Intelligence</t>
        </is>
      </c>
      <c r="E86" s="5" t="inlineStr">
        <is>
          <t>Pre-computed materialization worker for heavy financial dashboards and reports</t>
        </is>
      </c>
      <c r="F86" s="5" t="inlineStr">
        <is>
          <t>Reporting Engine</t>
        </is>
      </c>
      <c r="G86" s="5" t="inlineStr">
        <is>
          <t>Business Owner</t>
        </is>
      </c>
      <c r="H86" s="5" t="inlineStr">
        <is>
          <t>Instant sub-second loading of multi-month executive sales and margin trend reports</t>
        </is>
      </c>
      <c r="I86" s="5" t="inlineStr">
        <is>
          <t>Pre-aggregates daily metrics into DailyBusinessSummary table; queries pre-computed sums instead of raw rows</t>
        </is>
      </c>
      <c r="J86" s="20" t="inlineStr">
        <is>
          <t>P1</t>
        </is>
      </c>
      <c r="K86" s="20" t="inlineStr">
        <is>
          <t>Validated (Supported)</t>
        </is>
      </c>
      <c r="L86" s="5" t="inlineStr">
        <is>
          <t>DailyBusinessSummary rollup model refreshed asynchronously via Celery beat.</t>
        </is>
      </c>
      <c r="M86" s="8" t="inlineStr">
        <is>
          <t>Strategic expansion</t>
        </is>
      </c>
      <c r="N86" s="8" t="inlineStr">
        <is>
          <t>Platform or theme scope</t>
        </is>
      </c>
      <c r="O86" s="8" t="inlineStr">
        <is>
          <t>P1</t>
        </is>
      </c>
      <c r="P86" s="5" t="inlineStr">
        <is>
          <t>Unchanged</t>
        </is>
      </c>
      <c r="Q86" s="21" t="inlineStr">
        <is>
          <t>Code symbol found</t>
        </is>
      </c>
      <c r="R86" s="5" t="inlineStr">
        <is>
          <t>Matched DailyBusinessSummary in product code. This is not a functional test.</t>
        </is>
      </c>
      <c r="S86" s="8" t="inlineStr">
        <is>
          <t>RPT</t>
        </is>
      </c>
      <c r="T86" s="5" t="inlineStr">
        <is>
          <t>Reporting and business intelligence</t>
        </is>
      </c>
      <c r="U86" s="8" t="inlineStr"/>
      <c r="V86" s="8" t="inlineStr">
        <is>
          <t>reporting</t>
        </is>
      </c>
      <c r="W86" s="8" t="inlineStr">
        <is>
          <t>CONTROL</t>
        </is>
      </c>
      <c r="X86" s="5" t="inlineStr">
        <is>
          <t>Core</t>
        </is>
      </c>
      <c r="Y86" s="5" t="inlineStr">
        <is>
          <t>Platform scope</t>
        </is>
      </c>
      <c r="Z86" s="5" t="inlineStr">
        <is>
          <t>Medium</t>
        </is>
      </c>
      <c r="AA86" s="5" t="inlineStr">
        <is>
          <t>Medium</t>
        </is>
      </c>
      <c r="AB86" s="8" t="inlineStr">
        <is>
          <t>Low</t>
        </is>
      </c>
      <c r="AC86" s="8" t="inlineStr">
        <is>
          <t>Pilot</t>
        </is>
      </c>
      <c r="AD86" s="5" t="inlineStr">
        <is>
          <t>Cited in code</t>
        </is>
      </c>
      <c r="AE86" s="5" t="inlineStr">
        <is>
          <t>Not verified</t>
        </is>
      </c>
      <c r="AF86" s="5" t="inlineStr">
        <is>
          <t>Not verified</t>
        </is>
      </c>
      <c r="AG86" s="5" t="inlineStr">
        <is>
          <t>Not verified</t>
        </is>
      </c>
      <c r="AH86" s="5" t="inlineStr">
        <is>
          <t>Not verified</t>
        </is>
      </c>
      <c r="AI86" s="8" t="inlineStr">
        <is>
          <t>No</t>
        </is>
      </c>
      <c r="AJ86" s="8" t="inlineStr">
        <is>
          <t>Built - unverified</t>
        </is>
      </c>
      <c r="AK86" s="8" t="inlineStr">
        <is>
          <t>P1</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R-0646</t>
        </is>
      </c>
      <c r="B87" s="8" t="inlineStr">
        <is>
          <t>R</t>
        </is>
      </c>
      <c r="C87" s="5" t="inlineStr">
        <is>
          <t>Architecture &amp; Platform</t>
        </is>
      </c>
      <c r="D87" s="5" t="inlineStr">
        <is>
          <t>Security / Exception / Recovery</t>
        </is>
      </c>
      <c r="E87" s="5" t="inlineStr">
        <is>
          <t>Automated health-check probes for Kubernetes / Docker container self-healing</t>
        </is>
      </c>
      <c r="F87" s="5" t="inlineStr">
        <is>
          <t>DevOps Engine</t>
        </is>
      </c>
      <c r="G87" s="5" t="inlineStr">
        <is>
          <t>System Administrator</t>
        </is>
      </c>
      <c r="H87" s="5" t="inlineStr">
        <is>
          <t>Automatically restart crashed worker processes or web servers within 10 seconds of failure</t>
        </is>
      </c>
      <c r="I87" s="5" t="inlineStr">
        <is>
          <t>Exposes /health/liveness/ and /health/readiness/ endpoints validating database and Redis connectivity</t>
        </is>
      </c>
      <c r="J87" s="19" t="inlineStr">
        <is>
          <t>P0</t>
        </is>
      </c>
      <c r="K87" s="20" t="inlineStr">
        <is>
          <t>Validated (Supported)</t>
        </is>
      </c>
      <c r="L87" s="5" t="inlineStr">
        <is>
          <t>Standard health probe endpoints integrated with Docker Compose / Kubernetes restart policies.</t>
        </is>
      </c>
      <c r="M87" s="8" t="inlineStr">
        <is>
          <t>Strategic expansion</t>
        </is>
      </c>
      <c r="N87" s="8" t="inlineStr">
        <is>
          <t>Platform or theme scope</t>
        </is>
      </c>
      <c r="O87" s="8" t="inlineStr">
        <is>
          <t>P0</t>
        </is>
      </c>
      <c r="P87" s="5" t="inlineStr">
        <is>
          <t>Unchanged</t>
        </is>
      </c>
      <c r="Q87" s="20" t="inlineStr">
        <is>
          <t>Author assertion</t>
        </is>
      </c>
      <c r="R87" s="5" t="inlineStr"/>
      <c r="S87" s="8" t="inlineStr">
        <is>
          <t>OTHER</t>
        </is>
      </c>
      <c r="T87" s="5" t="inlineStr">
        <is>
          <t>Security / Exception / Recovery</t>
        </is>
      </c>
      <c r="U87" s="8" t="inlineStr"/>
      <c r="V87" s="8" t="inlineStr"/>
      <c r="W87" s="8" t="inlineStr">
        <is>
          <t>CONTROL</t>
        </is>
      </c>
      <c r="X87" s="5" t="inlineStr">
        <is>
          <t>Core</t>
        </is>
      </c>
      <c r="Y87" s="5" t="inlineStr">
        <is>
          <t>Platform scope</t>
        </is>
      </c>
      <c r="Z87" s="5" t="inlineStr">
        <is>
          <t>High</t>
        </is>
      </c>
      <c r="AA87" s="5" t="inlineStr">
        <is>
          <t>Medium</t>
        </is>
      </c>
      <c r="AB87" s="8" t="inlineStr">
        <is>
          <t>Medium</t>
        </is>
      </c>
      <c r="AC87" s="8" t="inlineStr">
        <is>
          <t>MVP</t>
        </is>
      </c>
      <c r="AD87" s="5" t="inlineStr">
        <is>
          <t>Not independently checked</t>
        </is>
      </c>
      <c r="AE87" s="5" t="inlineStr">
        <is>
          <t>Not verified</t>
        </is>
      </c>
      <c r="AF87" s="5" t="inlineStr">
        <is>
          <t>Not verified</t>
        </is>
      </c>
      <c r="AG87" s="5" t="inlineStr">
        <is>
          <t>Not verified</t>
        </is>
      </c>
      <c r="AH87" s="5" t="inlineStr">
        <is>
          <t>Not verified</t>
        </is>
      </c>
      <c r="AI87" s="8" t="inlineStr">
        <is>
          <t>No</t>
        </is>
      </c>
      <c r="AJ87" s="8" t="inlineStr">
        <is>
          <t>Claimed - unverified</t>
        </is>
      </c>
      <c r="AK87" s="8" t="inlineStr">
        <is>
          <t>P0</t>
        </is>
      </c>
      <c r="AL87" s="8" t="n">
        <v>12</v>
      </c>
      <c r="AM87" s="5" t="inlineStr"/>
      <c r="AN87" s="5" t="inlineStr"/>
      <c r="AO87" s="5" t="inlineStr"/>
      <c r="AP87" s="5" t="inlineStr"/>
      <c r="AQ87" s="5" t="inlineStr"/>
      <c r="AR87" s="5" t="inlineStr"/>
      <c r="AS87" s="5" t="inlineStr"/>
      <c r="AT87" s="5" t="inlineStr"/>
      <c r="AU87" s="8" t="inlineStr">
        <is>
          <t>Not run</t>
        </is>
      </c>
    </row>
    <row r="88" ht="32" customHeight="1">
      <c r="A88" s="16" t="inlineStr">
        <is>
          <t>R-0647</t>
        </is>
      </c>
      <c r="B88" s="8" t="inlineStr">
        <is>
          <t>R</t>
        </is>
      </c>
      <c r="C88" s="5" t="inlineStr">
        <is>
          <t>Architecture &amp; Platform</t>
        </is>
      </c>
      <c r="D88" s="5" t="inlineStr">
        <is>
          <t>Communication &amp; Integrations</t>
        </is>
      </c>
      <c r="E88" s="5" t="inlineStr">
        <is>
          <t>Exponential backoff retry with dead-letter queue (DLQ) for failed background tasks</t>
        </is>
      </c>
      <c r="F88" s="5" t="inlineStr">
        <is>
          <t>Celery Worker</t>
        </is>
      </c>
      <c r="G88" s="5" t="inlineStr">
        <is>
          <t>System Administrator</t>
        </is>
      </c>
      <c r="H88" s="5" t="inlineStr">
        <is>
          <t>Ensure transient network drops do not drop WhatsApp messages or bank reconciliation jobs</t>
        </is>
      </c>
      <c r="I88" s="5" t="inlineStr">
        <is>
          <t>Retries failed jobs at 1m, 5m, 15m, 1h; moves persistently failing jobs to Dead-Letter Queue for inspection</t>
        </is>
      </c>
      <c r="J88" s="20" t="inlineStr">
        <is>
          <t>P1</t>
        </is>
      </c>
      <c r="K88" s="20" t="inlineStr">
        <is>
          <t>Validated (Supported)</t>
        </is>
      </c>
      <c r="L88" s="5" t="inlineStr">
        <is>
          <t>Celery task retry with exponential backoff and Celery DLQ error alerting.</t>
        </is>
      </c>
      <c r="M88" s="8" t="inlineStr">
        <is>
          <t>Strategic expansion</t>
        </is>
      </c>
      <c r="N88" s="8" t="inlineStr">
        <is>
          <t>Platform or theme scope</t>
        </is>
      </c>
      <c r="O88" s="8" t="inlineStr">
        <is>
          <t>P1</t>
        </is>
      </c>
      <c r="P88" s="5" t="inlineStr">
        <is>
          <t>Unchanged</t>
        </is>
      </c>
      <c r="Q88" s="20" t="inlineStr">
        <is>
          <t>Author assertion</t>
        </is>
      </c>
      <c r="R88" s="5" t="inlineStr"/>
      <c r="S88" s="8" t="inlineStr">
        <is>
          <t>INT</t>
        </is>
      </c>
      <c r="T88" s="5" t="inlineStr">
        <is>
          <t>Communication and integrations</t>
        </is>
      </c>
      <c r="U88" s="8" t="inlineStr"/>
      <c r="V88" s="8" t="inlineStr">
        <is>
          <t>integrations</t>
        </is>
      </c>
      <c r="W88" s="8" t="inlineStr">
        <is>
          <t>KERNEL</t>
        </is>
      </c>
      <c r="X88" s="5" t="inlineStr">
        <is>
          <t>Core</t>
        </is>
      </c>
      <c r="Y88" s="5" t="inlineStr">
        <is>
          <t>Platform scope</t>
        </is>
      </c>
      <c r="Z88" s="5" t="inlineStr">
        <is>
          <t>Medium</t>
        </is>
      </c>
      <c r="AA88" s="5" t="inlineStr">
        <is>
          <t>Medium</t>
        </is>
      </c>
      <c r="AB88" s="8" t="inlineStr">
        <is>
          <t>Low</t>
        </is>
      </c>
      <c r="AC88" s="8" t="inlineStr">
        <is>
          <t>Later</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6</v>
      </c>
      <c r="AM88" s="5" t="inlineStr"/>
      <c r="AN88" s="5" t="inlineStr"/>
      <c r="AO88" s="5" t="inlineStr"/>
      <c r="AP88" s="5" t="inlineStr"/>
      <c r="AQ88" s="5" t="inlineStr"/>
      <c r="AR88" s="5" t="inlineStr"/>
      <c r="AS88" s="5" t="inlineStr"/>
      <c r="AT88" s="5" t="inlineStr"/>
      <c r="AU88" s="8" t="inlineStr">
        <is>
          <t>Not run</t>
        </is>
      </c>
    </row>
    <row r="89" ht="32" customHeight="1">
      <c r="A89" s="16" t="inlineStr">
        <is>
          <t>R-0648</t>
        </is>
      </c>
      <c r="B89" s="8" t="inlineStr">
        <is>
          <t>R</t>
        </is>
      </c>
      <c r="C89" s="5" t="inlineStr">
        <is>
          <t>Architecture &amp; Platform</t>
        </is>
      </c>
      <c r="D89" s="5" t="inlineStr">
        <is>
          <t>Master Data &amp; Authorization</t>
        </is>
      </c>
      <c r="E89" s="5" t="inlineStr">
        <is>
          <t>Optimistic locking with version check on concurrent customer master updates</t>
        </is>
      </c>
      <c r="F89" s="5" t="inlineStr">
        <is>
          <t>ORM Guard</t>
        </is>
      </c>
      <c r="G89" s="5" t="inlineStr">
        <is>
          <t>Sales Staff / Admin</t>
        </is>
      </c>
      <c r="H89" s="5" t="inlineStr">
        <is>
          <t>Prevent accidental overwrite when two sales reps edit customer credit limits at the exact same moment</t>
        </is>
      </c>
      <c r="I89" s="5" t="inlineStr">
        <is>
          <t>Stores version integer on Customer model; checks version matching on save; alerts user if changed</t>
        </is>
      </c>
      <c r="J89" s="20" t="inlineStr">
        <is>
          <t>P1</t>
        </is>
      </c>
      <c r="K89" s="20" t="inlineStr">
        <is>
          <t>Validated (Supported)</t>
        </is>
      </c>
      <c r="L89" s="5" t="inlineStr">
        <is>
          <t>Optimistic concurrency control using django-concurrency or version column check.</t>
        </is>
      </c>
      <c r="M89" s="8" t="inlineStr">
        <is>
          <t>Strategic expansion</t>
        </is>
      </c>
      <c r="N89" s="8" t="inlineStr">
        <is>
          <t>Platform or theme scope</t>
        </is>
      </c>
      <c r="O89" s="8" t="inlineStr">
        <is>
          <t>P1</t>
        </is>
      </c>
      <c r="P89" s="5" t="inlineStr">
        <is>
          <t>Restored to authored P1. The previous workbook had P0 after a keyword rebalance.</t>
        </is>
      </c>
      <c r="Q89" s="20" t="inlineStr">
        <is>
          <t>Author assertion</t>
        </is>
      </c>
      <c r="R89" s="5" t="inlineStr">
        <is>
          <t>Restored to authored P1. The previous workbook had P0 after a keyword rebalance.</t>
        </is>
      </c>
      <c r="S89" s="8" t="inlineStr">
        <is>
          <t>MASTER</t>
        </is>
      </c>
      <c r="T89" s="5" t="inlineStr">
        <is>
          <t>Master data and authorization</t>
        </is>
      </c>
      <c r="U89" s="8" t="inlineStr"/>
      <c r="V89" s="8" t="inlineStr">
        <is>
          <t>masters</t>
        </is>
      </c>
      <c r="W89" s="8" t="inlineStr">
        <is>
          <t>KERNEL</t>
        </is>
      </c>
      <c r="X89" s="5" t="inlineStr">
        <is>
          <t>Core</t>
        </is>
      </c>
      <c r="Y89" s="5" t="inlineStr">
        <is>
          <t>Platform scope</t>
        </is>
      </c>
      <c r="Z89" s="5" t="inlineStr">
        <is>
          <t>Medium</t>
        </is>
      </c>
      <c r="AA89" s="5" t="inlineStr">
        <is>
          <t>Medium</t>
        </is>
      </c>
      <c r="AB89" s="8" t="inlineStr">
        <is>
          <t>Low</t>
        </is>
      </c>
      <c r="AC89" s="8" t="inlineStr">
        <is>
          <t>Later</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R-0649</t>
        </is>
      </c>
      <c r="B90" s="8" t="inlineStr">
        <is>
          <t>R</t>
        </is>
      </c>
      <c r="C90" s="5" t="inlineStr">
        <is>
          <t>Architecture &amp; Platform</t>
        </is>
      </c>
      <c r="D90" s="5" t="inlineStr">
        <is>
          <t>Import / Export / Period Close</t>
        </is>
      </c>
      <c r="E90" s="5" t="inlineStr">
        <is>
          <t>Chunked multipart file upload engine for massive 50MB customer and product master imports</t>
        </is>
      </c>
      <c r="F90" s="5" t="inlineStr">
        <is>
          <t>Upload Engine</t>
        </is>
      </c>
      <c r="G90" s="5" t="inlineStr">
        <is>
          <t>Accountant / Admin</t>
        </is>
      </c>
      <c r="H90" s="5" t="inlineStr">
        <is>
          <t>Allow reliable upload of massive migration files over flaky 3G/4G broadband connections</t>
        </is>
      </c>
      <c r="I90" s="5" t="inlineStr">
        <is>
          <t>Splits file into 2MB chunks; resumes interrupted uploads automatically from last successful chunk</t>
        </is>
      </c>
      <c r="J90" s="20" t="inlineStr">
        <is>
          <t>P1</t>
        </is>
      </c>
      <c r="K90" s="20" t="inlineStr">
        <is>
          <t>Validated (Supported)</t>
        </is>
      </c>
      <c r="L90" s="5" t="inlineStr">
        <is>
          <t>Tus.io / Chunked upload protocol handling resilient file transfers.</t>
        </is>
      </c>
      <c r="M90" s="8" t="inlineStr">
        <is>
          <t>Strategic expansion</t>
        </is>
      </c>
      <c r="N90" s="8" t="inlineStr">
        <is>
          <t>Platform or theme scope</t>
        </is>
      </c>
      <c r="O90" s="8" t="inlineStr">
        <is>
          <t>P1</t>
        </is>
      </c>
      <c r="P90" s="5" t="inlineStr">
        <is>
          <t>Unchanged</t>
        </is>
      </c>
      <c r="Q90" s="20" t="inlineStr">
        <is>
          <t>Author assertion</t>
        </is>
      </c>
      <c r="R90" s="5" t="inlineStr"/>
      <c r="S90" s="8" t="inlineStr">
        <is>
          <t>CLOSE</t>
        </is>
      </c>
      <c r="T90" s="5" t="inlineStr">
        <is>
          <t>Import, export, and period close</t>
        </is>
      </c>
      <c r="U90" s="8" t="inlineStr"/>
      <c r="V90" s="8" t="inlineStr">
        <is>
          <t>accounting</t>
        </is>
      </c>
      <c r="W90" s="8" t="inlineStr">
        <is>
          <t>CONTROL</t>
        </is>
      </c>
      <c r="X90" s="5" t="inlineStr">
        <is>
          <t>Core</t>
        </is>
      </c>
      <c r="Y90" s="5" t="inlineStr">
        <is>
          <t>Platform scope</t>
        </is>
      </c>
      <c r="Z90" s="5" t="inlineStr">
        <is>
          <t>Medium</t>
        </is>
      </c>
      <c r="AA90" s="5" t="inlineStr">
        <is>
          <t>Medium</t>
        </is>
      </c>
      <c r="AB90" s="8" t="inlineStr">
        <is>
          <t>Low</t>
        </is>
      </c>
      <c r="AC90" s="8" t="inlineStr">
        <is>
          <t>Pilot</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P1</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R-0650</t>
        </is>
      </c>
      <c r="B91" s="8" t="inlineStr">
        <is>
          <t>R</t>
        </is>
      </c>
      <c r="C91" s="5" t="inlineStr">
        <is>
          <t>Architecture &amp; Platform</t>
        </is>
      </c>
      <c r="D91" s="5" t="inlineStr">
        <is>
          <t>Security / Exception / Recovery</t>
        </is>
      </c>
      <c r="E91" s="5" t="inlineStr">
        <is>
          <t>Automated database index bloat detection and periodic REINDEX maintenance</t>
        </is>
      </c>
      <c r="F91" s="5" t="inlineStr">
        <is>
          <t>Database Maintenance</t>
        </is>
      </c>
      <c r="G91" s="5" t="inlineStr">
        <is>
          <t>System Administrator</t>
        </is>
      </c>
      <c r="H91" s="5" t="inlineStr">
        <is>
          <t>Maintain peak database query speed over years of high-volume invoicing and stock movements</t>
        </is>
      </c>
      <c r="I91" s="5" t="inlineStr">
        <is>
          <t>Detects bloated B-tree indexes; executes REINDEX CONCURRENTLY during off-peak hours without locking tables</t>
        </is>
      </c>
      <c r="J91" s="24" t="inlineStr">
        <is>
          <t>P3</t>
        </is>
      </c>
      <c r="K91" s="20" t="inlineStr">
        <is>
          <t>Validated (Supported)</t>
        </is>
      </c>
      <c r="L91" s="5" t="inlineStr">
        <is>
          <t>Weekly maintenance script analyzing pg_stat_user_indexes and executing concurrent reindexing.</t>
        </is>
      </c>
      <c r="M91" s="8" t="inlineStr">
        <is>
          <t>Strategic expansion</t>
        </is>
      </c>
      <c r="N91" s="8" t="inlineStr">
        <is>
          <t>Platform or theme scope</t>
        </is>
      </c>
      <c r="O91" s="8" t="inlineStr">
        <is>
          <t>P2</t>
        </is>
      </c>
      <c r="P91" s="5" t="inlineStr">
        <is>
          <t>Kept P3. The previous workbook had P3. Authored priority was P2.</t>
        </is>
      </c>
      <c r="Q91" s="20" t="inlineStr">
        <is>
          <t>Author assertion</t>
        </is>
      </c>
      <c r="R91" s="5" t="inlineStr">
        <is>
          <t>Kept P3. The previous workbook had P3. Authored priority was P2.</t>
        </is>
      </c>
      <c r="S91" s="8" t="inlineStr">
        <is>
          <t>OTHER</t>
        </is>
      </c>
      <c r="T91" s="5" t="inlineStr">
        <is>
          <t>Security / Exception / Recovery</t>
        </is>
      </c>
      <c r="U91" s="8" t="inlineStr"/>
      <c r="V91" s="8" t="inlineStr"/>
      <c r="W91" s="8" t="inlineStr">
        <is>
          <t>CONTROL</t>
        </is>
      </c>
      <c r="X91" s="5" t="inlineStr">
        <is>
          <t>Future</t>
        </is>
      </c>
      <c r="Y91" s="5" t="inlineStr">
        <is>
          <t>Platform scope</t>
        </is>
      </c>
      <c r="Z91" s="5" t="inlineStr">
        <is>
          <t>Low</t>
        </is>
      </c>
      <c r="AA91" s="5" t="inlineStr">
        <is>
          <t>Low</t>
        </is>
      </c>
      <c r="AB91" s="8" t="inlineStr">
        <is>
          <t>Medium</t>
        </is>
      </c>
      <c r="AC91" s="8" t="inlineStr">
        <is>
          <t>Later</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P3</t>
        </is>
      </c>
      <c r="AL91" s="8" t="n">
        <v>2</v>
      </c>
      <c r="AM91" s="5" t="inlineStr"/>
      <c r="AN91" s="5" t="inlineStr"/>
      <c r="AO91" s="5" t="inlineStr"/>
      <c r="AP91" s="5" t="inlineStr"/>
      <c r="AQ91" s="5" t="inlineStr"/>
      <c r="AR91" s="5" t="inlineStr"/>
      <c r="AS91" s="5" t="inlineStr"/>
      <c r="AT91" s="5" t="inlineStr"/>
      <c r="AU91" s="8" t="inlineStr">
        <is>
          <t>Not run</t>
        </is>
      </c>
    </row>
    <row r="92" ht="32" customHeight="1">
      <c r="A92" s="16" t="inlineStr">
        <is>
          <t>I-0651</t>
        </is>
      </c>
      <c r="B92" s="8" t="inlineStr">
        <is>
          <t>I</t>
        </is>
      </c>
      <c r="C92" s="5" t="inlineStr">
        <is>
          <t>Hardware Integrations</t>
        </is>
      </c>
      <c r="D92" s="5" t="inlineStr">
        <is>
          <t>Customer-to-Cash</t>
        </is>
      </c>
      <c r="E92" s="5" t="inlineStr">
        <is>
          <t>ESC/POS thermal receipt printer direct driver integration via USB, Bluetooth &amp; Network</t>
        </is>
      </c>
      <c r="F92" s="5" t="inlineStr">
        <is>
          <t>Counter Billing Clerk</t>
        </is>
      </c>
      <c r="G92" s="5" t="inlineStr">
        <is>
          <t>Walk-in Customer</t>
        </is>
      </c>
      <c r="H92" s="5" t="inlineStr">
        <is>
          <t>Sub-second direct silent printing on 2-inch and 3-inch thermal printers without opening browser print dialog</t>
        </is>
      </c>
      <c r="I92" s="5" t="inlineStr">
        <is>
          <t>Sends raw ESC/POS command bytes directly to printer port; automatically triggers cash drawer kick-out</t>
        </is>
      </c>
      <c r="J92" s="19" t="inlineStr">
        <is>
          <t>P0</t>
        </is>
      </c>
      <c r="K92" s="20" t="inlineStr">
        <is>
          <t>Validated (Supported)</t>
        </is>
      </c>
      <c r="L92" s="5" t="inlineStr">
        <is>
          <t>WebUSB and WebBluetooth ESC/POS driver supporting Epson, TVS, and thermal receipt printers.</t>
        </is>
      </c>
      <c r="M92" s="8" t="inlineStr">
        <is>
          <t>Strategic expansion</t>
        </is>
      </c>
      <c r="N92" s="8" t="inlineStr">
        <is>
          <t>Platform or theme scope</t>
        </is>
      </c>
      <c r="O92" s="8" t="inlineStr">
        <is>
          <t>P0</t>
        </is>
      </c>
      <c r="P92" s="5" t="inlineStr">
        <is>
          <t>Unchanged</t>
        </is>
      </c>
      <c r="Q92" s="20" t="inlineStr">
        <is>
          <t>Author assertion</t>
        </is>
      </c>
      <c r="R92" s="5" t="inlineStr"/>
      <c r="S92" s="8" t="inlineStr">
        <is>
          <t>C2C</t>
        </is>
      </c>
      <c r="T92" s="5" t="inlineStr">
        <is>
          <t>Customer to cash</t>
        </is>
      </c>
      <c r="U92" s="8" t="inlineStr"/>
      <c r="V92" s="8" t="inlineStr">
        <is>
          <t>sales</t>
        </is>
      </c>
      <c r="W92" s="8" t="inlineStr">
        <is>
          <t>RUN</t>
        </is>
      </c>
      <c r="X92" s="5" t="inlineStr">
        <is>
          <t>Differentiator</t>
        </is>
      </c>
      <c r="Y92" s="5" t="inlineStr">
        <is>
          <t>Platform scope</t>
        </is>
      </c>
      <c r="Z92" s="5" t="inlineStr">
        <is>
          <t>Medium</t>
        </is>
      </c>
      <c r="AA92" s="5" t="inlineStr">
        <is>
          <t>Medium</t>
        </is>
      </c>
      <c r="AB92" s="8" t="inlineStr">
        <is>
          <t>Low</t>
        </is>
      </c>
      <c r="AC92" s="8" t="inlineStr">
        <is>
          <t>MVP</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P0</t>
        </is>
      </c>
      <c r="AL92" s="8" t="n">
        <v>4</v>
      </c>
      <c r="AM92" s="5" t="inlineStr"/>
      <c r="AN92" s="5" t="inlineStr"/>
      <c r="AO92" s="5" t="inlineStr"/>
      <c r="AP92" s="5" t="inlineStr"/>
      <c r="AQ92" s="5" t="inlineStr"/>
      <c r="AR92" s="5" t="inlineStr"/>
      <c r="AS92" s="5" t="inlineStr"/>
      <c r="AT92" s="5" t="inlineStr"/>
      <c r="AU92" s="8" t="inlineStr">
        <is>
          <t>Not run</t>
        </is>
      </c>
    </row>
    <row r="93" ht="32" customHeight="1">
      <c r="A93" s="16" t="inlineStr">
        <is>
          <t>I-0652</t>
        </is>
      </c>
      <c r="B93" s="8" t="inlineStr">
        <is>
          <t>I</t>
        </is>
      </c>
      <c r="C93" s="5" t="inlineStr">
        <is>
          <t>Hardware Integrations</t>
        </is>
      </c>
      <c r="D93" s="5" t="inlineStr">
        <is>
          <t>Customer-to-Cash</t>
        </is>
      </c>
      <c r="E93" s="5" t="inlineStr">
        <is>
          <t>Physical cash drawer automatic kick-out pulse on cash sale completion</t>
        </is>
      </c>
      <c r="F93" s="5" t="inlineStr">
        <is>
          <t>Counter Billing Clerk</t>
        </is>
      </c>
      <c r="G93" s="5" t="inlineStr">
        <is>
          <t>Walk-in Customer</t>
        </is>
      </c>
      <c r="H93" s="5" t="inlineStr">
        <is>
          <t>Physical cash till drawer springs open automatically when cashier selects Cash payment on POS</t>
        </is>
      </c>
      <c r="I93" s="5" t="inlineStr">
        <is>
          <t>Sends 24V drawer kick pulse via RJ11 printer port; prevents cashier leaving cash drawer unlocked</t>
        </is>
      </c>
      <c r="J93" s="20" t="inlineStr">
        <is>
          <t>P1</t>
        </is>
      </c>
      <c r="K93" s="20" t="inlineStr">
        <is>
          <t>Validated (Supported)</t>
        </is>
      </c>
      <c r="L93" s="5" t="inlineStr">
        <is>
          <t>ESC/POS drawer kick command byte sequence embedded in receipt print stream.</t>
        </is>
      </c>
      <c r="M93" s="8" t="inlineStr">
        <is>
          <t>Strategic expansion</t>
        </is>
      </c>
      <c r="N93" s="8" t="inlineStr">
        <is>
          <t>Platform or theme scope</t>
        </is>
      </c>
      <c r="O93" s="8" t="inlineStr">
        <is>
          <t>P1</t>
        </is>
      </c>
      <c r="P93" s="5" t="inlineStr">
        <is>
          <t>Unchanged</t>
        </is>
      </c>
      <c r="Q93" s="20" t="inlineStr">
        <is>
          <t>Author assertion</t>
        </is>
      </c>
      <c r="R93" s="5" t="inlineStr"/>
      <c r="S93" s="8" t="inlineStr">
        <is>
          <t>C2C</t>
        </is>
      </c>
      <c r="T93" s="5" t="inlineStr">
        <is>
          <t>Customer to cash</t>
        </is>
      </c>
      <c r="U93" s="8" t="inlineStr"/>
      <c r="V93" s="8" t="inlineStr">
        <is>
          <t>sales</t>
        </is>
      </c>
      <c r="W93" s="8" t="inlineStr">
        <is>
          <t>RUN</t>
        </is>
      </c>
      <c r="X93" s="5" t="inlineStr">
        <is>
          <t>Differentiator</t>
        </is>
      </c>
      <c r="Y93" s="5" t="inlineStr">
        <is>
          <t>Platform scope</t>
        </is>
      </c>
      <c r="Z93" s="5" t="inlineStr">
        <is>
          <t>Medium</t>
        </is>
      </c>
      <c r="AA93" s="5" t="inlineStr">
        <is>
          <t>Medium</t>
        </is>
      </c>
      <c r="AB93" s="8" t="inlineStr">
        <is>
          <t>Low</t>
        </is>
      </c>
      <c r="AC93" s="8" t="inlineStr">
        <is>
          <t>Later</t>
        </is>
      </c>
      <c r="AD93" s="5" t="inlineStr">
        <is>
          <t>Not independently checked</t>
        </is>
      </c>
      <c r="AE93" s="5" t="inlineStr">
        <is>
          <t>Not verified</t>
        </is>
      </c>
      <c r="AF93" s="5" t="inlineStr">
        <is>
          <t>Not verified</t>
        </is>
      </c>
      <c r="AG93" s="5" t="inlineStr">
        <is>
          <t>Not verified</t>
        </is>
      </c>
      <c r="AH93" s="5" t="inlineStr">
        <is>
          <t>Not verified</t>
        </is>
      </c>
      <c r="AI93" s="8" t="inlineStr">
        <is>
          <t>No</t>
        </is>
      </c>
      <c r="AJ93" s="8" t="inlineStr">
        <is>
          <t>Claimed - unverified</t>
        </is>
      </c>
      <c r="AK93" s="8" t="inlineStr">
        <is>
          <t>P1</t>
        </is>
      </c>
      <c r="AL93" s="8" t="n">
        <v>4</v>
      </c>
      <c r="AM93" s="5" t="inlineStr"/>
      <c r="AN93" s="5" t="inlineStr"/>
      <c r="AO93" s="5" t="inlineStr"/>
      <c r="AP93" s="5" t="inlineStr"/>
      <c r="AQ93" s="5" t="inlineStr"/>
      <c r="AR93" s="5" t="inlineStr"/>
      <c r="AS93" s="5" t="inlineStr"/>
      <c r="AT93" s="5" t="inlineStr"/>
      <c r="AU93" s="8" t="inlineStr">
        <is>
          <t>Not run</t>
        </is>
      </c>
    </row>
    <row r="94" ht="32" customHeight="1">
      <c r="A94" s="16" t="inlineStr">
        <is>
          <t>I-0653</t>
        </is>
      </c>
      <c r="B94" s="8" t="inlineStr">
        <is>
          <t>I</t>
        </is>
      </c>
      <c r="C94" s="5" t="inlineStr">
        <is>
          <t>Hardware Integrations</t>
        </is>
      </c>
      <c r="D94" s="5" t="inlineStr">
        <is>
          <t>Customer-to-Cash</t>
        </is>
      </c>
      <c r="E94" s="5" t="inlineStr">
        <is>
          <t>Electronic weighing scale RS-232 serial port live weight reading</t>
        </is>
      </c>
      <c r="F94" s="5" t="inlineStr">
        <is>
          <t>Kirana / Grain Cashier</t>
        </is>
      </c>
      <c r="G94" s="5" t="inlineStr">
        <is>
          <t>Walk-in Customer</t>
        </is>
      </c>
      <c r="H94" s="5" t="inlineStr">
        <is>
          <t>Live weight of loose items (vegetables, grains, flour) automatically captured on POS bill line</t>
        </is>
      </c>
      <c r="I94" s="5" t="inlineStr">
        <is>
          <t>Reads RS-232 serial stream via Web Serial API; populates line quantity instantly; prevents manual weight fraud</t>
        </is>
      </c>
      <c r="J94" s="20" t="inlineStr">
        <is>
          <t>P1</t>
        </is>
      </c>
      <c r="K94" s="20" t="inlineStr">
        <is>
          <t>Validated (Supported)</t>
        </is>
      </c>
      <c r="L94" s="5" t="inlineStr">
        <is>
          <t>Web Serial API integration supporting CAS, Essae, and Avery weighing scales.</t>
        </is>
      </c>
      <c r="M94" s="8" t="inlineStr">
        <is>
          <t>Strategic expansion</t>
        </is>
      </c>
      <c r="N94" s="8" t="inlineStr">
        <is>
          <t>Platform or theme scope</t>
        </is>
      </c>
      <c r="O94" s="8" t="inlineStr">
        <is>
          <t>P1</t>
        </is>
      </c>
      <c r="P94" s="5" t="inlineStr">
        <is>
          <t>Unchanged</t>
        </is>
      </c>
      <c r="Q94" s="20" t="inlineStr">
        <is>
          <t>Author assertion</t>
        </is>
      </c>
      <c r="R94" s="5" t="inlineStr"/>
      <c r="S94" s="8" t="inlineStr">
        <is>
          <t>C2C</t>
        </is>
      </c>
      <c r="T94" s="5" t="inlineStr">
        <is>
          <t>Customer to cash</t>
        </is>
      </c>
      <c r="U94" s="8" t="inlineStr"/>
      <c r="V94" s="8" t="inlineStr">
        <is>
          <t>sales</t>
        </is>
      </c>
      <c r="W94" s="8" t="inlineStr">
        <is>
          <t>RUN</t>
        </is>
      </c>
      <c r="X94" s="5" t="inlineStr">
        <is>
          <t>Differentiator</t>
        </is>
      </c>
      <c r="Y94" s="5" t="inlineStr">
        <is>
          <t>Platform scope</t>
        </is>
      </c>
      <c r="Z94" s="5" t="inlineStr">
        <is>
          <t>Medium</t>
        </is>
      </c>
      <c r="AA94" s="5" t="inlineStr">
        <is>
          <t>Medium</t>
        </is>
      </c>
      <c r="AB94" s="8" t="inlineStr">
        <is>
          <t>Low</t>
        </is>
      </c>
      <c r="AC94" s="8" t="inlineStr">
        <is>
          <t>Later</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4</v>
      </c>
      <c r="AM94" s="5" t="inlineStr"/>
      <c r="AN94" s="5" t="inlineStr"/>
      <c r="AO94" s="5" t="inlineStr"/>
      <c r="AP94" s="5" t="inlineStr"/>
      <c r="AQ94" s="5" t="inlineStr"/>
      <c r="AR94" s="5" t="inlineStr"/>
      <c r="AS94" s="5" t="inlineStr"/>
      <c r="AT94" s="5" t="inlineStr"/>
      <c r="AU94" s="8" t="inlineStr">
        <is>
          <t>Not run</t>
        </is>
      </c>
    </row>
    <row r="95" ht="32" customHeight="1">
      <c r="A95" s="16" t="inlineStr">
        <is>
          <t>I-0654</t>
        </is>
      </c>
      <c r="B95" s="8" t="inlineStr">
        <is>
          <t>I</t>
        </is>
      </c>
      <c r="C95" s="5" t="inlineStr">
        <is>
          <t>Hardware Integrations</t>
        </is>
      </c>
      <c r="D95" s="5" t="inlineStr">
        <is>
          <t>Customer-to-Cash</t>
        </is>
      </c>
      <c r="E95" s="5" t="inlineStr">
        <is>
          <t>Customer-facing Pole Display / Secondary Screen integration</t>
        </is>
      </c>
      <c r="F95" s="5" t="inlineStr">
        <is>
          <t>Billing Clerk</t>
        </is>
      </c>
      <c r="G95" s="5" t="inlineStr">
        <is>
          <t>Walk-in Customer</t>
        </is>
      </c>
      <c r="H95" s="5" t="inlineStr">
        <is>
          <t>Live display of scanned items, prices, and grand total on secondary customer-facing VFD/LCD screen</t>
        </is>
      </c>
      <c r="I95" s="5" t="inlineStr">
        <is>
          <t>Updates customer display in real time; builds customer trust and reduces counter pricing disputes</t>
        </is>
      </c>
      <c r="J95" s="24" t="inlineStr">
        <is>
          <t>P3</t>
        </is>
      </c>
      <c r="K95" s="20" t="inlineStr">
        <is>
          <t>Validated (Supported)</t>
        </is>
      </c>
      <c r="L95" s="5" t="inlineStr">
        <is>
          <t>Serial VFD 2x20 pole display driver and browser secondary display window output.</t>
        </is>
      </c>
      <c r="M95" s="8" t="inlineStr">
        <is>
          <t>Strategic expansion</t>
        </is>
      </c>
      <c r="N95" s="8" t="inlineStr">
        <is>
          <t>Platform or theme scope</t>
        </is>
      </c>
      <c r="O95" s="8" t="inlineStr">
        <is>
          <t>P2</t>
        </is>
      </c>
      <c r="P95" s="5" t="inlineStr">
        <is>
          <t>Kept P3. The previous workbook had P3. Authored priority was P2.</t>
        </is>
      </c>
      <c r="Q95" s="20" t="inlineStr">
        <is>
          <t>Author assertion</t>
        </is>
      </c>
      <c r="R95" s="5" t="inlineStr">
        <is>
          <t>Kept P3. The previous workbook had P3. Authored priority was P2.</t>
        </is>
      </c>
      <c r="S95" s="8" t="inlineStr">
        <is>
          <t>C2C</t>
        </is>
      </c>
      <c r="T95" s="5" t="inlineStr">
        <is>
          <t>Customer to cash</t>
        </is>
      </c>
      <c r="U95" s="8" t="inlineStr"/>
      <c r="V95" s="8" t="inlineStr">
        <is>
          <t>sales</t>
        </is>
      </c>
      <c r="W95" s="8" t="inlineStr">
        <is>
          <t>RUN</t>
        </is>
      </c>
      <c r="X95" s="5" t="inlineStr">
        <is>
          <t>Future</t>
        </is>
      </c>
      <c r="Y95" s="5" t="inlineStr">
        <is>
          <t>Platform scope</t>
        </is>
      </c>
      <c r="Z95" s="5" t="inlineStr">
        <is>
          <t>Low</t>
        </is>
      </c>
      <c r="AA95" s="5" t="inlineStr">
        <is>
          <t>Low</t>
        </is>
      </c>
      <c r="AB95" s="8" t="inlineStr">
        <is>
          <t>Low</t>
        </is>
      </c>
      <c r="AC95" s="8" t="inlineStr">
        <is>
          <t>Later</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P3</t>
        </is>
      </c>
      <c r="AL95" s="8" t="n">
        <v>1</v>
      </c>
      <c r="AM95" s="5" t="inlineStr"/>
      <c r="AN95" s="5" t="inlineStr"/>
      <c r="AO95" s="5" t="inlineStr"/>
      <c r="AP95" s="5" t="inlineStr"/>
      <c r="AQ95" s="5" t="inlineStr"/>
      <c r="AR95" s="5" t="inlineStr"/>
      <c r="AS95" s="5" t="inlineStr"/>
      <c r="AT95" s="5" t="inlineStr"/>
      <c r="AU95" s="8" t="inlineStr">
        <is>
          <t>Not run</t>
        </is>
      </c>
    </row>
    <row r="96" ht="32" customHeight="1">
      <c r="A96" s="16" t="inlineStr">
        <is>
          <t>I-0655</t>
        </is>
      </c>
      <c r="B96" s="8" t="inlineStr">
        <is>
          <t>I</t>
        </is>
      </c>
      <c r="C96" s="5" t="inlineStr">
        <is>
          <t>Hardware Integrations</t>
        </is>
      </c>
      <c r="D96" s="5" t="inlineStr">
        <is>
          <t>Customer-to-Cash</t>
        </is>
      </c>
      <c r="E96" s="5" t="inlineStr">
        <is>
          <t>Barcode scanner HID USB wedge and 2D QR camera barcode reader</t>
        </is>
      </c>
      <c r="F96" s="5" t="inlineStr">
        <is>
          <t>Billing Clerk / Custodian</t>
        </is>
      </c>
      <c r="G96" s="5" t="inlineStr">
        <is>
          <t>None</t>
        </is>
      </c>
      <c r="H96" s="5" t="inlineStr">
        <is>
          <t>Supports standard handheld 1D laser barcode guns, 2D QR scanners, and mobile device built-in camera</t>
        </is>
      </c>
      <c r="I96" s="5" t="inlineStr">
        <is>
          <t>Captures scanned barcode strings with automatic Enter delimiter; opens product in cart instantly</t>
        </is>
      </c>
      <c r="J96" s="19" t="inlineStr">
        <is>
          <t>P0</t>
        </is>
      </c>
      <c r="K96" s="20" t="inlineStr">
        <is>
          <t>Validated (Supported)</t>
        </is>
      </c>
      <c r="L96" s="5" t="inlineStr">
        <is>
          <t>Universal HID keyboard wedge listener with 50ms keystroke timing heuristic + HTML5 camera scanner.</t>
        </is>
      </c>
      <c r="M96" s="8" t="inlineStr">
        <is>
          <t>Strategic expansion</t>
        </is>
      </c>
      <c r="N96" s="8" t="inlineStr">
        <is>
          <t>Platform or theme scope</t>
        </is>
      </c>
      <c r="O96" s="8" t="inlineStr">
        <is>
          <t>P0</t>
        </is>
      </c>
      <c r="P96" s="5" t="inlineStr">
        <is>
          <t>Unchanged</t>
        </is>
      </c>
      <c r="Q96" s="20" t="inlineStr">
        <is>
          <t>Author assertion</t>
        </is>
      </c>
      <c r="R96" s="5" t="inlineStr"/>
      <c r="S96" s="8" t="inlineStr">
        <is>
          <t>C2C</t>
        </is>
      </c>
      <c r="T96" s="5" t="inlineStr">
        <is>
          <t>Customer to cash</t>
        </is>
      </c>
      <c r="U96" s="8" t="inlineStr"/>
      <c r="V96" s="8" t="inlineStr">
        <is>
          <t>sales</t>
        </is>
      </c>
      <c r="W96" s="8" t="inlineStr">
        <is>
          <t>RUN</t>
        </is>
      </c>
      <c r="X96" s="5" t="inlineStr">
        <is>
          <t>Differentiator</t>
        </is>
      </c>
      <c r="Y96" s="5" t="inlineStr">
        <is>
          <t>Platform scope</t>
        </is>
      </c>
      <c r="Z96" s="5" t="inlineStr">
        <is>
          <t>Medium</t>
        </is>
      </c>
      <c r="AA96" s="5" t="inlineStr">
        <is>
          <t>Medium</t>
        </is>
      </c>
      <c r="AB96" s="8" t="inlineStr">
        <is>
          <t>Low</t>
        </is>
      </c>
      <c r="AC96" s="8" t="inlineStr">
        <is>
          <t>MVP</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P0</t>
        </is>
      </c>
      <c r="AL96" s="8" t="n">
        <v>4</v>
      </c>
      <c r="AM96" s="5" t="inlineStr"/>
      <c r="AN96" s="5" t="inlineStr"/>
      <c r="AO96" s="5" t="inlineStr"/>
      <c r="AP96" s="5" t="inlineStr"/>
      <c r="AQ96" s="5" t="inlineStr"/>
      <c r="AR96" s="5" t="inlineStr"/>
      <c r="AS96" s="5" t="inlineStr"/>
      <c r="AT96" s="5" t="inlineStr"/>
      <c r="AU96" s="8" t="inlineStr">
        <is>
          <t>Not run</t>
        </is>
      </c>
    </row>
    <row r="97" ht="32" customHeight="1">
      <c r="A97" s="16" t="inlineStr">
        <is>
          <t>I-0656</t>
        </is>
      </c>
      <c r="B97" s="8" t="inlineStr">
        <is>
          <t>I</t>
        </is>
      </c>
      <c r="C97" s="5" t="inlineStr">
        <is>
          <t>Hardware Integrations</t>
        </is>
      </c>
      <c r="D97" s="5" t="inlineStr">
        <is>
          <t>Inventory Lifecycle</t>
        </is>
      </c>
      <c r="E97" s="5" t="inlineStr">
        <is>
          <t>ZPL / TSPL thermal barcode label and sticker printer integration</t>
        </is>
      </c>
      <c r="F97" s="5" t="inlineStr">
        <is>
          <t>Warehouse Custodian</t>
        </is>
      </c>
      <c r="G97" s="5" t="inlineStr">
        <is>
          <t>None</t>
        </is>
      </c>
      <c r="H97" s="5" t="inlineStr">
        <is>
          <t>Print product price stickers, barcode labels, and shelf tags directly on Zebra / TSC label printers</t>
        </is>
      </c>
      <c r="I97" s="5" t="inlineStr">
        <is>
          <t>Generates raw ZPL / TSPL command code; prints customizable 50x25mm and 38x25mm barcode stickers</t>
        </is>
      </c>
      <c r="J97" s="20" t="inlineStr">
        <is>
          <t>P1</t>
        </is>
      </c>
      <c r="K97" s="20" t="inlineStr">
        <is>
          <t>Validated (Supported)</t>
        </is>
      </c>
      <c r="L97" s="5" t="inlineStr">
        <is>
          <t>ZPL / TSPL label template generator with barcode symbology encoding (Code 128 / EAN-13).</t>
        </is>
      </c>
      <c r="M97" s="8" t="inlineStr">
        <is>
          <t>Strategic expansion</t>
        </is>
      </c>
      <c r="N97" s="8" t="inlineStr">
        <is>
          <t>Platform or theme scope</t>
        </is>
      </c>
      <c r="O97" s="8" t="inlineStr">
        <is>
          <t>P1</t>
        </is>
      </c>
      <c r="P97" s="5" t="inlineStr">
        <is>
          <t>Unchanged</t>
        </is>
      </c>
      <c r="Q97" s="20" t="inlineStr">
        <is>
          <t>Author assertion</t>
        </is>
      </c>
      <c r="R97" s="5" t="inlineStr"/>
      <c r="S97" s="8" t="inlineStr">
        <is>
          <t>INV</t>
        </is>
      </c>
      <c r="T97" s="5" t="inlineStr">
        <is>
          <t>Inventory lifecycle</t>
        </is>
      </c>
      <c r="U97" s="8" t="inlineStr"/>
      <c r="V97" s="8" t="inlineStr">
        <is>
          <t>inventory</t>
        </is>
      </c>
      <c r="W97" s="8" t="inlineStr">
        <is>
          <t>RUN</t>
        </is>
      </c>
      <c r="X97" s="5" t="inlineStr">
        <is>
          <t>Differentiator</t>
        </is>
      </c>
      <c r="Y97" s="5" t="inlineStr">
        <is>
          <t>Platform scope</t>
        </is>
      </c>
      <c r="Z97" s="5" t="inlineStr">
        <is>
          <t>Medium</t>
        </is>
      </c>
      <c r="AA97" s="5" t="inlineStr">
        <is>
          <t>High</t>
        </is>
      </c>
      <c r="AB97" s="8" t="inlineStr">
        <is>
          <t>Low</t>
        </is>
      </c>
      <c r="AC97" s="8" t="inlineStr">
        <is>
          <t>Later</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I-0657</t>
        </is>
      </c>
      <c r="B98" s="8" t="inlineStr">
        <is>
          <t>I</t>
        </is>
      </c>
      <c r="C98" s="5" t="inlineStr">
        <is>
          <t>External Integrations</t>
        </is>
      </c>
      <c r="D98" s="5" t="inlineStr">
        <is>
          <t>Communication &amp; Integrations</t>
        </is>
      </c>
      <c r="E98" s="5" t="inlineStr">
        <is>
          <t>WhatsApp Business Cloud API official automated notification service</t>
        </is>
      </c>
      <c r="F98" s="5" t="inlineStr">
        <is>
          <t>Communication Engine</t>
        </is>
      </c>
      <c r="G98" s="5" t="inlineStr">
        <is>
          <t>Customer / Supplier</t>
        </is>
      </c>
      <c r="H98" s="5" t="inlineStr">
        <is>
          <t>Send verified branded WhatsApp messages with PDF invoices, payment receipts, and delivery updates</t>
        </is>
      </c>
      <c r="I98" s="5" t="inlineStr">
        <is>
          <t>Delivers messages via official Meta Cloud API; tracks delivery and read receipts; supports interactive buttons</t>
        </is>
      </c>
      <c r="J98" s="20" t="inlineStr">
        <is>
          <t>P1</t>
        </is>
      </c>
      <c r="K98" s="20" t="inlineStr">
        <is>
          <t>Validated (Supported)</t>
        </is>
      </c>
      <c r="L98" s="5" t="inlineStr">
        <is>
          <t>Meta WhatsApp Cloud API integration with approved HSM utility templates.</t>
        </is>
      </c>
      <c r="M98" s="8" t="inlineStr">
        <is>
          <t>Strategic expansion</t>
        </is>
      </c>
      <c r="N98" s="8" t="inlineStr">
        <is>
          <t>Platform or theme scope</t>
        </is>
      </c>
      <c r="O98" s="8" t="inlineStr">
        <is>
          <t>P1</t>
        </is>
      </c>
      <c r="P98" s="5" t="inlineStr">
        <is>
          <t>Unchanged</t>
        </is>
      </c>
      <c r="Q98" s="21" t="inlineStr">
        <is>
          <t>Code symbol found</t>
        </is>
      </c>
      <c r="R98" s="5" t="inlineStr">
        <is>
          <t>Matched WhatsApp in product code. This is not a functional test.</t>
        </is>
      </c>
      <c r="S98" s="8" t="inlineStr">
        <is>
          <t>INT</t>
        </is>
      </c>
      <c r="T98" s="5" t="inlineStr">
        <is>
          <t>Communication and integrations</t>
        </is>
      </c>
      <c r="U98" s="8" t="inlineStr"/>
      <c r="V98" s="8" t="inlineStr">
        <is>
          <t>integrations</t>
        </is>
      </c>
      <c r="W98" s="8" t="inlineStr">
        <is>
          <t>KERNEL</t>
        </is>
      </c>
      <c r="X98" s="5" t="inlineStr">
        <is>
          <t>Differentiator</t>
        </is>
      </c>
      <c r="Y98" s="5" t="inlineStr">
        <is>
          <t>Platform scope</t>
        </is>
      </c>
      <c r="Z98" s="5" t="inlineStr">
        <is>
          <t>Medium</t>
        </is>
      </c>
      <c r="AA98" s="5" t="inlineStr">
        <is>
          <t>Medium</t>
        </is>
      </c>
      <c r="AB98" s="8" t="inlineStr">
        <is>
          <t>Low</t>
        </is>
      </c>
      <c r="AC98" s="8" t="inlineStr">
        <is>
          <t>Later</t>
        </is>
      </c>
      <c r="AD98" s="5" t="inlineStr">
        <is>
          <t>Cited in code</t>
        </is>
      </c>
      <c r="AE98" s="5" t="inlineStr">
        <is>
          <t>Not verified</t>
        </is>
      </c>
      <c r="AF98" s="5" t="inlineStr">
        <is>
          <t>Not verified</t>
        </is>
      </c>
      <c r="AG98" s="5" t="inlineStr">
        <is>
          <t>Not verified</t>
        </is>
      </c>
      <c r="AH98" s="5" t="inlineStr">
        <is>
          <t>Not verified</t>
        </is>
      </c>
      <c r="AI98" s="8" t="inlineStr">
        <is>
          <t>No</t>
        </is>
      </c>
      <c r="AJ98" s="8" t="inlineStr">
        <is>
          <t>Built - unverified</t>
        </is>
      </c>
      <c r="AK98" s="8" t="inlineStr">
        <is>
          <t>P1</t>
        </is>
      </c>
      <c r="AL98" s="8" t="n">
        <v>4</v>
      </c>
      <c r="AM98" s="5" t="inlineStr"/>
      <c r="AN98" s="5" t="inlineStr"/>
      <c r="AO98" s="5" t="inlineStr"/>
      <c r="AP98" s="5" t="inlineStr"/>
      <c r="AQ98" s="5" t="inlineStr"/>
      <c r="AR98" s="5" t="inlineStr"/>
      <c r="AS98" s="5" t="inlineStr"/>
      <c r="AT98" s="5" t="inlineStr"/>
      <c r="AU98" s="8" t="inlineStr">
        <is>
          <t>Not run</t>
        </is>
      </c>
    </row>
    <row r="99" ht="32" customHeight="1">
      <c r="A99" s="16" t="inlineStr">
        <is>
          <t>I-0658</t>
        </is>
      </c>
      <c r="B99" s="8" t="inlineStr">
        <is>
          <t>I</t>
        </is>
      </c>
      <c r="C99" s="5" t="inlineStr">
        <is>
          <t>External Integrations</t>
        </is>
      </c>
      <c r="D99" s="5" t="inlineStr">
        <is>
          <t>Payments &amp; Reconciliation</t>
        </is>
      </c>
      <c r="E99" s="5" t="inlineStr">
        <is>
          <t>BharatPe / Paytm / PhonePe Soundbox instant payment audio alert webhook</t>
        </is>
      </c>
      <c r="F99" s="5" t="inlineStr">
        <is>
          <t>Cashier / Counter Clerk</t>
        </is>
      </c>
      <c r="G99" s="5" t="inlineStr">
        <is>
          <t>Customer</t>
        </is>
      </c>
      <c r="H99" s="5" t="inlineStr">
        <is>
          <t>Physical Soundbox on retail counter announces: 'Payment of ₹450 received successfully on UPI'</t>
        </is>
      </c>
      <c r="I99" s="5" t="inlineStr">
        <is>
          <t>Receives gateway webhook; triggers soundbox broadcast; marks POS bill PAID without clerk touching screen</t>
        </is>
      </c>
      <c r="J99" s="20" t="inlineStr">
        <is>
          <t>P1</t>
        </is>
      </c>
      <c r="K99" s="20" t="inlineStr">
        <is>
          <t>Validated (Supported)</t>
        </is>
      </c>
      <c r="L99" s="5" t="inlineStr">
        <is>
          <t>Soundbox webhook listener syncing UPI settlement with POS active register.</t>
        </is>
      </c>
      <c r="M99" s="8" t="inlineStr">
        <is>
          <t>Strategic expansion</t>
        </is>
      </c>
      <c r="N99" s="8" t="inlineStr">
        <is>
          <t>Platform or theme scope</t>
        </is>
      </c>
      <c r="O99" s="8" t="inlineStr">
        <is>
          <t>P1</t>
        </is>
      </c>
      <c r="P99" s="5" t="inlineStr">
        <is>
          <t>Unchanged</t>
        </is>
      </c>
      <c r="Q99" s="20" t="inlineStr">
        <is>
          <t>Author assertion</t>
        </is>
      </c>
      <c r="R99" s="5" t="inlineStr"/>
      <c r="S99" s="8" t="inlineStr">
        <is>
          <t>PAYREC</t>
        </is>
      </c>
      <c r="T99" s="5" t="inlineStr">
        <is>
          <t>Payments and reconciliation</t>
        </is>
      </c>
      <c r="U99" s="8" t="inlineStr"/>
      <c r="V99" s="8" t="inlineStr">
        <is>
          <t>payments</t>
        </is>
      </c>
      <c r="W99" s="8" t="inlineStr">
        <is>
          <t>RUN</t>
        </is>
      </c>
      <c r="X99" s="5" t="inlineStr">
        <is>
          <t>Differentiator</t>
        </is>
      </c>
      <c r="Y99" s="5" t="inlineStr">
        <is>
          <t>Platform scope</t>
        </is>
      </c>
      <c r="Z99" s="5" t="inlineStr">
        <is>
          <t>Medium</t>
        </is>
      </c>
      <c r="AA99" s="5" t="inlineStr">
        <is>
          <t>High</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I-0659</t>
        </is>
      </c>
      <c r="B100" s="8" t="inlineStr">
        <is>
          <t>I</t>
        </is>
      </c>
      <c r="C100" s="5" t="inlineStr">
        <is>
          <t>External Integrations</t>
        </is>
      </c>
      <c r="D100" s="5" t="inlineStr">
        <is>
          <t>Payments &amp; Reconciliation</t>
        </is>
      </c>
      <c r="E100" s="5" t="inlineStr">
        <is>
          <t>Pine Labs / MSwipe / Mosambee EDC credit card swipe terminal integration</t>
        </is>
      </c>
      <c r="F100" s="5" t="inlineStr">
        <is>
          <t>Cashier</t>
        </is>
      </c>
      <c r="G100" s="5" t="inlineStr">
        <is>
          <t>Customer</t>
        </is>
      </c>
      <c r="H100" s="5" t="inlineStr">
        <is>
          <t>Push bill amount directly to card swipe machine; machine captures card and confirms payment back to POS</t>
        </is>
      </c>
      <c r="I100" s="5" t="inlineStr">
        <is>
          <t>Eliminates manual re-typing of transaction amounts on card machine; prevents billing cashier fraud</t>
        </is>
      </c>
      <c r="J100" s="20" t="inlineStr">
        <is>
          <t>P1</t>
        </is>
      </c>
      <c r="K100" s="20" t="inlineStr">
        <is>
          <t>Validated (Supported)</t>
        </is>
      </c>
      <c r="L100" s="5" t="inlineStr">
        <is>
          <t>EDC Cloud POS API integration (Plutus / MSwipe) with automatic charge slip generation.</t>
        </is>
      </c>
      <c r="M100" s="8" t="inlineStr">
        <is>
          <t>Strategic expansion</t>
        </is>
      </c>
      <c r="N100" s="8" t="inlineStr">
        <is>
          <t>Platform or theme scope</t>
        </is>
      </c>
      <c r="O100" s="8" t="inlineStr">
        <is>
          <t>P1</t>
        </is>
      </c>
      <c r="P100" s="5" t="inlineStr">
        <is>
          <t>Unchanged</t>
        </is>
      </c>
      <c r="Q100" s="20" t="inlineStr">
        <is>
          <t>Author assertion</t>
        </is>
      </c>
      <c r="R100" s="5" t="inlineStr"/>
      <c r="S100" s="8" t="inlineStr">
        <is>
          <t>PAYREC</t>
        </is>
      </c>
      <c r="T100" s="5" t="inlineStr">
        <is>
          <t>Payments and reconciliation</t>
        </is>
      </c>
      <c r="U100" s="8" t="inlineStr"/>
      <c r="V100" s="8" t="inlineStr">
        <is>
          <t>payments</t>
        </is>
      </c>
      <c r="W100" s="8" t="inlineStr">
        <is>
          <t>RUN</t>
        </is>
      </c>
      <c r="X100" s="5" t="inlineStr">
        <is>
          <t>Differentiator</t>
        </is>
      </c>
      <c r="Y100" s="5" t="inlineStr">
        <is>
          <t>Platform scope</t>
        </is>
      </c>
      <c r="Z100" s="5" t="inlineStr">
        <is>
          <t>Medium</t>
        </is>
      </c>
      <c r="AA100" s="5" t="inlineStr">
        <is>
          <t>High</t>
        </is>
      </c>
      <c r="AB100" s="8" t="inlineStr">
        <is>
          <t>Low</t>
        </is>
      </c>
      <c r="AC100" s="8" t="inlineStr">
        <is>
          <t>Later</t>
        </is>
      </c>
      <c r="AD100" s="5" t="inlineStr">
        <is>
          <t>Not independently checked</t>
        </is>
      </c>
      <c r="AE100" s="5" t="inlineStr">
        <is>
          <t>Not verified</t>
        </is>
      </c>
      <c r="AF100" s="5" t="inlineStr">
        <is>
          <t>Not verified</t>
        </is>
      </c>
      <c r="AG100" s="5" t="inlineStr">
        <is>
          <t>Not verified</t>
        </is>
      </c>
      <c r="AH100" s="5" t="inlineStr">
        <is>
          <t>Not verified</t>
        </is>
      </c>
      <c r="AI100" s="8" t="inlineStr">
        <is>
          <t>No</t>
        </is>
      </c>
      <c r="AJ100" s="8" t="inlineStr">
        <is>
          <t>Claimed - unverified</t>
        </is>
      </c>
      <c r="AK100" s="8" t="inlineStr">
        <is>
          <t>P1</t>
        </is>
      </c>
      <c r="AL100" s="8" t="n">
        <v>6</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I-0660</t>
        </is>
      </c>
      <c r="B101" s="8" t="inlineStr">
        <is>
          <t>I</t>
        </is>
      </c>
      <c r="C101" s="5" t="inlineStr">
        <is>
          <t>External Integrations</t>
        </is>
      </c>
      <c r="D101" s="5" t="inlineStr">
        <is>
          <t>GST / Tax / Compliance</t>
        </is>
      </c>
      <c r="E101" s="5" t="inlineStr">
        <is>
          <t>NIC GST Portal GSP (GST Suvidha Provider) secure direct API connectivity</t>
        </is>
      </c>
      <c r="F101" s="5" t="inlineStr">
        <is>
          <t>Tax Engine</t>
        </is>
      </c>
      <c r="G101" s="5" t="inlineStr">
        <is>
          <t>External CA / Accountant</t>
        </is>
      </c>
      <c r="H101" s="5" t="inlineStr">
        <is>
          <t>Direct one-click upload of GSTR-1 and download of GSTR-2B JSON without visiting government website</t>
        </is>
      </c>
      <c r="I101" s="5" t="inlineStr">
        <is>
          <t>Authenticates via GSP secure tunnel using encrypted OTP token; pulls live filing status and ledger balances</t>
        </is>
      </c>
      <c r="J101" s="20" t="inlineStr">
        <is>
          <t>P1</t>
        </is>
      </c>
      <c r="K101" s="20" t="inlineStr">
        <is>
          <t>Validated (Supported)</t>
        </is>
      </c>
      <c r="L101" s="5" t="inlineStr">
        <is>
          <t>GSP REST API connector with OAuth2 token caching and payload encryption.</t>
        </is>
      </c>
      <c r="M101" s="8" t="inlineStr">
        <is>
          <t>Strategic expansion</t>
        </is>
      </c>
      <c r="N101" s="8" t="inlineStr">
        <is>
          <t>Platform or theme scope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Differentiator</t>
        </is>
      </c>
      <c r="Y101" s="5" t="inlineStr">
        <is>
          <t>Platform scope</t>
        </is>
      </c>
      <c r="Z101" s="5" t="inlineStr">
        <is>
          <t>Critical</t>
        </is>
      </c>
      <c r="AA101" s="5" t="inlineStr">
        <is>
          <t>High</t>
        </is>
      </c>
      <c r="AB101" s="8" t="inlineStr">
        <is>
          <t>High</t>
        </is>
      </c>
      <c r="AC101" s="8" t="inlineStr">
        <is>
          <t>Later</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18</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I-0661</t>
        </is>
      </c>
      <c r="B102" s="8" t="inlineStr">
        <is>
          <t>I</t>
        </is>
      </c>
      <c r="C102" s="5" t="inlineStr">
        <is>
          <t>External Integrations</t>
        </is>
      </c>
      <c r="D102" s="5" t="inlineStr">
        <is>
          <t>GST / Tax / Compliance</t>
        </is>
      </c>
      <c r="E102" s="5" t="inlineStr">
        <is>
          <t>National Informatics Centre (NIC) Invoice Registration Portal (IRP) live E-Invoice connector</t>
        </is>
      </c>
      <c r="F102" s="5" t="inlineStr">
        <is>
          <t>Billing Clerk / Tax Engine</t>
        </is>
      </c>
      <c r="G102" s="5" t="inlineStr">
        <is>
          <t>Tax Authority</t>
        </is>
      </c>
      <c r="H102" s="5" t="inlineStr">
        <is>
          <t>Instant sub-second generation of legal B2B IRN and Signed QR code on invoice completion</t>
        </is>
      </c>
      <c r="I102" s="5" t="inlineStr">
        <is>
          <t>Direct API handshake with ClearTax / Masters India / Cygnet IRP endpoints; auto-embeds IRN on PDF</t>
        </is>
      </c>
      <c r="J102" s="19" t="inlineStr">
        <is>
          <t>P0</t>
        </is>
      </c>
      <c r="K102" s="20" t="inlineStr">
        <is>
          <t>Validated (Supported)</t>
        </is>
      </c>
      <c r="L102" s="5" t="inlineStr">
        <is>
          <t>IRP REST client with token lifecycle management and automatic JSON payload signing.</t>
        </is>
      </c>
      <c r="M102" s="8" t="inlineStr">
        <is>
          <t>Strategic expansion</t>
        </is>
      </c>
      <c r="N102" s="8" t="inlineStr">
        <is>
          <t>Platform or theme scope</t>
        </is>
      </c>
      <c r="O102" s="8" t="inlineStr">
        <is>
          <t>P0</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Differentiator</t>
        </is>
      </c>
      <c r="Y102" s="5" t="inlineStr">
        <is>
          <t>Platform scope</t>
        </is>
      </c>
      <c r="Z102" s="5" t="inlineStr">
        <is>
          <t>Critical</t>
        </is>
      </c>
      <c r="AA102" s="5" t="inlineStr">
        <is>
          <t>High</t>
        </is>
      </c>
      <c r="AB102" s="8" t="inlineStr">
        <is>
          <t>High</t>
        </is>
      </c>
      <c r="AC102" s="8" t="inlineStr">
        <is>
          <t>MVP</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P0</t>
        </is>
      </c>
      <c r="AL102" s="8" t="n">
        <v>18</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I-0662</t>
        </is>
      </c>
      <c r="B103" s="8" t="inlineStr">
        <is>
          <t>I</t>
        </is>
      </c>
      <c r="C103" s="5" t="inlineStr">
        <is>
          <t>External Integrations</t>
        </is>
      </c>
      <c r="D103" s="5" t="inlineStr">
        <is>
          <t>Payments &amp; Reconciliation</t>
        </is>
      </c>
      <c r="E103" s="5" t="inlineStr">
        <is>
          <t>ICICI Bank / HDFC Bank Open Banking corporate API integration</t>
        </is>
      </c>
      <c r="F103" s="5" t="inlineStr">
        <is>
          <t>In-house Accountant</t>
        </is>
      </c>
      <c r="G103" s="5" t="inlineStr">
        <is>
          <t>Supplier / Customer</t>
        </is>
      </c>
      <c r="H103" s="5" t="inlineStr">
        <is>
          <t>Execute vendor NEFT/RTGS payments directly from software without logging into bank netbanking portal</t>
        </is>
      </c>
      <c r="I103" s="5" t="inlineStr">
        <is>
          <t>Initiates 2-factor OTP bank transfer; retrieves live statement lines and real-time bank UTR numbers</t>
        </is>
      </c>
      <c r="J103" s="20" t="inlineStr">
        <is>
          <t>P1</t>
        </is>
      </c>
      <c r="K103" s="20" t="inlineStr">
        <is>
          <t>Validated (Supported)</t>
        </is>
      </c>
      <c r="L103" s="5" t="inlineStr">
        <is>
          <t>Corporate Connected Banking API integration with encrypted payload and corporate maker-checker auth.</t>
        </is>
      </c>
      <c r="M103" s="8" t="inlineStr">
        <is>
          <t>Strategic expansion</t>
        </is>
      </c>
      <c r="N103" s="8" t="inlineStr">
        <is>
          <t>Platform or theme scope</t>
        </is>
      </c>
      <c r="O103" s="8" t="inlineStr">
        <is>
          <t>P1</t>
        </is>
      </c>
      <c r="P103" s="5" t="inlineStr">
        <is>
          <t>Unchanged</t>
        </is>
      </c>
      <c r="Q103" s="20" t="inlineStr">
        <is>
          <t>Author assertion</t>
        </is>
      </c>
      <c r="R103" s="5" t="inlineStr"/>
      <c r="S103" s="8" t="inlineStr">
        <is>
          <t>PAYREC</t>
        </is>
      </c>
      <c r="T103" s="5" t="inlineStr">
        <is>
          <t>Payments and reconciliation</t>
        </is>
      </c>
      <c r="U103" s="8" t="inlineStr"/>
      <c r="V103" s="8" t="inlineStr">
        <is>
          <t>payments</t>
        </is>
      </c>
      <c r="W103" s="8" t="inlineStr">
        <is>
          <t>RUN</t>
        </is>
      </c>
      <c r="X103" s="5" t="inlineStr">
        <is>
          <t>Differentiator</t>
        </is>
      </c>
      <c r="Y103" s="5" t="inlineStr">
        <is>
          <t>Platform scope</t>
        </is>
      </c>
      <c r="Z103" s="5" t="inlineStr">
        <is>
          <t>Medium</t>
        </is>
      </c>
      <c r="AA103" s="5" t="inlineStr">
        <is>
          <t>High</t>
        </is>
      </c>
      <c r="AB103" s="8" t="inlineStr">
        <is>
          <t>Low</t>
        </is>
      </c>
      <c r="AC103" s="8" t="inlineStr">
        <is>
          <t>Later</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P1</t>
        </is>
      </c>
      <c r="AL103" s="8" t="n">
        <v>6</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I-0663</t>
        </is>
      </c>
      <c r="B104" s="8" t="inlineStr">
        <is>
          <t>I</t>
        </is>
      </c>
      <c r="C104" s="5" t="inlineStr">
        <is>
          <t>External Integrations</t>
        </is>
      </c>
      <c r="D104" s="5" t="inlineStr">
        <is>
          <t>Master Data &amp; Authorization</t>
        </is>
      </c>
      <c r="E104" s="5" t="inlineStr">
        <is>
          <t>Government GSTIN Verification API auto-fill on customer and supplier creation</t>
        </is>
      </c>
      <c r="F104" s="5" t="inlineStr">
        <is>
          <t>Billing Clerk / Accountant</t>
        </is>
      </c>
      <c r="G104" s="5" t="inlineStr">
        <is>
          <t>New Customer / Supplier</t>
        </is>
      </c>
      <c r="H104" s="5" t="inlineStr">
        <is>
          <t>Type 15-character GSTIN; software automatically fetches legal name, trade name, address, and status</t>
        </is>
      </c>
      <c r="I104" s="5" t="inlineStr">
        <is>
          <t>Eliminates manual typing errors; validates that counterparty GSTIN is active and not cancelled</t>
        </is>
      </c>
      <c r="J104" s="20" t="inlineStr">
        <is>
          <t>P1</t>
        </is>
      </c>
      <c r="K104" s="20" t="inlineStr">
        <is>
          <t>Validated (Supported)</t>
        </is>
      </c>
      <c r="L104" s="5" t="inlineStr">
        <is>
          <t>GSTIN Public Search API integration auto-populating master entity forms.</t>
        </is>
      </c>
      <c r="M104" s="8" t="inlineStr">
        <is>
          <t>Strategic expansion</t>
        </is>
      </c>
      <c r="N104" s="8" t="inlineStr">
        <is>
          <t>Platform or theme scope</t>
        </is>
      </c>
      <c r="O104" s="8" t="inlineStr">
        <is>
          <t>P1</t>
        </is>
      </c>
      <c r="P104" s="5" t="inlineStr">
        <is>
          <t>Unchanged</t>
        </is>
      </c>
      <c r="Q104" s="20" t="inlineStr">
        <is>
          <t>Author assertion</t>
        </is>
      </c>
      <c r="R104" s="5" t="inlineStr"/>
      <c r="S104" s="8" t="inlineStr">
        <is>
          <t>MASTER</t>
        </is>
      </c>
      <c r="T104" s="5" t="inlineStr">
        <is>
          <t>Master data and authorization</t>
        </is>
      </c>
      <c r="U104" s="8" t="inlineStr"/>
      <c r="V104" s="8" t="inlineStr">
        <is>
          <t>masters</t>
        </is>
      </c>
      <c r="W104" s="8" t="inlineStr">
        <is>
          <t>KERNEL</t>
        </is>
      </c>
      <c r="X104" s="5" t="inlineStr">
        <is>
          <t>Differentiator</t>
        </is>
      </c>
      <c r="Y104" s="5" t="inlineStr">
        <is>
          <t>Platform scope</t>
        </is>
      </c>
      <c r="Z104" s="5" t="inlineStr">
        <is>
          <t>Medium</t>
        </is>
      </c>
      <c r="AA104" s="5" t="inlineStr">
        <is>
          <t>Medium</t>
        </is>
      </c>
      <c r="AB104" s="8" t="inlineStr">
        <is>
          <t>Low</t>
        </is>
      </c>
      <c r="AC104" s="8" t="inlineStr">
        <is>
          <t>Later</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4</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I-0664</t>
        </is>
      </c>
      <c r="B105" s="8" t="inlineStr">
        <is>
          <t>I</t>
        </is>
      </c>
      <c r="C105" s="5" t="inlineStr">
        <is>
          <t>External Integrations</t>
        </is>
      </c>
      <c r="D105" s="5" t="inlineStr">
        <is>
          <t>Operations, Fleet &amp; Delivery</t>
        </is>
      </c>
      <c r="E105" s="5" t="inlineStr">
        <is>
          <t>Google Maps &amp; OpenStreetMap Directions API route optimization</t>
        </is>
      </c>
      <c r="F105" s="5" t="inlineStr">
        <is>
          <t>Logistics Dispatcher</t>
        </is>
      </c>
      <c r="G105" s="5" t="inlineStr">
        <is>
          <t>Delivery Driver</t>
        </is>
      </c>
      <c r="H105" s="5" t="inlineStr">
        <is>
          <t>Calculate optimal delivery stop sequence and live turn-by-turn navigation distance for delivery tempos</t>
        </is>
      </c>
      <c r="I105" s="5" t="inlineStr">
        <is>
          <t>Optimizes route order; computes accurate delivery transit ETA; minimizes diesel consumption</t>
        </is>
      </c>
      <c r="J105" s="24" t="inlineStr">
        <is>
          <t>P3</t>
        </is>
      </c>
      <c r="K105" s="20" t="inlineStr">
        <is>
          <t>Validated (Supported)</t>
        </is>
      </c>
      <c r="L105" s="5" t="inlineStr">
        <is>
          <t>Google Maps Directions API integration with waypoint sequencing optimization.</t>
        </is>
      </c>
      <c r="M105" s="8" t="inlineStr">
        <is>
          <t>Strategic expansion</t>
        </is>
      </c>
      <c r="N105" s="8" t="inlineStr">
        <is>
          <t>Platform or theme scope</t>
        </is>
      </c>
      <c r="O105" s="8" t="inlineStr">
        <is>
          <t>P2</t>
        </is>
      </c>
      <c r="P105" s="5" t="inlineStr">
        <is>
          <t>Kept P3. The previous workbook had P3. Authored priority was P2.</t>
        </is>
      </c>
      <c r="Q105" s="20" t="inlineStr">
        <is>
          <t>Author assertion</t>
        </is>
      </c>
      <c r="R105" s="5" t="inlineStr">
        <is>
          <t>Kept P3. The previous workbook had P3. Authored priority was P2.</t>
        </is>
      </c>
      <c r="S105" s="8" t="inlineStr">
        <is>
          <t>FLEET</t>
        </is>
      </c>
      <c r="T105" s="5" t="inlineStr">
        <is>
          <t>Fleet and delivery</t>
        </is>
      </c>
      <c r="U105" s="8" t="inlineStr"/>
      <c r="V105" s="8" t="inlineStr">
        <is>
          <t>sales</t>
        </is>
      </c>
      <c r="W105" s="8" t="inlineStr">
        <is>
          <t>RUN</t>
        </is>
      </c>
      <c r="X105" s="5" t="inlineStr">
        <is>
          <t>Future</t>
        </is>
      </c>
      <c r="Y105" s="5" t="inlineStr">
        <is>
          <t>Platform scope</t>
        </is>
      </c>
      <c r="Z105" s="5" t="inlineStr">
        <is>
          <t>Low</t>
        </is>
      </c>
      <c r="AA105" s="5" t="inlineStr">
        <is>
          <t>Low</t>
        </is>
      </c>
      <c r="AB105" s="8" t="inlineStr">
        <is>
          <t>Low</t>
        </is>
      </c>
      <c r="AC105" s="8" t="inlineStr">
        <is>
          <t>Later</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P3</t>
        </is>
      </c>
      <c r="AL105" s="8" t="n">
        <v>1</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I-0665</t>
        </is>
      </c>
      <c r="B106" s="8" t="inlineStr">
        <is>
          <t>I</t>
        </is>
      </c>
      <c r="C106" s="5" t="inlineStr">
        <is>
          <t>External Integrations</t>
        </is>
      </c>
      <c r="D106" s="5" t="inlineStr">
        <is>
          <t>Communication &amp; Integrations</t>
        </is>
      </c>
      <c r="E106" s="5" t="inlineStr">
        <is>
          <t>DLT-approved transactional SMS gateway integration (MSG91 / Fast2SMS)</t>
        </is>
      </c>
      <c r="F106" s="5" t="inlineStr">
        <is>
          <t>Communication Engine</t>
        </is>
      </c>
      <c r="G106" s="5" t="inlineStr">
        <is>
          <t>Customer</t>
        </is>
      </c>
      <c r="H106" s="5" t="inlineStr">
        <is>
          <t>Deliver statutory invoice summary SMS with DLT-registered Header ID and approved 14-digit entity ID</t>
        </is>
      </c>
      <c r="I106" s="5" t="inlineStr">
        <is>
          <t>Dispatches SMS to feature phones and customers without WhatsApp; satisfies TRAI DLT regulations</t>
        </is>
      </c>
      <c r="J106" s="20" t="inlineStr">
        <is>
          <t>P1</t>
        </is>
      </c>
      <c r="K106" s="20" t="inlineStr">
        <is>
          <t>Validated (Supported)</t>
        </is>
      </c>
      <c r="L106" s="5" t="inlineStr">
        <is>
          <t>TRAI DLT compliant SMS gateway connector with approved template ID matching.</t>
        </is>
      </c>
      <c r="M106" s="8" t="inlineStr">
        <is>
          <t>Strategic expansion</t>
        </is>
      </c>
      <c r="N106" s="8" t="inlineStr">
        <is>
          <t>Platform or theme scope</t>
        </is>
      </c>
      <c r="O106" s="8" t="inlineStr">
        <is>
          <t>P1</t>
        </is>
      </c>
      <c r="P106" s="5" t="inlineStr">
        <is>
          <t>Unchanged</t>
        </is>
      </c>
      <c r="Q106" s="20" t="inlineStr">
        <is>
          <t>Author assertion</t>
        </is>
      </c>
      <c r="R106" s="5" t="inlineStr"/>
      <c r="S106" s="8" t="inlineStr">
        <is>
          <t>INT</t>
        </is>
      </c>
      <c r="T106" s="5" t="inlineStr">
        <is>
          <t>Communication and integrations</t>
        </is>
      </c>
      <c r="U106" s="8" t="inlineStr"/>
      <c r="V106" s="8" t="inlineStr">
        <is>
          <t>integrations</t>
        </is>
      </c>
      <c r="W106" s="8" t="inlineStr">
        <is>
          <t>KERNEL</t>
        </is>
      </c>
      <c r="X106" s="5" t="inlineStr">
        <is>
          <t>Differentiator</t>
        </is>
      </c>
      <c r="Y106" s="5" t="inlineStr">
        <is>
          <t>Platform scope</t>
        </is>
      </c>
      <c r="Z106" s="5" t="inlineStr">
        <is>
          <t>Medium</t>
        </is>
      </c>
      <c r="AA106" s="5" t="inlineStr">
        <is>
          <t>Medium</t>
        </is>
      </c>
      <c r="AB106" s="8" t="inlineStr">
        <is>
          <t>Low</t>
        </is>
      </c>
      <c r="AC106" s="8" t="inlineStr">
        <is>
          <t>Later</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4</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SaaS-0666</t>
        </is>
      </c>
      <c r="B107" s="8" t="inlineStr">
        <is>
          <t>SaaS</t>
        </is>
      </c>
      <c r="C107" s="5" t="inlineStr">
        <is>
          <t>Platform / SaaS Admin</t>
        </is>
      </c>
      <c r="D107" s="5" t="inlineStr">
        <is>
          <t>Security / Exception / Recovery</t>
        </is>
      </c>
      <c r="E107" s="5" t="inlineStr">
        <is>
          <t>Self-service tenant signup and automated workspace database provisioning</t>
        </is>
      </c>
      <c r="F107" s="5" t="inlineStr">
        <is>
          <t>New Customer (Merchant)</t>
        </is>
      </c>
      <c r="G107" s="5" t="inlineStr">
        <is>
          <t>None</t>
        </is>
      </c>
      <c r="H107" s="5" t="inlineStr">
        <is>
          <t>New merchant signs up on website, verifies phone via OTP, and gets active company workspace in 60s</t>
        </is>
      </c>
      <c r="I107" s="5" t="inlineStr">
        <is>
          <t>Creates Company, initial CompanyUser (OWNER), default Chart of Accounts, and primary Warehouse</t>
        </is>
      </c>
      <c r="J107" s="19" t="inlineStr">
        <is>
          <t>P0</t>
        </is>
      </c>
      <c r="K107" s="20" t="inlineStr">
        <is>
          <t>Validated (Supported)</t>
        </is>
      </c>
      <c r="L107" s="5" t="inlineStr">
        <is>
          <t>Automated tenant onboarding pipeline provisioning company defaults and seed accounts.</t>
        </is>
      </c>
      <c r="M107" s="8" t="inlineStr">
        <is>
          <t>Strategic expansion</t>
        </is>
      </c>
      <c r="N107" s="8" t="inlineStr">
        <is>
          <t>Platform or theme scope</t>
        </is>
      </c>
      <c r="O107" s="8" t="inlineStr">
        <is>
          <t>P0</t>
        </is>
      </c>
      <c r="P107" s="5" t="inlineStr">
        <is>
          <t>Unchanged</t>
        </is>
      </c>
      <c r="Q107" s="20" t="inlineStr">
        <is>
          <t>Author assertion</t>
        </is>
      </c>
      <c r="R107" s="5" t="inlineStr"/>
      <c r="S107" s="8" t="inlineStr">
        <is>
          <t>OTHER</t>
        </is>
      </c>
      <c r="T107" s="5" t="inlineStr">
        <is>
          <t>Security / Exception / Recovery</t>
        </is>
      </c>
      <c r="U107" s="8" t="inlineStr"/>
      <c r="V107" s="8" t="inlineStr"/>
      <c r="W107" s="8" t="inlineStr">
        <is>
          <t>CONTROL</t>
        </is>
      </c>
      <c r="X107" s="5" t="inlineStr">
        <is>
          <t>Adjacent</t>
        </is>
      </c>
      <c r="Y107" s="5" t="inlineStr">
        <is>
          <t>Platform scope</t>
        </is>
      </c>
      <c r="Z107" s="5" t="inlineStr">
        <is>
          <t>Medium</t>
        </is>
      </c>
      <c r="AA107" s="5" t="inlineStr">
        <is>
          <t>Medium</t>
        </is>
      </c>
      <c r="AB107" s="8" t="inlineStr">
        <is>
          <t>Medium</t>
        </is>
      </c>
      <c r="AC107" s="8" t="inlineStr">
        <is>
          <t>MVP</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P0</t>
        </is>
      </c>
      <c r="AL107" s="8" t="n">
        <v>4</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SaaS-0667</t>
        </is>
      </c>
      <c r="B108" s="8" t="inlineStr">
        <is>
          <t>SaaS</t>
        </is>
      </c>
      <c r="C108" s="5" t="inlineStr">
        <is>
          <t>Platform / SaaS Admin</t>
        </is>
      </c>
      <c r="D108" s="5" t="inlineStr">
        <is>
          <t>Master Data &amp; Authorization</t>
        </is>
      </c>
      <c r="E108" s="5" t="inlineStr">
        <is>
          <t>Multi-company workspace switcher for serial entrepreneurs and accounting firms</t>
        </is>
      </c>
      <c r="F108" s="5" t="inlineStr">
        <is>
          <t>Business Owner / CA</t>
        </is>
      </c>
      <c r="G108" s="5" t="inlineStr">
        <is>
          <t>None</t>
        </is>
      </c>
      <c r="H108" s="5" t="inlineStr">
        <is>
          <t>Single login credentials allow switching between multiple registered companies or client accounts</t>
        </is>
      </c>
      <c r="I108" s="5" t="inlineStr">
        <is>
          <t>Toggles active company context in session header; preserves strict data isolation between companies</t>
        </is>
      </c>
      <c r="J108" s="20" t="inlineStr">
        <is>
          <t>P1</t>
        </is>
      </c>
      <c r="K108" s="20" t="inlineStr">
        <is>
          <t>Validated (Supported)</t>
        </is>
      </c>
      <c r="L108" s="5" t="inlineStr">
        <is>
          <t>Tenant context switching middleware evaluating active company_id header with permission check.</t>
        </is>
      </c>
      <c r="M108" s="8" t="inlineStr">
        <is>
          <t>Strategic expansion</t>
        </is>
      </c>
      <c r="N108" s="8" t="inlineStr">
        <is>
          <t>Platform or theme scope</t>
        </is>
      </c>
      <c r="O108" s="8" t="inlineStr">
        <is>
          <t>P1</t>
        </is>
      </c>
      <c r="P108" s="5" t="inlineStr">
        <is>
          <t>Unchanged</t>
        </is>
      </c>
      <c r="Q108" s="20" t="inlineStr">
        <is>
          <t>Author assertion</t>
        </is>
      </c>
      <c r="R108" s="5" t="inlineStr"/>
      <c r="S108" s="8" t="inlineStr">
        <is>
          <t>MASTER</t>
        </is>
      </c>
      <c r="T108" s="5" t="inlineStr">
        <is>
          <t>Master data and authorization</t>
        </is>
      </c>
      <c r="U108" s="8" t="inlineStr"/>
      <c r="V108" s="8" t="inlineStr">
        <is>
          <t>masters</t>
        </is>
      </c>
      <c r="W108" s="8" t="inlineStr">
        <is>
          <t>KERNEL</t>
        </is>
      </c>
      <c r="X108" s="5" t="inlineStr">
        <is>
          <t>Adjacent</t>
        </is>
      </c>
      <c r="Y108" s="5" t="inlineStr">
        <is>
          <t>Platform scope</t>
        </is>
      </c>
      <c r="Z108" s="5" t="inlineStr">
        <is>
          <t>Low</t>
        </is>
      </c>
      <c r="AA108" s="5" t="inlineStr">
        <is>
          <t>Medium</t>
        </is>
      </c>
      <c r="AB108" s="8" t="inlineStr">
        <is>
          <t>Low</t>
        </is>
      </c>
      <c r="AC108" s="8" t="inlineStr">
        <is>
          <t>Later</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P1</t>
        </is>
      </c>
      <c r="AL108" s="8" t="n">
        <v>2</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SaaS-0668</t>
        </is>
      </c>
      <c r="B109" s="8" t="inlineStr">
        <is>
          <t>SaaS</t>
        </is>
      </c>
      <c r="C109" s="5" t="inlineStr">
        <is>
          <t>Platform / SaaS Admin</t>
        </is>
      </c>
      <c r="D109" s="5" t="inlineStr">
        <is>
          <t>Security / Exception / Recovery</t>
        </is>
      </c>
      <c r="E109" s="5" t="inlineStr">
        <is>
          <t>Subscription tier and plan quota enforcement engine (Invoices/month, SKUs, Users)</t>
        </is>
      </c>
      <c r="F109" s="5" t="inlineStr">
        <is>
          <t>Subscription Engine</t>
        </is>
      </c>
      <c r="G109" s="5" t="inlineStr">
        <is>
          <t>All Users</t>
        </is>
      </c>
      <c r="H109" s="5" t="inlineStr">
        <is>
          <t>Enforce commercial plan limits (Free: 100 bills/mo, Pro: 2,000 bills/mo, Enterprise: Unlimited)</t>
        </is>
      </c>
      <c r="I109" s="5" t="inlineStr">
        <is>
          <t>Checks monthly invoice count before invoice completion; prompts 1-click plan upgrade if limit reached</t>
        </is>
      </c>
      <c r="J109" s="19" t="inlineStr">
        <is>
          <t>P0</t>
        </is>
      </c>
      <c r="K109" s="20" t="inlineStr">
        <is>
          <t>Validated (Supported)</t>
        </is>
      </c>
      <c r="L109" s="5" t="inlineStr">
        <is>
          <t>Subscription Plan Quota validator checking tenant usage against active tier limits.</t>
        </is>
      </c>
      <c r="M109" s="8" t="inlineStr">
        <is>
          <t>Strategic expansion</t>
        </is>
      </c>
      <c r="N109" s="8" t="inlineStr">
        <is>
          <t>Platform or theme scope</t>
        </is>
      </c>
      <c r="O109" s="8" t="inlineStr">
        <is>
          <t>P0</t>
        </is>
      </c>
      <c r="P109" s="5" t="inlineStr">
        <is>
          <t>Unchanged</t>
        </is>
      </c>
      <c r="Q109" s="20" t="inlineStr">
        <is>
          <t>Author assertion</t>
        </is>
      </c>
      <c r="R109" s="5" t="inlineStr"/>
      <c r="S109" s="8" t="inlineStr">
        <is>
          <t>OTHER</t>
        </is>
      </c>
      <c r="T109" s="5" t="inlineStr">
        <is>
          <t>Security / Exception / Recovery</t>
        </is>
      </c>
      <c r="U109" s="8" t="inlineStr"/>
      <c r="V109" s="8" t="inlineStr"/>
      <c r="W109" s="8" t="inlineStr">
        <is>
          <t>CONTROL</t>
        </is>
      </c>
      <c r="X109" s="5" t="inlineStr">
        <is>
          <t>Adjacent</t>
        </is>
      </c>
      <c r="Y109" s="5" t="inlineStr">
        <is>
          <t>Platform scope</t>
        </is>
      </c>
      <c r="Z109" s="5" t="inlineStr">
        <is>
          <t>Medium</t>
        </is>
      </c>
      <c r="AA109" s="5" t="inlineStr">
        <is>
          <t>Medium</t>
        </is>
      </c>
      <c r="AB109" s="8" t="inlineStr">
        <is>
          <t>Medium</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4</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SaaS-0669</t>
        </is>
      </c>
      <c r="B110" s="8" t="inlineStr">
        <is>
          <t>SaaS</t>
        </is>
      </c>
      <c r="C110" s="5" t="inlineStr">
        <is>
          <t>Platform / SaaS Admin</t>
        </is>
      </c>
      <c r="D110" s="5" t="inlineStr">
        <is>
          <t>Payments &amp; Reconciliation</t>
        </is>
      </c>
      <c r="E110" s="5" t="inlineStr">
        <is>
          <t>Automated recurring subscription billing and GST tax invoice generation via Razorpay Subscriptions</t>
        </is>
      </c>
      <c r="F110" s="5" t="inlineStr">
        <is>
          <t>Billing Engine</t>
        </is>
      </c>
      <c r="G110" s="5" t="inlineStr">
        <is>
          <t>Business Owner</t>
        </is>
      </c>
      <c r="H110" s="5" t="inlineStr">
        <is>
          <t>Automated monthly/annual recurring credit card / UPI auto-debit for software subscription fee</t>
        </is>
      </c>
      <c r="I110" s="5" t="inlineStr">
        <is>
          <t>Charges customer; activates subscription period; automatically emails GST-compliant B2B SaaS tax invoice</t>
        </is>
      </c>
      <c r="J110" s="19" t="inlineStr">
        <is>
          <t>P0</t>
        </is>
      </c>
      <c r="K110" s="20" t="inlineStr">
        <is>
          <t>Validated (Supported)</t>
        </is>
      </c>
      <c r="L110" s="5" t="inlineStr">
        <is>
          <t>Razorpay / Stripe recurring subscription webhook integration with automated invoice delivery.</t>
        </is>
      </c>
      <c r="M110" s="8" t="inlineStr">
        <is>
          <t>Strategic expansion</t>
        </is>
      </c>
      <c r="N110" s="8" t="inlineStr">
        <is>
          <t>Platform or theme scope</t>
        </is>
      </c>
      <c r="O110" s="8" t="inlineStr">
        <is>
          <t>P0</t>
        </is>
      </c>
      <c r="P110" s="5" t="inlineStr">
        <is>
          <t>Unchanged</t>
        </is>
      </c>
      <c r="Q110" s="20" t="inlineStr">
        <is>
          <t>Author assertion</t>
        </is>
      </c>
      <c r="R110" s="5" t="inlineStr"/>
      <c r="S110" s="8" t="inlineStr">
        <is>
          <t>PAYREC</t>
        </is>
      </c>
      <c r="T110" s="5" t="inlineStr">
        <is>
          <t>Payments and reconciliation</t>
        </is>
      </c>
      <c r="U110" s="8" t="inlineStr"/>
      <c r="V110" s="8" t="inlineStr">
        <is>
          <t>payments</t>
        </is>
      </c>
      <c r="W110" s="8" t="inlineStr">
        <is>
          <t>RUN</t>
        </is>
      </c>
      <c r="X110" s="5" t="inlineStr">
        <is>
          <t>Adjacent</t>
        </is>
      </c>
      <c r="Y110" s="5" t="inlineStr">
        <is>
          <t>Platform scope</t>
        </is>
      </c>
      <c r="Z110" s="5" t="inlineStr">
        <is>
          <t>Low</t>
        </is>
      </c>
      <c r="AA110" s="5" t="inlineStr">
        <is>
          <t>High</t>
        </is>
      </c>
      <c r="AB110" s="8" t="inlineStr">
        <is>
          <t>Low</t>
        </is>
      </c>
      <c r="AC110" s="8" t="inlineStr">
        <is>
          <t>MVP</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P0</t>
        </is>
      </c>
      <c r="AL110" s="8" t="n">
        <v>3</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SaaS-0670</t>
        </is>
      </c>
      <c r="B111" s="8" t="inlineStr">
        <is>
          <t>SaaS</t>
        </is>
      </c>
      <c r="C111" s="5" t="inlineStr">
        <is>
          <t>Platform / SaaS Admin</t>
        </is>
      </c>
      <c r="D111" s="5" t="inlineStr">
        <is>
          <t>Security / Exception / Recovery</t>
        </is>
      </c>
      <c r="E111" s="5" t="inlineStr">
        <is>
          <t>Grace period management and automated read-only downgrade on subscription payment failure</t>
        </is>
      </c>
      <c r="F111" s="5" t="inlineStr">
        <is>
          <t>Subscription Engine</t>
        </is>
      </c>
      <c r="G111" s="5" t="inlineStr">
        <is>
          <t>Business Owner</t>
        </is>
      </c>
      <c r="H111" s="5" t="inlineStr">
        <is>
          <t>When credit card payment fails, provide 7-day grace period before shifting account to read-only mode</t>
        </is>
      </c>
      <c r="I111" s="5" t="inlineStr">
        <is>
          <t>Dispatches payment retry alerts; locks write actions after 7 days while preserving access to past records</t>
        </is>
      </c>
      <c r="J111" s="20" t="inlineStr">
        <is>
          <t>P1</t>
        </is>
      </c>
      <c r="K111" s="20" t="inlineStr">
        <is>
          <t>Validated (Supported)</t>
        </is>
      </c>
      <c r="L111" s="5" t="inlineStr">
        <is>
          <t>Automated dunning workflow transitioning tenant status (ACTIVE -&gt; PAST_DUE -&gt; READ_ONLY).</t>
        </is>
      </c>
      <c r="M111" s="8" t="inlineStr">
        <is>
          <t>Strategic expansion</t>
        </is>
      </c>
      <c r="N111" s="8" t="inlineStr">
        <is>
          <t>Platform or theme scope</t>
        </is>
      </c>
      <c r="O111" s="8" t="inlineStr">
        <is>
          <t>P1</t>
        </is>
      </c>
      <c r="P111" s="5" t="inlineStr">
        <is>
          <t>Unchanged</t>
        </is>
      </c>
      <c r="Q111" s="20" t="inlineStr">
        <is>
          <t>Author assertion</t>
        </is>
      </c>
      <c r="R111" s="5" t="inlineStr"/>
      <c r="S111" s="8" t="inlineStr">
        <is>
          <t>OTHER</t>
        </is>
      </c>
      <c r="T111" s="5" t="inlineStr">
        <is>
          <t>Security / Exception / Recovery</t>
        </is>
      </c>
      <c r="U111" s="8" t="inlineStr"/>
      <c r="V111" s="8" t="inlineStr"/>
      <c r="W111" s="8" t="inlineStr">
        <is>
          <t>CONTROL</t>
        </is>
      </c>
      <c r="X111" s="5" t="inlineStr">
        <is>
          <t>Adjacent</t>
        </is>
      </c>
      <c r="Y111" s="5" t="inlineStr">
        <is>
          <t>Platform scope</t>
        </is>
      </c>
      <c r="Z111" s="5" t="inlineStr">
        <is>
          <t>Medium</t>
        </is>
      </c>
      <c r="AA111" s="5" t="inlineStr">
        <is>
          <t>Medium</t>
        </is>
      </c>
      <c r="AB111" s="8" t="inlineStr">
        <is>
          <t>Medium</t>
        </is>
      </c>
      <c r="AC111" s="8" t="inlineStr">
        <is>
          <t>Later</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P1</t>
        </is>
      </c>
      <c r="AL111" s="8" t="n">
        <v>4</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SaaS-0671</t>
        </is>
      </c>
      <c r="B112" s="8" t="inlineStr">
        <is>
          <t>SaaS</t>
        </is>
      </c>
      <c r="C112" s="5" t="inlineStr">
        <is>
          <t>Platform / SaaS Admin</t>
        </is>
      </c>
      <c r="D112" s="5" t="inlineStr">
        <is>
          <t>Master Data &amp; Authorization</t>
        </is>
      </c>
      <c r="E112" s="5" t="inlineStr">
        <is>
          <t>Role license seating and per-user add-on billing management</t>
        </is>
      </c>
      <c r="F112" s="5" t="inlineStr">
        <is>
          <t>System Administrator</t>
        </is>
      </c>
      <c r="G112" s="5" t="inlineStr">
        <is>
          <t>Business Owner</t>
        </is>
      </c>
      <c r="H112" s="5" t="inlineStr">
        <is>
          <t>Manage number of authorized staff login seats (e.g. 3 POS cashiers, 1 accountant, 1 manager)</t>
        </is>
      </c>
      <c r="I112" s="5" t="inlineStr">
        <is>
          <t>Tracks allocated user seats; calculates prorated monthly add-on fee for additional employee logins</t>
        </is>
      </c>
      <c r="J112" s="20" t="inlineStr">
        <is>
          <t>P1</t>
        </is>
      </c>
      <c r="K112" s="20" t="inlineStr">
        <is>
          <t>Validated (Supported)</t>
        </is>
      </c>
      <c r="L112" s="5" t="inlineStr">
        <is>
          <t>User seat quota manager in /settings/billing/ with prorated billing adjustments.</t>
        </is>
      </c>
      <c r="M112" s="8" t="inlineStr">
        <is>
          <t>Strategic expansion</t>
        </is>
      </c>
      <c r="N112" s="8" t="inlineStr">
        <is>
          <t>Platform or theme scope</t>
        </is>
      </c>
      <c r="O112" s="8" t="inlineStr">
        <is>
          <t>P1</t>
        </is>
      </c>
      <c r="P112" s="5" t="inlineStr">
        <is>
          <t>Unchanged</t>
        </is>
      </c>
      <c r="Q112" s="20" t="inlineStr">
        <is>
          <t>Author assertion</t>
        </is>
      </c>
      <c r="R112" s="5" t="inlineStr"/>
      <c r="S112" s="8" t="inlineStr">
        <is>
          <t>MASTER</t>
        </is>
      </c>
      <c r="T112" s="5" t="inlineStr">
        <is>
          <t>Master data and authorization</t>
        </is>
      </c>
      <c r="U112" s="8" t="inlineStr"/>
      <c r="V112" s="8" t="inlineStr">
        <is>
          <t>masters</t>
        </is>
      </c>
      <c r="W112" s="8" t="inlineStr">
        <is>
          <t>KERNEL</t>
        </is>
      </c>
      <c r="X112" s="5" t="inlineStr">
        <is>
          <t>Adjacent</t>
        </is>
      </c>
      <c r="Y112" s="5" t="inlineStr">
        <is>
          <t>Platform scope</t>
        </is>
      </c>
      <c r="Z112" s="5" t="inlineStr">
        <is>
          <t>Low</t>
        </is>
      </c>
      <c r="AA112" s="5" t="inlineStr">
        <is>
          <t>Medium</t>
        </is>
      </c>
      <c r="AB112" s="8" t="inlineStr">
        <is>
          <t>Low</t>
        </is>
      </c>
      <c r="AC112" s="8" t="inlineStr">
        <is>
          <t>Later</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2</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SaaS-0672</t>
        </is>
      </c>
      <c r="B113" s="8" t="inlineStr">
        <is>
          <t>SaaS</t>
        </is>
      </c>
      <c r="C113" s="5" t="inlineStr">
        <is>
          <t>Platform / SaaS Admin</t>
        </is>
      </c>
      <c r="D113" s="5" t="inlineStr">
        <is>
          <t>Import / Export / Period Close</t>
        </is>
      </c>
      <c r="E113" s="5" t="inlineStr">
        <is>
          <t>Self-service full tenant data export package upon subscription cancellation</t>
        </is>
      </c>
      <c r="F113" s="5" t="inlineStr">
        <is>
          <t>Business Owner</t>
        </is>
      </c>
      <c r="G113" s="5" t="inlineStr">
        <is>
          <t>None</t>
        </is>
      </c>
      <c r="H113" s="5" t="inlineStr">
        <is>
          <t>Departing customer can download complete backup of all products, customers, invoices, and ledgers in 1 zip</t>
        </is>
      </c>
      <c r="I113" s="5" t="inlineStr">
        <is>
          <t>Generates clean ZIP archive containing all historical Excel books and document PDFs; zero vendor lock-in</t>
        </is>
      </c>
      <c r="J113" s="20" t="inlineStr">
        <is>
          <t>P1</t>
        </is>
      </c>
      <c r="K113" s="20" t="inlineStr">
        <is>
          <t>Validated (Supported)</t>
        </is>
      </c>
      <c r="L113" s="5" t="inlineStr">
        <is>
          <t>Export All Data tool in /settings/privacy/ generating comprehensive tenant data archive.</t>
        </is>
      </c>
      <c r="M113" s="8" t="inlineStr">
        <is>
          <t>Strategic expansion</t>
        </is>
      </c>
      <c r="N113" s="8" t="inlineStr">
        <is>
          <t>Platform or theme scope</t>
        </is>
      </c>
      <c r="O113" s="8" t="inlineStr">
        <is>
          <t>P1</t>
        </is>
      </c>
      <c r="P113" s="5" t="inlineStr">
        <is>
          <t>Unchanged</t>
        </is>
      </c>
      <c r="Q113" s="20" t="inlineStr">
        <is>
          <t>Author assertion</t>
        </is>
      </c>
      <c r="R113" s="5" t="inlineStr"/>
      <c r="S113" s="8" t="inlineStr">
        <is>
          <t>CLOSE</t>
        </is>
      </c>
      <c r="T113" s="5" t="inlineStr">
        <is>
          <t>Import, export, and period close</t>
        </is>
      </c>
      <c r="U113" s="8" t="inlineStr"/>
      <c r="V113" s="8" t="inlineStr">
        <is>
          <t>accounting</t>
        </is>
      </c>
      <c r="W113" s="8" t="inlineStr">
        <is>
          <t>CONTROL</t>
        </is>
      </c>
      <c r="X113" s="5" t="inlineStr">
        <is>
          <t>Adjacent</t>
        </is>
      </c>
      <c r="Y113" s="5" t="inlineStr">
        <is>
          <t>Platform scope</t>
        </is>
      </c>
      <c r="Z113" s="5" t="inlineStr">
        <is>
          <t>Low</t>
        </is>
      </c>
      <c r="AA113" s="5" t="inlineStr">
        <is>
          <t>Medium</t>
        </is>
      </c>
      <c r="AB113" s="8" t="inlineStr">
        <is>
          <t>Low</t>
        </is>
      </c>
      <c r="AC113" s="8" t="inlineStr">
        <is>
          <t>Later</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SaaS-0673</t>
        </is>
      </c>
      <c r="B114" s="8" t="inlineStr">
        <is>
          <t>SaaS</t>
        </is>
      </c>
      <c r="C114" s="5" t="inlineStr">
        <is>
          <t>Platform / SaaS Admin</t>
        </is>
      </c>
      <c r="D114" s="5" t="inlineStr">
        <is>
          <t>Security / Exception / Recovery</t>
        </is>
      </c>
      <c r="E114" s="5" t="inlineStr">
        <is>
          <t>Tenant account soft-deletion and 30-day recovery holding period</t>
        </is>
      </c>
      <c r="F114" s="5" t="inlineStr">
        <is>
          <t>System Administrator</t>
        </is>
      </c>
      <c r="G114" s="5" t="inlineStr">
        <is>
          <t>Business Owner</t>
        </is>
      </c>
      <c r="H114" s="5" t="inlineStr">
        <is>
          <t>When merchant deletes account, data is placed in 30-day quarantine before permanent physical purge</t>
        </is>
      </c>
      <c r="I114" s="5" t="inlineStr">
        <is>
          <t>Allows remorseful customer to reactivate account within 30 days; executes permanent purge after 30 days</t>
        </is>
      </c>
      <c r="J114" s="20" t="inlineStr">
        <is>
          <t>P1</t>
        </is>
      </c>
      <c r="K114" s="20" t="inlineStr">
        <is>
          <t>Validated (Supported)</t>
        </is>
      </c>
      <c r="L114" s="5" t="inlineStr">
        <is>
          <t>Soft-delete lifecycle with 30-day cron expiration job executing hard cascade cleanup.</t>
        </is>
      </c>
      <c r="M114" s="8" t="inlineStr">
        <is>
          <t>Strategic expansion</t>
        </is>
      </c>
      <c r="N114" s="8" t="inlineStr">
        <is>
          <t>Platform or theme scope</t>
        </is>
      </c>
      <c r="O114" s="8" t="inlineStr">
        <is>
          <t>P1</t>
        </is>
      </c>
      <c r="P114" s="5" t="inlineStr">
        <is>
          <t>Unchanged</t>
        </is>
      </c>
      <c r="Q114" s="20" t="inlineStr">
        <is>
          <t>Author assertion</t>
        </is>
      </c>
      <c r="R114" s="5" t="inlineStr"/>
      <c r="S114" s="8" t="inlineStr">
        <is>
          <t>OTHER</t>
        </is>
      </c>
      <c r="T114" s="5" t="inlineStr">
        <is>
          <t>Security / Exception / Recovery</t>
        </is>
      </c>
      <c r="U114" s="8" t="inlineStr"/>
      <c r="V114" s="8" t="inlineStr"/>
      <c r="W114" s="8" t="inlineStr">
        <is>
          <t>CONTROL</t>
        </is>
      </c>
      <c r="X114" s="5" t="inlineStr">
        <is>
          <t>Adjacent</t>
        </is>
      </c>
      <c r="Y114" s="5" t="inlineStr">
        <is>
          <t>Platform scope</t>
        </is>
      </c>
      <c r="Z114" s="5" t="inlineStr">
        <is>
          <t>Medium</t>
        </is>
      </c>
      <c r="AA114" s="5" t="inlineStr">
        <is>
          <t>Medium</t>
        </is>
      </c>
      <c r="AB114" s="8" t="inlineStr">
        <is>
          <t>Medium</t>
        </is>
      </c>
      <c r="AC114" s="8" t="inlineStr">
        <is>
          <t>Later</t>
        </is>
      </c>
      <c r="AD114" s="5" t="inlineStr">
        <is>
          <t>Not independently checked</t>
        </is>
      </c>
      <c r="AE114" s="5" t="inlineStr">
        <is>
          <t>Not verified</t>
        </is>
      </c>
      <c r="AF114" s="5" t="inlineStr">
        <is>
          <t>Not verified</t>
        </is>
      </c>
      <c r="AG114" s="5" t="inlineStr">
        <is>
          <t>Not verified</t>
        </is>
      </c>
      <c r="AH114" s="5" t="inlineStr">
        <is>
          <t>Not verified</t>
        </is>
      </c>
      <c r="AI114" s="8" t="inlineStr">
        <is>
          <t>No</t>
        </is>
      </c>
      <c r="AJ114" s="8" t="inlineStr">
        <is>
          <t>Claimed - unverified</t>
        </is>
      </c>
      <c r="AK114" s="8" t="inlineStr">
        <is>
          <t>P1</t>
        </is>
      </c>
      <c r="AL114" s="8" t="n">
        <v>4</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SaaS-0674</t>
        </is>
      </c>
      <c r="B115" s="8" t="inlineStr">
        <is>
          <t>SaaS</t>
        </is>
      </c>
      <c r="C115" s="5" t="inlineStr">
        <is>
          <t>Platform / SaaS Admin</t>
        </is>
      </c>
      <c r="D115" s="5" t="inlineStr">
        <is>
          <t>Master Data &amp; Authorization</t>
        </is>
      </c>
      <c r="E115" s="5" t="inlineStr">
        <is>
          <t>White-label branding and custom domain mapping for enterprise distributors</t>
        </is>
      </c>
      <c r="F115" s="5" t="inlineStr">
        <is>
          <t>Enterprise Admin</t>
        </is>
      </c>
      <c r="G115" s="5" t="inlineStr">
        <is>
          <t>None</t>
        </is>
      </c>
      <c r="H115" s="5" t="inlineStr">
        <is>
          <t>Large distributor can point software to their custom domain (e.g. portal.sharmadistributors.com)</t>
        </is>
      </c>
      <c r="I115" s="5" t="inlineStr">
        <is>
          <t>Customizes portal logo, theme colors, login screen, and outbound customer notification emails</t>
        </is>
      </c>
      <c r="J115" s="24" t="inlineStr">
        <is>
          <t>P3</t>
        </is>
      </c>
      <c r="K115" s="20" t="inlineStr">
        <is>
          <t>Validated (Supported)</t>
        </is>
      </c>
      <c r="L115" s="5" t="inlineStr">
        <is>
          <t>Multi-tenant custom domain CNAME routing with automated Let's Encrypt SSL provisioning.</t>
        </is>
      </c>
      <c r="M115" s="8" t="inlineStr">
        <is>
          <t>Strategic expansion</t>
        </is>
      </c>
      <c r="N115" s="8" t="inlineStr">
        <is>
          <t>Platform or theme scope</t>
        </is>
      </c>
      <c r="O115" s="8" t="inlineStr">
        <is>
          <t>P2</t>
        </is>
      </c>
      <c r="P115" s="5" t="inlineStr">
        <is>
          <t>Kept P3. The previous workbook had P3. Authored priority was P2.</t>
        </is>
      </c>
      <c r="Q115" s="20" t="inlineStr">
        <is>
          <t>Author assertion</t>
        </is>
      </c>
      <c r="R115" s="5" t="inlineStr">
        <is>
          <t>Kept P3. The previous workbook had P3. Authored priority was P2.</t>
        </is>
      </c>
      <c r="S115" s="8" t="inlineStr">
        <is>
          <t>MASTER</t>
        </is>
      </c>
      <c r="T115" s="5" t="inlineStr">
        <is>
          <t>Master data and authorization</t>
        </is>
      </c>
      <c r="U115" s="8" t="inlineStr"/>
      <c r="V115" s="8" t="inlineStr">
        <is>
          <t>masters</t>
        </is>
      </c>
      <c r="W115" s="8" t="inlineStr">
        <is>
          <t>KERNEL</t>
        </is>
      </c>
      <c r="X115" s="5" t="inlineStr">
        <is>
          <t>Future</t>
        </is>
      </c>
      <c r="Y115" s="5" t="inlineStr">
        <is>
          <t>Platform scope</t>
        </is>
      </c>
      <c r="Z115" s="5" t="inlineStr">
        <is>
          <t>Low</t>
        </is>
      </c>
      <c r="AA115" s="5" t="inlineStr">
        <is>
          <t>Low</t>
        </is>
      </c>
      <c r="AB115" s="8" t="inlineStr">
        <is>
          <t>Low</t>
        </is>
      </c>
      <c r="AC115" s="8" t="inlineStr">
        <is>
          <t>Later</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P3</t>
        </is>
      </c>
      <c r="AL115" s="8" t="n">
        <v>1</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SaaS-0675</t>
        </is>
      </c>
      <c r="B116" s="8" t="inlineStr">
        <is>
          <t>SaaS</t>
        </is>
      </c>
      <c r="C116" s="5" t="inlineStr">
        <is>
          <t>Platform / SaaS Admin</t>
        </is>
      </c>
      <c r="D116" s="5" t="inlineStr">
        <is>
          <t>Reporting &amp; Business Intelligence</t>
        </is>
      </c>
      <c r="E116" s="5" t="inlineStr">
        <is>
          <t>SaaS SuperAdmin analytics dashboard (MRR, Churn, DAU, Feature Adoption)</t>
        </is>
      </c>
      <c r="F116" s="5" t="inlineStr">
        <is>
          <t>SaaS Product Manager</t>
        </is>
      </c>
      <c r="G116" s="5" t="inlineStr">
        <is>
          <t>Executive Team</t>
        </is>
      </c>
      <c r="H116" s="5" t="inlineStr">
        <is>
          <t>Track software business metrics: Monthly Recurring Revenue (MRR), churn rate, daily active users (DAU)</t>
        </is>
      </c>
      <c r="I116" s="5" t="inlineStr">
        <is>
          <t>Aggregates anonymized product analytics; identifies popular features and at-risk churn accounts</t>
        </is>
      </c>
      <c r="J116" s="20" t="inlineStr">
        <is>
          <t>P1</t>
        </is>
      </c>
      <c r="K116" s="20" t="inlineStr">
        <is>
          <t>Validated (Supported)</t>
        </is>
      </c>
      <c r="L116" s="5" t="inlineStr">
        <is>
          <t>Internal SaaS SuperAdmin telemetry dashboard tracking Stripe/Razorpay MRR and user activity.</t>
        </is>
      </c>
      <c r="M116" s="8" t="inlineStr">
        <is>
          <t>Strategic expansion</t>
        </is>
      </c>
      <c r="N116" s="8" t="inlineStr">
        <is>
          <t>Platform or theme scope</t>
        </is>
      </c>
      <c r="O116" s="8" t="inlineStr">
        <is>
          <t>P1</t>
        </is>
      </c>
      <c r="P116" s="5" t="inlineStr">
        <is>
          <t>Unchanged</t>
        </is>
      </c>
      <c r="Q116" s="20" t="inlineStr">
        <is>
          <t>Author assertion</t>
        </is>
      </c>
      <c r="R116" s="5" t="inlineStr"/>
      <c r="S116" s="8" t="inlineStr">
        <is>
          <t>RPT</t>
        </is>
      </c>
      <c r="T116" s="5" t="inlineStr">
        <is>
          <t>Reporting and business intelligence</t>
        </is>
      </c>
      <c r="U116" s="8" t="inlineStr"/>
      <c r="V116" s="8" t="inlineStr">
        <is>
          <t>reporting</t>
        </is>
      </c>
      <c r="W116" s="8" t="inlineStr">
        <is>
          <t>CONTROL</t>
        </is>
      </c>
      <c r="X116" s="5" t="inlineStr">
        <is>
          <t>Adjacent</t>
        </is>
      </c>
      <c r="Y116" s="5" t="inlineStr">
        <is>
          <t>Platform scope</t>
        </is>
      </c>
      <c r="Z116" s="5" t="inlineStr">
        <is>
          <t>Low</t>
        </is>
      </c>
      <c r="AA116" s="5" t="inlineStr">
        <is>
          <t>Medium</t>
        </is>
      </c>
      <c r="AB116" s="8" t="inlineStr">
        <is>
          <t>Low</t>
        </is>
      </c>
      <c r="AC116" s="8" t="inlineStr">
        <is>
          <t>Later</t>
        </is>
      </c>
      <c r="AD116" s="5" t="inlineStr">
        <is>
          <t>Not independently checked</t>
        </is>
      </c>
      <c r="AE116" s="5" t="inlineStr">
        <is>
          <t>Not verified</t>
        </is>
      </c>
      <c r="AF116" s="5" t="inlineStr">
        <is>
          <t>Not verified</t>
        </is>
      </c>
      <c r="AG116" s="5" t="inlineStr">
        <is>
          <t>Not verified</t>
        </is>
      </c>
      <c r="AH116" s="5" t="inlineStr">
        <is>
          <t>Not verified</t>
        </is>
      </c>
      <c r="AI116" s="8" t="inlineStr">
        <is>
          <t>No</t>
        </is>
      </c>
      <c r="AJ116" s="8" t="inlineStr">
        <is>
          <t>Claimed - unverified</t>
        </is>
      </c>
      <c r="AK116" s="8" t="inlineStr">
        <is>
          <t>P1</t>
        </is>
      </c>
      <c r="AL116" s="8" t="n">
        <v>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SaaS-0676</t>
        </is>
      </c>
      <c r="B117" s="8" t="inlineStr">
        <is>
          <t>SaaS</t>
        </is>
      </c>
      <c r="C117" s="5" t="inlineStr">
        <is>
          <t>Platform / SaaS Admin</t>
        </is>
      </c>
      <c r="D117" s="5" t="inlineStr">
        <is>
          <t>Master Data &amp; Authorization</t>
        </is>
      </c>
      <c r="E117" s="5" t="inlineStr">
        <is>
          <t>Feature flag management and progressive rollout engine across tenant cohorts</t>
        </is>
      </c>
      <c r="F117" s="5" t="inlineStr">
        <is>
          <t>Product Manager / Engineer</t>
        </is>
      </c>
      <c r="G117" s="5" t="inlineStr">
        <is>
          <t>Beta Merchants</t>
        </is>
      </c>
      <c r="H117" s="5" t="inlineStr">
        <is>
          <t>Safely test new capabilities (e.g. new E-Invoice engine) with 5% of pilot merchants before full release</t>
        </is>
      </c>
      <c r="I117" s="5" t="inlineStr">
        <is>
          <t>Enables or disables feature toggles based on tenant ID, plan tier, or opt-in beta program</t>
        </is>
      </c>
      <c r="J117" s="20" t="inlineStr">
        <is>
          <t>P1</t>
        </is>
      </c>
      <c r="K117" s="20" t="inlineStr">
        <is>
          <t>Validated (Supported)</t>
        </is>
      </c>
      <c r="L117" s="5" t="inlineStr">
        <is>
          <t>Feature Flag engine (Waffle/LaunchDarkly pattern) evaluating tenant eligibility in real time.</t>
        </is>
      </c>
      <c r="M117" s="8" t="inlineStr">
        <is>
          <t>Strategic expansion</t>
        </is>
      </c>
      <c r="N117" s="8" t="inlineStr">
        <is>
          <t>Platform or theme scope</t>
        </is>
      </c>
      <c r="O117" s="8" t="inlineStr">
        <is>
          <t>P1</t>
        </is>
      </c>
      <c r="P117" s="5" t="inlineStr">
        <is>
          <t>Restored to authored P1. The previous workbook had P0 after a keyword rebalance.</t>
        </is>
      </c>
      <c r="Q117" s="20" t="inlineStr">
        <is>
          <t>Author assertion</t>
        </is>
      </c>
      <c r="R117" s="5" t="inlineStr">
        <is>
          <t>Restored to authored P1. The previous workbook had P0 after a keyword rebalance.</t>
        </is>
      </c>
      <c r="S117" s="8" t="inlineStr">
        <is>
          <t>MASTER</t>
        </is>
      </c>
      <c r="T117" s="5" t="inlineStr">
        <is>
          <t>Master data and authorization</t>
        </is>
      </c>
      <c r="U117" s="8" t="inlineStr"/>
      <c r="V117" s="8" t="inlineStr">
        <is>
          <t>masters</t>
        </is>
      </c>
      <c r="W117" s="8" t="inlineStr">
        <is>
          <t>KERNEL</t>
        </is>
      </c>
      <c r="X117" s="5" t="inlineStr">
        <is>
          <t>Adjacent</t>
        </is>
      </c>
      <c r="Y117" s="5" t="inlineStr">
        <is>
          <t>Platform scope</t>
        </is>
      </c>
      <c r="Z117" s="5" t="inlineStr">
        <is>
          <t>Low</t>
        </is>
      </c>
      <c r="AA117" s="5" t="inlineStr">
        <is>
          <t>Medium</t>
        </is>
      </c>
      <c r="AB117" s="8" t="inlineStr">
        <is>
          <t>Low</t>
        </is>
      </c>
      <c r="AC117" s="8" t="inlineStr">
        <is>
          <t>Later</t>
        </is>
      </c>
      <c r="AD117" s="5" t="inlineStr">
        <is>
          <t>Not independently checked</t>
        </is>
      </c>
      <c r="AE117" s="5" t="inlineStr">
        <is>
          <t>Not verified</t>
        </is>
      </c>
      <c r="AF117" s="5" t="inlineStr">
        <is>
          <t>Not verified</t>
        </is>
      </c>
      <c r="AG117" s="5" t="inlineStr">
        <is>
          <t>Not verified</t>
        </is>
      </c>
      <c r="AH117" s="5" t="inlineStr">
        <is>
          <t>Not verified</t>
        </is>
      </c>
      <c r="AI117" s="8" t="inlineStr">
        <is>
          <t>No</t>
        </is>
      </c>
      <c r="AJ117" s="8" t="inlineStr">
        <is>
          <t>Claimed - unverified</t>
        </is>
      </c>
      <c r="AK117" s="8" t="inlineStr">
        <is>
          <t>P1</t>
        </is>
      </c>
      <c r="AL117" s="8" t="n">
        <v>2</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SaaS-0677</t>
        </is>
      </c>
      <c r="B118" s="8" t="inlineStr">
        <is>
          <t>SaaS</t>
        </is>
      </c>
      <c r="C118" s="5" t="inlineStr">
        <is>
          <t>Platform / SaaS Admin</t>
        </is>
      </c>
      <c r="D118" s="5" t="inlineStr">
        <is>
          <t>Customer-to-Cash</t>
        </is>
      </c>
      <c r="E118" s="5" t="inlineStr">
        <is>
          <t>14-day full-featured free trial with automated milestone onboarding nudges</t>
        </is>
      </c>
      <c r="F118" s="5" t="inlineStr">
        <is>
          <t>New Customer</t>
        </is>
      </c>
      <c r="G118" s="5" t="inlineStr">
        <is>
          <t>Customer Success Team</t>
        </is>
      </c>
      <c r="H118" s="5" t="inlineStr">
        <is>
          <t>Merchant experiences full software capabilities for 14 days without entering credit card</t>
        </is>
      </c>
      <c r="I118" s="5" t="inlineStr">
        <is>
          <t>Sends automated helpful tips on Day 1 (Add Product), Day 3 (First Bill), Day 7 (GST Report)</t>
        </is>
      </c>
      <c r="J118" s="20" t="inlineStr">
        <is>
          <t>P1</t>
        </is>
      </c>
      <c r="K118" s="20" t="inlineStr">
        <is>
          <t>Validated (Supported)</t>
        </is>
      </c>
      <c r="L118" s="5" t="inlineStr">
        <is>
          <t>Automated trial lifecycle manager with milestone-based email/WhatsApp onboarding triggers.</t>
        </is>
      </c>
      <c r="M118" s="8" t="inlineStr">
        <is>
          <t>Strategic expansion</t>
        </is>
      </c>
      <c r="N118" s="8" t="inlineStr">
        <is>
          <t>Platform or theme scope</t>
        </is>
      </c>
      <c r="O118" s="8" t="inlineStr">
        <is>
          <t>P1</t>
        </is>
      </c>
      <c r="P118" s="5" t="inlineStr">
        <is>
          <t>Unchanged</t>
        </is>
      </c>
      <c r="Q118" s="21" t="inlineStr">
        <is>
          <t>Code symbol found</t>
        </is>
      </c>
      <c r="R118" s="5" t="inlineStr">
        <is>
          <t>Matched WhatsApp in product code. This is not a functional test.</t>
        </is>
      </c>
      <c r="S118" s="8" t="inlineStr">
        <is>
          <t>C2C</t>
        </is>
      </c>
      <c r="T118" s="5" t="inlineStr">
        <is>
          <t>Customer to cash</t>
        </is>
      </c>
      <c r="U118" s="8" t="inlineStr"/>
      <c r="V118" s="8" t="inlineStr">
        <is>
          <t>sales</t>
        </is>
      </c>
      <c r="W118" s="8" t="inlineStr">
        <is>
          <t>RUN</t>
        </is>
      </c>
      <c r="X118" s="5" t="inlineStr">
        <is>
          <t>Adjacent</t>
        </is>
      </c>
      <c r="Y118" s="5" t="inlineStr">
        <is>
          <t>Platform scope</t>
        </is>
      </c>
      <c r="Z118" s="5" t="inlineStr">
        <is>
          <t>Low</t>
        </is>
      </c>
      <c r="AA118" s="5" t="inlineStr">
        <is>
          <t>Medium</t>
        </is>
      </c>
      <c r="AB118" s="8" t="inlineStr">
        <is>
          <t>Low</t>
        </is>
      </c>
      <c r="AC118" s="8" t="inlineStr">
        <is>
          <t>Later</t>
        </is>
      </c>
      <c r="AD118" s="5" t="inlineStr">
        <is>
          <t>Cited in code</t>
        </is>
      </c>
      <c r="AE118" s="5" t="inlineStr">
        <is>
          <t>Not verified</t>
        </is>
      </c>
      <c r="AF118" s="5" t="inlineStr">
        <is>
          <t>Not verified</t>
        </is>
      </c>
      <c r="AG118" s="5" t="inlineStr">
        <is>
          <t>Not verified</t>
        </is>
      </c>
      <c r="AH118" s="5" t="inlineStr">
        <is>
          <t>Not verified</t>
        </is>
      </c>
      <c r="AI118" s="8" t="inlineStr">
        <is>
          <t>No</t>
        </is>
      </c>
      <c r="AJ118" s="8" t="inlineStr">
        <is>
          <t>Built - unverified</t>
        </is>
      </c>
      <c r="AK118" s="8" t="inlineStr">
        <is>
          <t>P1</t>
        </is>
      </c>
      <c r="AL118" s="8" t="n">
        <v>2</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SaaS-0678</t>
        </is>
      </c>
      <c r="B119" s="8" t="inlineStr">
        <is>
          <t>SaaS</t>
        </is>
      </c>
      <c r="C119" s="5" t="inlineStr">
        <is>
          <t>Platform / SaaS Admin</t>
        </is>
      </c>
      <c r="D119" s="5" t="inlineStr">
        <is>
          <t>Security / Exception / Recovery</t>
        </is>
      </c>
      <c r="E119" s="5" t="inlineStr">
        <is>
          <t>Automated tenant data isolation audit and penetration testing verification</t>
        </is>
      </c>
      <c r="F119" s="5" t="inlineStr">
        <is>
          <t>Security Auditor</t>
        </is>
      </c>
      <c r="G119" s="5" t="inlineStr">
        <is>
          <t>SaaS Architect</t>
        </is>
      </c>
      <c r="H119" s="5" t="inlineStr">
        <is>
          <t>Continuous automated testing proving that no tenant can ever execute SQL query accessing another tenant's row</t>
        </is>
      </c>
      <c r="I119" s="5" t="inlineStr">
        <is>
          <t>Executes synthetic multi-tenant test suite simulating cross-tenant query injection attacks</t>
        </is>
      </c>
      <c r="J119" s="19" t="inlineStr">
        <is>
          <t>P0</t>
        </is>
      </c>
      <c r="K119" s="20" t="inlineStr">
        <is>
          <t>Validated (Supported)</t>
        </is>
      </c>
      <c r="L119" s="5" t="inlineStr">
        <is>
          <t>Automated pytest multi-tenant isolation verification test suite running in CI/CD pipeline.</t>
        </is>
      </c>
      <c r="M119" s="8" t="inlineStr">
        <is>
          <t>Strategic expansion</t>
        </is>
      </c>
      <c r="N119" s="8" t="inlineStr">
        <is>
          <t>Platform or theme scope</t>
        </is>
      </c>
      <c r="O119" s="8" t="inlineStr">
        <is>
          <t>P0</t>
        </is>
      </c>
      <c r="P119" s="5" t="inlineStr">
        <is>
          <t>Unchanged</t>
        </is>
      </c>
      <c r="Q119" s="20" t="inlineStr">
        <is>
          <t>Author assertion</t>
        </is>
      </c>
      <c r="R119" s="5" t="inlineStr"/>
      <c r="S119" s="8" t="inlineStr">
        <is>
          <t>OTHER</t>
        </is>
      </c>
      <c r="T119" s="5" t="inlineStr">
        <is>
          <t>Security / Exception / Recovery</t>
        </is>
      </c>
      <c r="U119" s="8" t="inlineStr"/>
      <c r="V119" s="8" t="inlineStr"/>
      <c r="W119" s="8" t="inlineStr">
        <is>
          <t>CONTROL</t>
        </is>
      </c>
      <c r="X119" s="5" t="inlineStr">
        <is>
          <t>Adjacent</t>
        </is>
      </c>
      <c r="Y119" s="5" t="inlineStr">
        <is>
          <t>Platform scope</t>
        </is>
      </c>
      <c r="Z119" s="5" t="inlineStr">
        <is>
          <t>Medium</t>
        </is>
      </c>
      <c r="AA119" s="5" t="inlineStr">
        <is>
          <t>Medium</t>
        </is>
      </c>
      <c r="AB119" s="8" t="inlineStr">
        <is>
          <t>Medium</t>
        </is>
      </c>
      <c r="AC119" s="8" t="inlineStr">
        <is>
          <t>MVP</t>
        </is>
      </c>
      <c r="AD119" s="5" t="inlineStr">
        <is>
          <t>Not independently checked</t>
        </is>
      </c>
      <c r="AE119" s="5" t="inlineStr">
        <is>
          <t>Not verified</t>
        </is>
      </c>
      <c r="AF119" s="5" t="inlineStr">
        <is>
          <t>Not verified</t>
        </is>
      </c>
      <c r="AG119" s="5" t="inlineStr">
        <is>
          <t>Not verified</t>
        </is>
      </c>
      <c r="AH119" s="5" t="inlineStr">
        <is>
          <t>Not verified</t>
        </is>
      </c>
      <c r="AI119" s="8" t="inlineStr">
        <is>
          <t>No</t>
        </is>
      </c>
      <c r="AJ119" s="8" t="inlineStr">
        <is>
          <t>Claimed - unverified</t>
        </is>
      </c>
      <c r="AK119" s="8" t="inlineStr">
        <is>
          <t>P0</t>
        </is>
      </c>
      <c r="AL119" s="8" t="n">
        <v>4</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SaaS-0679</t>
        </is>
      </c>
      <c r="B120" s="8" t="inlineStr">
        <is>
          <t>SaaS</t>
        </is>
      </c>
      <c r="C120" s="5" t="inlineStr">
        <is>
          <t>Platform / SaaS Admin</t>
        </is>
      </c>
      <c r="D120" s="5" t="inlineStr">
        <is>
          <t>Security / Exception / Recovery</t>
        </is>
      </c>
      <c r="E120" s="5" t="inlineStr">
        <is>
          <t>SuperAdmin 'Impersonate Tenant' support capability with mandatory audit logging</t>
        </is>
      </c>
      <c r="F120" s="5" t="inlineStr">
        <is>
          <t>Customer Support Lead</t>
        </is>
      </c>
      <c r="G120" s="5" t="inlineStr">
        <is>
          <t>Troubled Merchant</t>
        </is>
      </c>
      <c r="H120" s="5" t="inlineStr">
        <is>
          <t>Customer support agent can view merchant's screen to troubleshoot bug with merchant's explicit permission</t>
        </is>
      </c>
      <c r="I120" s="5" t="inlineStr">
        <is>
          <t>Generates temporary 15-minute support token; logs every staff action; displays bright 'Support Mode' banner</t>
        </is>
      </c>
      <c r="J120" s="20" t="inlineStr">
        <is>
          <t>P1</t>
        </is>
      </c>
      <c r="K120" s="20" t="inlineStr">
        <is>
          <t>Validated (Supported)</t>
        </is>
      </c>
      <c r="L120" s="5" t="inlineStr">
        <is>
          <t>Sudo impersonation engine requiring time-limited authorization and permanent audit logging.</t>
        </is>
      </c>
      <c r="M120" s="8" t="inlineStr">
        <is>
          <t>Strategic expansion</t>
        </is>
      </c>
      <c r="N120" s="8" t="inlineStr">
        <is>
          <t>Platform or theme scope</t>
        </is>
      </c>
      <c r="O120" s="8" t="inlineStr">
        <is>
          <t>P1</t>
        </is>
      </c>
      <c r="P120" s="5" t="inlineStr">
        <is>
          <t>Unchanged</t>
        </is>
      </c>
      <c r="Q120" s="20" t="inlineStr">
        <is>
          <t>Author assertion</t>
        </is>
      </c>
      <c r="R120" s="5" t="inlineStr"/>
      <c r="S120" s="8" t="inlineStr">
        <is>
          <t>OTHER</t>
        </is>
      </c>
      <c r="T120" s="5" t="inlineStr">
        <is>
          <t>Security / Exception / Recovery</t>
        </is>
      </c>
      <c r="U120" s="8" t="inlineStr"/>
      <c r="V120" s="8" t="inlineStr"/>
      <c r="W120" s="8" t="inlineStr">
        <is>
          <t>CONTROL</t>
        </is>
      </c>
      <c r="X120" s="5" t="inlineStr">
        <is>
          <t>Adjacent</t>
        </is>
      </c>
      <c r="Y120" s="5" t="inlineStr">
        <is>
          <t>Platform scope</t>
        </is>
      </c>
      <c r="Z120" s="5" t="inlineStr">
        <is>
          <t>Medium</t>
        </is>
      </c>
      <c r="AA120" s="5" t="inlineStr">
        <is>
          <t>Medium</t>
        </is>
      </c>
      <c r="AB120" s="8" t="inlineStr">
        <is>
          <t>Medium</t>
        </is>
      </c>
      <c r="AC120" s="8" t="inlineStr">
        <is>
          <t>Later</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P1</t>
        </is>
      </c>
      <c r="AL120" s="8" t="n">
        <v>4</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SaaS-0680</t>
        </is>
      </c>
      <c r="B121" s="8" t="inlineStr">
        <is>
          <t>SaaS</t>
        </is>
      </c>
      <c r="C121" s="5" t="inlineStr">
        <is>
          <t>Platform / SaaS Admin</t>
        </is>
      </c>
      <c r="D121" s="5" t="inlineStr">
        <is>
          <t>Communication &amp; Integrations</t>
        </is>
      </c>
      <c r="E121" s="5" t="inlineStr">
        <is>
          <t>In-app customer feedback, feature request, and bug reporting widget</t>
        </is>
      </c>
      <c r="F121" s="5" t="inlineStr">
        <is>
          <t>Business User</t>
        </is>
      </c>
      <c r="G121" s="5" t="inlineStr">
        <is>
          <t>Product Team</t>
        </is>
      </c>
      <c r="H121" s="5" t="inlineStr">
        <is>
          <t>Users can report issues, attach screenshots, or upvote feature requests directly from app footer</t>
        </is>
      </c>
      <c r="I121" s="5" t="inlineStr">
        <is>
          <t>Routes user feedback directly to product management backlog; updates user when feature ships</t>
        </is>
      </c>
      <c r="J121" s="24" t="inlineStr">
        <is>
          <t>P3</t>
        </is>
      </c>
      <c r="K121" s="20" t="inlineStr">
        <is>
          <t>Validated (Supported)</t>
        </is>
      </c>
      <c r="L121" s="5" t="inlineStr">
        <is>
          <t>In-app feedback modal capturing console logs, screen resolution, and user screenshot.</t>
        </is>
      </c>
      <c r="M121" s="8" t="inlineStr">
        <is>
          <t>Strategic expansion</t>
        </is>
      </c>
      <c r="N121" s="8" t="inlineStr">
        <is>
          <t>Platform or theme scope</t>
        </is>
      </c>
      <c r="O121" s="8" t="inlineStr">
        <is>
          <t>P2</t>
        </is>
      </c>
      <c r="P121" s="5" t="inlineStr">
        <is>
          <t>Kept P3. The previous workbook had P3. Authored priority was P2.</t>
        </is>
      </c>
      <c r="Q121" s="20" t="inlineStr">
        <is>
          <t>Author assertion</t>
        </is>
      </c>
      <c r="R121" s="5" t="inlineStr">
        <is>
          <t>Kept P3. The previous workbook had P3. Authored priority was P2.</t>
        </is>
      </c>
      <c r="S121" s="8" t="inlineStr">
        <is>
          <t>INT</t>
        </is>
      </c>
      <c r="T121" s="5" t="inlineStr">
        <is>
          <t>Communication and integrations</t>
        </is>
      </c>
      <c r="U121" s="8" t="inlineStr"/>
      <c r="V121" s="8" t="inlineStr">
        <is>
          <t>integrations</t>
        </is>
      </c>
      <c r="W121" s="8" t="inlineStr">
        <is>
          <t>KERNEL</t>
        </is>
      </c>
      <c r="X121" s="5" t="inlineStr">
        <is>
          <t>Future</t>
        </is>
      </c>
      <c r="Y121" s="5" t="inlineStr">
        <is>
          <t>Platform scope</t>
        </is>
      </c>
      <c r="Z121" s="5" t="inlineStr">
        <is>
          <t>Low</t>
        </is>
      </c>
      <c r="AA121" s="5" t="inlineStr">
        <is>
          <t>Low</t>
        </is>
      </c>
      <c r="AB121" s="8" t="inlineStr">
        <is>
          <t>Low</t>
        </is>
      </c>
      <c r="AC121" s="8" t="inlineStr">
        <is>
          <t>Later</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P3</t>
        </is>
      </c>
      <c r="AL121" s="8" t="n">
        <v>1</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D-0681</t>
        </is>
      </c>
      <c r="B122" s="8" t="inlineStr">
        <is>
          <t>D</t>
        </is>
      </c>
      <c r="C122" s="5" t="inlineStr">
        <is>
          <t>AI &amp; Differentiation</t>
        </is>
      </c>
      <c r="D122" s="5" t="inlineStr">
        <is>
          <t>Procure-to-Pay</t>
        </is>
      </c>
      <c r="E122" s="5" t="inlineStr">
        <is>
          <t>Deterministic LLM bill extraction: photo of crumpled paper bill → structured draft invoice</t>
        </is>
      </c>
      <c r="F122" s="5" t="inlineStr">
        <is>
          <t>Purchase Staff / Accountant</t>
        </is>
      </c>
      <c r="G122" s="5" t="inlineStr">
        <is>
          <t>Supplier</t>
        </is>
      </c>
      <c r="H122" s="5" t="inlineStr">
        <is>
          <t>Merchant snaps photo of physical vendor bill using mobile camera; AI extracts line items with 99% accuracy</t>
        </is>
      </c>
      <c r="I122" s="5" t="inlineStr">
        <is>
          <t>Parses vendor GSTIN, invoice number, items, HSN, rates, and taxes; pre-fills purchase invoice in 5 seconds</t>
        </is>
      </c>
      <c r="J122" s="19" t="inlineStr">
        <is>
          <t>P0</t>
        </is>
      </c>
      <c r="K122" s="20" t="inlineStr">
        <is>
          <t>Validated (Supported)</t>
        </is>
      </c>
      <c r="L122" s="5" t="inlineStr">
        <is>
          <t>Differentiator vs Tally/Vyapar: Vision LLM + OCR parsing pipeline with deterministic schema validation.</t>
        </is>
      </c>
      <c r="M122" s="8" t="inlineStr">
        <is>
          <t>Strategic expansion</t>
        </is>
      </c>
      <c r="N122" s="8" t="inlineStr">
        <is>
          <t>Platform or theme scope</t>
        </is>
      </c>
      <c r="O122" s="8" t="inlineStr">
        <is>
          <t>P0</t>
        </is>
      </c>
      <c r="P122" s="5" t="inlineStr">
        <is>
          <t>Unchanged</t>
        </is>
      </c>
      <c r="Q122" s="20" t="inlineStr">
        <is>
          <t>Author assertion</t>
        </is>
      </c>
      <c r="R122" s="5" t="inlineStr"/>
      <c r="S122" s="8" t="inlineStr">
        <is>
          <t>P2P</t>
        </is>
      </c>
      <c r="T122" s="5" t="inlineStr">
        <is>
          <t>Procure to pay</t>
        </is>
      </c>
      <c r="U122" s="8" t="inlineStr"/>
      <c r="V122" s="8" t="inlineStr">
        <is>
          <t>purchases</t>
        </is>
      </c>
      <c r="W122" s="8" t="inlineStr">
        <is>
          <t>RUN</t>
        </is>
      </c>
      <c r="X122" s="5" t="inlineStr">
        <is>
          <t>Future</t>
        </is>
      </c>
      <c r="Y122" s="5" t="inlineStr">
        <is>
          <t>Platform scope</t>
        </is>
      </c>
      <c r="Z122" s="5" t="inlineStr">
        <is>
          <t>Low</t>
        </is>
      </c>
      <c r="AA122" s="5" t="inlineStr">
        <is>
          <t>Medium</t>
        </is>
      </c>
      <c r="AB122" s="8" t="inlineStr">
        <is>
          <t>Low</t>
        </is>
      </c>
      <c r="AC122" s="8" t="inlineStr">
        <is>
          <t>MVP</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P0</t>
        </is>
      </c>
      <c r="AL122" s="8" t="n">
        <v>2</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D-0682</t>
        </is>
      </c>
      <c r="B123" s="8" t="inlineStr">
        <is>
          <t>D</t>
        </is>
      </c>
      <c r="C123" s="5" t="inlineStr">
        <is>
          <t>AI &amp; Differentiation</t>
        </is>
      </c>
      <c r="D123" s="5" t="inlineStr">
        <is>
          <t>Customer-to-Cash</t>
        </is>
      </c>
      <c r="E123" s="5" t="inlineStr">
        <is>
          <t>WhatsApp Conversational Khata Bot: customer sends photo of handwritten order list → creates sales order</t>
        </is>
      </c>
      <c r="F123" s="5" t="inlineStr">
        <is>
          <t>Sales Staff / Merchant</t>
        </is>
      </c>
      <c r="G123" s="5" t="inlineStr">
        <is>
          <t>Retail Customer</t>
        </is>
      </c>
      <c r="H123" s="5" t="inlineStr">
        <is>
          <t>Customer sends WhatsApp image of handwritten grocery/hardware slip; AI converts into formal digital order</t>
        </is>
      </c>
      <c r="I123" s="5" t="inlineStr">
        <is>
          <t>Transcribes handwritten items; matches against store product catalog; pre-populates cart for merchant confirmation</t>
        </is>
      </c>
      <c r="J123" s="24" t="inlineStr">
        <is>
          <t>P3</t>
        </is>
      </c>
      <c r="K123" s="20" t="inlineStr">
        <is>
          <t>Validated (Supported)</t>
        </is>
      </c>
      <c r="L123" s="5" t="inlineStr">
        <is>
          <t>Differentiator vs market: Multi-modal handwritten text recognition mapped to tenant SKU catalog.</t>
        </is>
      </c>
      <c r="M123" s="8" t="inlineStr">
        <is>
          <t>Strategic expansion</t>
        </is>
      </c>
      <c r="N123" s="8" t="inlineStr">
        <is>
          <t>Platform or theme scope</t>
        </is>
      </c>
      <c r="O123" s="8" t="inlineStr">
        <is>
          <t>P1</t>
        </is>
      </c>
      <c r="P123" s="5" t="inlineStr">
        <is>
          <t>Kept P3. The previous workbook had P3. Authored priority was P1.</t>
        </is>
      </c>
      <c r="Q123" s="20" t="inlineStr">
        <is>
          <t>Author assertion</t>
        </is>
      </c>
      <c r="R123" s="5" t="inlineStr">
        <is>
          <t>Kept P3. The previous workbook had P3. Authored priority was P1.</t>
        </is>
      </c>
      <c r="S123" s="8" t="inlineStr">
        <is>
          <t>C2C</t>
        </is>
      </c>
      <c r="T123" s="5" t="inlineStr">
        <is>
          <t>Customer to cash</t>
        </is>
      </c>
      <c r="U123" s="8" t="inlineStr"/>
      <c r="V123" s="8" t="inlineStr">
        <is>
          <t>sales</t>
        </is>
      </c>
      <c r="W123" s="8" t="inlineStr">
        <is>
          <t>RUN</t>
        </is>
      </c>
      <c r="X123" s="5" t="inlineStr">
        <is>
          <t>Future</t>
        </is>
      </c>
      <c r="Y123" s="5" t="inlineStr">
        <is>
          <t>Platform scope</t>
        </is>
      </c>
      <c r="Z123" s="5" t="inlineStr">
        <is>
          <t>Low</t>
        </is>
      </c>
      <c r="AA123" s="5" t="inlineStr">
        <is>
          <t>Low</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P3</t>
        </is>
      </c>
      <c r="AL123" s="8" t="n">
        <v>1</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D-0683</t>
        </is>
      </c>
      <c r="B124" s="8" t="inlineStr">
        <is>
          <t>D</t>
        </is>
      </c>
      <c r="C124" s="5" t="inlineStr">
        <is>
          <t>AI &amp; Differentiation</t>
        </is>
      </c>
      <c r="D124" s="5" t="inlineStr">
        <is>
          <t>Inventory Lifecycle</t>
        </is>
      </c>
      <c r="E124" s="5" t="inlineStr">
        <is>
          <t>Inventory Autopilot: predictive run-rate stockout forecaster with automated vendor PO dispatch</t>
        </is>
      </c>
      <c r="F124" s="5" t="inlineStr">
        <is>
          <t>Inventory Autopilot Engine</t>
        </is>
      </c>
      <c r="G124" s="5" t="inlineStr">
        <is>
          <t>Purchase Manager</t>
        </is>
      </c>
      <c r="H124" s="5" t="inlineStr">
        <is>
          <t>AI predicts exact date product will run out of stock based on seasonal velocity and lead time</t>
        </is>
      </c>
      <c r="I124" s="5" t="inlineStr">
        <is>
          <t>Calculates recommended replenishment order; automatically drafts PO to best-priced supplier before stockout</t>
        </is>
      </c>
      <c r="J124" s="20" t="inlineStr">
        <is>
          <t>P1</t>
        </is>
      </c>
      <c r="K124" s="20" t="inlineStr">
        <is>
          <t>Validated (Supported)</t>
        </is>
      </c>
      <c r="L124" s="5" t="inlineStr">
        <is>
          <t>Differentiator vs static min/max: dynamic velocity-adjusted reorder forecasting algorithm.</t>
        </is>
      </c>
      <c r="M124" s="8" t="inlineStr">
        <is>
          <t>Strategic expansion</t>
        </is>
      </c>
      <c r="N124" s="8" t="inlineStr">
        <is>
          <t>Platform or theme scope</t>
        </is>
      </c>
      <c r="O124" s="8" t="inlineStr">
        <is>
          <t>P1</t>
        </is>
      </c>
      <c r="P124" s="5" t="inlineStr">
        <is>
          <t>Unchanged</t>
        </is>
      </c>
      <c r="Q124" s="20" t="inlineStr">
        <is>
          <t>Author assertion</t>
        </is>
      </c>
      <c r="R124" s="5" t="inlineStr"/>
      <c r="S124" s="8" t="inlineStr">
        <is>
          <t>INV</t>
        </is>
      </c>
      <c r="T124" s="5" t="inlineStr">
        <is>
          <t>Inventory lifecycle</t>
        </is>
      </c>
      <c r="U124" s="8" t="inlineStr"/>
      <c r="V124" s="8" t="inlineStr">
        <is>
          <t>inventory</t>
        </is>
      </c>
      <c r="W124" s="8" t="inlineStr">
        <is>
          <t>RUN</t>
        </is>
      </c>
      <c r="X124" s="5" t="inlineStr">
        <is>
          <t>Future</t>
        </is>
      </c>
      <c r="Y124" s="5" t="inlineStr">
        <is>
          <t>Platform scope</t>
        </is>
      </c>
      <c r="Z124" s="5" t="inlineStr">
        <is>
          <t>Low</t>
        </is>
      </c>
      <c r="AA124" s="5" t="inlineStr">
        <is>
          <t>High</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P1</t>
        </is>
      </c>
      <c r="AL124" s="8" t="n">
        <v>3</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D-0684</t>
        </is>
      </c>
      <c r="B125" s="8" t="inlineStr">
        <is>
          <t>D</t>
        </is>
      </c>
      <c r="C125" s="5" t="inlineStr">
        <is>
          <t>AI &amp; Differentiation</t>
        </is>
      </c>
      <c r="D125" s="5" t="inlineStr">
        <is>
          <t>Reporting &amp; Business Intelligence</t>
        </is>
      </c>
      <c r="E125" s="5" t="inlineStr">
        <is>
          <t>Predictive cash-flow simulation engine modeling actual debtor payment delay probabilities</t>
        </is>
      </c>
      <c r="F125" s="5" t="inlineStr">
        <is>
          <t>Cashflow Forecast Engine</t>
        </is>
      </c>
      <c r="G125" s="5" t="inlineStr">
        <is>
          <t>Business Owner</t>
        </is>
      </c>
      <c r="H125" s="5" t="inlineStr">
        <is>
          <t>Simulates 30-day cash balance incorporating probabilistic model of which specific debtors pay late</t>
        </is>
      </c>
      <c r="I125" s="5" t="inlineStr">
        <is>
          <t>Warns owner: 'You will face a ₹2.4 Lakh cash deficit on the 22nd due to GST payment; chase Sharma today'</t>
        </is>
      </c>
      <c r="J125" s="19" t="inlineStr">
        <is>
          <t>P0</t>
        </is>
      </c>
      <c r="K125" s="20" t="inlineStr">
        <is>
          <t>Validated (Supported)</t>
        </is>
      </c>
      <c r="L125" s="5" t="inlineStr">
        <is>
          <t>Differentiator vs standard reports: Monte Carlo cashflow simulation factoring historical debtor delay.</t>
        </is>
      </c>
      <c r="M125" s="8" t="inlineStr">
        <is>
          <t>Strategic expansion</t>
        </is>
      </c>
      <c r="N125" s="8" t="inlineStr">
        <is>
          <t>Platform or theme scope</t>
        </is>
      </c>
      <c r="O125" s="8" t="inlineStr">
        <is>
          <t>P0</t>
        </is>
      </c>
      <c r="P125" s="5" t="inlineStr">
        <is>
          <t>Unchanged</t>
        </is>
      </c>
      <c r="Q125" s="20" t="inlineStr">
        <is>
          <t>Author assertion</t>
        </is>
      </c>
      <c r="R125" s="5" t="inlineStr"/>
      <c r="S125" s="8" t="inlineStr">
        <is>
          <t>RPT</t>
        </is>
      </c>
      <c r="T125" s="5" t="inlineStr">
        <is>
          <t>Reporting and business intelligence</t>
        </is>
      </c>
      <c r="U125" s="8" t="inlineStr"/>
      <c r="V125" s="8" t="inlineStr">
        <is>
          <t>reporting</t>
        </is>
      </c>
      <c r="W125" s="8" t="inlineStr">
        <is>
          <t>CONTROL</t>
        </is>
      </c>
      <c r="X125" s="5" t="inlineStr">
        <is>
          <t>Future</t>
        </is>
      </c>
      <c r="Y125" s="5" t="inlineStr">
        <is>
          <t>Platform scope</t>
        </is>
      </c>
      <c r="Z125" s="5" t="inlineStr">
        <is>
          <t>Low</t>
        </is>
      </c>
      <c r="AA125" s="5" t="inlineStr">
        <is>
          <t>Medium</t>
        </is>
      </c>
      <c r="AB125" s="8" t="inlineStr">
        <is>
          <t>Low</t>
        </is>
      </c>
      <c r="AC125" s="8" t="inlineStr">
        <is>
          <t>MVP</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P0</t>
        </is>
      </c>
      <c r="AL125" s="8" t="n">
        <v>2</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D-0685</t>
        </is>
      </c>
      <c r="B126" s="8" t="inlineStr">
        <is>
          <t>D</t>
        </is>
      </c>
      <c r="C126" s="5" t="inlineStr">
        <is>
          <t>AI &amp; Differentiation</t>
        </is>
      </c>
      <c r="D126" s="5" t="inlineStr">
        <is>
          <t>Reporting &amp; Business Intelligence</t>
        </is>
      </c>
      <c r="E126" s="5" t="inlineStr">
        <is>
          <t>Natural language voice and chat conversational assistant ('Ask BizBoard')</t>
        </is>
      </c>
      <c r="F126" s="5" t="inlineStr">
        <is>
          <t>Conversational AI Assistant</t>
        </is>
      </c>
      <c r="G126" s="5" t="inlineStr">
        <is>
          <t>Business Owner ('Sethji')</t>
        </is>
      </c>
      <c r="H126" s="5" t="inlineStr">
        <is>
          <t>Owner speaks in Hindi/English: 'Show me my top 5 debtors' or 'How much did we sell yesterday?' and gets instant chart</t>
        </is>
      </c>
      <c r="I126" s="5" t="inlineStr">
        <is>
          <t>Converts natural language speech into read-only SQL queries; displays formatted card and voice response</t>
        </is>
      </c>
      <c r="J126" s="20" t="inlineStr">
        <is>
          <t>P1</t>
        </is>
      </c>
      <c r="K126" s="20" t="inlineStr">
        <is>
          <t>Validated (Supported)</t>
        </is>
      </c>
      <c r="L126" s="5" t="inlineStr">
        <is>
          <t>Differentiator vs legacy ERP: Voice-enabled natural language analytics agent on mobile app.</t>
        </is>
      </c>
      <c r="M126" s="8" t="inlineStr">
        <is>
          <t>Strategic expansion</t>
        </is>
      </c>
      <c r="N126" s="8" t="inlineStr">
        <is>
          <t>Platform or theme scope</t>
        </is>
      </c>
      <c r="O126" s="8" t="inlineStr">
        <is>
          <t>P1</t>
        </is>
      </c>
      <c r="P126" s="5" t="inlineStr">
        <is>
          <t>Unchanged</t>
        </is>
      </c>
      <c r="Q126" s="20" t="inlineStr">
        <is>
          <t>Author assertion</t>
        </is>
      </c>
      <c r="R126" s="5" t="inlineStr"/>
      <c r="S126" s="8" t="inlineStr">
        <is>
          <t>RPT</t>
        </is>
      </c>
      <c r="T126" s="5" t="inlineStr">
        <is>
          <t>Reporting and business intelligence</t>
        </is>
      </c>
      <c r="U126" s="8" t="inlineStr"/>
      <c r="V126" s="8" t="inlineStr">
        <is>
          <t>reporting</t>
        </is>
      </c>
      <c r="W126" s="8" t="inlineStr">
        <is>
          <t>CONTROL</t>
        </is>
      </c>
      <c r="X126" s="5" t="inlineStr">
        <is>
          <t>Future</t>
        </is>
      </c>
      <c r="Y126" s="5" t="inlineStr">
        <is>
          <t>Platform scope</t>
        </is>
      </c>
      <c r="Z126" s="5" t="inlineStr">
        <is>
          <t>Low</t>
        </is>
      </c>
      <c r="AA126" s="5" t="inlineStr">
        <is>
          <t>Medium</t>
        </is>
      </c>
      <c r="AB126" s="8" t="inlineStr">
        <is>
          <t>Low</t>
        </is>
      </c>
      <c r="AC126" s="8" t="inlineStr">
        <is>
          <t>Later</t>
        </is>
      </c>
      <c r="AD126" s="5" t="inlineStr">
        <is>
          <t>Not independently checked</t>
        </is>
      </c>
      <c r="AE126" s="5" t="inlineStr">
        <is>
          <t>Not verified</t>
        </is>
      </c>
      <c r="AF126" s="5" t="inlineStr">
        <is>
          <t>Not verified</t>
        </is>
      </c>
      <c r="AG126" s="5" t="inlineStr">
        <is>
          <t>Not verified</t>
        </is>
      </c>
      <c r="AH126" s="5" t="inlineStr">
        <is>
          <t>Not verified</t>
        </is>
      </c>
      <c r="AI126" s="8" t="inlineStr">
        <is>
          <t>No</t>
        </is>
      </c>
      <c r="AJ126" s="8" t="inlineStr">
        <is>
          <t>Claimed - unverified</t>
        </is>
      </c>
      <c r="AK126" s="8" t="inlineStr">
        <is>
          <t>P1</t>
        </is>
      </c>
      <c r="AL126" s="8" t="n">
        <v>2</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D-0686</t>
        </is>
      </c>
      <c r="B127" s="8" t="inlineStr">
        <is>
          <t>D</t>
        </is>
      </c>
      <c r="C127" s="5" t="inlineStr">
        <is>
          <t>AI &amp; Differentiation</t>
        </is>
      </c>
      <c r="D127" s="5" t="inlineStr">
        <is>
          <t>Operations, Fleet &amp; Delivery</t>
        </is>
      </c>
      <c r="E127" s="5" t="inlineStr">
        <is>
          <t>Route economics and delivery tempo profitability optimization engine</t>
        </is>
      </c>
      <c r="F127" s="5" t="inlineStr">
        <is>
          <t>Logistics Manager / Owner</t>
        </is>
      </c>
      <c r="G127" s="5" t="inlineStr">
        <is>
          <t>Delivery Driver</t>
        </is>
      </c>
      <c r="H127" s="5" t="inlineStr">
        <is>
          <t>Evaluate profitability of individual delivery runs factoring fuel, driver wage, and order margins</t>
        </is>
      </c>
      <c r="I127" s="5" t="inlineStr">
        <is>
          <t>Flags delivery routes losing money; recommends minimum order value threshold for remote delivery areas</t>
        </is>
      </c>
      <c r="J127" s="20" t="inlineStr">
        <is>
          <t>P1</t>
        </is>
      </c>
      <c r="K127" s="20" t="inlineStr">
        <is>
          <t>Validated (Supported)</t>
        </is>
      </c>
      <c r="L127" s="5" t="inlineStr">
        <is>
          <t>Differentiator vs trade competitors: integrated logistics route costing and margin analysis.</t>
        </is>
      </c>
      <c r="M127" s="8" t="inlineStr">
        <is>
          <t>Strategic expansion</t>
        </is>
      </c>
      <c r="N127" s="8" t="inlineStr">
        <is>
          <t>Platform or theme scope</t>
        </is>
      </c>
      <c r="O127" s="8" t="inlineStr">
        <is>
          <t>P1</t>
        </is>
      </c>
      <c r="P127" s="5" t="inlineStr">
        <is>
          <t>Unchanged</t>
        </is>
      </c>
      <c r="Q127" s="20" t="inlineStr">
        <is>
          <t>Author assertion</t>
        </is>
      </c>
      <c r="R127" s="5" t="inlineStr"/>
      <c r="S127" s="8" t="inlineStr">
        <is>
          <t>FLEET</t>
        </is>
      </c>
      <c r="T127" s="5" t="inlineStr">
        <is>
          <t>Fleet and delivery</t>
        </is>
      </c>
      <c r="U127" s="8" t="inlineStr"/>
      <c r="V127" s="8" t="inlineStr">
        <is>
          <t>sales</t>
        </is>
      </c>
      <c r="W127" s="8" t="inlineStr">
        <is>
          <t>RUN</t>
        </is>
      </c>
      <c r="X127" s="5" t="inlineStr">
        <is>
          <t>Future</t>
        </is>
      </c>
      <c r="Y127" s="5" t="inlineStr">
        <is>
          <t>Platform scope</t>
        </is>
      </c>
      <c r="Z127" s="5" t="inlineStr">
        <is>
          <t>Low</t>
        </is>
      </c>
      <c r="AA127" s="5" t="inlineStr">
        <is>
          <t>Medium</t>
        </is>
      </c>
      <c r="AB127" s="8" t="inlineStr">
        <is>
          <t>Low</t>
        </is>
      </c>
      <c r="AC127" s="8" t="inlineStr">
        <is>
          <t>Later</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2</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D-0687</t>
        </is>
      </c>
      <c r="B128" s="8" t="inlineStr">
        <is>
          <t>D</t>
        </is>
      </c>
      <c r="C128" s="5" t="inlineStr">
        <is>
          <t>AI &amp; Differentiation</t>
        </is>
      </c>
      <c r="D128" s="5" t="inlineStr">
        <is>
          <t>Receivables &amp; Payables</t>
        </is>
      </c>
      <c r="E128" s="5" t="inlineStr">
        <is>
          <t>Collections Autopilot: intelligent behavioral debtor chasing with personalized tone modulation</t>
        </is>
      </c>
      <c r="F128" s="5" t="inlineStr">
        <is>
          <t>Collections Engine</t>
        </is>
      </c>
      <c r="G128" s="5" t="inlineStr">
        <is>
          <t>Debtor Customer</t>
        </is>
      </c>
      <c r="H128" s="5" t="inlineStr">
        <is>
          <t>AI customizes payment reminder tone based on customer relationship (polite for VIPs, firm for chronic defaulters)</t>
        </is>
      </c>
      <c r="I128" s="5" t="inlineStr">
        <is>
          <t>Increases collection recovery by 28%; preserves customer goodwill while ensuring timely debt recovery</t>
        </is>
      </c>
      <c r="J128" s="20" t="inlineStr">
        <is>
          <t>P1</t>
        </is>
      </c>
      <c r="K128" s="20" t="inlineStr">
        <is>
          <t>Validated (Supported)</t>
        </is>
      </c>
      <c r="L128" s="5" t="inlineStr">
        <is>
          <t>Differentiator vs spam reminders: dynamic debtor segmentation and personalized payment cadence.</t>
        </is>
      </c>
      <c r="M128" s="8" t="inlineStr">
        <is>
          <t>Strategic expansion</t>
        </is>
      </c>
      <c r="N128" s="8" t="inlineStr">
        <is>
          <t>Platform or theme scope</t>
        </is>
      </c>
      <c r="O128" s="8" t="inlineStr">
        <is>
          <t>P1</t>
        </is>
      </c>
      <c r="P128" s="5" t="inlineStr">
        <is>
          <t>Unchanged</t>
        </is>
      </c>
      <c r="Q128" s="20" t="inlineStr">
        <is>
          <t>Author assertion</t>
        </is>
      </c>
      <c r="R128" s="5" t="inlineStr"/>
      <c r="S128" s="8" t="inlineStr">
        <is>
          <t>ARAP</t>
        </is>
      </c>
      <c r="T128" s="5" t="inlineStr">
        <is>
          <t>Receivables and payables</t>
        </is>
      </c>
      <c r="U128" s="8" t="inlineStr"/>
      <c r="V128" s="8" t="inlineStr">
        <is>
          <t>ledgers</t>
        </is>
      </c>
      <c r="W128" s="8" t="inlineStr">
        <is>
          <t>CONTROL</t>
        </is>
      </c>
      <c r="X128" s="5" t="inlineStr">
        <is>
          <t>Future</t>
        </is>
      </c>
      <c r="Y128" s="5" t="inlineStr">
        <is>
          <t>Platform scope</t>
        </is>
      </c>
      <c r="Z128" s="5" t="inlineStr">
        <is>
          <t>Medium</t>
        </is>
      </c>
      <c r="AA128" s="5" t="inlineStr">
        <is>
          <t>High</t>
        </is>
      </c>
      <c r="AB128" s="8" t="inlineStr">
        <is>
          <t>Medium</t>
        </is>
      </c>
      <c r="AC128" s="8" t="inlineStr">
        <is>
          <t>Later</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D-0688</t>
        </is>
      </c>
      <c r="B129" s="8" t="inlineStr">
        <is>
          <t>D</t>
        </is>
      </c>
      <c r="C129" s="5" t="inlineStr">
        <is>
          <t>AI &amp; Differentiation</t>
        </is>
      </c>
      <c r="D129" s="5" t="inlineStr">
        <is>
          <t>Procure-to-Pay</t>
        </is>
      </c>
      <c r="E129" s="5" t="inlineStr">
        <is>
          <t>Supplier Intelligence Scorecard: automated rating on delivery punctuality, price inflation &amp; GST defects</t>
        </is>
      </c>
      <c r="F129" s="5" t="inlineStr">
        <is>
          <t>Vendor Intelligence Engine</t>
        </is>
      </c>
      <c r="G129" s="5" t="inlineStr">
        <is>
          <t>Purchase Manager</t>
        </is>
      </c>
      <c r="H129" s="5" t="inlineStr">
        <is>
          <t>Automatically scores suppliers on a 100-point scale factoring fill rate, price spikes, and missing 2B invoices</t>
        </is>
      </c>
      <c r="I129" s="5" t="inlineStr">
        <is>
          <t>Empowers purchase manager during price negotiations; directs orders to highest-performing vendors</t>
        </is>
      </c>
      <c r="J129" s="20" t="inlineStr">
        <is>
          <t>P1</t>
        </is>
      </c>
      <c r="K129" s="20" t="inlineStr">
        <is>
          <t>Validated (Supported)</t>
        </is>
      </c>
      <c r="L129" s="5" t="inlineStr">
        <is>
          <t>Differentiator vs manual spreadsheets: multi-dimensional algorithmic vendor health scorecard.</t>
        </is>
      </c>
      <c r="M129" s="8" t="inlineStr">
        <is>
          <t>Strategic expansion</t>
        </is>
      </c>
      <c r="N129" s="8" t="inlineStr">
        <is>
          <t>Platform or theme scope</t>
        </is>
      </c>
      <c r="O129" s="8" t="inlineStr">
        <is>
          <t>P1</t>
        </is>
      </c>
      <c r="P129" s="5" t="inlineStr">
        <is>
          <t>Unchanged</t>
        </is>
      </c>
      <c r="Q129" s="20" t="inlineStr">
        <is>
          <t>Author assertion</t>
        </is>
      </c>
      <c r="R129" s="5" t="inlineStr"/>
      <c r="S129" s="8" t="inlineStr">
        <is>
          <t>P2P</t>
        </is>
      </c>
      <c r="T129" s="5" t="inlineStr">
        <is>
          <t>Procure to pay</t>
        </is>
      </c>
      <c r="U129" s="8" t="inlineStr"/>
      <c r="V129" s="8" t="inlineStr">
        <is>
          <t>purchases</t>
        </is>
      </c>
      <c r="W129" s="8" t="inlineStr">
        <is>
          <t>RUN</t>
        </is>
      </c>
      <c r="X129" s="5" t="inlineStr">
        <is>
          <t>Future</t>
        </is>
      </c>
      <c r="Y129" s="5" t="inlineStr">
        <is>
          <t>Platform scope</t>
        </is>
      </c>
      <c r="Z129" s="5" t="inlineStr">
        <is>
          <t>Low</t>
        </is>
      </c>
      <c r="AA129" s="5" t="inlineStr">
        <is>
          <t>Medium</t>
        </is>
      </c>
      <c r="AB129" s="8" t="inlineStr">
        <is>
          <t>Low</t>
        </is>
      </c>
      <c r="AC129" s="8" t="inlineStr">
        <is>
          <t>Later</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P1</t>
        </is>
      </c>
      <c r="AL129" s="8" t="n">
        <v>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D-0689</t>
        </is>
      </c>
      <c r="B130" s="8" t="inlineStr">
        <is>
          <t>D</t>
        </is>
      </c>
      <c r="C130" s="5" t="inlineStr">
        <is>
          <t>AI &amp; Differentiation</t>
        </is>
      </c>
      <c r="D130" s="5" t="inlineStr">
        <is>
          <t>Customer-to-Cash</t>
        </is>
      </c>
      <c r="E130" s="5" t="inlineStr">
        <is>
          <t>Dynamic customer-specific volume slab pricing and margin protection guard</t>
        </is>
      </c>
      <c r="F130" s="5" t="inlineStr">
        <is>
          <t>Pricing Engine</t>
        </is>
      </c>
      <c r="G130" s="5" t="inlineStr">
        <is>
          <t>Billing Clerk / Salesperson</t>
        </is>
      </c>
      <c r="H130" s="5" t="inlineStr">
        <is>
          <t>Automatically applies tier pricing (e.g. 1-10 pcs: ₹100, 11-50 pcs: ₹92, 51+ pcs: ₹85) while enforcing min margin</t>
        </is>
      </c>
      <c r="I130" s="5" t="inlineStr">
        <is>
          <t>Ensures volume discounts never drop below mandatory 6% floor margin; alerts manager if breached</t>
        </is>
      </c>
      <c r="J130" s="20" t="inlineStr">
        <is>
          <t>P1</t>
        </is>
      </c>
      <c r="K130" s="20" t="inlineStr">
        <is>
          <t>Validated (Supported)</t>
        </is>
      </c>
      <c r="L130" s="5" t="inlineStr">
        <is>
          <t>Differentiator vs competitors: tiered pricing matrix with automated floor margin protection.</t>
        </is>
      </c>
      <c r="M130" s="8" t="inlineStr">
        <is>
          <t>Strategic expansion</t>
        </is>
      </c>
      <c r="N130" s="8" t="inlineStr">
        <is>
          <t>Platform or theme scope</t>
        </is>
      </c>
      <c r="O130" s="8" t="inlineStr">
        <is>
          <t>P1</t>
        </is>
      </c>
      <c r="P130" s="5" t="inlineStr">
        <is>
          <t>Unchanged</t>
        </is>
      </c>
      <c r="Q130" s="20" t="inlineStr">
        <is>
          <t>Author assertion</t>
        </is>
      </c>
      <c r="R130" s="5" t="inlineStr"/>
      <c r="S130" s="8" t="inlineStr">
        <is>
          <t>C2C</t>
        </is>
      </c>
      <c r="T130" s="5" t="inlineStr">
        <is>
          <t>Customer to cash</t>
        </is>
      </c>
      <c r="U130" s="8" t="inlineStr"/>
      <c r="V130" s="8" t="inlineStr">
        <is>
          <t>sales</t>
        </is>
      </c>
      <c r="W130" s="8" t="inlineStr">
        <is>
          <t>RUN</t>
        </is>
      </c>
      <c r="X130" s="5" t="inlineStr">
        <is>
          <t>Future</t>
        </is>
      </c>
      <c r="Y130" s="5" t="inlineStr">
        <is>
          <t>Platform scope</t>
        </is>
      </c>
      <c r="Z130" s="5" t="inlineStr">
        <is>
          <t>Low</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2</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D-0690</t>
        </is>
      </c>
      <c r="B131" s="8" t="inlineStr">
        <is>
          <t>D</t>
        </is>
      </c>
      <c r="C131" s="5" t="inlineStr">
        <is>
          <t>AI &amp; Differentiation</t>
        </is>
      </c>
      <c r="D131" s="5" t="inlineStr">
        <is>
          <t>GST / Tax / Compliance</t>
        </is>
      </c>
      <c r="E131" s="5" t="inlineStr">
        <is>
          <t>Automated GSTR-2B 'Smart Reconciler' with fuzzy name and fractional rounding matching</t>
        </is>
      </c>
      <c r="F131" s="5" t="inlineStr">
        <is>
          <t>GST Guard Engine</t>
        </is>
      </c>
      <c r="G131" s="5" t="inlineStr">
        <is>
          <t>In-house Accountant</t>
        </is>
      </c>
      <c r="H131" s="5" t="inlineStr">
        <is>
          <t>Fuzzy matching engine that links purchase bills with GSTR-2B even when invoice numbers have dashes or spaces</t>
        </is>
      </c>
      <c r="I131" s="5" t="inlineStr">
        <is>
          <t>Reduces manual reconciliation time by 85%; eliminates false mismatch exceptions caused by slash/dash typos</t>
        </is>
      </c>
      <c r="J131" s="19" t="inlineStr">
        <is>
          <t>P0</t>
        </is>
      </c>
      <c r="K131" s="20" t="inlineStr">
        <is>
          <t>Validated (Supported)</t>
        </is>
      </c>
      <c r="L131" s="5" t="inlineStr">
        <is>
          <t>Differentiator vs Tally: Levenshtein distance fuzzy invoice matcher with date tolerance.</t>
        </is>
      </c>
      <c r="M131" s="8" t="inlineStr">
        <is>
          <t>Strategic expansion</t>
        </is>
      </c>
      <c r="N131" s="8" t="inlineStr">
        <is>
          <t>Platform or theme scope</t>
        </is>
      </c>
      <c r="O131" s="8" t="inlineStr">
        <is>
          <t>P0</t>
        </is>
      </c>
      <c r="P131" s="5" t="inlineStr">
        <is>
          <t>Unchanged</t>
        </is>
      </c>
      <c r="Q131" s="20" t="inlineStr">
        <is>
          <t>Author assertion</t>
        </is>
      </c>
      <c r="R131" s="5" t="inlineStr"/>
      <c r="S131" s="8" t="inlineStr">
        <is>
          <t>GST</t>
        </is>
      </c>
      <c r="T131" s="5" t="inlineStr">
        <is>
          <t>GST and tax compliance</t>
        </is>
      </c>
      <c r="U131" s="8" t="inlineStr"/>
      <c r="V131" s="8" t="inlineStr">
        <is>
          <t>accounting</t>
        </is>
      </c>
      <c r="W131" s="8" t="inlineStr">
        <is>
          <t>CONTROL</t>
        </is>
      </c>
      <c r="X131" s="5" t="inlineStr">
        <is>
          <t>Future</t>
        </is>
      </c>
      <c r="Y131" s="5" t="inlineStr">
        <is>
          <t>Platform scope</t>
        </is>
      </c>
      <c r="Z131" s="5" t="inlineStr">
        <is>
          <t>High</t>
        </is>
      </c>
      <c r="AA131" s="5" t="inlineStr">
        <is>
          <t>High</t>
        </is>
      </c>
      <c r="AB131" s="8" t="inlineStr">
        <is>
          <t>High</t>
        </is>
      </c>
      <c r="AC131" s="8" t="inlineStr">
        <is>
          <t>MVP</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P0</t>
        </is>
      </c>
      <c r="AL131" s="8" t="n">
        <v>9</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D-0691</t>
        </is>
      </c>
      <c r="B132" s="8" t="inlineStr">
        <is>
          <t>D</t>
        </is>
      </c>
      <c r="C132" s="5" t="inlineStr">
        <is>
          <t>AI &amp; Differentiation</t>
        </is>
      </c>
      <c r="D132" s="5" t="inlineStr">
        <is>
          <t>Customer-to-Cash</t>
        </is>
      </c>
      <c r="E132" s="5" t="inlineStr">
        <is>
          <t>Interactive customer self-service invoice magic link with 1-click UPI payment and dispute raise</t>
        </is>
      </c>
      <c r="F132" s="5" t="inlineStr">
        <is>
          <t>Customer / Buyer</t>
        </is>
      </c>
      <c r="G132" s="5" t="inlineStr">
        <is>
          <t>Merchant</t>
        </is>
      </c>
      <c r="H132" s="5" t="inlineStr">
        <is>
          <t>Customer clicks link on WhatsApp; views beautiful interactive invoice; pays via UPI or raises query on 1 item</t>
        </is>
      </c>
      <c r="I132" s="5" t="inlineStr">
        <is>
          <t>Accelerates payment collection; provides self-service PDF download without calling store clerk</t>
        </is>
      </c>
      <c r="J132" s="20" t="inlineStr">
        <is>
          <t>P1</t>
        </is>
      </c>
      <c r="K132" s="20" t="inlineStr">
        <is>
          <t>Validated (Supported)</t>
        </is>
      </c>
      <c r="L132" s="5" t="inlineStr">
        <is>
          <t>Differentiator vs static PDF: interactive mobile web invoice portal with embedded UPI deep-link.</t>
        </is>
      </c>
      <c r="M132" s="8" t="inlineStr">
        <is>
          <t>Strategic expansion</t>
        </is>
      </c>
      <c r="N132" s="8" t="inlineStr">
        <is>
          <t>Platform or theme scope</t>
        </is>
      </c>
      <c r="O132" s="8" t="inlineStr">
        <is>
          <t>P1</t>
        </is>
      </c>
      <c r="P132" s="5" t="inlineStr">
        <is>
          <t>Unchanged</t>
        </is>
      </c>
      <c r="Q132" s="20" t="inlineStr">
        <is>
          <t>Author assertion</t>
        </is>
      </c>
      <c r="R132" s="5" t="inlineStr"/>
      <c r="S132" s="8" t="inlineStr">
        <is>
          <t>C2C</t>
        </is>
      </c>
      <c r="T132" s="5" t="inlineStr">
        <is>
          <t>Customer to cash</t>
        </is>
      </c>
      <c r="U132" s="8" t="inlineStr"/>
      <c r="V132" s="8" t="inlineStr">
        <is>
          <t>sales</t>
        </is>
      </c>
      <c r="W132" s="8" t="inlineStr">
        <is>
          <t>RUN</t>
        </is>
      </c>
      <c r="X132" s="5" t="inlineStr">
        <is>
          <t>Future</t>
        </is>
      </c>
      <c r="Y132" s="5" t="inlineStr">
        <is>
          <t>Platform scope</t>
        </is>
      </c>
      <c r="Z132" s="5" t="inlineStr">
        <is>
          <t>Low</t>
        </is>
      </c>
      <c r="AA132" s="5" t="inlineStr">
        <is>
          <t>Medium</t>
        </is>
      </c>
      <c r="AB132" s="8" t="inlineStr">
        <is>
          <t>Low</t>
        </is>
      </c>
      <c r="AC132" s="8" t="inlineStr">
        <is>
          <t>Later</t>
        </is>
      </c>
      <c r="AD132" s="5" t="inlineStr">
        <is>
          <t>Not independently checked</t>
        </is>
      </c>
      <c r="AE132" s="5" t="inlineStr">
        <is>
          <t>Not verified</t>
        </is>
      </c>
      <c r="AF132" s="5" t="inlineStr">
        <is>
          <t>Not verified</t>
        </is>
      </c>
      <c r="AG132" s="5" t="inlineStr">
        <is>
          <t>Not verified</t>
        </is>
      </c>
      <c r="AH132" s="5" t="inlineStr">
        <is>
          <t>Not verified</t>
        </is>
      </c>
      <c r="AI132" s="8" t="inlineStr">
        <is>
          <t>No</t>
        </is>
      </c>
      <c r="AJ132" s="8" t="inlineStr">
        <is>
          <t>Claimed - unverified</t>
        </is>
      </c>
      <c r="AK132" s="8" t="inlineStr">
        <is>
          <t>P1</t>
        </is>
      </c>
      <c r="AL132" s="8" t="n">
        <v>2</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D-0692</t>
        </is>
      </c>
      <c r="B133" s="8" t="inlineStr">
        <is>
          <t>D</t>
        </is>
      </c>
      <c r="C133" s="5" t="inlineStr">
        <is>
          <t>AI &amp; Differentiation</t>
        </is>
      </c>
      <c r="D133" s="5" t="inlineStr">
        <is>
          <t>Inventory Lifecycle</t>
        </is>
      </c>
      <c r="E133" s="5" t="inlineStr">
        <is>
          <t>AI Dead-Stock Liquidation Assistant: identifies stagnant inventory and suggests promotional bundles</t>
        </is>
      </c>
      <c r="F133" s="5" t="inlineStr">
        <is>
          <t>Merchandising AI</t>
        </is>
      </c>
      <c r="G133" s="5" t="inlineStr">
        <is>
          <t>Business Owner</t>
        </is>
      </c>
      <c r="H133" s="5" t="inlineStr">
        <is>
          <t>Identifies items holding zero movement for 90 days; recommends pairing with fast-moving items in combo offer</t>
        </is>
      </c>
      <c r="I133" s="5" t="inlineStr">
        <is>
          <t>Converts trapped dead-stock capital back into liquid cash; prevents inventory obsolescence write-offs</t>
        </is>
      </c>
      <c r="J133" s="24" t="inlineStr">
        <is>
          <t>P3</t>
        </is>
      </c>
      <c r="K133" s="20" t="inlineStr">
        <is>
          <t>Validated (Supported)</t>
        </is>
      </c>
      <c r="L133" s="5" t="inlineStr">
        <is>
          <t>Differentiator vs basic aging reports: prescriptive promotional bundling recommendations.</t>
        </is>
      </c>
      <c r="M133" s="8" t="inlineStr">
        <is>
          <t>Strategic expansion</t>
        </is>
      </c>
      <c r="N133" s="8" t="inlineStr">
        <is>
          <t>Platform or theme scope</t>
        </is>
      </c>
      <c r="O133" s="8" t="inlineStr">
        <is>
          <t>P2</t>
        </is>
      </c>
      <c r="P133" s="5" t="inlineStr">
        <is>
          <t>Kept P3. The previous workbook had P3. Authored priority was P2.</t>
        </is>
      </c>
      <c r="Q133" s="20" t="inlineStr">
        <is>
          <t>Author assertion</t>
        </is>
      </c>
      <c r="R133" s="5" t="inlineStr">
        <is>
          <t>Kept P3. The previous workbook had P3. Authored priority was P2.</t>
        </is>
      </c>
      <c r="S133" s="8" t="inlineStr">
        <is>
          <t>INV</t>
        </is>
      </c>
      <c r="T133" s="5" t="inlineStr">
        <is>
          <t>Inventory lifecycle</t>
        </is>
      </c>
      <c r="U133" s="8" t="inlineStr"/>
      <c r="V133" s="8" t="inlineStr">
        <is>
          <t>inventory</t>
        </is>
      </c>
      <c r="W133" s="8" t="inlineStr">
        <is>
          <t>RUN</t>
        </is>
      </c>
      <c r="X133" s="5" t="inlineStr">
        <is>
          <t>Future</t>
        </is>
      </c>
      <c r="Y133" s="5" t="inlineStr">
        <is>
          <t>Platform scope</t>
        </is>
      </c>
      <c r="Z133" s="5" t="inlineStr">
        <is>
          <t>Low</t>
        </is>
      </c>
      <c r="AA133" s="5" t="inlineStr">
        <is>
          <t>High</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P3</t>
        </is>
      </c>
      <c r="AL133" s="8" t="n">
        <v>3</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D-0693</t>
        </is>
      </c>
      <c r="B134" s="8" t="inlineStr">
        <is>
          <t>D</t>
        </is>
      </c>
      <c r="C134" s="5" t="inlineStr">
        <is>
          <t>AI &amp; Differentiation</t>
        </is>
      </c>
      <c r="D134" s="5" t="inlineStr">
        <is>
          <t>Master Data &amp; Authorization</t>
        </is>
      </c>
      <c r="E134" s="5" t="inlineStr">
        <is>
          <t>One-click complete Tally historical backup migration wizard</t>
        </is>
      </c>
      <c r="F134" s="5" t="inlineStr">
        <is>
          <t>Migration Engine</t>
        </is>
      </c>
      <c r="G134" s="5" t="inlineStr">
        <is>
          <t>Accountant / Owner</t>
        </is>
      </c>
      <c r="H134" s="5" t="inlineStr">
        <is>
          <t>Upload Tally XML backup; system automatically migrates all ledger masters, opening balances, and 3-year history</t>
        </is>
      </c>
      <c r="I134" s="5" t="inlineStr">
        <is>
          <t>Eliminates manual re-entry barrier; customer can switch from Tally to BizBoard in under 15 minutes</t>
        </is>
      </c>
      <c r="J134" s="19" t="inlineStr">
        <is>
          <t>P0</t>
        </is>
      </c>
      <c r="K134" s="20" t="inlineStr">
        <is>
          <t>Validated (Supported)</t>
        </is>
      </c>
      <c r="L134" s="5" t="inlineStr">
        <is>
          <t>Differentiator vs new software: automated Tally XML parser importing 100% of historical chart of accounts.</t>
        </is>
      </c>
      <c r="M134" s="8" t="inlineStr">
        <is>
          <t>Strategic expansion</t>
        </is>
      </c>
      <c r="N134" s="8" t="inlineStr">
        <is>
          <t>Platform or theme scope</t>
        </is>
      </c>
      <c r="O134" s="8" t="inlineStr">
        <is>
          <t>P0</t>
        </is>
      </c>
      <c r="P134" s="5" t="inlineStr">
        <is>
          <t>Unchanged</t>
        </is>
      </c>
      <c r="Q134" s="20" t="inlineStr">
        <is>
          <t>Author assertion</t>
        </is>
      </c>
      <c r="R134" s="5" t="inlineStr"/>
      <c r="S134" s="8" t="inlineStr">
        <is>
          <t>MASTER</t>
        </is>
      </c>
      <c r="T134" s="5" t="inlineStr">
        <is>
          <t>Master data and authorization</t>
        </is>
      </c>
      <c r="U134" s="8" t="inlineStr"/>
      <c r="V134" s="8" t="inlineStr">
        <is>
          <t>masters</t>
        </is>
      </c>
      <c r="W134" s="8" t="inlineStr">
        <is>
          <t>KERNEL</t>
        </is>
      </c>
      <c r="X134" s="5" t="inlineStr">
        <is>
          <t>Future</t>
        </is>
      </c>
      <c r="Y134" s="5" t="inlineStr">
        <is>
          <t>Platform scope</t>
        </is>
      </c>
      <c r="Z134" s="5" t="inlineStr">
        <is>
          <t>Low</t>
        </is>
      </c>
      <c r="AA134" s="5" t="inlineStr">
        <is>
          <t>Medium</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2</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D-0694</t>
        </is>
      </c>
      <c r="B135" s="8" t="inlineStr">
        <is>
          <t>D</t>
        </is>
      </c>
      <c r="C135" s="5" t="inlineStr">
        <is>
          <t>AI &amp; Differentiation</t>
        </is>
      </c>
      <c r="D135" s="5" t="inlineStr">
        <is>
          <t>Master Data &amp; Authorization</t>
        </is>
      </c>
      <c r="E135" s="5" t="inlineStr">
        <is>
          <t>Crowdsourced verified HSN code and statutory GST rate auto-suggester</t>
        </is>
      </c>
      <c r="F135" s="5" t="inlineStr">
        <is>
          <t>Tax Recommendation Engine</t>
        </is>
      </c>
      <c r="G135" s="5" t="inlineStr">
        <is>
          <t>Billing Clerk</t>
        </is>
      </c>
      <c r="H135" s="5" t="inlineStr">
        <is>
          <t>Type item name (e.g. 'Basmati Rice 5kg'); AI immediately suggests correct HSN code (100630) and GST rate (5%)</t>
        </is>
      </c>
      <c r="I135" s="5" t="inlineStr">
        <is>
          <t>Eliminates tax classification errors for new grocery and hardware SKUs; protects against tax penalties</t>
        </is>
      </c>
      <c r="J135" s="20" t="inlineStr">
        <is>
          <t>P1</t>
        </is>
      </c>
      <c r="K135" s="20" t="inlineStr">
        <is>
          <t>Validated (Supported)</t>
        </is>
      </c>
      <c r="L135" s="5" t="inlineStr">
        <is>
          <t>Differentiator vs competitors: AI HSN classification model trained on 500,000+ Indian retail SKUs.</t>
        </is>
      </c>
      <c r="M135" s="8" t="inlineStr">
        <is>
          <t>Strategic expansion</t>
        </is>
      </c>
      <c r="N135" s="8" t="inlineStr">
        <is>
          <t>Platform or theme scope</t>
        </is>
      </c>
      <c r="O135" s="8" t="inlineStr">
        <is>
          <t>P1</t>
        </is>
      </c>
      <c r="P135" s="5" t="inlineStr">
        <is>
          <t>Unchanged</t>
        </is>
      </c>
      <c r="Q135" s="20" t="inlineStr">
        <is>
          <t>Author assertion</t>
        </is>
      </c>
      <c r="R135" s="5" t="inlineStr"/>
      <c r="S135" s="8" t="inlineStr">
        <is>
          <t>MASTER</t>
        </is>
      </c>
      <c r="T135" s="5" t="inlineStr">
        <is>
          <t>Master data and authorization</t>
        </is>
      </c>
      <c r="U135" s="8" t="inlineStr"/>
      <c r="V135" s="8" t="inlineStr">
        <is>
          <t>masters</t>
        </is>
      </c>
      <c r="W135" s="8" t="inlineStr">
        <is>
          <t>KERNEL</t>
        </is>
      </c>
      <c r="X135" s="5" t="inlineStr">
        <is>
          <t>Future</t>
        </is>
      </c>
      <c r="Y135" s="5" t="inlineStr">
        <is>
          <t>Platform scope</t>
        </is>
      </c>
      <c r="Z135" s="5" t="inlineStr">
        <is>
          <t>Low</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P1</t>
        </is>
      </c>
      <c r="AL135" s="8" t="n">
        <v>2</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D-0695</t>
        </is>
      </c>
      <c r="B136" s="8" t="inlineStr">
        <is>
          <t>D</t>
        </is>
      </c>
      <c r="C136" s="5" t="inlineStr">
        <is>
          <t>AI &amp; Differentiation</t>
        </is>
      </c>
      <c r="D136" s="5" t="inlineStr">
        <is>
          <t>Reporting &amp; Business Intelligence</t>
        </is>
      </c>
      <c r="E136" s="5" t="inlineStr">
        <is>
          <t>Daily evening 8 PM WhatsApp executive voice and summary briefing to owner</t>
        </is>
      </c>
      <c r="F136" s="5" t="inlineStr">
        <is>
          <t>Executive Briefing Bot</t>
        </is>
      </c>
      <c r="G136" s="5" t="inlineStr">
        <is>
          <t>Business Owner</t>
        </is>
      </c>
      <c r="H136" s="5" t="inlineStr">
        <is>
          <t>At 8 PM, owner receives automated WhatsApp voice message and infographic: 'Today's sales: ₹1.8L, Cash: ₹65k, Margin: 14%'</t>
        </is>
      </c>
      <c r="I136" s="5" t="inlineStr">
        <is>
          <t>Delivers complete business peace of mind without requiring owner to sit in front of computer</t>
        </is>
      </c>
      <c r="J136" s="20" t="inlineStr">
        <is>
          <t>P1</t>
        </is>
      </c>
      <c r="K136" s="20" t="inlineStr">
        <is>
          <t>Validated (Supported)</t>
        </is>
      </c>
      <c r="L136" s="5" t="inlineStr">
        <is>
          <t>Differentiator vs dashboard-only: push WhatsApp executive audio briefing and infographic summary.</t>
        </is>
      </c>
      <c r="M136" s="8" t="inlineStr">
        <is>
          <t>Strategic expansion</t>
        </is>
      </c>
      <c r="N136" s="8" t="inlineStr">
        <is>
          <t>Platform or theme scope</t>
        </is>
      </c>
      <c r="O136" s="8" t="inlineStr">
        <is>
          <t>P1</t>
        </is>
      </c>
      <c r="P136" s="5" t="inlineStr">
        <is>
          <t>Restored to authored P1. The previous workbook had P3 after a keyword rebalance.</t>
        </is>
      </c>
      <c r="Q136" s="21" t="inlineStr">
        <is>
          <t>Code symbol found</t>
        </is>
      </c>
      <c r="R136" s="5" t="inlineStr">
        <is>
          <t>Matched WhatsApp in product code. This is not a functional test. Restored to authored P1. The previous workbook had P3 after a keyword rebalance.</t>
        </is>
      </c>
      <c r="S136" s="8" t="inlineStr">
        <is>
          <t>RPT</t>
        </is>
      </c>
      <c r="T136" s="5" t="inlineStr">
        <is>
          <t>Reporting and business intelligence</t>
        </is>
      </c>
      <c r="U136" s="8" t="inlineStr"/>
      <c r="V136" s="8" t="inlineStr">
        <is>
          <t>reporting</t>
        </is>
      </c>
      <c r="W136" s="8" t="inlineStr">
        <is>
          <t>CONTROL</t>
        </is>
      </c>
      <c r="X136" s="5" t="inlineStr">
        <is>
          <t>Future</t>
        </is>
      </c>
      <c r="Y136" s="5" t="inlineStr">
        <is>
          <t>Platform scope</t>
        </is>
      </c>
      <c r="Z136" s="5" t="inlineStr">
        <is>
          <t>Low</t>
        </is>
      </c>
      <c r="AA136" s="5" t="inlineStr">
        <is>
          <t>Medium</t>
        </is>
      </c>
      <c r="AB136" s="8" t="inlineStr">
        <is>
          <t>Low</t>
        </is>
      </c>
      <c r="AC136" s="8" t="inlineStr">
        <is>
          <t>Later</t>
        </is>
      </c>
      <c r="AD136" s="5" t="inlineStr">
        <is>
          <t>Cited in code</t>
        </is>
      </c>
      <c r="AE136" s="5" t="inlineStr">
        <is>
          <t>Not verified</t>
        </is>
      </c>
      <c r="AF136" s="5" t="inlineStr">
        <is>
          <t>Not verified</t>
        </is>
      </c>
      <c r="AG136" s="5" t="inlineStr">
        <is>
          <t>Not verified</t>
        </is>
      </c>
      <c r="AH136" s="5" t="inlineStr">
        <is>
          <t>Not verified</t>
        </is>
      </c>
      <c r="AI136" s="8" t="inlineStr">
        <is>
          <t>No</t>
        </is>
      </c>
      <c r="AJ136" s="8" t="inlineStr">
        <is>
          <t>Built - unverified</t>
        </is>
      </c>
      <c r="AK136" s="8" t="inlineStr">
        <is>
          <t>P1</t>
        </is>
      </c>
      <c r="AL136" s="8" t="n">
        <v>2</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D-0696</t>
        </is>
      </c>
      <c r="B137" s="8" t="inlineStr">
        <is>
          <t>D</t>
        </is>
      </c>
      <c r="C137" s="5" t="inlineStr">
        <is>
          <t>AI &amp; Differentiation</t>
        </is>
      </c>
      <c r="D137" s="5" t="inlineStr">
        <is>
          <t>Operations, Fleet &amp; Delivery</t>
        </is>
      </c>
      <c r="E137" s="5" t="inlineStr">
        <is>
          <t>Proof of Delivery (POD) photo tamper detection and GPS geo-fence verification</t>
        </is>
      </c>
      <c r="F137" s="5" t="inlineStr">
        <is>
          <t>Logistics Security Engine</t>
        </is>
      </c>
      <c r="G137" s="5" t="inlineStr">
        <is>
          <t>Logistics Manager</t>
        </is>
      </c>
      <c r="H137" s="5" t="inlineStr">
        <is>
          <t>Verify that delivery driver captured POD photo physically at customer's shop using geo-fence comparison</t>
        </is>
      </c>
      <c r="I137" s="5" t="inlineStr">
        <is>
          <t>Prevents driver delivery fraud and false delivery confirmations; eliminates customer delivery disputes</t>
        </is>
      </c>
      <c r="J137" s="24" t="inlineStr">
        <is>
          <t>P3</t>
        </is>
      </c>
      <c r="K137" s="20" t="inlineStr">
        <is>
          <t>Validated (Supported)</t>
        </is>
      </c>
      <c r="L137" s="5" t="inlineStr">
        <is>
          <t>Differentiator vs basic delivery apps: GPS geo-fence comparison against customer master coordinates.</t>
        </is>
      </c>
      <c r="M137" s="8" t="inlineStr">
        <is>
          <t>Strategic expansion</t>
        </is>
      </c>
      <c r="N137" s="8" t="inlineStr">
        <is>
          <t>Platform or theme scope</t>
        </is>
      </c>
      <c r="O137" s="8" t="inlineStr">
        <is>
          <t>P2</t>
        </is>
      </c>
      <c r="P137" s="5" t="inlineStr">
        <is>
          <t>Kept P3. The previous workbook had P3. Authored priority was P2.</t>
        </is>
      </c>
      <c r="Q137" s="20" t="inlineStr">
        <is>
          <t>Author assertion</t>
        </is>
      </c>
      <c r="R137" s="5" t="inlineStr">
        <is>
          <t>Kept P3. The previous workbook had P3. Authored priority was P2.</t>
        </is>
      </c>
      <c r="S137" s="8" t="inlineStr">
        <is>
          <t>FLEET</t>
        </is>
      </c>
      <c r="T137" s="5" t="inlineStr">
        <is>
          <t>Fleet and delivery</t>
        </is>
      </c>
      <c r="U137" s="8" t="inlineStr"/>
      <c r="V137" s="8" t="inlineStr">
        <is>
          <t>sales</t>
        </is>
      </c>
      <c r="W137" s="8" t="inlineStr">
        <is>
          <t>RUN</t>
        </is>
      </c>
      <c r="X137" s="5" t="inlineStr">
        <is>
          <t>Future</t>
        </is>
      </c>
      <c r="Y137" s="5" t="inlineStr">
        <is>
          <t>Platform scope</t>
        </is>
      </c>
      <c r="Z137" s="5" t="inlineStr">
        <is>
          <t>Low</t>
        </is>
      </c>
      <c r="AA137" s="5" t="inlineStr">
        <is>
          <t>Low</t>
        </is>
      </c>
      <c r="AB137" s="8" t="inlineStr">
        <is>
          <t>Low</t>
        </is>
      </c>
      <c r="AC137" s="8" t="inlineStr">
        <is>
          <t>Later</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P3</t>
        </is>
      </c>
      <c r="AL137" s="8" t="n">
        <v>1</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D-0697</t>
        </is>
      </c>
      <c r="B138" s="8" t="inlineStr">
        <is>
          <t>D</t>
        </is>
      </c>
      <c r="C138" s="5" t="inlineStr">
        <is>
          <t>AI &amp; Differentiation</t>
        </is>
      </c>
      <c r="D138" s="5" t="inlineStr">
        <is>
          <t>Customer-to-Cash</t>
        </is>
      </c>
      <c r="E138" s="5" t="inlineStr">
        <is>
          <t>B2B Customer Portal with live customized price lists, ledger statements &amp; re-ordering</t>
        </is>
      </c>
      <c r="F138" s="5" t="inlineStr">
        <is>
          <t>B2B Retailer Client</t>
        </is>
      </c>
      <c r="G138" s="5" t="inlineStr">
        <is>
          <t>Wholesale Distributor</t>
        </is>
      </c>
      <c r="H138" s="5" t="inlineStr">
        <is>
          <t>Wholesale customer logs into self-service portal; sees their specific contracted pricing; places reorders 24/7</t>
        </is>
      </c>
      <c r="I138" s="5" t="inlineStr">
        <is>
          <t>Increases wholesale order volume by 22%; eliminates late-night phone calls and WhatsApp order confusion</t>
        </is>
      </c>
      <c r="J138" s="20" t="inlineStr">
        <is>
          <t>P1</t>
        </is>
      </c>
      <c r="K138" s="20" t="inlineStr">
        <is>
          <t>Validated (Supported)</t>
        </is>
      </c>
      <c r="L138" s="5" t="inlineStr">
        <is>
          <t>Differentiator vs legacy software: self-service B2B ordering portal synchronized with central ERP.</t>
        </is>
      </c>
      <c r="M138" s="8" t="inlineStr">
        <is>
          <t>Strategic expansion</t>
        </is>
      </c>
      <c r="N138" s="8" t="inlineStr">
        <is>
          <t>Platform or theme scope</t>
        </is>
      </c>
      <c r="O138" s="8" t="inlineStr">
        <is>
          <t>P1</t>
        </is>
      </c>
      <c r="P138" s="5" t="inlineStr">
        <is>
          <t>Unchanged</t>
        </is>
      </c>
      <c r="Q138" s="20" t="inlineStr">
        <is>
          <t>Author assertion</t>
        </is>
      </c>
      <c r="R138" s="5" t="inlineStr"/>
      <c r="S138" s="8" t="inlineStr">
        <is>
          <t>C2C</t>
        </is>
      </c>
      <c r="T138" s="5" t="inlineStr">
        <is>
          <t>Customer to cash</t>
        </is>
      </c>
      <c r="U138" s="8" t="inlineStr"/>
      <c r="V138" s="8" t="inlineStr">
        <is>
          <t>sales</t>
        </is>
      </c>
      <c r="W138" s="8" t="inlineStr">
        <is>
          <t>RUN</t>
        </is>
      </c>
      <c r="X138" s="5" t="inlineStr">
        <is>
          <t>Future</t>
        </is>
      </c>
      <c r="Y138" s="5" t="inlineStr">
        <is>
          <t>Platform scope</t>
        </is>
      </c>
      <c r="Z138" s="5" t="inlineStr">
        <is>
          <t>Low</t>
        </is>
      </c>
      <c r="AA138" s="5" t="inlineStr">
        <is>
          <t>Medium</t>
        </is>
      </c>
      <c r="AB138" s="8" t="inlineStr">
        <is>
          <t>Low</t>
        </is>
      </c>
      <c r="AC138" s="8" t="inlineStr">
        <is>
          <t>Later</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2</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D-0698</t>
        </is>
      </c>
      <c r="B139" s="8" t="inlineStr">
        <is>
          <t>D</t>
        </is>
      </c>
      <c r="C139" s="5" t="inlineStr">
        <is>
          <t>AI &amp; Differentiation</t>
        </is>
      </c>
      <c r="D139" s="5" t="inlineStr">
        <is>
          <t>Security / Exception / Recovery</t>
        </is>
      </c>
      <c r="E139" s="5" t="inlineStr">
        <is>
          <t>Multi-branch inter-company automated balancing ledger (Mirror Transaction Engine)</t>
        </is>
      </c>
      <c r="F139" s="5" t="inlineStr">
        <is>
          <t>Inter-Company Engine</t>
        </is>
      </c>
      <c r="G139" s="5" t="inlineStr">
        <is>
          <t>Central Accountant</t>
        </is>
      </c>
      <c r="H139" s="5" t="inlineStr">
        <is>
          <t>When Branch A transfers goods to Branch B, system automatically generates matching Inward &amp; Outward vouchers</t>
        </is>
      </c>
      <c r="I139" s="5" t="inlineStr">
        <is>
          <t>Eliminates manual duplicate voucher entry; ensures inter-branch reconciliation balances to zero</t>
        </is>
      </c>
      <c r="J139" s="20" t="inlineStr">
        <is>
          <t>P1</t>
        </is>
      </c>
      <c r="K139" s="20" t="inlineStr">
        <is>
          <t>Validated (Supported)</t>
        </is>
      </c>
      <c r="L139" s="5" t="inlineStr">
        <is>
          <t>Differentiator vs single-store tools: automated double-entry mirror voucher generation.</t>
        </is>
      </c>
      <c r="M139" s="8" t="inlineStr">
        <is>
          <t>Strategic expansion</t>
        </is>
      </c>
      <c r="N139" s="8" t="inlineStr">
        <is>
          <t>Platform or theme scope</t>
        </is>
      </c>
      <c r="O139" s="8" t="inlineStr">
        <is>
          <t>P1</t>
        </is>
      </c>
      <c r="P139" s="5" t="inlineStr">
        <is>
          <t>Unchanged</t>
        </is>
      </c>
      <c r="Q139" s="20" t="inlineStr">
        <is>
          <t>Author assertion</t>
        </is>
      </c>
      <c r="R139" s="5" t="inlineStr"/>
      <c r="S139" s="8" t="inlineStr">
        <is>
          <t>OTHER</t>
        </is>
      </c>
      <c r="T139" s="5" t="inlineStr">
        <is>
          <t>Security / Exception / Recovery</t>
        </is>
      </c>
      <c r="U139" s="8" t="inlineStr"/>
      <c r="V139" s="8" t="inlineStr"/>
      <c r="W139" s="8" t="inlineStr">
        <is>
          <t>CONTROL</t>
        </is>
      </c>
      <c r="X139" s="5" t="inlineStr">
        <is>
          <t>Future</t>
        </is>
      </c>
      <c r="Y139" s="5" t="inlineStr">
        <is>
          <t>Platform scope</t>
        </is>
      </c>
      <c r="Z139" s="5" t="inlineStr">
        <is>
          <t>Medium</t>
        </is>
      </c>
      <c r="AA139" s="5" t="inlineStr">
        <is>
          <t>Medium</t>
        </is>
      </c>
      <c r="AB139" s="8" t="inlineStr">
        <is>
          <t>Medium</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P1</t>
        </is>
      </c>
      <c r="AL139" s="8" t="n">
        <v>4</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D-0699</t>
        </is>
      </c>
      <c r="B140" s="8" t="inlineStr">
        <is>
          <t>D</t>
        </is>
      </c>
      <c r="C140" s="5" t="inlineStr">
        <is>
          <t>AI &amp; Differentiation</t>
        </is>
      </c>
      <c r="D140" s="5" t="inlineStr">
        <is>
          <t>Reporting &amp; Business Intelligence</t>
        </is>
      </c>
      <c r="E140" s="5" t="inlineStr">
        <is>
          <t>Customer Lifetime Value (CLV) and churn prediction scoring</t>
        </is>
      </c>
      <c r="F140" s="5" t="inlineStr">
        <is>
          <t>CRM Analytics Engine</t>
        </is>
      </c>
      <c r="G140" s="5" t="inlineStr">
        <is>
          <t>Sales Manager</t>
        </is>
      </c>
      <c r="H140" s="5" t="inlineStr">
        <is>
          <t>Predicts which regular commercial customers are drifting to competitors based on order interval gaps</t>
        </is>
      </c>
      <c r="I140" s="5" t="inlineStr">
        <is>
          <t>Alerts sales manager to visit customer before account is completely lost to competition</t>
        </is>
      </c>
      <c r="J140" s="24" t="inlineStr">
        <is>
          <t>P3</t>
        </is>
      </c>
      <c r="K140" s="20" t="inlineStr">
        <is>
          <t>Validated (Supported)</t>
        </is>
      </c>
      <c r="L140" s="5" t="inlineStr">
        <is>
          <t>Differentiator vs basic CRM: predictive recency-frequency-monetary (RFM) churn modeling.</t>
        </is>
      </c>
      <c r="M140" s="8" t="inlineStr">
        <is>
          <t>Strategic expansion</t>
        </is>
      </c>
      <c r="N140" s="8" t="inlineStr">
        <is>
          <t>Platform or theme scope</t>
        </is>
      </c>
      <c r="O140" s="8" t="inlineStr">
        <is>
          <t>P2</t>
        </is>
      </c>
      <c r="P140" s="5" t="inlineStr">
        <is>
          <t>Kept P3. The previous workbook had P3. Authored priority was P2.</t>
        </is>
      </c>
      <c r="Q140" s="20" t="inlineStr">
        <is>
          <t>Author assertion</t>
        </is>
      </c>
      <c r="R140" s="5" t="inlineStr">
        <is>
          <t>Kept P3. The previous workbook had P3. Authored priority was P2.</t>
        </is>
      </c>
      <c r="S140" s="8" t="inlineStr">
        <is>
          <t>RPT</t>
        </is>
      </c>
      <c r="T140" s="5" t="inlineStr">
        <is>
          <t>Reporting and business intelligence</t>
        </is>
      </c>
      <c r="U140" s="8" t="inlineStr"/>
      <c r="V140" s="8" t="inlineStr">
        <is>
          <t>reporting</t>
        </is>
      </c>
      <c r="W140" s="8" t="inlineStr">
        <is>
          <t>CONTROL</t>
        </is>
      </c>
      <c r="X140" s="5" t="inlineStr">
        <is>
          <t>Future</t>
        </is>
      </c>
      <c r="Y140" s="5" t="inlineStr">
        <is>
          <t>Platform scope</t>
        </is>
      </c>
      <c r="Z140" s="5" t="inlineStr">
        <is>
          <t>Low</t>
        </is>
      </c>
      <c r="AA140" s="5" t="inlineStr">
        <is>
          <t>Low</t>
        </is>
      </c>
      <c r="AB140" s="8" t="inlineStr">
        <is>
          <t>Low</t>
        </is>
      </c>
      <c r="AC140" s="8" t="inlineStr">
        <is>
          <t>Later</t>
        </is>
      </c>
      <c r="AD140" s="5" t="inlineStr">
        <is>
          <t>Not independently checked</t>
        </is>
      </c>
      <c r="AE140" s="5" t="inlineStr">
        <is>
          <t>Not verified</t>
        </is>
      </c>
      <c r="AF140" s="5" t="inlineStr">
        <is>
          <t>Not verified</t>
        </is>
      </c>
      <c r="AG140" s="5" t="inlineStr">
        <is>
          <t>Not verified</t>
        </is>
      </c>
      <c r="AH140" s="5" t="inlineStr">
        <is>
          <t>Not verified</t>
        </is>
      </c>
      <c r="AI140" s="8" t="inlineStr">
        <is>
          <t>No</t>
        </is>
      </c>
      <c r="AJ140" s="8" t="inlineStr">
        <is>
          <t>Claimed - unverified</t>
        </is>
      </c>
      <c r="AK140" s="8" t="inlineStr">
        <is>
          <t>P3</t>
        </is>
      </c>
      <c r="AL140" s="8" t="n">
        <v>1</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D-0700</t>
        </is>
      </c>
      <c r="B141" s="8" t="inlineStr">
        <is>
          <t>D</t>
        </is>
      </c>
      <c r="C141" s="5" t="inlineStr">
        <is>
          <t>AI &amp; Differentiation</t>
        </is>
      </c>
      <c r="D141" s="5" t="inlineStr">
        <is>
          <t>Communication &amp; Integrations</t>
        </is>
      </c>
      <c r="E141" s="5" t="inlineStr">
        <is>
          <t>AI automated WhatsApp payment negotiation bot with settlement discount authorization</t>
        </is>
      </c>
      <c r="F141" s="5" t="inlineStr">
        <is>
          <t>Autonomous Payment Bot</t>
        </is>
      </c>
      <c r="G141" s="5" t="inlineStr">
        <is>
          <t>Overdue Debtor</t>
        </is>
      </c>
      <c r="H141" s="5" t="inlineStr">
        <is>
          <t>AI chats with overdue customer on WhatsApp; offers authorized 2% cash discount if settled within 2 hours</t>
        </is>
      </c>
      <c r="I141" s="5" t="inlineStr">
        <is>
          <t>Recovers stalled debt autonomously without demanding manual debt collection phone calls from owner</t>
        </is>
      </c>
      <c r="J141" s="24" t="inlineStr">
        <is>
          <t>P3</t>
        </is>
      </c>
      <c r="K141" s="20" t="inlineStr">
        <is>
          <t>Validated (Supported)</t>
        </is>
      </c>
      <c r="L141" s="5" t="inlineStr">
        <is>
          <t>Differentiator: goal-directed negotiation agent operating within owner-configured discount rules.</t>
        </is>
      </c>
      <c r="M141" s="8" t="inlineStr">
        <is>
          <t>Strategic expansion</t>
        </is>
      </c>
      <c r="N141" s="8" t="inlineStr">
        <is>
          <t>Platform or theme scope</t>
        </is>
      </c>
      <c r="O141" s="8" t="inlineStr">
        <is>
          <t>P2</t>
        </is>
      </c>
      <c r="P141" s="5" t="inlineStr">
        <is>
          <t>Kept P3. The previous workbook had P3. Authored priority was P2.</t>
        </is>
      </c>
      <c r="Q141" s="20" t="inlineStr">
        <is>
          <t>Author assertion</t>
        </is>
      </c>
      <c r="R141" s="5" t="inlineStr">
        <is>
          <t>Kept P3. The previous workbook had P3. Authored priority was P2.</t>
        </is>
      </c>
      <c r="S141" s="8" t="inlineStr">
        <is>
          <t>INT</t>
        </is>
      </c>
      <c r="T141" s="5" t="inlineStr">
        <is>
          <t>Communication and integrations</t>
        </is>
      </c>
      <c r="U141" s="8" t="inlineStr"/>
      <c r="V141" s="8" t="inlineStr">
        <is>
          <t>integrations</t>
        </is>
      </c>
      <c r="W141" s="8" t="inlineStr">
        <is>
          <t>KERNEL</t>
        </is>
      </c>
      <c r="X141" s="5" t="inlineStr">
        <is>
          <t>Future</t>
        </is>
      </c>
      <c r="Y141" s="5" t="inlineStr">
        <is>
          <t>Platform scope</t>
        </is>
      </c>
      <c r="Z141" s="5" t="inlineStr">
        <is>
          <t>Low</t>
        </is>
      </c>
      <c r="AA141" s="5" t="inlineStr">
        <is>
          <t>Low</t>
        </is>
      </c>
      <c r="AB141" s="8" t="inlineStr">
        <is>
          <t>Low</t>
        </is>
      </c>
      <c r="AC141" s="8" t="inlineStr">
        <is>
          <t>Later</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P3</t>
        </is>
      </c>
      <c r="AL141" s="8" t="n">
        <v>1</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X-0701</t>
        </is>
      </c>
      <c r="B142" s="8" t="inlineStr">
        <is>
          <t>X</t>
        </is>
      </c>
      <c r="C142" s="5" t="inlineStr">
        <is>
          <t>Multiple / Cross-persona</t>
        </is>
      </c>
      <c r="D142" s="5" t="inlineStr">
        <is>
          <t>Customer-to-Cash</t>
        </is>
      </c>
      <c r="E142" s="5" t="inlineStr">
        <is>
          <t>Concurrent checkout conflict: two cashiers bill last remaining stock unit simultaneously</t>
        </is>
      </c>
      <c r="F142" s="5" t="inlineStr">
        <is>
          <t>Two Cashiers / Inventory Engine</t>
        </is>
      </c>
      <c r="G142" s="5" t="inlineStr">
        <is>
          <t>Customer</t>
        </is>
      </c>
      <c r="H142" s="5" t="inlineStr">
        <is>
          <t>First cashier's checkout succeeds; second cashier receives immediate graceful notification: 'Item out of stock'</t>
        </is>
      </c>
      <c r="I142" s="5" t="inlineStr">
        <is>
          <t>Prevents negative inventory; prompts second cashier with alternative brand suggestions without crashing cart</t>
        </is>
      </c>
      <c r="J142" s="19" t="inlineStr">
        <is>
          <t>P0</t>
        </is>
      </c>
      <c r="K142" s="20" t="inlineStr">
        <is>
          <t>Validated (Supported)</t>
        </is>
      </c>
      <c r="L142" s="5" t="inlineStr">
        <is>
          <t>Enforced via SELECT FOR UPDATE row-level lock on StockBalance; handles concurrent race condition cleanly.</t>
        </is>
      </c>
      <c r="M142" s="8" t="inlineStr">
        <is>
          <t>Strategic expansion</t>
        </is>
      </c>
      <c r="N142" s="8" t="inlineStr">
        <is>
          <t>Cross-persona</t>
        </is>
      </c>
      <c r="O142" s="8" t="inlineStr">
        <is>
          <t>P0</t>
        </is>
      </c>
      <c r="P142" s="5" t="inlineStr">
        <is>
          <t>Unchanged</t>
        </is>
      </c>
      <c r="Q142" s="21" t="inlineStr">
        <is>
          <t>Code symbol found</t>
        </is>
      </c>
      <c r="R142" s="5" t="inlineStr">
        <is>
          <t>Matched StockBalance in product code. This is not a functional test.</t>
        </is>
      </c>
      <c r="S142" s="8" t="inlineStr">
        <is>
          <t>C2C</t>
        </is>
      </c>
      <c r="T142" s="5" t="inlineStr">
        <is>
          <t>Customer to cash</t>
        </is>
      </c>
      <c r="U142" s="8" t="inlineStr"/>
      <c r="V142" s="8" t="inlineStr">
        <is>
          <t>sales</t>
        </is>
      </c>
      <c r="W142" s="8" t="inlineStr">
        <is>
          <t>RUN</t>
        </is>
      </c>
      <c r="X142" s="5" t="inlineStr">
        <is>
          <t>Core</t>
        </is>
      </c>
      <c r="Y142" s="5" t="inlineStr">
        <is>
          <t>Cross-persona</t>
        </is>
      </c>
      <c r="Z142" s="5" t="inlineStr">
        <is>
          <t>Medium</t>
        </is>
      </c>
      <c r="AA142" s="5" t="inlineStr">
        <is>
          <t>Medium</t>
        </is>
      </c>
      <c r="AB142" s="8" t="inlineStr">
        <is>
          <t>Low</t>
        </is>
      </c>
      <c r="AC142" s="8" t="inlineStr">
        <is>
          <t>MVP</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P0</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X-0702</t>
        </is>
      </c>
      <c r="B143" s="8" t="inlineStr">
        <is>
          <t>X</t>
        </is>
      </c>
      <c r="C143" s="5" t="inlineStr">
        <is>
          <t>Multiple / Cross-persona</t>
        </is>
      </c>
      <c r="D143" s="5" t="inlineStr">
        <is>
          <t>Customer-to-Cash</t>
        </is>
      </c>
      <c r="E143" s="5" t="inlineStr">
        <is>
          <t>Credit limit breach during bulk invoice: owner sends temporary one-time authorization token</t>
        </is>
      </c>
      <c r="F143" s="5" t="inlineStr">
        <is>
          <t>Billing Clerk / Business Owner</t>
        </is>
      </c>
      <c r="G143" s="5" t="inlineStr">
        <is>
          <t>Customer</t>
        </is>
      </c>
      <c r="H143" s="5" t="inlineStr">
        <is>
          <t>Customer cart exceeds credit limit; clerk sends 1-click WhatsApp approval request to owner; owner taps 'Approve'</t>
        </is>
      </c>
      <c r="I143" s="5" t="inlineStr">
        <is>
          <t>Authorizes specific invoice without permanently raising customer credit limit; checkout unfreezes immediately</t>
        </is>
      </c>
      <c r="J143" s="19" t="inlineStr">
        <is>
          <t>P0</t>
        </is>
      </c>
      <c r="K143" s="20" t="inlineStr">
        <is>
          <t>Validated (Supported)</t>
        </is>
      </c>
      <c r="L143" s="5" t="inlineStr">
        <is>
          <t>Temporary credit limit override token with 15-minute expiration and audit trail stamp.</t>
        </is>
      </c>
      <c r="M143" s="8" t="inlineStr">
        <is>
          <t>Strategic expansion</t>
        </is>
      </c>
      <c r="N143" s="8" t="inlineStr">
        <is>
          <t>Cross-persona</t>
        </is>
      </c>
      <c r="O143" s="8" t="inlineStr">
        <is>
          <t>P1</t>
        </is>
      </c>
      <c r="P143" s="5" t="inlineStr">
        <is>
          <t>Kept P0. The previous workbook had P0. Authored priority was P1.</t>
        </is>
      </c>
      <c r="Q143" s="20" t="inlineStr">
        <is>
          <t>Author assertion</t>
        </is>
      </c>
      <c r="R143" s="5" t="inlineStr">
        <is>
          <t>Kept P0. The previous workbook had P0. Authored priority was P1.</t>
        </is>
      </c>
      <c r="S143" s="8" t="inlineStr">
        <is>
          <t>C2C</t>
        </is>
      </c>
      <c r="T143" s="5" t="inlineStr">
        <is>
          <t>Customer to cash</t>
        </is>
      </c>
      <c r="U143" s="8" t="inlineStr"/>
      <c r="V143" s="8" t="inlineStr">
        <is>
          <t>sales</t>
        </is>
      </c>
      <c r="W143" s="8" t="inlineStr">
        <is>
          <t>RUN</t>
        </is>
      </c>
      <c r="X143" s="5" t="inlineStr">
        <is>
          <t>Core</t>
        </is>
      </c>
      <c r="Y143" s="5" t="inlineStr">
        <is>
          <t>Cross-persona</t>
        </is>
      </c>
      <c r="Z143" s="5" t="inlineStr">
        <is>
          <t>Medium</t>
        </is>
      </c>
      <c r="AA143" s="5" t="inlineStr">
        <is>
          <t>Medium</t>
        </is>
      </c>
      <c r="AB143" s="8" t="inlineStr">
        <is>
          <t>Low</t>
        </is>
      </c>
      <c r="AC143" s="8" t="inlineStr">
        <is>
          <t>MVP</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P0</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X-0703</t>
        </is>
      </c>
      <c r="B144" s="8" t="inlineStr">
        <is>
          <t>X</t>
        </is>
      </c>
      <c r="C144" s="5" t="inlineStr">
        <is>
          <t>Multiple / Cross-persona</t>
        </is>
      </c>
      <c r="D144" s="5" t="inlineStr">
        <is>
          <t>Payments &amp; Reconciliation</t>
        </is>
      </c>
      <c r="E144" s="5" t="inlineStr">
        <is>
          <t>Customer overpays invoice via UPI: excess balance routed to unallocated customer advance account</t>
        </is>
      </c>
      <c r="F144" s="5" t="inlineStr">
        <is>
          <t>Accounts Cashier</t>
        </is>
      </c>
      <c r="G144" s="5" t="inlineStr">
        <is>
          <t>Customer</t>
        </is>
      </c>
      <c r="H144" s="5" t="inlineStr">
        <is>
          <t>Customer owes ₹4,800 but transfers ₹5,000; invoice is marked PAID and ₹200 credited to Customer Advance account</t>
        </is>
      </c>
      <c r="I144" s="5" t="inlineStr">
        <is>
          <t>Maintains exact accounting balance; automatically applies ₹200 credit against next purchase</t>
        </is>
      </c>
      <c r="J144" s="20" t="inlineStr">
        <is>
          <t>P1</t>
        </is>
      </c>
      <c r="K144" s="20" t="inlineStr">
        <is>
          <t>Validated (Supported)</t>
        </is>
      </c>
      <c r="L144" s="5" t="inlineStr">
        <is>
          <t>PaymentAllocation splits receipt: ₹4,800 applied to invoice, ₹200 created as Advance credit voucher.</t>
        </is>
      </c>
      <c r="M144" s="8" t="inlineStr">
        <is>
          <t>Strategic expansion</t>
        </is>
      </c>
      <c r="N144" s="8" t="inlineStr">
        <is>
          <t>Cross-persona</t>
        </is>
      </c>
      <c r="O144" s="8" t="inlineStr">
        <is>
          <t>P1</t>
        </is>
      </c>
      <c r="P144" s="5" t="inlineStr">
        <is>
          <t>Unchanged</t>
        </is>
      </c>
      <c r="Q144" s="21" t="inlineStr">
        <is>
          <t>Code symbol found</t>
        </is>
      </c>
      <c r="R144" s="5" t="inlineStr">
        <is>
          <t>Matched PaymentAllocation in product code. This is not a functional test.</t>
        </is>
      </c>
      <c r="S144" s="8" t="inlineStr">
        <is>
          <t>PAYREC</t>
        </is>
      </c>
      <c r="T144" s="5" t="inlineStr">
        <is>
          <t>Payments and reconciliation</t>
        </is>
      </c>
      <c r="U144" s="8" t="inlineStr"/>
      <c r="V144" s="8" t="inlineStr">
        <is>
          <t>payments</t>
        </is>
      </c>
      <c r="W144" s="8" t="inlineStr">
        <is>
          <t>RUN</t>
        </is>
      </c>
      <c r="X144" s="5" t="inlineStr">
        <is>
          <t>Core</t>
        </is>
      </c>
      <c r="Y144" s="5" t="inlineStr">
        <is>
          <t>Cross-persona</t>
        </is>
      </c>
      <c r="Z144" s="5" t="inlineStr">
        <is>
          <t>High</t>
        </is>
      </c>
      <c r="AA144" s="5" t="inlineStr">
        <is>
          <t>High</t>
        </is>
      </c>
      <c r="AB144" s="8" t="inlineStr">
        <is>
          <t>Low</t>
        </is>
      </c>
      <c r="AC144" s="8" t="inlineStr">
        <is>
          <t>Pilot</t>
        </is>
      </c>
      <c r="AD144" s="5" t="inlineStr">
        <is>
          <t>Cited in code</t>
        </is>
      </c>
      <c r="AE144" s="5" t="inlineStr">
        <is>
          <t>Not verified</t>
        </is>
      </c>
      <c r="AF144" s="5" t="inlineStr">
        <is>
          <t>Not verified</t>
        </is>
      </c>
      <c r="AG144" s="5" t="inlineStr">
        <is>
          <t>Not verified</t>
        </is>
      </c>
      <c r="AH144" s="5" t="inlineStr">
        <is>
          <t>Not verified</t>
        </is>
      </c>
      <c r="AI144" s="8" t="inlineStr">
        <is>
          <t>No</t>
        </is>
      </c>
      <c r="AJ144" s="8" t="inlineStr">
        <is>
          <t>Built - unverified</t>
        </is>
      </c>
      <c r="AK144" s="8" t="inlineStr">
        <is>
          <t>P1</t>
        </is>
      </c>
      <c r="AL144" s="8" t="n">
        <v>9</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X-0704</t>
        </is>
      </c>
      <c r="B145" s="8" t="inlineStr">
        <is>
          <t>X</t>
        </is>
      </c>
      <c r="C145" s="5" t="inlineStr">
        <is>
          <t>Multiple / Cross-persona</t>
        </is>
      </c>
      <c r="D145" s="5" t="inlineStr">
        <is>
          <t>Procure-to-Pay</t>
        </is>
      </c>
      <c r="E145" s="5" t="inlineStr">
        <is>
          <t>Purchase bill rate higher than PO contracted rate: system flags price variance for manager approval</t>
        </is>
      </c>
      <c r="F145" s="5" t="inlineStr">
        <is>
          <t>In-house Accountant / Purchase Manager</t>
        </is>
      </c>
      <c r="G145" s="5" t="inlineStr">
        <is>
          <t>Supplier</t>
        </is>
      </c>
      <c r="H145" s="5" t="inlineStr">
        <is>
          <t>Supplier bills ₹110/unit against approved PO contracted rate of ₹100/unit; variance flagged before AP posting</t>
        </is>
      </c>
      <c r="I145" s="5" t="inlineStr">
        <is>
          <t>Holds invoice payment; prompts Purchase Manager to approve price escalation or generate supplier debit note</t>
        </is>
      </c>
      <c r="J145" s="20" t="inlineStr">
        <is>
          <t>P1</t>
        </is>
      </c>
      <c r="K145" s="20" t="inlineStr">
        <is>
          <t>Validated (Supported)</t>
        </is>
      </c>
      <c r="L145" s="5" t="inlineStr">
        <is>
          <t>Automated 3-way matching price tolerance check (0% default tolerance).</t>
        </is>
      </c>
      <c r="M145" s="8" t="inlineStr">
        <is>
          <t>Strategic expansion</t>
        </is>
      </c>
      <c r="N145" s="8" t="inlineStr">
        <is>
          <t>Cross-persona</t>
        </is>
      </c>
      <c r="O145" s="8" t="inlineStr">
        <is>
          <t>P1</t>
        </is>
      </c>
      <c r="P145" s="5" t="inlineStr">
        <is>
          <t>Unchanged</t>
        </is>
      </c>
      <c r="Q145" s="20" t="inlineStr">
        <is>
          <t>Author assertion</t>
        </is>
      </c>
      <c r="R145" s="5" t="inlineStr"/>
      <c r="S145" s="8" t="inlineStr">
        <is>
          <t>P2P</t>
        </is>
      </c>
      <c r="T145" s="5" t="inlineStr">
        <is>
          <t>Procure to pay</t>
        </is>
      </c>
      <c r="U145" s="8" t="inlineStr"/>
      <c r="V145" s="8" t="inlineStr">
        <is>
          <t>purchases</t>
        </is>
      </c>
      <c r="W145" s="8" t="inlineStr">
        <is>
          <t>RUN</t>
        </is>
      </c>
      <c r="X145" s="5" t="inlineStr">
        <is>
          <t>Core</t>
        </is>
      </c>
      <c r="Y145" s="5" t="inlineStr">
        <is>
          <t>Cross-persona</t>
        </is>
      </c>
      <c r="Z145" s="5" t="inlineStr">
        <is>
          <t>Medium</t>
        </is>
      </c>
      <c r="AA145" s="5" t="inlineStr">
        <is>
          <t>Medium</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6</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X-0705</t>
        </is>
      </c>
      <c r="B146" s="8" t="inlineStr">
        <is>
          <t>X</t>
        </is>
      </c>
      <c r="C146" s="5" t="inlineStr">
        <is>
          <t>Multiple / Cross-persona</t>
        </is>
      </c>
      <c r="D146" s="5" t="inlineStr">
        <is>
          <t>Returns / Complaints / After-Sales</t>
        </is>
      </c>
      <c r="E146" s="5" t="inlineStr">
        <is>
          <t>Customer returns serialized product after 6 months: system verifies serial warranty and original purchase bill</t>
        </is>
      </c>
      <c r="F146" s="5" t="inlineStr">
        <is>
          <t>Customer Service / Store Clerk</t>
        </is>
      </c>
      <c r="G146" s="5" t="inlineStr">
        <is>
          <t>Customer</t>
        </is>
      </c>
      <c r="H146" s="5" t="inlineStr">
        <is>
          <t>Customer brings back broken appliance; scanning serial number brings up original purchase date and warranty terms</t>
        </is>
      </c>
      <c r="I146" s="5" t="inlineStr">
        <is>
          <t>Verifies warranty is still valid; checks serial history; initiates warranty replacement workflow</t>
        </is>
      </c>
      <c r="J146" s="20" t="inlineStr">
        <is>
          <t>P1</t>
        </is>
      </c>
      <c r="K146" s="20" t="inlineStr">
        <is>
          <t>Validated (Supported)</t>
        </is>
      </c>
      <c r="L146" s="5" t="inlineStr">
        <is>
          <t>SerialNumber lifecycle search linking serial to original SalesInvoice and warranty expiry.</t>
        </is>
      </c>
      <c r="M146" s="8" t="inlineStr">
        <is>
          <t>Strategic expansion</t>
        </is>
      </c>
      <c r="N146" s="8" t="inlineStr">
        <is>
          <t>Cross-persona</t>
        </is>
      </c>
      <c r="O146" s="8" t="inlineStr">
        <is>
          <t>P1</t>
        </is>
      </c>
      <c r="P146" s="5" t="inlineStr">
        <is>
          <t>Unchanged</t>
        </is>
      </c>
      <c r="Q146" s="21" t="inlineStr">
        <is>
          <t>Code symbol found</t>
        </is>
      </c>
      <c r="R146" s="5" t="inlineStr">
        <is>
          <t>Matched SerialNumber in product code. This is not a functional test.</t>
        </is>
      </c>
      <c r="S146" s="8" t="inlineStr">
        <is>
          <t>RET</t>
        </is>
      </c>
      <c r="T146" s="5" t="inlineStr">
        <is>
          <t>Returns, complaints, and after-sales</t>
        </is>
      </c>
      <c r="U146" s="8" t="inlineStr"/>
      <c r="V146" s="8" t="inlineStr">
        <is>
          <t>sales</t>
        </is>
      </c>
      <c r="W146" s="8" t="inlineStr">
        <is>
          <t>RUN</t>
        </is>
      </c>
      <c r="X146" s="5" t="inlineStr">
        <is>
          <t>Core</t>
        </is>
      </c>
      <c r="Y146" s="5" t="inlineStr">
        <is>
          <t>Cross-persona</t>
        </is>
      </c>
      <c r="Z146" s="5" t="inlineStr">
        <is>
          <t>Medium</t>
        </is>
      </c>
      <c r="AA146" s="5" t="inlineStr">
        <is>
          <t>Medium</t>
        </is>
      </c>
      <c r="AB146" s="8" t="inlineStr">
        <is>
          <t>Low</t>
        </is>
      </c>
      <c r="AC146" s="8" t="inlineStr">
        <is>
          <t>Pilot</t>
        </is>
      </c>
      <c r="AD146" s="5" t="inlineStr">
        <is>
          <t>Cited in code</t>
        </is>
      </c>
      <c r="AE146" s="5" t="inlineStr">
        <is>
          <t>Not verified</t>
        </is>
      </c>
      <c r="AF146" s="5" t="inlineStr">
        <is>
          <t>Not verified</t>
        </is>
      </c>
      <c r="AG146" s="5" t="inlineStr">
        <is>
          <t>Not verified</t>
        </is>
      </c>
      <c r="AH146" s="5" t="inlineStr">
        <is>
          <t>Not verified</t>
        </is>
      </c>
      <c r="AI146" s="8" t="inlineStr">
        <is>
          <t>No</t>
        </is>
      </c>
      <c r="AJ146" s="8" t="inlineStr">
        <is>
          <t>Built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X-0706</t>
        </is>
      </c>
      <c r="B147" s="8" t="inlineStr">
        <is>
          <t>X</t>
        </is>
      </c>
      <c r="C147" s="5" t="inlineStr">
        <is>
          <t>Multiple / Cross-persona</t>
        </is>
      </c>
      <c r="D147" s="5" t="inlineStr">
        <is>
          <t>Multi-Godown / Multi-Store</t>
        </is>
      </c>
      <c r="E147" s="5" t="inlineStr">
        <is>
          <t>Inter-godown transfer vehicle breakdown: goods transshipped to new tempo with E-Way Bill Part B update</t>
        </is>
      </c>
      <c r="F147" s="5" t="inlineStr">
        <is>
          <t>Logistics Dispatcher</t>
        </is>
      </c>
      <c r="G147" s="5" t="inlineStr">
        <is>
          <t>Delivery Drivers / Transporter</t>
        </is>
      </c>
      <c r="H147" s="5" t="inlineStr">
        <is>
          <t>Delivery tempo carrying ₹10L goods breaks down on highway; goods moved to backup tempo; Part B updated</t>
        </is>
      </c>
      <c r="I147" s="5" t="inlineStr">
        <is>
          <t>Updates active E-Way Bill vehicle number; preserves transit insurance coverage; prevents police impoundment</t>
        </is>
      </c>
      <c r="J147" s="19" t="inlineStr">
        <is>
          <t>P0</t>
        </is>
      </c>
      <c r="K147" s="20" t="inlineStr">
        <is>
          <t>Validated (Supported)</t>
        </is>
      </c>
      <c r="L147" s="5" t="inlineStr">
        <is>
          <t>E-Way Bill Part B vehicle update workflow recording transshipment reason and new vehicle RC.</t>
        </is>
      </c>
      <c r="M147" s="8" t="inlineStr">
        <is>
          <t>Strategic expansion</t>
        </is>
      </c>
      <c r="N147" s="8" t="inlineStr">
        <is>
          <t>Cross-persona</t>
        </is>
      </c>
      <c r="O147" s="8" t="inlineStr">
        <is>
          <t>P1</t>
        </is>
      </c>
      <c r="P147" s="5" t="inlineStr">
        <is>
          <t>Kept P0. The previous workbook had P0. Authored priority was P1.</t>
        </is>
      </c>
      <c r="Q147" s="20" t="inlineStr">
        <is>
          <t>Author assertion</t>
        </is>
      </c>
      <c r="R147" s="5" t="inlineStr">
        <is>
          <t>Kept P0. The previous workbook had P0. Authored priority was P1.</t>
        </is>
      </c>
      <c r="S147" s="8" t="inlineStr">
        <is>
          <t>WH</t>
        </is>
      </c>
      <c r="T147" s="5" t="inlineStr">
        <is>
          <t>Multi-godown and multi-store</t>
        </is>
      </c>
      <c r="U147" s="8" t="inlineStr"/>
      <c r="V147" s="8" t="inlineStr">
        <is>
          <t>inventory</t>
        </is>
      </c>
      <c r="W147" s="8" t="inlineStr">
        <is>
          <t>RUN</t>
        </is>
      </c>
      <c r="X147" s="5" t="inlineStr">
        <is>
          <t>Core</t>
        </is>
      </c>
      <c r="Y147" s="5" t="inlineStr">
        <is>
          <t>Cross-persona</t>
        </is>
      </c>
      <c r="Z147" s="5" t="inlineStr">
        <is>
          <t>Medium</t>
        </is>
      </c>
      <c r="AA147" s="5" t="inlineStr">
        <is>
          <t>Medium</t>
        </is>
      </c>
      <c r="AB147" s="8" t="inlineStr">
        <is>
          <t>Low</t>
        </is>
      </c>
      <c r="AC147" s="8" t="inlineStr">
        <is>
          <t>MVP</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P0</t>
        </is>
      </c>
      <c r="AL147" s="8" t="n">
        <v>6</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X-0707</t>
        </is>
      </c>
      <c r="B148" s="8" t="inlineStr">
        <is>
          <t>X</t>
        </is>
      </c>
      <c r="C148" s="5" t="inlineStr">
        <is>
          <t>Multiple / Cross-persona</t>
        </is>
      </c>
      <c r="D148" s="5" t="inlineStr">
        <is>
          <t>GST / Tax / Compliance</t>
        </is>
      </c>
      <c r="E148" s="5" t="inlineStr">
        <is>
          <t>Supplier cancelled GSTIN after issuing invoice: system blocks ITC and alerts purchase team</t>
        </is>
      </c>
      <c r="F148" s="5" t="inlineStr">
        <is>
          <t>GST Guard Engine</t>
        </is>
      </c>
      <c r="G148" s="5" t="inlineStr">
        <is>
          <t>In-house Accountant / Purchase Manager</t>
        </is>
      </c>
      <c r="H148" s="5" t="inlineStr">
        <is>
          <t>Supplier was active when bill was dated but cancelled GSTIN before filing GSTR-1; system flags tax risk</t>
        </is>
      </c>
      <c r="I148" s="5" t="inlineStr">
        <is>
          <t>Quarantines Input Tax Credit; holds pending payments to supplier until tax filing status is resolved</t>
        </is>
      </c>
      <c r="J148" s="19" t="inlineStr">
        <is>
          <t>P0</t>
        </is>
      </c>
      <c r="K148" s="20" t="inlineStr">
        <is>
          <t>Validated (Supported)</t>
        </is>
      </c>
      <c r="L148" s="5" t="inlineStr">
        <is>
          <t>GSTIN status verification engine cross-checking active registration status before ITC claim.</t>
        </is>
      </c>
      <c r="M148" s="8" t="inlineStr">
        <is>
          <t>Strategic expansion</t>
        </is>
      </c>
      <c r="N148" s="8" t="inlineStr">
        <is>
          <t>Cross-persona</t>
        </is>
      </c>
      <c r="O148" s="8" t="inlineStr">
        <is>
          <t>P0</t>
        </is>
      </c>
      <c r="P148" s="5" t="inlineStr">
        <is>
          <t>Unchanged</t>
        </is>
      </c>
      <c r="Q148" s="20" t="inlineStr">
        <is>
          <t>Author assertion</t>
        </is>
      </c>
      <c r="R148" s="5" t="inlineStr"/>
      <c r="S148" s="8" t="inlineStr">
        <is>
          <t>GST</t>
        </is>
      </c>
      <c r="T148" s="5" t="inlineStr">
        <is>
          <t>GST and tax compliance</t>
        </is>
      </c>
      <c r="U148" s="8" t="inlineStr"/>
      <c r="V148" s="8" t="inlineStr">
        <is>
          <t>accounting</t>
        </is>
      </c>
      <c r="W148" s="8" t="inlineStr">
        <is>
          <t>CONTROL</t>
        </is>
      </c>
      <c r="X148" s="5" t="inlineStr">
        <is>
          <t>Core</t>
        </is>
      </c>
      <c r="Y148" s="5" t="inlineStr">
        <is>
          <t>Cross-persona</t>
        </is>
      </c>
      <c r="Z148" s="5" t="inlineStr">
        <is>
          <t>Critical</t>
        </is>
      </c>
      <c r="AA148" s="5" t="inlineStr">
        <is>
          <t>High</t>
        </is>
      </c>
      <c r="AB148" s="8" t="inlineStr">
        <is>
          <t>High</t>
        </is>
      </c>
      <c r="AC148" s="8" t="inlineStr">
        <is>
          <t>MVP</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P0</t>
        </is>
      </c>
      <c r="AL148" s="8" t="n">
        <v>27</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X-0708</t>
        </is>
      </c>
      <c r="B149" s="8" t="inlineStr">
        <is>
          <t>X</t>
        </is>
      </c>
      <c r="C149" s="5" t="inlineStr">
        <is>
          <t>Multiple / Cross-persona</t>
        </is>
      </c>
      <c r="D149" s="5" t="inlineStr">
        <is>
          <t>Security / Exception / Recovery</t>
        </is>
      </c>
      <c r="E149" s="5" t="inlineStr">
        <is>
          <t>Network disconnects during thermal receipt printing: reprint last completed receipt with 1 key</t>
        </is>
      </c>
      <c r="F149" s="5" t="inlineStr">
        <is>
          <t>Counter Billing Clerk</t>
        </is>
      </c>
      <c r="G149" s="5" t="inlineStr">
        <is>
          <t>Walk-in Customer</t>
        </is>
      </c>
      <c r="H149" s="5" t="inlineStr">
        <is>
          <t>Thermal printer runs out of paper roll midway through printing; cashier inserts new roll and presses 'Reprint'</t>
        </is>
      </c>
      <c r="I149" s="5" t="inlineStr">
        <is>
          <t>Reprints exact duplicate receipt stamped with 'DUPLICATE COPY' header without re-creating bill or stock deduction</t>
        </is>
      </c>
      <c r="J149" s="20" t="inlineStr">
        <is>
          <t>P1</t>
        </is>
      </c>
      <c r="K149" s="20" t="inlineStr">
        <is>
          <t>Validated (Supported)</t>
        </is>
      </c>
      <c r="L149" s="5" t="inlineStr">
        <is>
          <t>POS 'Reprint Last Bill' action (Ctrl+P) pulling cached print payload without database mutation.</t>
        </is>
      </c>
      <c r="M149" s="8" t="inlineStr">
        <is>
          <t>Strategic expansion</t>
        </is>
      </c>
      <c r="N149" s="8" t="inlineStr">
        <is>
          <t>Cross-persona</t>
        </is>
      </c>
      <c r="O149" s="8" t="inlineStr">
        <is>
          <t>P1</t>
        </is>
      </c>
      <c r="P149" s="5" t="inlineStr">
        <is>
          <t>Unchanged</t>
        </is>
      </c>
      <c r="Q149" s="20" t="inlineStr">
        <is>
          <t>Author assertion</t>
        </is>
      </c>
      <c r="R149" s="5" t="inlineStr"/>
      <c r="S149" s="8" t="inlineStr">
        <is>
          <t>OTHER</t>
        </is>
      </c>
      <c r="T149" s="5" t="inlineStr">
        <is>
          <t>Security / Exception / Recovery</t>
        </is>
      </c>
      <c r="U149" s="8" t="inlineStr"/>
      <c r="V149" s="8" t="inlineStr"/>
      <c r="W149" s="8" t="inlineStr">
        <is>
          <t>CONTROL</t>
        </is>
      </c>
      <c r="X149" s="5" t="inlineStr">
        <is>
          <t>Core</t>
        </is>
      </c>
      <c r="Y149" s="5" t="inlineStr">
        <is>
          <t>Cross-persona</t>
        </is>
      </c>
      <c r="Z149" s="5" t="inlineStr">
        <is>
          <t>High</t>
        </is>
      </c>
      <c r="AA149" s="5" t="inlineStr">
        <is>
          <t>Medium</t>
        </is>
      </c>
      <c r="AB149" s="8" t="inlineStr">
        <is>
          <t>Medium</t>
        </is>
      </c>
      <c r="AC149" s="8" t="inlineStr">
        <is>
          <t>Pilot</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P1</t>
        </is>
      </c>
      <c r="AL149" s="8" t="n">
        <v>12</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X-0709</t>
        </is>
      </c>
      <c r="B150" s="8" t="inlineStr">
        <is>
          <t>X</t>
        </is>
      </c>
      <c r="C150" s="5" t="inlineStr">
        <is>
          <t>Multiple / Cross-persona</t>
        </is>
      </c>
      <c r="D150" s="5" t="inlineStr">
        <is>
          <t>Receivables &amp; Payables</t>
        </is>
      </c>
      <c r="E150" s="5" t="inlineStr">
        <is>
          <t>Customer disputed line item on ₹1,00,000 bill: customer pays ₹90,000; ₹10,000 routed to dispute resolution</t>
        </is>
      </c>
      <c r="F150" s="5" t="inlineStr">
        <is>
          <t>Credit Controller / Cashier</t>
        </is>
      </c>
      <c r="G150" s="5" t="inlineStr">
        <is>
          <t>Customer</t>
        </is>
      </c>
      <c r="H150" s="5" t="inlineStr">
        <is>
          <t>Customer disputes ₹10,000 freight charge; pays ₹90,000 undisputed goods cost immediately</t>
        </is>
      </c>
      <c r="I150" s="5" t="inlineStr">
        <is>
          <t>Allocates ₹90,000 payment; isolates ₹10,000 dispute; keeps customer account active without credit lock</t>
        </is>
      </c>
      <c r="J150" s="20" t="inlineStr">
        <is>
          <t>P1</t>
        </is>
      </c>
      <c r="K150" s="20" t="inlineStr">
        <is>
          <t>Validated (Supported)</t>
        </is>
      </c>
      <c r="L150" s="5" t="inlineStr">
        <is>
          <t>Line-item dispute flag allowing partial settlement without triggering credit limit block.</t>
        </is>
      </c>
      <c r="M150" s="8" t="inlineStr">
        <is>
          <t>Strategic expansion</t>
        </is>
      </c>
      <c r="N150" s="8" t="inlineStr">
        <is>
          <t>Cross-persona</t>
        </is>
      </c>
      <c r="O150" s="8" t="inlineStr">
        <is>
          <t>P1</t>
        </is>
      </c>
      <c r="P150" s="5" t="inlineStr">
        <is>
          <t>Restored to authored P1. The previous workbook had P0 after a keyword rebalance.</t>
        </is>
      </c>
      <c r="Q150" s="20" t="inlineStr">
        <is>
          <t>Author assertion</t>
        </is>
      </c>
      <c r="R150" s="5" t="inlineStr">
        <is>
          <t>Restored to authored P1. The previous workbook had P0 after a keyword rebalance.</t>
        </is>
      </c>
      <c r="S150" s="8" t="inlineStr">
        <is>
          <t>ARAP</t>
        </is>
      </c>
      <c r="T150" s="5" t="inlineStr">
        <is>
          <t>Receivables and payables</t>
        </is>
      </c>
      <c r="U150" s="8" t="inlineStr"/>
      <c r="V150" s="8" t="inlineStr">
        <is>
          <t>ledgers</t>
        </is>
      </c>
      <c r="W150" s="8" t="inlineStr">
        <is>
          <t>CONTROL</t>
        </is>
      </c>
      <c r="X150" s="5" t="inlineStr">
        <is>
          <t>Core</t>
        </is>
      </c>
      <c r="Y150" s="5" t="inlineStr">
        <is>
          <t>Cross-persona</t>
        </is>
      </c>
      <c r="Z150" s="5" t="inlineStr">
        <is>
          <t>Critical</t>
        </is>
      </c>
      <c r="AA150" s="5" t="inlineStr">
        <is>
          <t>High</t>
        </is>
      </c>
      <c r="AB150" s="8" t="inlineStr">
        <is>
          <t>Medium</t>
        </is>
      </c>
      <c r="AC150" s="8" t="inlineStr">
        <is>
          <t>Pilot</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P1</t>
        </is>
      </c>
      <c r="AL150" s="8" t="n">
        <v>18</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X-0710</t>
        </is>
      </c>
      <c r="B151" s="8" t="inlineStr">
        <is>
          <t>X</t>
        </is>
      </c>
      <c r="C151" s="5" t="inlineStr">
        <is>
          <t>Multiple / Cross-persona</t>
        </is>
      </c>
      <c r="D151" s="5" t="inlineStr">
        <is>
          <t>Inventory Lifecycle</t>
        </is>
      </c>
      <c r="E151" s="5" t="inlineStr">
        <is>
          <t>Batch stock expired overnight: system automatically removes expired batch from active billing terminals</t>
        </is>
      </c>
      <c r="F151" s="5" t="inlineStr">
        <is>
          <t>Inventory Watchdog / Cron</t>
        </is>
      </c>
      <c r="G151" s="5" t="inlineStr">
        <is>
          <t>Counter Cashier / Pharmacist</t>
        </is>
      </c>
      <c r="H151" s="5" t="inlineStr">
        <is>
          <t>Batch reaches 1st of month expiration; morning billing terminals instantly hide batch from checkout selection</t>
        </is>
      </c>
      <c r="I151" s="5" t="inlineStr">
        <is>
          <t>Prevents cashier accidentally selling expired medicine/food; creates quarantine movement to Expired Bin</t>
        </is>
      </c>
      <c r="J151" s="19" t="inlineStr">
        <is>
          <t>P0</t>
        </is>
      </c>
      <c r="K151" s="20" t="inlineStr">
        <is>
          <t>Validated (Supported)</t>
        </is>
      </c>
      <c r="L151" s="5" t="inlineStr">
        <is>
          <t>Midnight cron worker scanning batch_lot.expiry_date &lt; today; sets is_active=False on expired lots.</t>
        </is>
      </c>
      <c r="M151" s="8" t="inlineStr">
        <is>
          <t>Strategic expansion</t>
        </is>
      </c>
      <c r="N151" s="8" t="inlineStr">
        <is>
          <t>Cross-persona</t>
        </is>
      </c>
      <c r="O151" s="8" t="inlineStr">
        <is>
          <t>P0</t>
        </is>
      </c>
      <c r="P151" s="5" t="inlineStr">
        <is>
          <t>Unchanged</t>
        </is>
      </c>
      <c r="Q151" s="21" t="inlineStr">
        <is>
          <t>Code symbol found</t>
        </is>
      </c>
      <c r="R151" s="5" t="inlineStr">
        <is>
          <t>Matched expiry_date in product code. This is not a functional test.</t>
        </is>
      </c>
      <c r="S151" s="8" t="inlineStr">
        <is>
          <t>INV</t>
        </is>
      </c>
      <c r="T151" s="5" t="inlineStr">
        <is>
          <t>Inventory lifecycle</t>
        </is>
      </c>
      <c r="U151" s="8" t="inlineStr"/>
      <c r="V151" s="8" t="inlineStr">
        <is>
          <t>inventory</t>
        </is>
      </c>
      <c r="W151" s="8" t="inlineStr">
        <is>
          <t>RUN</t>
        </is>
      </c>
      <c r="X151" s="5" t="inlineStr">
        <is>
          <t>Core</t>
        </is>
      </c>
      <c r="Y151" s="5" t="inlineStr">
        <is>
          <t>Cross-persona</t>
        </is>
      </c>
      <c r="Z151" s="5" t="inlineStr">
        <is>
          <t>High</t>
        </is>
      </c>
      <c r="AA151" s="5" t="inlineStr">
        <is>
          <t>High</t>
        </is>
      </c>
      <c r="AB151" s="8" t="inlineStr">
        <is>
          <t>Low</t>
        </is>
      </c>
      <c r="AC151" s="8" t="inlineStr">
        <is>
          <t>MVP</t>
        </is>
      </c>
      <c r="AD151" s="5" t="inlineStr">
        <is>
          <t>Cited in code</t>
        </is>
      </c>
      <c r="AE151" s="5" t="inlineStr">
        <is>
          <t>Not verified</t>
        </is>
      </c>
      <c r="AF151" s="5" t="inlineStr">
        <is>
          <t>Not verified</t>
        </is>
      </c>
      <c r="AG151" s="5" t="inlineStr">
        <is>
          <t>Not verified</t>
        </is>
      </c>
      <c r="AH151" s="5" t="inlineStr">
        <is>
          <t>Not verified</t>
        </is>
      </c>
      <c r="AI151" s="8" t="inlineStr">
        <is>
          <t>No</t>
        </is>
      </c>
      <c r="AJ151" s="8" t="inlineStr">
        <is>
          <t>Built - unverified</t>
        </is>
      </c>
      <c r="AK151" s="8" t="inlineStr">
        <is>
          <t>P0</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X-0711</t>
        </is>
      </c>
      <c r="B152" s="8" t="inlineStr">
        <is>
          <t>X</t>
        </is>
      </c>
      <c r="C152" s="5" t="inlineStr">
        <is>
          <t>Multiple / Cross-persona</t>
        </is>
      </c>
      <c r="D152" s="5" t="inlineStr">
        <is>
          <t>Import / Export / Period Close</t>
        </is>
      </c>
      <c r="E152" s="5" t="inlineStr">
        <is>
          <t>Accountant discovers missing purchase invoice in locked accounting period: authorized supplementary entry</t>
        </is>
      </c>
      <c r="F152" s="5" t="inlineStr">
        <is>
          <t>In-house Accountant / Business Owner</t>
        </is>
      </c>
      <c r="G152" s="5" t="inlineStr">
        <is>
          <t>External CA</t>
        </is>
      </c>
      <c r="H152" s="5" t="inlineStr">
        <is>
          <t>Vendor invoice from previously closed month arrives late; accountant records supplementary voucher in current open period</t>
        </is>
      </c>
      <c r="I152" s="5" t="inlineStr">
        <is>
          <t>Preserves locked period integrity; records invoice in current period with statutory explanation note</t>
        </is>
      </c>
      <c r="J152" s="20" t="inlineStr">
        <is>
          <t>P1</t>
        </is>
      </c>
      <c r="K152" s="20" t="inlineStr">
        <is>
          <t>Validated (Supported)</t>
        </is>
      </c>
      <c r="L152" s="5" t="inlineStr">
        <is>
          <t>AccountingPeriod governance allowing current-period entry of prior-period expenses with audit note.</t>
        </is>
      </c>
      <c r="M152" s="8" t="inlineStr">
        <is>
          <t>Strategic expansion</t>
        </is>
      </c>
      <c r="N152" s="8" t="inlineStr">
        <is>
          <t>Cross-persona</t>
        </is>
      </c>
      <c r="O152" s="8" t="inlineStr">
        <is>
          <t>P1</t>
        </is>
      </c>
      <c r="P152" s="5" t="inlineStr">
        <is>
          <t>Unchanged</t>
        </is>
      </c>
      <c r="Q152" s="21" t="inlineStr">
        <is>
          <t>Code symbol found</t>
        </is>
      </c>
      <c r="R152" s="5" t="inlineStr">
        <is>
          <t>Matched AccountingPeriod in product code. This is not a functional test.</t>
        </is>
      </c>
      <c r="S152" s="8" t="inlineStr">
        <is>
          <t>CLOSE</t>
        </is>
      </c>
      <c r="T152" s="5" t="inlineStr">
        <is>
          <t>Import, export, and period close</t>
        </is>
      </c>
      <c r="U152" s="8" t="inlineStr"/>
      <c r="V152" s="8" t="inlineStr">
        <is>
          <t>accounting</t>
        </is>
      </c>
      <c r="W152" s="8" t="inlineStr">
        <is>
          <t>CONTROL</t>
        </is>
      </c>
      <c r="X152" s="5" t="inlineStr">
        <is>
          <t>Core</t>
        </is>
      </c>
      <c r="Y152" s="5" t="inlineStr">
        <is>
          <t>Cross-persona</t>
        </is>
      </c>
      <c r="Z152" s="5" t="inlineStr">
        <is>
          <t>Medium</t>
        </is>
      </c>
      <c r="AA152" s="5" t="inlineStr">
        <is>
          <t>Medium</t>
        </is>
      </c>
      <c r="AB152" s="8" t="inlineStr">
        <is>
          <t>Low</t>
        </is>
      </c>
      <c r="AC152" s="8" t="inlineStr">
        <is>
          <t>Pilot</t>
        </is>
      </c>
      <c r="AD152" s="5" t="inlineStr">
        <is>
          <t>Cited in code</t>
        </is>
      </c>
      <c r="AE152" s="5" t="inlineStr">
        <is>
          <t>Not verified</t>
        </is>
      </c>
      <c r="AF152" s="5" t="inlineStr">
        <is>
          <t>Not verified</t>
        </is>
      </c>
      <c r="AG152" s="5" t="inlineStr">
        <is>
          <t>Not verified</t>
        </is>
      </c>
      <c r="AH152" s="5" t="inlineStr">
        <is>
          <t>Not verified</t>
        </is>
      </c>
      <c r="AI152" s="8" t="inlineStr">
        <is>
          <t>No</t>
        </is>
      </c>
      <c r="AJ152" s="8" t="inlineStr">
        <is>
          <t>Built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X-0712</t>
        </is>
      </c>
      <c r="B153" s="8" t="inlineStr">
        <is>
          <t>X</t>
        </is>
      </c>
      <c r="C153" s="5" t="inlineStr">
        <is>
          <t>Multiple / Cross-persona</t>
        </is>
      </c>
      <c r="D153" s="5" t="inlineStr">
        <is>
          <t>Security / Exception / Recovery</t>
        </is>
      </c>
      <c r="E153" s="5" t="inlineStr">
        <is>
          <t>Employee accidentally deletes 20 line items in bulk order: 1-click draft revision rollback</t>
        </is>
      </c>
      <c r="F153" s="5" t="inlineStr">
        <is>
          <t>Billing Clerk / Salesperson</t>
        </is>
      </c>
      <c r="G153" s="5" t="inlineStr">
        <is>
          <t>Customer</t>
        </is>
      </c>
      <c r="H153" s="5" t="inlineStr">
        <is>
          <t>Accidental bulk deletion in large 100-line distributor order; clerk restores previous draft version in 1 click</t>
        </is>
      </c>
      <c r="I153" s="5" t="inlineStr">
        <is>
          <t>Restores previous version snapshot from audit log; recovers all line quantities, prices, and discounts</t>
        </is>
      </c>
      <c r="J153" s="20" t="inlineStr">
        <is>
          <t>P1</t>
        </is>
      </c>
      <c r="K153" s="20" t="inlineStr">
        <is>
          <t>Validated (Supported)</t>
        </is>
      </c>
      <c r="L153" s="5" t="inlineStr">
        <is>
          <t>Document draft version history allowing rollback to any previous auto-save snapshot.</t>
        </is>
      </c>
      <c r="M153" s="8" t="inlineStr">
        <is>
          <t>Strategic expansion</t>
        </is>
      </c>
      <c r="N153" s="8" t="inlineStr">
        <is>
          <t>Cross-persona</t>
        </is>
      </c>
      <c r="O153" s="8" t="inlineStr">
        <is>
          <t>P1</t>
        </is>
      </c>
      <c r="P153" s="5" t="inlineStr">
        <is>
          <t>Unchanged</t>
        </is>
      </c>
      <c r="Q153" s="20" t="inlineStr">
        <is>
          <t>Author assertion</t>
        </is>
      </c>
      <c r="R153" s="5" t="inlineStr"/>
      <c r="S153" s="8" t="inlineStr">
        <is>
          <t>OTHER</t>
        </is>
      </c>
      <c r="T153" s="5" t="inlineStr">
        <is>
          <t>Security / Exception / Recovery</t>
        </is>
      </c>
      <c r="U153" s="8" t="inlineStr"/>
      <c r="V153" s="8" t="inlineStr"/>
      <c r="W153" s="8" t="inlineStr">
        <is>
          <t>CONTROL</t>
        </is>
      </c>
      <c r="X153" s="5" t="inlineStr">
        <is>
          <t>Core</t>
        </is>
      </c>
      <c r="Y153" s="5" t="inlineStr">
        <is>
          <t>Cross-persona</t>
        </is>
      </c>
      <c r="Z153" s="5" t="inlineStr">
        <is>
          <t>High</t>
        </is>
      </c>
      <c r="AA153" s="5" t="inlineStr">
        <is>
          <t>Medium</t>
        </is>
      </c>
      <c r="AB153" s="8" t="inlineStr">
        <is>
          <t>Medium</t>
        </is>
      </c>
      <c r="AC153" s="8" t="inlineStr">
        <is>
          <t>Pilot</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P1</t>
        </is>
      </c>
      <c r="AL153" s="8" t="n">
        <v>12</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X-0713</t>
        </is>
      </c>
      <c r="B154" s="8" t="inlineStr">
        <is>
          <t>X</t>
        </is>
      </c>
      <c r="C154" s="5" t="inlineStr">
        <is>
          <t>Multiple / Cross-persona</t>
        </is>
      </c>
      <c r="D154" s="5" t="inlineStr">
        <is>
          <t>Payments &amp; Reconciliation</t>
        </is>
      </c>
      <c r="E154" s="5" t="inlineStr">
        <is>
          <t>Customer cheque dishonoured after 5 days: automated accounting reversal and bank fee debit</t>
        </is>
      </c>
      <c r="F154" s="5" t="inlineStr">
        <is>
          <t>In-house Accountant</t>
        </is>
      </c>
      <c r="G154" s="5" t="inlineStr">
        <is>
          <t>Customer / Bank</t>
        </is>
      </c>
      <c r="H154" s="5" t="inlineStr">
        <is>
          <t>₹50,000 cheque bounces; system reverses invoice payment, marks bill UNPAID, debits ₹350 bank bounce fee to customer</t>
        </is>
      </c>
      <c r="I154" s="5" t="inlineStr">
        <is>
          <t>Generates formal legal cheque bounce notice under Section 138 of Negotiable Instruments Act; alerts owner</t>
        </is>
      </c>
      <c r="J154" s="19" t="inlineStr">
        <is>
          <t>P0</t>
        </is>
      </c>
      <c r="K154" s="20" t="inlineStr">
        <is>
          <t>Validated (Supported)</t>
        </is>
      </c>
      <c r="L154" s="5" t="inlineStr">
        <is>
          <t>Automated Cheque Dishonour workflow with Section 138 statutory notice letter generator.</t>
        </is>
      </c>
      <c r="M154" s="8" t="inlineStr">
        <is>
          <t>Strategic expansion</t>
        </is>
      </c>
      <c r="N154" s="8" t="inlineStr">
        <is>
          <t>Cross-persona</t>
        </is>
      </c>
      <c r="O154" s="8" t="inlineStr">
        <is>
          <t>P0</t>
        </is>
      </c>
      <c r="P154" s="5" t="inlineStr">
        <is>
          <t>Unchanged</t>
        </is>
      </c>
      <c r="Q154" s="20" t="inlineStr">
        <is>
          <t>Author assertion</t>
        </is>
      </c>
      <c r="R154" s="5" t="inlineStr"/>
      <c r="S154" s="8" t="inlineStr">
        <is>
          <t>PAYREC</t>
        </is>
      </c>
      <c r="T154" s="5" t="inlineStr">
        <is>
          <t>Payments and reconciliation</t>
        </is>
      </c>
      <c r="U154" s="8" t="inlineStr"/>
      <c r="V154" s="8" t="inlineStr">
        <is>
          <t>payments</t>
        </is>
      </c>
      <c r="W154" s="8" t="inlineStr">
        <is>
          <t>RUN</t>
        </is>
      </c>
      <c r="X154" s="5" t="inlineStr">
        <is>
          <t>Core</t>
        </is>
      </c>
      <c r="Y154" s="5" t="inlineStr">
        <is>
          <t>Cross-persona</t>
        </is>
      </c>
      <c r="Z154" s="5" t="inlineStr">
        <is>
          <t>High</t>
        </is>
      </c>
      <c r="AA154" s="5" t="inlineStr">
        <is>
          <t>High</t>
        </is>
      </c>
      <c r="AB154" s="8" t="inlineStr">
        <is>
          <t>Low</t>
        </is>
      </c>
      <c r="AC154" s="8" t="inlineStr">
        <is>
          <t>MVP</t>
        </is>
      </c>
      <c r="AD154" s="5" t="inlineStr">
        <is>
          <t>Not independently checked</t>
        </is>
      </c>
      <c r="AE154" s="5" t="inlineStr">
        <is>
          <t>Not verified</t>
        </is>
      </c>
      <c r="AF154" s="5" t="inlineStr">
        <is>
          <t>Not verified</t>
        </is>
      </c>
      <c r="AG154" s="5" t="inlineStr">
        <is>
          <t>Not verified</t>
        </is>
      </c>
      <c r="AH154" s="5" t="inlineStr">
        <is>
          <t>Not verified</t>
        </is>
      </c>
      <c r="AI154" s="8" t="inlineStr">
        <is>
          <t>No</t>
        </is>
      </c>
      <c r="AJ154" s="8" t="inlineStr">
        <is>
          <t>Claimed - unverified</t>
        </is>
      </c>
      <c r="AK154" s="8" t="inlineStr">
        <is>
          <t>P0</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X-0714</t>
        </is>
      </c>
      <c r="B155" s="8" t="inlineStr">
        <is>
          <t>X</t>
        </is>
      </c>
      <c r="C155" s="5" t="inlineStr">
        <is>
          <t>Multiple / Cross-persona</t>
        </is>
      </c>
      <c r="D155" s="5" t="inlineStr">
        <is>
          <t>Operations, Fleet &amp; Delivery</t>
        </is>
      </c>
      <c r="E155" s="5" t="inlineStr">
        <is>
          <t>Doorstep customer cash refusal: driver captures reason and routes goods back to godown receiving</t>
        </is>
      </c>
      <c r="F155" s="5" t="inlineStr">
        <is>
          <t>Delivery Driver / Cashier</t>
        </is>
      </c>
      <c r="G155" s="5" t="inlineStr">
        <is>
          <t>Customer / Godown Custodian</t>
        </is>
      </c>
      <c r="H155" s="5" t="inlineStr">
        <is>
          <t>Retailer refuses to accept shipment due to cash shortage; driver tags 'CUSTOMER_CASH_SHORTAGE' on mobile PWA</t>
        </is>
      </c>
      <c r="I155" s="5" t="inlineStr">
        <is>
          <t>Updates delivery status to FAILED_ATTEMPT; keeps goods in driver transit custody until evening godown return</t>
        </is>
      </c>
      <c r="J155" s="20" t="inlineStr">
        <is>
          <t>P1</t>
        </is>
      </c>
      <c r="K155" s="20" t="inlineStr">
        <is>
          <t>Validated (Supported)</t>
        </is>
      </c>
      <c r="L155" s="5" t="inlineStr">
        <is>
          <t>Delivery failure exception workflow with driver custody transfer back to warehouse.</t>
        </is>
      </c>
      <c r="M155" s="8" t="inlineStr">
        <is>
          <t>Strategic expansion</t>
        </is>
      </c>
      <c r="N155" s="8" t="inlineStr">
        <is>
          <t>Cross-persona</t>
        </is>
      </c>
      <c r="O155" s="8" t="inlineStr">
        <is>
          <t>P1</t>
        </is>
      </c>
      <c r="P155" s="5" t="inlineStr">
        <is>
          <t>Unchanged</t>
        </is>
      </c>
      <c r="Q155" s="20" t="inlineStr">
        <is>
          <t>Author assertion</t>
        </is>
      </c>
      <c r="R155" s="5" t="inlineStr"/>
      <c r="S155" s="8" t="inlineStr">
        <is>
          <t>FLEET</t>
        </is>
      </c>
      <c r="T155" s="5" t="inlineStr">
        <is>
          <t>Fleet and delivery</t>
        </is>
      </c>
      <c r="U155" s="8" t="inlineStr"/>
      <c r="V155" s="8" t="inlineStr">
        <is>
          <t>sales</t>
        </is>
      </c>
      <c r="W155" s="8" t="inlineStr">
        <is>
          <t>RUN</t>
        </is>
      </c>
      <c r="X155" s="5" t="inlineStr">
        <is>
          <t>Core</t>
        </is>
      </c>
      <c r="Y155" s="5" t="inlineStr">
        <is>
          <t>Cross-persona</t>
        </is>
      </c>
      <c r="Z155" s="5" t="inlineStr">
        <is>
          <t>Medium</t>
        </is>
      </c>
      <c r="AA155" s="5" t="inlineStr">
        <is>
          <t>Medium</t>
        </is>
      </c>
      <c r="AB155" s="8" t="inlineStr">
        <is>
          <t>Low</t>
        </is>
      </c>
      <c r="AC155" s="8" t="inlineStr">
        <is>
          <t>Pilot</t>
        </is>
      </c>
      <c r="AD155" s="5" t="inlineStr">
        <is>
          <t>Not independently checked</t>
        </is>
      </c>
      <c r="AE155" s="5" t="inlineStr">
        <is>
          <t>Not verified</t>
        </is>
      </c>
      <c r="AF155" s="5" t="inlineStr">
        <is>
          <t>Not verified</t>
        </is>
      </c>
      <c r="AG155" s="5" t="inlineStr">
        <is>
          <t>Not verified</t>
        </is>
      </c>
      <c r="AH155" s="5" t="inlineStr">
        <is>
          <t>Not verified</t>
        </is>
      </c>
      <c r="AI155" s="8" t="inlineStr">
        <is>
          <t>No</t>
        </is>
      </c>
      <c r="AJ155" s="8" t="inlineStr">
        <is>
          <t>Claimed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X-0715</t>
        </is>
      </c>
      <c r="B156" s="8" t="inlineStr">
        <is>
          <t>X</t>
        </is>
      </c>
      <c r="C156" s="5" t="inlineStr">
        <is>
          <t>Multiple / Cross-persona</t>
        </is>
      </c>
      <c r="D156" s="5" t="inlineStr">
        <is>
          <t>Master Data &amp; Authorization</t>
        </is>
      </c>
      <c r="E156" s="5" t="inlineStr">
        <is>
          <t>Customer changes legal name and registered address: system updates master while preserving historical invoices</t>
        </is>
      </c>
      <c r="F156" s="5" t="inlineStr">
        <is>
          <t>Admin / Sales Staff</t>
        </is>
      </c>
      <c r="G156" s="5" t="inlineStr">
        <is>
          <t>Customer</t>
        </is>
      </c>
      <c r="H156" s="5" t="inlineStr">
        <is>
          <t>Customer moves to new premises and updates GSTIN; new invoices use new address, historical invoices preserve old address</t>
        </is>
      </c>
      <c r="I156" s="5" t="inlineStr">
        <is>
          <t>Updates Customer master; historical completed SalesInvoice headers retain immutable address snapshot</t>
        </is>
      </c>
      <c r="J156" s="19" t="inlineStr">
        <is>
          <t>P0</t>
        </is>
      </c>
      <c r="K156" s="20" t="inlineStr">
        <is>
          <t>Validated (Supported)</t>
        </is>
      </c>
      <c r="L156" s="5" t="inlineStr">
        <is>
          <t>Core data invariant: invoice headers store immutable address snapshot; master updates do not corrupt historical bills.</t>
        </is>
      </c>
      <c r="M156" s="8" t="inlineStr">
        <is>
          <t>Strategic expansion</t>
        </is>
      </c>
      <c r="N156" s="8" t="inlineStr">
        <is>
          <t>Cross-persona</t>
        </is>
      </c>
      <c r="O156" s="8" t="inlineStr">
        <is>
          <t>P0</t>
        </is>
      </c>
      <c r="P156" s="5" t="inlineStr">
        <is>
          <t>Unchanged</t>
        </is>
      </c>
      <c r="Q156" s="20" t="inlineStr">
        <is>
          <t>Author assertion</t>
        </is>
      </c>
      <c r="R156" s="5" t="inlineStr"/>
      <c r="S156" s="8" t="inlineStr">
        <is>
          <t>MASTER</t>
        </is>
      </c>
      <c r="T156" s="5" t="inlineStr">
        <is>
          <t>Master data and authorization</t>
        </is>
      </c>
      <c r="U156" s="8" t="inlineStr"/>
      <c r="V156" s="8" t="inlineStr">
        <is>
          <t>masters</t>
        </is>
      </c>
      <c r="W156" s="8" t="inlineStr">
        <is>
          <t>KERNEL</t>
        </is>
      </c>
      <c r="X156" s="5" t="inlineStr">
        <is>
          <t>Core</t>
        </is>
      </c>
      <c r="Y156" s="5" t="inlineStr">
        <is>
          <t>Cross-persona</t>
        </is>
      </c>
      <c r="Z156" s="5" t="inlineStr">
        <is>
          <t>Medium</t>
        </is>
      </c>
      <c r="AA156" s="5" t="inlineStr">
        <is>
          <t>Medium</t>
        </is>
      </c>
      <c r="AB156" s="8" t="inlineStr">
        <is>
          <t>Low</t>
        </is>
      </c>
      <c r="AC156" s="8" t="inlineStr">
        <is>
          <t>MVP</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P0</t>
        </is>
      </c>
      <c r="AL156" s="8" t="n">
        <v>6</v>
      </c>
      <c r="AM156" s="5" t="inlineStr"/>
      <c r="AN156" s="5" t="inlineStr"/>
      <c r="AO156" s="5" t="inlineStr"/>
      <c r="AP156" s="5" t="inlineStr"/>
      <c r="AQ156" s="5" t="inlineStr"/>
      <c r="AR156" s="5" t="inlineStr"/>
      <c r="AS156" s="5" t="inlineStr"/>
      <c r="AT156" s="5" t="inlineStr"/>
      <c r="AU156"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5.xml><?xml version="1.0" encoding="utf-8"?>
<worksheet xmlns="http://schemas.openxmlformats.org/spreadsheetml/2006/main">
  <sheetPr>
    <tabColor rgb="000277BD"/>
    <outlinePr summaryBelow="1" summaryRight="1"/>
    <pageSetUpPr fitToPage="1"/>
  </sheetPr>
  <dimension ref="A1:AU26"/>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7" t="inlineStr">
        <is>
          <t>Task ID</t>
        </is>
      </c>
      <c r="B1" s="27" t="inlineStr">
        <is>
          <t>Task Type</t>
        </is>
      </c>
      <c r="C1" s="27" t="inlineStr">
        <is>
          <t>Persona / Scope</t>
        </is>
      </c>
      <c r="D1" s="27" t="inlineStr">
        <is>
          <t>Category</t>
        </is>
      </c>
      <c r="E1" s="27" t="inlineStr">
        <is>
          <t>Task / Business Action</t>
        </is>
      </c>
      <c r="F1" s="27" t="inlineStr">
        <is>
          <t>Primary Actor</t>
        </is>
      </c>
      <c r="G1" s="27" t="inlineStr">
        <is>
          <t>Supporting Persona(s)</t>
        </is>
      </c>
      <c r="H1" s="27" t="inlineStr">
        <is>
          <t>Business Outcome</t>
        </is>
      </c>
      <c r="I1" s="27" t="inlineStr">
        <is>
          <t>Downstream Impact</t>
        </is>
      </c>
      <c r="J1" s="27" t="inlineStr">
        <is>
          <t>Priority</t>
        </is>
      </c>
      <c r="K1" s="27" t="inlineStr">
        <is>
          <t>Validation Status</t>
        </is>
      </c>
      <c r="L1" s="27" t="inlineStr">
        <is>
          <t>Notes</t>
        </is>
      </c>
      <c r="M1" s="27" t="inlineStr">
        <is>
          <t>Register slice</t>
        </is>
      </c>
      <c r="N1" s="27" t="inlineStr">
        <is>
          <t>Scope class</t>
        </is>
      </c>
      <c r="O1" s="27" t="inlineStr">
        <is>
          <t>Authored priority</t>
        </is>
      </c>
      <c r="P1" s="27" t="inlineStr">
        <is>
          <t>Priority decision</t>
        </is>
      </c>
      <c r="Q1" s="27" t="inlineStr">
        <is>
          <t>Review outcome</t>
        </is>
      </c>
      <c r="R1" s="27" t="inlineStr">
        <is>
          <t>Audit note</t>
        </is>
      </c>
      <c r="S1" s="27" t="inlineStr">
        <is>
          <t>Flow ID</t>
        </is>
      </c>
      <c r="T1" s="27" t="inlineStr">
        <is>
          <t>Flow name</t>
        </is>
      </c>
      <c r="U1" s="27" t="inlineStr">
        <is>
          <t>Flow step</t>
        </is>
      </c>
      <c r="V1" s="27" t="inlineStr">
        <is>
          <t>Module</t>
        </is>
      </c>
      <c r="W1" s="27" t="inlineStr">
        <is>
          <t>OS layer</t>
        </is>
      </c>
      <c r="X1" s="27" t="inlineStr">
        <is>
          <t>Capability class</t>
        </is>
      </c>
      <c r="Y1" s="27" t="inlineStr">
        <is>
          <t>Canonical role</t>
        </is>
      </c>
      <c r="Z1" s="27" t="inlineStr">
        <is>
          <t>Business criticality</t>
        </is>
      </c>
      <c r="AA1" s="27" t="inlineStr">
        <is>
          <t>Failure impact</t>
        </is>
      </c>
      <c r="AB1" s="27" t="inlineStr">
        <is>
          <t>Compliance impact</t>
        </is>
      </c>
      <c r="AC1" s="27" t="inlineStr">
        <is>
          <t>Release gate</t>
        </is>
      </c>
      <c r="AD1" s="27" t="inlineStr">
        <is>
          <t>Code evidence</t>
        </is>
      </c>
      <c r="AE1" s="27" t="inlineStr">
        <is>
          <t>Integrity evidence</t>
        </is>
      </c>
      <c r="AF1" s="27" t="inlineStr">
        <is>
          <t>Recovery evidence</t>
        </is>
      </c>
      <c r="AG1" s="27" t="inlineStr">
        <is>
          <t>Security evidence</t>
        </is>
      </c>
      <c r="AH1" s="27" t="inlineStr">
        <is>
          <t>Concurrency evidence</t>
        </is>
      </c>
      <c r="AI1" s="27" t="inlineStr">
        <is>
          <t>OS ready</t>
        </is>
      </c>
      <c r="AJ1" s="27" t="inlineStr">
        <is>
          <t>Work status</t>
        </is>
      </c>
      <c r="AK1" s="27" t="inlineStr">
        <is>
          <t>Proposed priority</t>
        </is>
      </c>
      <c r="AL1" s="27" t="inlineStr">
        <is>
          <t>Risk score</t>
        </is>
      </c>
      <c r="AM1" s="27" t="inlineStr">
        <is>
          <t>Owner</t>
        </is>
      </c>
      <c r="AN1" s="27" t="inlineStr">
        <is>
          <t>Target date</t>
        </is>
      </c>
      <c r="AO1" s="27" t="inlineStr">
        <is>
          <t>Estimate days</t>
        </is>
      </c>
      <c r="AP1" s="27" t="inlineStr">
        <is>
          <t>Depends on</t>
        </is>
      </c>
      <c r="AQ1" s="27" t="inlineStr">
        <is>
          <t>Blocked by</t>
        </is>
      </c>
      <c r="AR1" s="27" t="inlineStr">
        <is>
          <t>Test case ID</t>
        </is>
      </c>
      <c r="AS1" s="27" t="inlineStr">
        <is>
          <t>Last verified</t>
        </is>
      </c>
      <c r="AT1" s="27" t="inlineStr">
        <is>
          <t>Verified by</t>
        </is>
      </c>
      <c r="AU1" s="27" t="inlineStr">
        <is>
          <t>Verification result</t>
        </is>
      </c>
    </row>
    <row r="2" ht="32" customHeight="1">
      <c r="A2" s="16" t="inlineStr">
        <is>
          <t>GOS-0716</t>
        </is>
      </c>
      <c r="B2" s="8" t="inlineStr">
        <is>
          <t>G-OS</t>
        </is>
      </c>
      <c r="C2" s="5" t="inlineStr">
        <is>
          <t>Growth Lead / Head of Marketing</t>
        </is>
      </c>
      <c r="D2" s="5" t="inlineStr">
        <is>
          <t>Growth OS - Campaigns &amp; Marketing</t>
        </is>
      </c>
      <c r="E2" s="5" t="inlineStr">
        <is>
          <t>Multi-Channel Marketing Campaign Setup &amp; Budget Allocation</t>
        </is>
      </c>
      <c r="F2" s="5" t="inlineStr">
        <is>
          <t>Growth Lead / Marketing Manager</t>
        </is>
      </c>
      <c r="G2" s="5" t="inlineStr">
        <is>
          <t>Business Owner, Finance Manager</t>
        </is>
      </c>
      <c r="H2" s="5" t="inlineStr">
        <is>
          <t>Enables configuration of multi-channel marketing campaigns (WhatsApp broadcasts, trade exhibitions, Google Ads, print collateral) with discrete allocated budgets, target revenue goals, and expected outcomes.</t>
        </is>
      </c>
      <c r="I2" s="5" t="inlineStr">
        <is>
          <t>Establishes financial tracking boundaries; links directly with incoming CRM leads, sales opportunities, and completed sales invoices to calculate real-time campaign customer acquisition cost (CAC).</t>
        </is>
      </c>
      <c r="J2" s="20" t="inlineStr">
        <is>
          <t>P1</t>
        </is>
      </c>
      <c r="K2" s="22" t="inlineStr">
        <is>
          <t>Code Complete &amp; Verified</t>
        </is>
      </c>
      <c r="L2" s="5" t="inlineStr">
        <is>
          <t>Implements Campaign model from web/src/api/growth.ts (createCampaign, updateCampaign) with budget, targetRevenue, and status transitions.</t>
        </is>
      </c>
      <c r="M2" s="8" t="inlineStr">
        <is>
          <t>Growth OS</t>
        </is>
      </c>
      <c r="N2" s="8" t="inlineStr">
        <is>
          <t>Growth role</t>
        </is>
      </c>
      <c r="O2" s="8" t="inlineStr">
        <is>
          <t>P1</t>
        </is>
      </c>
      <c r="P2" s="5" t="inlineStr">
        <is>
          <t>Unchanged</t>
        </is>
      </c>
      <c r="Q2" s="21" t="inlineStr">
        <is>
          <t>Code symbol found</t>
        </is>
      </c>
      <c r="R2" s="5" t="inlineStr">
        <is>
          <t>Matched createCampaign in product code. This is not a functional test.</t>
        </is>
      </c>
      <c r="S2" s="8" t="inlineStr">
        <is>
          <t>GOS-CAM</t>
        </is>
      </c>
      <c r="T2" s="5" t="inlineStr">
        <is>
          <t>Growth campaigns</t>
        </is>
      </c>
      <c r="U2" s="8" t="inlineStr"/>
      <c r="V2" s="8" t="inlineStr">
        <is>
          <t>crm</t>
        </is>
      </c>
      <c r="W2" s="8" t="inlineStr">
        <is>
          <t>GROW</t>
        </is>
      </c>
      <c r="X2" s="5" t="inlineStr">
        <is>
          <t>Core</t>
        </is>
      </c>
      <c r="Y2" s="5" t="inlineStr">
        <is>
          <t>Growth</t>
        </is>
      </c>
      <c r="Z2" s="5" t="inlineStr">
        <is>
          <t>Medium</t>
        </is>
      </c>
      <c r="AA2" s="5" t="inlineStr">
        <is>
          <t>Medium</t>
        </is>
      </c>
      <c r="AB2" s="8" t="inlineStr">
        <is>
          <t>Low</t>
        </is>
      </c>
      <c r="AC2" s="8" t="inlineStr">
        <is>
          <t>Later</t>
        </is>
      </c>
      <c r="AD2" s="5" t="inlineStr">
        <is>
          <t>Cited in code</t>
        </is>
      </c>
      <c r="AE2" s="5" t="inlineStr">
        <is>
          <t>Not verified</t>
        </is>
      </c>
      <c r="AF2" s="5" t="inlineStr">
        <is>
          <t>Not verified</t>
        </is>
      </c>
      <c r="AG2" s="5" t="inlineStr">
        <is>
          <t>Not verified</t>
        </is>
      </c>
      <c r="AH2" s="5" t="inlineStr">
        <is>
          <t>Not verified</t>
        </is>
      </c>
      <c r="AI2" s="8" t="inlineStr">
        <is>
          <t>No</t>
        </is>
      </c>
      <c r="AJ2" s="8" t="inlineStr">
        <is>
          <t>Built - unverified</t>
        </is>
      </c>
      <c r="AK2" s="8" t="inlineStr">
        <is>
          <t>P1</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GOS-0717</t>
        </is>
      </c>
      <c r="B3" s="8" t="inlineStr">
        <is>
          <t>G-OS</t>
        </is>
      </c>
      <c r="C3" s="5" t="inlineStr">
        <is>
          <t>Growth Lead / Head of Marketing</t>
        </is>
      </c>
      <c r="D3" s="5" t="inlineStr">
        <is>
          <t>Growth OS - Campaigns &amp; Marketing</t>
        </is>
      </c>
      <c r="E3" s="5" t="inlineStr">
        <is>
          <t>Multi-Stage Campaign Funnel Tracking &amp; Stage Conversion</t>
        </is>
      </c>
      <c r="F3" s="5" t="inlineStr">
        <is>
          <t>Growth Lead / Marketing Manager</t>
        </is>
      </c>
      <c r="G3" s="5" t="inlineStr">
        <is>
          <t>Sales Representative</t>
        </is>
      </c>
      <c r="H3" s="5" t="inlineStr">
        <is>
          <t>Visualizes real-time conversion velocity across pipeline stages: Inbound Leads -&gt; Open Opportunities -&gt; Won Opportunities with step-level drop-off rates.</t>
        </is>
      </c>
      <c r="I3" s="5" t="inlineStr">
        <is>
          <t>Identifies marketing channel drop-off points; triggers automatic notifications to sales leadership when lead-to-opportunity conversion drops below target thresholds.</t>
        </is>
      </c>
      <c r="J3" s="20" t="inlineStr">
        <is>
          <t>P1</t>
        </is>
      </c>
      <c r="K3" s="22" t="inlineStr">
        <is>
          <t>Code Complete &amp; Verified</t>
        </is>
      </c>
      <c r="L3" s="5" t="inlineStr">
        <is>
          <t>Implements getCampaignFunnel API from web/src/api/growth.ts aggregating total leads, opportunities, won opportunities, and funnel stage variance.</t>
        </is>
      </c>
      <c r="M3" s="8" t="inlineStr">
        <is>
          <t>Growth OS</t>
        </is>
      </c>
      <c r="N3" s="8" t="inlineStr">
        <is>
          <t>Growth role</t>
        </is>
      </c>
      <c r="O3" s="8" t="inlineStr">
        <is>
          <t>P1</t>
        </is>
      </c>
      <c r="P3" s="5" t="inlineStr">
        <is>
          <t>Unchanged</t>
        </is>
      </c>
      <c r="Q3" s="21" t="inlineStr">
        <is>
          <t>Code symbol found</t>
        </is>
      </c>
      <c r="R3" s="5" t="inlineStr">
        <is>
          <t>Matched getCampaignFunnel in product code. This is not a functional test.</t>
        </is>
      </c>
      <c r="S3" s="8" t="inlineStr">
        <is>
          <t>GOS-CAM</t>
        </is>
      </c>
      <c r="T3" s="5" t="inlineStr">
        <is>
          <t>Growth campaigns</t>
        </is>
      </c>
      <c r="U3" s="8" t="inlineStr"/>
      <c r="V3" s="8" t="inlineStr">
        <is>
          <t>crm</t>
        </is>
      </c>
      <c r="W3" s="8" t="inlineStr">
        <is>
          <t>GROW</t>
        </is>
      </c>
      <c r="X3" s="5" t="inlineStr">
        <is>
          <t>Core</t>
        </is>
      </c>
      <c r="Y3" s="5" t="inlineStr">
        <is>
          <t>Growth</t>
        </is>
      </c>
      <c r="Z3" s="5" t="inlineStr">
        <is>
          <t>Medium</t>
        </is>
      </c>
      <c r="AA3" s="5" t="inlineStr">
        <is>
          <t>Medium</t>
        </is>
      </c>
      <c r="AB3" s="8" t="inlineStr">
        <is>
          <t>Low</t>
        </is>
      </c>
      <c r="AC3" s="8" t="inlineStr">
        <is>
          <t>Later</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P1</t>
        </is>
      </c>
      <c r="AL3" s="8" t="n">
        <v>6</v>
      </c>
      <c r="AM3" s="5" t="inlineStr"/>
      <c r="AN3" s="5" t="inlineStr"/>
      <c r="AO3" s="5" t="inlineStr"/>
      <c r="AP3" s="5" t="inlineStr"/>
      <c r="AQ3" s="5" t="inlineStr"/>
      <c r="AR3" s="5" t="inlineStr"/>
      <c r="AS3" s="5" t="inlineStr"/>
      <c r="AT3" s="5" t="inlineStr"/>
      <c r="AU3" s="8" t="inlineStr">
        <is>
          <t>Not run</t>
        </is>
      </c>
    </row>
    <row r="4" ht="32" customHeight="1">
      <c r="A4" s="16" t="inlineStr">
        <is>
          <t>GOS-0718</t>
        </is>
      </c>
      <c r="B4" s="8" t="inlineStr">
        <is>
          <t>G-OS</t>
        </is>
      </c>
      <c r="C4" s="5" t="inlineStr">
        <is>
          <t>Growth Lead / Head of Marketing</t>
        </is>
      </c>
      <c r="D4" s="5" t="inlineStr">
        <is>
          <t>Growth OS - Campaigns &amp; Marketing</t>
        </is>
      </c>
      <c r="E4" s="5" t="inlineStr">
        <is>
          <t>Marketing Campaign ROI Ratio &amp; Revenue Variance Calculation</t>
        </is>
      </c>
      <c r="F4" s="5" t="inlineStr">
        <is>
          <t>Growth Lead / Marketing Manager</t>
        </is>
      </c>
      <c r="G4" s="5" t="inlineStr">
        <is>
          <t>Finance Manager, Business Owner</t>
        </is>
      </c>
      <c r="H4" s="5" t="inlineStr">
        <is>
          <t>Computes real-time Return on Investment (ROI) ratio: ((Realized Invoiced Revenue - Budget) / Budget) and calculates positive/negative revenue variance against initial targets.</t>
        </is>
      </c>
      <c r="I4" s="5" t="inlineStr">
        <is>
          <t>Feeds marketing spend effectiveness into executive P&amp;L dashboard; automatically flags underperforming campaigns where customer acquisition cost exceeds 30-day gross margin.</t>
        </is>
      </c>
      <c r="J4" s="20" t="inlineStr">
        <is>
          <t>P1</t>
        </is>
      </c>
      <c r="K4" s="22" t="inlineStr">
        <is>
          <t>Code Complete &amp; Verified</t>
        </is>
      </c>
      <c r="L4" s="5" t="inlineStr">
        <is>
          <t>Directly calculates roiRatio and variance metrics defined in Funnel type in web/src/api/growth.ts.</t>
        </is>
      </c>
      <c r="M4" s="8" t="inlineStr">
        <is>
          <t>Growth OS</t>
        </is>
      </c>
      <c r="N4" s="8" t="inlineStr">
        <is>
          <t>Growth role</t>
        </is>
      </c>
      <c r="O4" s="8" t="inlineStr">
        <is>
          <t>P1</t>
        </is>
      </c>
      <c r="P4" s="5" t="inlineStr">
        <is>
          <t>Unchanged</t>
        </is>
      </c>
      <c r="Q4" s="21" t="inlineStr">
        <is>
          <t>Code symbol found</t>
        </is>
      </c>
      <c r="R4" s="5" t="inlineStr">
        <is>
          <t>Matched roiRatio in product code. This is not a functional test.</t>
        </is>
      </c>
      <c r="S4" s="8" t="inlineStr">
        <is>
          <t>GOS-CAM</t>
        </is>
      </c>
      <c r="T4" s="5" t="inlineStr">
        <is>
          <t>Growth campaigns</t>
        </is>
      </c>
      <c r="U4" s="8" t="inlineStr"/>
      <c r="V4" s="8" t="inlineStr">
        <is>
          <t>crm</t>
        </is>
      </c>
      <c r="W4" s="8" t="inlineStr">
        <is>
          <t>GROW</t>
        </is>
      </c>
      <c r="X4" s="5" t="inlineStr">
        <is>
          <t>Core</t>
        </is>
      </c>
      <c r="Y4" s="5" t="inlineStr">
        <is>
          <t>Growth</t>
        </is>
      </c>
      <c r="Z4" s="5" t="inlineStr">
        <is>
          <t>Medium</t>
        </is>
      </c>
      <c r="AA4" s="5" t="inlineStr">
        <is>
          <t>Medium</t>
        </is>
      </c>
      <c r="AB4" s="8" t="inlineStr">
        <is>
          <t>Low</t>
        </is>
      </c>
      <c r="AC4" s="8" t="inlineStr">
        <is>
          <t>Later</t>
        </is>
      </c>
      <c r="AD4" s="5" t="inlineStr">
        <is>
          <t>Cited in code</t>
        </is>
      </c>
      <c r="AE4" s="5" t="inlineStr">
        <is>
          <t>Not verified</t>
        </is>
      </c>
      <c r="AF4" s="5" t="inlineStr">
        <is>
          <t>Not verified</t>
        </is>
      </c>
      <c r="AG4" s="5" t="inlineStr">
        <is>
          <t>Not verified</t>
        </is>
      </c>
      <c r="AH4" s="5" t="inlineStr">
        <is>
          <t>Not verified</t>
        </is>
      </c>
      <c r="AI4" s="8" t="inlineStr">
        <is>
          <t>No</t>
        </is>
      </c>
      <c r="AJ4" s="8" t="inlineStr">
        <is>
          <t>Built - unverified</t>
        </is>
      </c>
      <c r="AK4" s="8" t="inlineStr">
        <is>
          <t>P1</t>
        </is>
      </c>
      <c r="AL4" s="8" t="n">
        <v>6</v>
      </c>
      <c r="AM4" s="5" t="inlineStr"/>
      <c r="AN4" s="5" t="inlineStr"/>
      <c r="AO4" s="5" t="inlineStr"/>
      <c r="AP4" s="5" t="inlineStr"/>
      <c r="AQ4" s="5" t="inlineStr"/>
      <c r="AR4" s="5" t="inlineStr"/>
      <c r="AS4" s="5" t="inlineStr"/>
      <c r="AT4" s="5" t="inlineStr"/>
      <c r="AU4" s="8" t="inlineStr">
        <is>
          <t>Not run</t>
        </is>
      </c>
    </row>
    <row r="5" ht="32" customHeight="1">
      <c r="A5" s="16" t="inlineStr">
        <is>
          <t>GOS-0719</t>
        </is>
      </c>
      <c r="B5" s="8" t="inlineStr">
        <is>
          <t>G-OS</t>
        </is>
      </c>
      <c r="C5" s="5" t="inlineStr">
        <is>
          <t>Growth Lead / Head of Marketing</t>
        </is>
      </c>
      <c r="D5" s="5" t="inlineStr">
        <is>
          <t>Growth OS - Campaigns &amp; Marketing</t>
        </is>
      </c>
      <c r="E5" s="5" t="inlineStr">
        <is>
          <t>Parent-Child Campaign Hierarchy &amp; Multi-Territory Rollup</t>
        </is>
      </c>
      <c r="F5" s="5" t="inlineStr">
        <is>
          <t>Growth Lead / Marketing Manager</t>
        </is>
      </c>
      <c r="G5" s="5" t="inlineStr">
        <is>
          <t>Regional Branch Manager</t>
        </is>
      </c>
      <c r="H5" s="5" t="inlineStr">
        <is>
          <t>Supports structuring overarching marketing umbrellas (e.g., Annual Diwali Expo) with nested sub-campaigns (e.g., North Zone WhatsApp Promo, South Zone Catalog Distribution) with automatic budget and revenue rollups.</t>
        </is>
      </c>
      <c r="I5" s="5" t="inlineStr">
        <is>
          <t>Aggregates multi-territory campaign performance up to parent campaign totals without manual Excel reconciliation or double-counting.</t>
        </is>
      </c>
      <c r="J5" s="22" t="inlineStr">
        <is>
          <t>P2</t>
        </is>
      </c>
      <c r="K5" s="22" t="inlineStr">
        <is>
          <t>Code Complete &amp; Verified</t>
        </is>
      </c>
      <c r="L5" s="5" t="inlineStr">
        <is>
          <t>Implements parent-child campaign relationships with rollup object support from web/src/api/growth.ts.</t>
        </is>
      </c>
      <c r="M5" s="8" t="inlineStr">
        <is>
          <t>Growth OS</t>
        </is>
      </c>
      <c r="N5" s="8" t="inlineStr">
        <is>
          <t>Growth role</t>
        </is>
      </c>
      <c r="O5" s="8" t="inlineStr">
        <is>
          <t>P2</t>
        </is>
      </c>
      <c r="P5" s="5" t="inlineStr">
        <is>
          <t>Unchanged</t>
        </is>
      </c>
      <c r="Q5" s="20" t="inlineStr">
        <is>
          <t>Author assertion</t>
        </is>
      </c>
      <c r="R5" s="5" t="inlineStr"/>
      <c r="S5" s="8" t="inlineStr">
        <is>
          <t>GOS-CAM</t>
        </is>
      </c>
      <c r="T5" s="5" t="inlineStr">
        <is>
          <t>Growth campaigns</t>
        </is>
      </c>
      <c r="U5" s="8" t="inlineStr"/>
      <c r="V5" s="8" t="inlineStr">
        <is>
          <t>crm</t>
        </is>
      </c>
      <c r="W5" s="8" t="inlineStr">
        <is>
          <t>GROW</t>
        </is>
      </c>
      <c r="X5" s="5" t="inlineStr">
        <is>
          <t>Core</t>
        </is>
      </c>
      <c r="Y5" s="5" t="inlineStr">
        <is>
          <t>Growth</t>
        </is>
      </c>
      <c r="Z5" s="5" t="inlineStr">
        <is>
          <t>Medium</t>
        </is>
      </c>
      <c r="AA5" s="5" t="inlineStr">
        <is>
          <t>Medium</t>
        </is>
      </c>
      <c r="AB5" s="8" t="inlineStr">
        <is>
          <t>Low</t>
        </is>
      </c>
      <c r="AC5" s="8" t="inlineStr">
        <is>
          <t>Later</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P2</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GOS-0720</t>
        </is>
      </c>
      <c r="B6" s="8" t="inlineStr">
        <is>
          <t>G-OS</t>
        </is>
      </c>
      <c r="C6" s="5" t="inlineStr">
        <is>
          <t>Inside Sales / Web Lead Specialist</t>
        </is>
      </c>
      <c r="D6" s="5" t="inlineStr">
        <is>
          <t>Growth OS - Lead Ingestion &amp; Pipeline</t>
        </is>
      </c>
      <c r="E6" s="5" t="inlineStr">
        <is>
          <t>Public Embeddable Web-to-Lead Ingestion Form</t>
        </is>
      </c>
      <c r="F6" s="5" t="inlineStr">
        <is>
          <t>Inside Sales / Web Lead Specialist</t>
        </is>
      </c>
      <c r="G6" s="5" t="inlineStr">
        <is>
          <t>System Administrator</t>
        </is>
      </c>
      <c r="H6" s="5" t="inlineStr">
        <is>
          <t>Provides a lightweight, mobile-responsive public lead capture form (/public/lead-form/) with honeypot spam filtering, CORS validation, and instant CRM lead creation.</t>
        </is>
      </c>
      <c r="I6" s="5" t="inlineStr">
        <is>
          <t>Auto-ingests inbound trade inquiries from corporate websites, landing pages, and digital QR codes directly into CRM Leads table within 500ms.</t>
        </is>
      </c>
      <c r="J6" s="20" t="inlineStr">
        <is>
          <t>P1</t>
        </is>
      </c>
      <c r="K6" s="22" t="inlineStr">
        <is>
          <t>Code Complete &amp; Verified</t>
        </is>
      </c>
      <c r="L6" s="5" t="inlineStr">
        <is>
          <t>Implements LeadFormPage.tsx and web-to-lead API endpoint with rate limiting and automated sanitization.</t>
        </is>
      </c>
      <c r="M6" s="8" t="inlineStr">
        <is>
          <t>Growth OS</t>
        </is>
      </c>
      <c r="N6" s="8" t="inlineStr">
        <is>
          <t>Growth role</t>
        </is>
      </c>
      <c r="O6" s="8" t="inlineStr">
        <is>
          <t>P1</t>
        </is>
      </c>
      <c r="P6" s="5" t="inlineStr">
        <is>
          <t>Unchanged</t>
        </is>
      </c>
      <c r="Q6" s="21" t="inlineStr">
        <is>
          <t>Code symbol found</t>
        </is>
      </c>
      <c r="R6" s="5" t="inlineStr">
        <is>
          <t>Matched LeadFormPage in product code. This is not a functional test.</t>
        </is>
      </c>
      <c r="S6" s="8" t="inlineStr">
        <is>
          <t>GOS-LEAD</t>
        </is>
      </c>
      <c r="T6" s="5" t="inlineStr">
        <is>
          <t>Growth leads</t>
        </is>
      </c>
      <c r="U6" s="8" t="inlineStr"/>
      <c r="V6" s="8" t="inlineStr">
        <is>
          <t>crm</t>
        </is>
      </c>
      <c r="W6" s="8" t="inlineStr">
        <is>
          <t>GROW</t>
        </is>
      </c>
      <c r="X6" s="5" t="inlineStr">
        <is>
          <t>Core</t>
        </is>
      </c>
      <c r="Y6" s="5" t="inlineStr">
        <is>
          <t>Growth</t>
        </is>
      </c>
      <c r="Z6" s="5" t="inlineStr">
        <is>
          <t>Medium</t>
        </is>
      </c>
      <c r="AA6" s="5" t="inlineStr">
        <is>
          <t>Medium</t>
        </is>
      </c>
      <c r="AB6" s="8" t="inlineStr">
        <is>
          <t>Low</t>
        </is>
      </c>
      <c r="AC6" s="8" t="inlineStr">
        <is>
          <t>Later</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GOS-0721</t>
        </is>
      </c>
      <c r="B7" s="8" t="inlineStr">
        <is>
          <t>G-OS</t>
        </is>
      </c>
      <c r="C7" s="5" t="inlineStr">
        <is>
          <t>Inside Sales / Web Lead Specialist</t>
        </is>
      </c>
      <c r="D7" s="5" t="inlineStr">
        <is>
          <t>Growth OS - Lead Ingestion &amp; Pipeline</t>
        </is>
      </c>
      <c r="E7" s="5" t="inlineStr">
        <is>
          <t>Inbound Lead Exact-Match Deduplication &amp; Conflict Prevention</t>
        </is>
      </c>
      <c r="F7" s="5" t="inlineStr">
        <is>
          <t>Inside Sales / Web Lead Specialist</t>
        </is>
      </c>
      <c r="G7" s="5" t="inlineStr">
        <is>
          <t>Sales Representative</t>
        </is>
      </c>
      <c r="H7" s="5" t="inlineStr">
        <is>
          <t>Enforces strict deduplication on incoming leads using normalized E.164 phone numbers and lowercase email addresses against existing CRM leads and active Customer masters.</t>
        </is>
      </c>
      <c r="I7" s="5" t="inlineStr">
        <is>
          <t>Prevents multi-rep outreach collisions; appends new inquiry details and campaign tags to existing lead activity timeline rather than creating duplicate customer profiles.</t>
        </is>
      </c>
      <c r="J7" s="19" t="inlineStr">
        <is>
          <t>P0</t>
        </is>
      </c>
      <c r="K7" s="22" t="inlineStr">
        <is>
          <t>Code Complete &amp; Verified</t>
        </is>
      </c>
      <c r="L7" s="5" t="inlineStr">
        <is>
          <t>Enforces database uniqueness constraints and deduplication matching rules across backend/crm/ models.</t>
        </is>
      </c>
      <c r="M7" s="8" t="inlineStr">
        <is>
          <t>Growth OS</t>
        </is>
      </c>
      <c r="N7" s="8" t="inlineStr">
        <is>
          <t>Growth role</t>
        </is>
      </c>
      <c r="O7" s="8" t="inlineStr">
        <is>
          <t>P0</t>
        </is>
      </c>
      <c r="P7" s="5" t="inlineStr">
        <is>
          <t>Unchanged</t>
        </is>
      </c>
      <c r="Q7" s="20" t="inlineStr">
        <is>
          <t>Author assertion</t>
        </is>
      </c>
      <c r="R7" s="5" t="inlineStr"/>
      <c r="S7" s="8" t="inlineStr">
        <is>
          <t>GOS-LEAD</t>
        </is>
      </c>
      <c r="T7" s="5" t="inlineStr">
        <is>
          <t>Growth leads</t>
        </is>
      </c>
      <c r="U7" s="8" t="inlineStr"/>
      <c r="V7" s="8" t="inlineStr">
        <is>
          <t>crm</t>
        </is>
      </c>
      <c r="W7" s="8" t="inlineStr">
        <is>
          <t>GROW</t>
        </is>
      </c>
      <c r="X7" s="5" t="inlineStr">
        <is>
          <t>Core</t>
        </is>
      </c>
      <c r="Y7" s="5" t="inlineStr">
        <is>
          <t>Growth</t>
        </is>
      </c>
      <c r="Z7" s="5" t="inlineStr">
        <is>
          <t>Medium</t>
        </is>
      </c>
      <c r="AA7" s="5" t="inlineStr">
        <is>
          <t>Medium</t>
        </is>
      </c>
      <c r="AB7" s="8" t="inlineStr">
        <is>
          <t>Low</t>
        </is>
      </c>
      <c r="AC7" s="8" t="inlineStr">
        <is>
          <t>MVP</t>
        </is>
      </c>
      <c r="AD7" s="5" t="inlineStr">
        <is>
          <t>Cited in code</t>
        </is>
      </c>
      <c r="AE7" s="5" t="inlineStr">
        <is>
          <t>Not verified</t>
        </is>
      </c>
      <c r="AF7" s="5" t="inlineStr">
        <is>
          <t>Not verified</t>
        </is>
      </c>
      <c r="AG7" s="5" t="inlineStr">
        <is>
          <t>Not verified</t>
        </is>
      </c>
      <c r="AH7" s="5" t="inlineStr">
        <is>
          <t>Not verified</t>
        </is>
      </c>
      <c r="AI7" s="8" t="inlineStr">
        <is>
          <t>No</t>
        </is>
      </c>
      <c r="AJ7" s="8" t="inlineStr">
        <is>
          <t>Built - unverified</t>
        </is>
      </c>
      <c r="AK7" s="8" t="inlineStr">
        <is>
          <t>P0</t>
        </is>
      </c>
      <c r="AL7" s="8" t="n">
        <v>6</v>
      </c>
      <c r="AM7" s="5" t="inlineStr"/>
      <c r="AN7" s="5" t="inlineStr"/>
      <c r="AO7" s="5" t="inlineStr"/>
      <c r="AP7" s="5" t="inlineStr"/>
      <c r="AQ7" s="5" t="inlineStr"/>
      <c r="AR7" s="5" t="inlineStr"/>
      <c r="AS7" s="5" t="inlineStr"/>
      <c r="AT7" s="5" t="inlineStr"/>
      <c r="AU7" s="8" t="inlineStr">
        <is>
          <t>Not run</t>
        </is>
      </c>
    </row>
    <row r="8" ht="32" customHeight="1">
      <c r="A8" s="16" t="inlineStr">
        <is>
          <t>GOS-0722</t>
        </is>
      </c>
      <c r="B8" s="8" t="inlineStr">
        <is>
          <t>G-OS</t>
        </is>
      </c>
      <c r="C8" s="5" t="inlineStr">
        <is>
          <t>Sales Manager / Team Lead</t>
        </is>
      </c>
      <c r="D8" s="5" t="inlineStr">
        <is>
          <t>Growth OS - Lead Ingestion &amp; Pipeline</t>
        </is>
      </c>
      <c r="E8" s="5" t="inlineStr">
        <is>
          <t>Automated Round-Robin Lead Assignment &amp; 2-Hour SLA Timer</t>
        </is>
      </c>
      <c r="F8" s="5" t="inlineStr">
        <is>
          <t>Sales Manager / Team Lead</t>
        </is>
      </c>
      <c r="G8" s="5" t="inlineStr">
        <is>
          <t>Sales Representative</t>
        </is>
      </c>
      <c r="H8" s="5" t="inlineStr">
        <is>
          <t>Automatically routes newly qualified inbound leads to on-duty sales representatives via round-robin allocation, initiating a 2-hour first-touch SLA countdown timer.</t>
        </is>
      </c>
      <c r="I8" s="5" t="inlineStr">
        <is>
          <t>Sends instant WhatsApp/push alerts to assigned sales reps; triggers managerial escalation if a high-intent lead remains uncontacted past the 2-hour window.</t>
        </is>
      </c>
      <c r="J8" s="20" t="inlineStr">
        <is>
          <t>P1</t>
        </is>
      </c>
      <c r="K8" s="22" t="inlineStr">
        <is>
          <t>Code Complete &amp; Verified</t>
        </is>
      </c>
      <c r="L8" s="5" t="inlineStr">
        <is>
          <t>Implements automated assignment logic and response time tracking defined in CRM service layer.</t>
        </is>
      </c>
      <c r="M8" s="8" t="inlineStr">
        <is>
          <t>Growth OS</t>
        </is>
      </c>
      <c r="N8" s="8" t="inlineStr">
        <is>
          <t>Growth role</t>
        </is>
      </c>
      <c r="O8" s="8" t="inlineStr">
        <is>
          <t>P1</t>
        </is>
      </c>
      <c r="P8" s="5" t="inlineStr">
        <is>
          <t>Unchanged</t>
        </is>
      </c>
      <c r="Q8" s="20" t="inlineStr">
        <is>
          <t>Author assertion</t>
        </is>
      </c>
      <c r="R8" s="5" t="inlineStr"/>
      <c r="S8" s="8" t="inlineStr">
        <is>
          <t>GOS-LEAD</t>
        </is>
      </c>
      <c r="T8" s="5" t="inlineStr">
        <is>
          <t>Growth leads</t>
        </is>
      </c>
      <c r="U8" s="8" t="inlineStr"/>
      <c r="V8" s="8" t="inlineStr">
        <is>
          <t>crm</t>
        </is>
      </c>
      <c r="W8" s="8" t="inlineStr">
        <is>
          <t>GROW</t>
        </is>
      </c>
      <c r="X8" s="5" t="inlineStr">
        <is>
          <t>Core</t>
        </is>
      </c>
      <c r="Y8" s="5" t="inlineStr">
        <is>
          <t>Sales</t>
        </is>
      </c>
      <c r="Z8" s="5" t="inlineStr">
        <is>
          <t>Medium</t>
        </is>
      </c>
      <c r="AA8" s="5" t="inlineStr">
        <is>
          <t>Medium</t>
        </is>
      </c>
      <c r="AB8" s="8" t="inlineStr">
        <is>
          <t>Low</t>
        </is>
      </c>
      <c r="AC8" s="8" t="inlineStr">
        <is>
          <t>Later</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6</v>
      </c>
      <c r="AM8" s="5" t="inlineStr"/>
      <c r="AN8" s="5" t="inlineStr"/>
      <c r="AO8" s="5" t="inlineStr"/>
      <c r="AP8" s="5" t="inlineStr"/>
      <c r="AQ8" s="5" t="inlineStr"/>
      <c r="AR8" s="5" t="inlineStr"/>
      <c r="AS8" s="5" t="inlineStr"/>
      <c r="AT8" s="5" t="inlineStr"/>
      <c r="AU8" s="8" t="inlineStr">
        <is>
          <t>Not run</t>
        </is>
      </c>
    </row>
    <row r="9" ht="32" customHeight="1">
      <c r="A9" s="16" t="inlineStr">
        <is>
          <t>GOS-0723</t>
        </is>
      </c>
      <c r="B9" s="8" t="inlineStr">
        <is>
          <t>G-OS</t>
        </is>
      </c>
      <c r="C9" s="5" t="inlineStr">
        <is>
          <t>Sales Representative</t>
        </is>
      </c>
      <c r="D9" s="5" t="inlineStr">
        <is>
          <t>Growth OS - Lead Ingestion &amp; Pipeline</t>
        </is>
      </c>
      <c r="E9" s="5" t="inlineStr">
        <is>
          <t>Qualified Lead-to-Customer &amp; Opportunity One-Click Conversion</t>
        </is>
      </c>
      <c r="F9" s="5" t="inlineStr">
        <is>
          <t>Sales Representative</t>
        </is>
      </c>
      <c r="G9" s="5" t="inlineStr">
        <is>
          <t>Finance Manager, Store Cashier</t>
        </is>
      </c>
      <c r="H9" s="5" t="inlineStr">
        <is>
          <t>Converts a qualified lead into an official Customer master record while simultaneously creating a linked Opportunity with complete carry-forward of activity notes and interaction logs.</t>
        </is>
      </c>
      <c r="I9" s="5" t="inlineStr">
        <is>
          <t>Seamlessly bridges top-of-funnel marketing inquiry into bottom-of-funnel accounting and billing workflows without manual data re-entry.</t>
        </is>
      </c>
      <c r="J9" s="20" t="inlineStr">
        <is>
          <t>P1</t>
        </is>
      </c>
      <c r="K9" s="22" t="inlineStr">
        <is>
          <t>Code Complete &amp; Verified</t>
        </is>
      </c>
      <c r="L9" s="5" t="inlineStr">
        <is>
          <t>Implements convert_lead() service method and UI transition workflow verified in test_sprint_b_crm_convert.py.</t>
        </is>
      </c>
      <c r="M9" s="8" t="inlineStr">
        <is>
          <t>Growth OS</t>
        </is>
      </c>
      <c r="N9" s="8" t="inlineStr">
        <is>
          <t>Growth role</t>
        </is>
      </c>
      <c r="O9" s="8" t="inlineStr">
        <is>
          <t>P1</t>
        </is>
      </c>
      <c r="P9" s="5" t="inlineStr">
        <is>
          <t>Unchanged</t>
        </is>
      </c>
      <c r="Q9" s="21" t="inlineStr">
        <is>
          <t>Code symbol found</t>
        </is>
      </c>
      <c r="R9" s="5" t="inlineStr">
        <is>
          <t>Matched convert_lead in product code. This is not a functional test.</t>
        </is>
      </c>
      <c r="S9" s="8" t="inlineStr">
        <is>
          <t>GOS-LEAD</t>
        </is>
      </c>
      <c r="T9" s="5" t="inlineStr">
        <is>
          <t>Growth leads</t>
        </is>
      </c>
      <c r="U9" s="8" t="inlineStr"/>
      <c r="V9" s="8" t="inlineStr">
        <is>
          <t>crm</t>
        </is>
      </c>
      <c r="W9" s="8" t="inlineStr">
        <is>
          <t>GROW</t>
        </is>
      </c>
      <c r="X9" s="5" t="inlineStr">
        <is>
          <t>Core</t>
        </is>
      </c>
      <c r="Y9" s="5" t="inlineStr">
        <is>
          <t>Sales</t>
        </is>
      </c>
      <c r="Z9" s="5" t="inlineStr">
        <is>
          <t>Medium</t>
        </is>
      </c>
      <c r="AA9" s="5" t="inlineStr">
        <is>
          <t>Medium</t>
        </is>
      </c>
      <c r="AB9" s="8" t="inlineStr">
        <is>
          <t>Low</t>
        </is>
      </c>
      <c r="AC9" s="8" t="inlineStr">
        <is>
          <t>Later</t>
        </is>
      </c>
      <c r="AD9" s="5" t="inlineStr">
        <is>
          <t>Cited in code</t>
        </is>
      </c>
      <c r="AE9" s="5" t="inlineStr">
        <is>
          <t>Not verified</t>
        </is>
      </c>
      <c r="AF9" s="5" t="inlineStr">
        <is>
          <t>Not verified</t>
        </is>
      </c>
      <c r="AG9" s="5" t="inlineStr">
        <is>
          <t>Not verified</t>
        </is>
      </c>
      <c r="AH9" s="5" t="inlineStr">
        <is>
          <t>Not verified</t>
        </is>
      </c>
      <c r="AI9" s="8" t="inlineStr">
        <is>
          <t>No</t>
        </is>
      </c>
      <c r="AJ9" s="8" t="inlineStr">
        <is>
          <t>Built - unverified</t>
        </is>
      </c>
      <c r="AK9" s="8" t="inlineStr">
        <is>
          <t>P1</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GOS-0724</t>
        </is>
      </c>
      <c r="B10" s="8" t="inlineStr">
        <is>
          <t>G-OS</t>
        </is>
      </c>
      <c r="C10" s="5" t="inlineStr">
        <is>
          <t>Sales Representative</t>
        </is>
      </c>
      <c r="D10" s="5" t="inlineStr">
        <is>
          <t>Growth OS - Opportunity Management</t>
        </is>
      </c>
      <c r="E10" s="5" t="inlineStr">
        <is>
          <t>Line-Item Product Requirement Specification on Opportunities</t>
        </is>
      </c>
      <c r="F10" s="5" t="inlineStr">
        <is>
          <t>Sales Representative</t>
        </is>
      </c>
      <c r="G10" s="5" t="inlineStr">
        <is>
          <t>Inventory Manager</t>
        </is>
      </c>
      <c r="H10" s="5" t="inlineStr">
        <is>
          <t>Allows sales representatives to attach specific product SKUs, estimated purchase quantities, and target unit prices directly to an Opportunity pipeline record.</t>
        </is>
      </c>
      <c r="I10" s="5" t="inlineStr">
        <is>
          <t>Enables inventory demand forecasting and procurement pre-planning before sales orders are officially confirmed; feeds realistic bottom-up value into sales pipeline.</t>
        </is>
      </c>
      <c r="J10" s="20" t="inlineStr">
        <is>
          <t>P1</t>
        </is>
      </c>
      <c r="K10" s="22" t="inlineStr">
        <is>
          <t>Code Complete &amp; Verified</t>
        </is>
      </c>
      <c r="L10" s="5" t="inlineStr">
        <is>
          <t>Implements OpportunityLine CRUD APIs (createOpportunityLine, deleteOpportunityLine) from web/src/api/growth.ts.</t>
        </is>
      </c>
      <c r="M10" s="8" t="inlineStr">
        <is>
          <t>Growth OS</t>
        </is>
      </c>
      <c r="N10" s="8" t="inlineStr">
        <is>
          <t>Growth role</t>
        </is>
      </c>
      <c r="O10" s="8" t="inlineStr">
        <is>
          <t>P1</t>
        </is>
      </c>
      <c r="P10" s="5" t="inlineStr">
        <is>
          <t>Unchanged</t>
        </is>
      </c>
      <c r="Q10" s="21" t="inlineStr">
        <is>
          <t>Code symbol found</t>
        </is>
      </c>
      <c r="R10" s="5" t="inlineStr">
        <is>
          <t>Matched createOpportunityLine in product code. This is not a functional test.</t>
        </is>
      </c>
      <c r="S10" s="8" t="inlineStr">
        <is>
          <t>GOS-OPP</t>
        </is>
      </c>
      <c r="T10" s="5" t="inlineStr">
        <is>
          <t>Growth opportunities</t>
        </is>
      </c>
      <c r="U10" s="8" t="inlineStr"/>
      <c r="V10" s="8" t="inlineStr">
        <is>
          <t>crm</t>
        </is>
      </c>
      <c r="W10" s="8" t="inlineStr">
        <is>
          <t>GROW</t>
        </is>
      </c>
      <c r="X10" s="5" t="inlineStr">
        <is>
          <t>Core</t>
        </is>
      </c>
      <c r="Y10" s="5" t="inlineStr">
        <is>
          <t>Sales</t>
        </is>
      </c>
      <c r="Z10" s="5" t="inlineStr">
        <is>
          <t>Medium</t>
        </is>
      </c>
      <c r="AA10" s="5" t="inlineStr">
        <is>
          <t>Medium</t>
        </is>
      </c>
      <c r="AB10" s="8" t="inlineStr">
        <is>
          <t>Low</t>
        </is>
      </c>
      <c r="AC10" s="8" t="inlineStr">
        <is>
          <t>Later</t>
        </is>
      </c>
      <c r="AD10" s="5" t="inlineStr">
        <is>
          <t>Cited in code</t>
        </is>
      </c>
      <c r="AE10" s="5" t="inlineStr">
        <is>
          <t>Not verified</t>
        </is>
      </c>
      <c r="AF10" s="5" t="inlineStr">
        <is>
          <t>Not verified</t>
        </is>
      </c>
      <c r="AG10" s="5" t="inlineStr">
        <is>
          <t>Not verified</t>
        </is>
      </c>
      <c r="AH10" s="5" t="inlineStr">
        <is>
          <t>Not verified</t>
        </is>
      </c>
      <c r="AI10" s="8" t="inlineStr">
        <is>
          <t>No</t>
        </is>
      </c>
      <c r="AJ10" s="8" t="inlineStr">
        <is>
          <t>Built - unverified</t>
        </is>
      </c>
      <c r="AK10" s="8" t="inlineStr">
        <is>
          <t>P1</t>
        </is>
      </c>
      <c r="AL10" s="8" t="n">
        <v>6</v>
      </c>
      <c r="AM10" s="5" t="inlineStr"/>
      <c r="AN10" s="5" t="inlineStr"/>
      <c r="AO10" s="5" t="inlineStr"/>
      <c r="AP10" s="5" t="inlineStr"/>
      <c r="AQ10" s="5" t="inlineStr"/>
      <c r="AR10" s="5" t="inlineStr"/>
      <c r="AS10" s="5" t="inlineStr"/>
      <c r="AT10" s="5" t="inlineStr"/>
      <c r="AU10" s="8" t="inlineStr">
        <is>
          <t>Not run</t>
        </is>
      </c>
    </row>
    <row r="11" ht="32" customHeight="1">
      <c r="A11" s="16" t="inlineStr">
        <is>
          <t>GOS-0725</t>
        </is>
      </c>
      <c r="B11" s="8" t="inlineStr">
        <is>
          <t>G-OS</t>
        </is>
      </c>
      <c r="C11" s="5" t="inlineStr">
        <is>
          <t>Sales Manager / Head of Sales</t>
        </is>
      </c>
      <c r="D11" s="5" t="inlineStr">
        <is>
          <t>Growth OS - Opportunity Management</t>
        </is>
      </c>
      <c r="E11" s="5" t="inlineStr">
        <is>
          <t>Weighted Opportunity Pipeline Stage Forecasting</t>
        </is>
      </c>
      <c r="F11" s="5" t="inlineStr">
        <is>
          <t>Sales Manager / Head of Sales</t>
        </is>
      </c>
      <c r="G11" s="5" t="inlineStr">
        <is>
          <t>Finance Manager, Business Owner</t>
        </is>
      </c>
      <c r="H11" s="5" t="inlineStr">
        <is>
          <t>Computes monthly weighted pipeline revenue forecasts by multiplying deal amount by stage probability (e.g., Prospecting 10%, Demo 40%, Negotiation 80%, Won 100%).</t>
        </is>
      </c>
      <c r="I11" s="5" t="inlineStr">
        <is>
          <t>Feeds forward-looking revenue projections into cashflow and procurement models; surfaces expected closing dates across next 30/60/90 days.</t>
        </is>
      </c>
      <c r="J11" s="20" t="inlineStr">
        <is>
          <t>P1</t>
        </is>
      </c>
      <c r="K11" s="22" t="inlineStr">
        <is>
          <t>Code Complete &amp; Verified</t>
        </is>
      </c>
      <c r="L11" s="5" t="inlineStr">
        <is>
          <t>Implements getForecast() API in web/src/api/growth.ts returning monthly forecast buckets and unscheduled deal volumes.</t>
        </is>
      </c>
      <c r="M11" s="8" t="inlineStr">
        <is>
          <t>Growth OS</t>
        </is>
      </c>
      <c r="N11" s="8" t="inlineStr">
        <is>
          <t>Growth role</t>
        </is>
      </c>
      <c r="O11" s="8" t="inlineStr">
        <is>
          <t>P1</t>
        </is>
      </c>
      <c r="P11" s="5" t="inlineStr">
        <is>
          <t>Unchanged</t>
        </is>
      </c>
      <c r="Q11" s="21" t="inlineStr">
        <is>
          <t>Code symbol found</t>
        </is>
      </c>
      <c r="R11" s="5" t="inlineStr">
        <is>
          <t>Matched getForecast in product code. This is not a functional test.</t>
        </is>
      </c>
      <c r="S11" s="8" t="inlineStr">
        <is>
          <t>GOS-OPP</t>
        </is>
      </c>
      <c r="T11" s="5" t="inlineStr">
        <is>
          <t>Growth opportunities</t>
        </is>
      </c>
      <c r="U11" s="8" t="inlineStr"/>
      <c r="V11" s="8" t="inlineStr">
        <is>
          <t>crm</t>
        </is>
      </c>
      <c r="W11" s="8" t="inlineStr">
        <is>
          <t>GROW</t>
        </is>
      </c>
      <c r="X11" s="5" t="inlineStr">
        <is>
          <t>Core</t>
        </is>
      </c>
      <c r="Y11" s="5" t="inlineStr">
        <is>
          <t>Sales</t>
        </is>
      </c>
      <c r="Z11" s="5" t="inlineStr">
        <is>
          <t>Medium</t>
        </is>
      </c>
      <c r="AA11" s="5" t="inlineStr">
        <is>
          <t>Medium</t>
        </is>
      </c>
      <c r="AB11" s="8" t="inlineStr">
        <is>
          <t>Low</t>
        </is>
      </c>
      <c r="AC11" s="8" t="inlineStr">
        <is>
          <t>Later</t>
        </is>
      </c>
      <c r="AD11" s="5" t="inlineStr">
        <is>
          <t>Cited in code</t>
        </is>
      </c>
      <c r="AE11" s="5" t="inlineStr">
        <is>
          <t>Not verified</t>
        </is>
      </c>
      <c r="AF11" s="5" t="inlineStr">
        <is>
          <t>Not verified</t>
        </is>
      </c>
      <c r="AG11" s="5" t="inlineStr">
        <is>
          <t>Not verified</t>
        </is>
      </c>
      <c r="AH11" s="5" t="inlineStr">
        <is>
          <t>Not verified</t>
        </is>
      </c>
      <c r="AI11" s="8" t="inlineStr">
        <is>
          <t>No</t>
        </is>
      </c>
      <c r="AJ11" s="8" t="inlineStr">
        <is>
          <t>Built - unverified</t>
        </is>
      </c>
      <c r="AK11" s="8" t="inlineStr">
        <is>
          <t>P1</t>
        </is>
      </c>
      <c r="AL11" s="8" t="n">
        <v>6</v>
      </c>
      <c r="AM11" s="5" t="inlineStr"/>
      <c r="AN11" s="5" t="inlineStr"/>
      <c r="AO11" s="5" t="inlineStr"/>
      <c r="AP11" s="5" t="inlineStr"/>
      <c r="AQ11" s="5" t="inlineStr"/>
      <c r="AR11" s="5" t="inlineStr"/>
      <c r="AS11" s="5" t="inlineStr"/>
      <c r="AT11" s="5" t="inlineStr"/>
      <c r="AU11" s="8" t="inlineStr">
        <is>
          <t>Not run</t>
        </is>
      </c>
    </row>
    <row r="12" ht="32" customHeight="1">
      <c r="A12" s="16" t="inlineStr">
        <is>
          <t>GOS-0726</t>
        </is>
      </c>
      <c r="B12" s="8" t="inlineStr">
        <is>
          <t>G-OS</t>
        </is>
      </c>
      <c r="C12" s="5" t="inlineStr">
        <is>
          <t>Finance Manager / Sales Ops</t>
        </is>
      </c>
      <c r="D12" s="5" t="inlineStr">
        <is>
          <t>Growth OS - Opportunity Management</t>
        </is>
      </c>
      <c r="E12" s="5" t="inlineStr">
        <is>
          <t>Won-Versus-Invoiced Revenue Gap &amp; Leakage Analytics</t>
        </is>
      </c>
      <c r="F12" s="5" t="inlineStr">
        <is>
          <t>Finance Manager / Sales Ops</t>
        </is>
      </c>
      <c r="G12" s="5" t="inlineStr">
        <is>
          <t>Sales Manager, Business Owner</t>
        </is>
      </c>
      <c r="H12" s="5" t="inlineStr">
        <is>
          <t>Performs automated monthly reconciliation between won opportunity contract values and actual posted Sales Invoices (getWonVersusInvoices).</t>
        </is>
      </c>
      <c r="I12" s="5" t="inlineStr">
        <is>
          <t>Detects revenue leakage, delayed billing, and unfulfilled customer commitments; alerts sales and finance leadership when invoiced revenue lags won pipeline by &gt; 15%.</t>
        </is>
      </c>
      <c r="J12" s="20" t="inlineStr">
        <is>
          <t>P1</t>
        </is>
      </c>
      <c r="K12" s="22" t="inlineStr">
        <is>
          <t>Code Complete &amp; Verified</t>
        </is>
      </c>
      <c r="L12" s="5" t="inlineStr">
        <is>
          <t>Implements getWonVersusInvoices endpoint comparing closed-won CRM commitments against realized ledger revenue.</t>
        </is>
      </c>
      <c r="M12" s="8" t="inlineStr">
        <is>
          <t>Growth OS</t>
        </is>
      </c>
      <c r="N12" s="8" t="inlineStr">
        <is>
          <t>Growth role</t>
        </is>
      </c>
      <c r="O12" s="8" t="inlineStr">
        <is>
          <t>P1</t>
        </is>
      </c>
      <c r="P12" s="5" t="inlineStr">
        <is>
          <t>Unchanged</t>
        </is>
      </c>
      <c r="Q12" s="21" t="inlineStr">
        <is>
          <t>Code symbol found</t>
        </is>
      </c>
      <c r="R12" s="5" t="inlineStr">
        <is>
          <t>Matched getWonVersusInvoices in product code. This is not a functional test.</t>
        </is>
      </c>
      <c r="S12" s="8" t="inlineStr">
        <is>
          <t>GOS-OPP</t>
        </is>
      </c>
      <c r="T12" s="5" t="inlineStr">
        <is>
          <t>Growth opportunities</t>
        </is>
      </c>
      <c r="U12" s="8" t="inlineStr"/>
      <c r="V12" s="8" t="inlineStr">
        <is>
          <t>crm</t>
        </is>
      </c>
      <c r="W12" s="8" t="inlineStr">
        <is>
          <t>GROW</t>
        </is>
      </c>
      <c r="X12" s="5" t="inlineStr">
        <is>
          <t>Core</t>
        </is>
      </c>
      <c r="Y12" s="5" t="inlineStr">
        <is>
          <t>Named role</t>
        </is>
      </c>
      <c r="Z12" s="5" t="inlineStr">
        <is>
          <t>Medium</t>
        </is>
      </c>
      <c r="AA12" s="5" t="inlineStr">
        <is>
          <t>Medium</t>
        </is>
      </c>
      <c r="AB12" s="8" t="inlineStr">
        <is>
          <t>Low</t>
        </is>
      </c>
      <c r="AC12" s="8" t="inlineStr">
        <is>
          <t>Later</t>
        </is>
      </c>
      <c r="AD12" s="5" t="inlineStr">
        <is>
          <t>Cited in code</t>
        </is>
      </c>
      <c r="AE12" s="5" t="inlineStr">
        <is>
          <t>Not verified</t>
        </is>
      </c>
      <c r="AF12" s="5" t="inlineStr">
        <is>
          <t>Not verified</t>
        </is>
      </c>
      <c r="AG12" s="5" t="inlineStr">
        <is>
          <t>Not verified</t>
        </is>
      </c>
      <c r="AH12" s="5" t="inlineStr">
        <is>
          <t>Not verified</t>
        </is>
      </c>
      <c r="AI12" s="8" t="inlineStr">
        <is>
          <t>No</t>
        </is>
      </c>
      <c r="AJ12" s="8" t="inlineStr">
        <is>
          <t>Built - unverified</t>
        </is>
      </c>
      <c r="AK12" s="8" t="inlineStr">
        <is>
          <t>P1</t>
        </is>
      </c>
      <c r="AL12" s="8" t="n">
        <v>6</v>
      </c>
      <c r="AM12" s="5" t="inlineStr"/>
      <c r="AN12" s="5" t="inlineStr"/>
      <c r="AO12" s="5" t="inlineStr"/>
      <c r="AP12" s="5" t="inlineStr"/>
      <c r="AQ12" s="5" t="inlineStr"/>
      <c r="AR12" s="5" t="inlineStr"/>
      <c r="AS12" s="5" t="inlineStr"/>
      <c r="AT12" s="5" t="inlineStr"/>
      <c r="AU12" s="8" t="inlineStr">
        <is>
          <t>Not run</t>
        </is>
      </c>
    </row>
    <row r="13" ht="32" customHeight="1">
      <c r="A13" s="16" t="inlineStr">
        <is>
          <t>GOS-0727</t>
        </is>
      </c>
      <c r="B13" s="8" t="inlineStr">
        <is>
          <t>G-OS</t>
        </is>
      </c>
      <c r="C13" s="5" t="inlineStr">
        <is>
          <t>Sales Manager / Head of Sales</t>
        </is>
      </c>
      <c r="D13" s="5" t="inlineStr">
        <is>
          <t>Growth OS - Opportunity Management</t>
        </is>
      </c>
      <c r="E13" s="5" t="inlineStr">
        <is>
          <t>Competitor Win/Loss Analytics &amp; Opportunity Loss Tracking</t>
        </is>
      </c>
      <c r="F13" s="5" t="inlineStr">
        <is>
          <t>Sales Manager / Head of Sales</t>
        </is>
      </c>
      <c r="G13" s="5" t="inlineStr">
        <is>
          <t>Product Strategist, Business Owner</t>
        </is>
      </c>
      <c r="H13" s="5" t="inlineStr">
        <is>
          <t>Captures primary winning competitor, loss reason category (pricing, feature gap, delivery delay, credit terms), and qualitative debrief notes upon marking an opportunity as LOST.</t>
        </is>
      </c>
      <c r="I13" s="5" t="inlineStr">
        <is>
          <t>Populates executive competitive loss matrix; identifies systematic product or pricing weaknesses causing lost revenue to specific market rivals.</t>
        </is>
      </c>
      <c r="J13" s="22" t="inlineStr">
        <is>
          <t>P2</t>
        </is>
      </c>
      <c r="K13" s="22" t="inlineStr">
        <is>
          <t>Code Complete &amp; Verified</t>
        </is>
      </c>
      <c r="L13" s="5" t="inlineStr">
        <is>
          <t>Supported by competitor and stage fields in OpportunityRow schema in web/src/api/growth.ts.</t>
        </is>
      </c>
      <c r="M13" s="8" t="inlineStr">
        <is>
          <t>Growth OS</t>
        </is>
      </c>
      <c r="N13" s="8" t="inlineStr">
        <is>
          <t>Growth role</t>
        </is>
      </c>
      <c r="O13" s="8" t="inlineStr">
        <is>
          <t>P2</t>
        </is>
      </c>
      <c r="P13" s="5" t="inlineStr">
        <is>
          <t>Unchanged</t>
        </is>
      </c>
      <c r="Q13" s="21" t="inlineStr">
        <is>
          <t>Code symbol found</t>
        </is>
      </c>
      <c r="R13" s="5" t="inlineStr">
        <is>
          <t>Matched OpportunityRow in product code. This is not a functional test.</t>
        </is>
      </c>
      <c r="S13" s="8" t="inlineStr">
        <is>
          <t>GOS-OPP</t>
        </is>
      </c>
      <c r="T13" s="5" t="inlineStr">
        <is>
          <t>Growth opportunities</t>
        </is>
      </c>
      <c r="U13" s="8" t="inlineStr"/>
      <c r="V13" s="8" t="inlineStr">
        <is>
          <t>crm</t>
        </is>
      </c>
      <c r="W13" s="8" t="inlineStr">
        <is>
          <t>GROW</t>
        </is>
      </c>
      <c r="X13" s="5" t="inlineStr">
        <is>
          <t>Core</t>
        </is>
      </c>
      <c r="Y13" s="5" t="inlineStr">
        <is>
          <t>Sales</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P2</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GOS-0728</t>
        </is>
      </c>
      <c r="B14" s="8" t="inlineStr">
        <is>
          <t>G-OS</t>
        </is>
      </c>
      <c r="C14" s="5" t="inlineStr">
        <is>
          <t>Customer Success / Growth Lead</t>
        </is>
      </c>
      <c r="D14" s="5" t="inlineStr">
        <is>
          <t>Growth OS - Referral &amp; Advocate Engine</t>
        </is>
      </c>
      <c r="E14" s="5" t="inlineStr">
        <is>
          <t>Advocate Unique Referral Code Generation &amp; Link Sharing</t>
        </is>
      </c>
      <c r="F14" s="5" t="inlineStr">
        <is>
          <t>Customer Success / Growth Lead</t>
        </is>
      </c>
      <c r="G14" s="5" t="inlineStr">
        <is>
          <t>Sales Representative</t>
        </is>
      </c>
      <c r="H14" s="5" t="inlineStr">
        <is>
          <t>Generates unique alphanumeric referral tracking codes and one-click WhatsApp sharing links for existing satisfied customers, brand advocates, or sales affiliates.</t>
        </is>
      </c>
      <c r="I14" s="5" t="inlineStr">
        <is>
          <t>Tracks inbound viral loops; automatically attributes new lead registrations and customer signups to the originating advocate.</t>
        </is>
      </c>
      <c r="J14" s="20" t="inlineStr">
        <is>
          <t>P1</t>
        </is>
      </c>
      <c r="K14" s="22" t="inlineStr">
        <is>
          <t>Code Complete &amp; Verified</t>
        </is>
      </c>
      <c r="L14" s="5" t="inlineStr">
        <is>
          <t>Implements issueReferralCode API in web/src/api/growth.ts supporting customer and employee advocate types.</t>
        </is>
      </c>
      <c r="M14" s="8" t="inlineStr">
        <is>
          <t>Growth OS</t>
        </is>
      </c>
      <c r="N14" s="8" t="inlineStr">
        <is>
          <t>Growth role</t>
        </is>
      </c>
      <c r="O14" s="8" t="inlineStr">
        <is>
          <t>P1</t>
        </is>
      </c>
      <c r="P14" s="5" t="inlineStr">
        <is>
          <t>Unchanged</t>
        </is>
      </c>
      <c r="Q14" s="21" t="inlineStr">
        <is>
          <t>Code symbol found</t>
        </is>
      </c>
      <c r="R14" s="5" t="inlineStr">
        <is>
          <t>Matched issueReferralCode in product code. This is not a functional test.</t>
        </is>
      </c>
      <c r="S14" s="8" t="inlineStr">
        <is>
          <t>GOS-REF</t>
        </is>
      </c>
      <c r="T14" s="5" t="inlineStr">
        <is>
          <t>Growth referrals</t>
        </is>
      </c>
      <c r="U14" s="8" t="inlineStr"/>
      <c r="V14" s="8" t="inlineStr">
        <is>
          <t>crm</t>
        </is>
      </c>
      <c r="W14" s="8" t="inlineStr">
        <is>
          <t>GROW</t>
        </is>
      </c>
      <c r="X14" s="5" t="inlineStr">
        <is>
          <t>Core</t>
        </is>
      </c>
      <c r="Y14" s="5" t="inlineStr">
        <is>
          <t>Growth</t>
        </is>
      </c>
      <c r="Z14" s="5" t="inlineStr">
        <is>
          <t>Medium</t>
        </is>
      </c>
      <c r="AA14" s="5" t="inlineStr">
        <is>
          <t>Medium</t>
        </is>
      </c>
      <c r="AB14" s="8" t="inlineStr">
        <is>
          <t>Low</t>
        </is>
      </c>
      <c r="AC14" s="8" t="inlineStr">
        <is>
          <t>Later</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6</v>
      </c>
      <c r="AM14" s="5" t="inlineStr"/>
      <c r="AN14" s="5" t="inlineStr"/>
      <c r="AO14" s="5" t="inlineStr"/>
      <c r="AP14" s="5" t="inlineStr"/>
      <c r="AQ14" s="5" t="inlineStr"/>
      <c r="AR14" s="5" t="inlineStr"/>
      <c r="AS14" s="5" t="inlineStr"/>
      <c r="AT14" s="5" t="inlineStr"/>
      <c r="AU14" s="8" t="inlineStr">
        <is>
          <t>Not run</t>
        </is>
      </c>
    </row>
    <row r="15" ht="32" customHeight="1">
      <c r="A15" s="16" t="inlineStr">
        <is>
          <t>GOS-0729</t>
        </is>
      </c>
      <c r="B15" s="8" t="inlineStr">
        <is>
          <t>G-OS</t>
        </is>
      </c>
      <c r="C15" s="5" t="inlineStr">
        <is>
          <t>System / Automated Growth Engine</t>
        </is>
      </c>
      <c r="D15" s="5" t="inlineStr">
        <is>
          <t>Growth OS - Referral &amp; Advocate Engine</t>
        </is>
      </c>
      <c r="E15" s="5" t="inlineStr">
        <is>
          <t>Automated Referral Reward Generation on First Invoice Payment</t>
        </is>
      </c>
      <c r="F15" s="5" t="inlineStr">
        <is>
          <t>System / Automated Growth Engine</t>
        </is>
      </c>
      <c r="G15" s="5" t="inlineStr">
        <is>
          <t>Finance Manager</t>
        </is>
      </c>
      <c r="H15" s="5" t="inlineStr">
        <is>
          <t>Monitors sales payment receipts; upon successful full settlement of a referred customer's first completed sales invoice, automatically instantiates a pending ReferralReward record.</t>
        </is>
      </c>
      <c r="I15" s="5" t="inlineStr">
        <is>
          <t>Enforces fraud prevention rules (minimum invoice value, non-cancelled order, distinct GSTIN/PAN); notifies the referrer via WhatsApp that their reward is pending audit.</t>
        </is>
      </c>
      <c r="J15" s="20" t="inlineStr">
        <is>
          <t>P1</t>
        </is>
      </c>
      <c r="K15" s="22" t="inlineStr">
        <is>
          <t>Code Complete &amp; Verified</t>
        </is>
      </c>
      <c r="L15" s="5" t="inlineStr">
        <is>
          <t>Event-driven hook connecting payments.Receipt allocation with ReferralReward table.</t>
        </is>
      </c>
      <c r="M15" s="8" t="inlineStr">
        <is>
          <t>Growth OS</t>
        </is>
      </c>
      <c r="N15" s="8" t="inlineStr">
        <is>
          <t>Growth role</t>
        </is>
      </c>
      <c r="O15" s="8" t="inlineStr">
        <is>
          <t>P1</t>
        </is>
      </c>
      <c r="P15" s="5" t="inlineStr">
        <is>
          <t>Unchanged</t>
        </is>
      </c>
      <c r="Q15" s="21" t="inlineStr">
        <is>
          <t>Code symbol found</t>
        </is>
      </c>
      <c r="R15" s="5" t="inlineStr">
        <is>
          <t>Matched ReferralReward in product code. This is not a functional test.</t>
        </is>
      </c>
      <c r="S15" s="8" t="inlineStr">
        <is>
          <t>GOS-REF</t>
        </is>
      </c>
      <c r="T15" s="5" t="inlineStr">
        <is>
          <t>Growth referrals</t>
        </is>
      </c>
      <c r="U15" s="8" t="inlineStr"/>
      <c r="V15" s="8" t="inlineStr">
        <is>
          <t>crm</t>
        </is>
      </c>
      <c r="W15" s="8" t="inlineStr">
        <is>
          <t>GROW</t>
        </is>
      </c>
      <c r="X15" s="5" t="inlineStr">
        <is>
          <t>Core</t>
        </is>
      </c>
      <c r="Y15" s="5" t="inlineStr">
        <is>
          <t>System</t>
        </is>
      </c>
      <c r="Z15" s="5" t="inlineStr">
        <is>
          <t>Medium</t>
        </is>
      </c>
      <c r="AA15" s="5" t="inlineStr">
        <is>
          <t>Medium</t>
        </is>
      </c>
      <c r="AB15" s="8" t="inlineStr">
        <is>
          <t>Low</t>
        </is>
      </c>
      <c r="AC15" s="8" t="inlineStr">
        <is>
          <t>Later</t>
        </is>
      </c>
      <c r="AD15" s="5" t="inlineStr">
        <is>
          <t>Cited in code</t>
        </is>
      </c>
      <c r="AE15" s="5" t="inlineStr">
        <is>
          <t>Not verified</t>
        </is>
      </c>
      <c r="AF15" s="5" t="inlineStr">
        <is>
          <t>Not verified</t>
        </is>
      </c>
      <c r="AG15" s="5" t="inlineStr">
        <is>
          <t>Not verified</t>
        </is>
      </c>
      <c r="AH15" s="5" t="inlineStr">
        <is>
          <t>Not verified</t>
        </is>
      </c>
      <c r="AI15" s="8" t="inlineStr">
        <is>
          <t>No</t>
        </is>
      </c>
      <c r="AJ15" s="8" t="inlineStr">
        <is>
          <t>Built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GOS-0730</t>
        </is>
      </c>
      <c r="B16" s="8" t="inlineStr">
        <is>
          <t>G-OS</t>
        </is>
      </c>
      <c r="C16" s="5" t="inlineStr">
        <is>
          <t>Finance Manager / Accounts Lead</t>
        </is>
      </c>
      <c r="D16" s="5" t="inlineStr">
        <is>
          <t>Growth OS - Referral &amp; Advocate Engine</t>
        </is>
      </c>
      <c r="E16" s="5" t="inlineStr">
        <is>
          <t>Referral Reward Audit, Approval &amp; Idempotent Payout Workflow</t>
        </is>
      </c>
      <c r="F16" s="5" t="inlineStr">
        <is>
          <t>Finance Manager / Accounts Lead</t>
        </is>
      </c>
      <c r="G16" s="5" t="inlineStr">
        <is>
          <t>Business Owner</t>
        </is>
      </c>
      <c r="H16" s="5" t="inlineStr">
        <is>
          <t>Provides a multi-step review workflow to inspect, approve, reject with audit reason, or execute payout for earned referral commissions (decideReferralReward).</t>
        </is>
      </c>
      <c r="I16" s="5" t="inlineStr">
        <is>
          <t>Guarantees financial integrity via idempotency headers; creates linked expense vouchers or customer ledger credit notes upon payout execution.</t>
        </is>
      </c>
      <c r="J16" s="20" t="inlineStr">
        <is>
          <t>P1</t>
        </is>
      </c>
      <c r="K16" s="22" t="inlineStr">
        <is>
          <t>Code Complete &amp; Verified</t>
        </is>
      </c>
      <c r="L16" s="5" t="inlineStr">
        <is>
          <t>Implements decideReferralReward with idempotencyHeaders from web/src/api/growth.ts.</t>
        </is>
      </c>
      <c r="M16" s="8" t="inlineStr">
        <is>
          <t>Growth OS</t>
        </is>
      </c>
      <c r="N16" s="8" t="inlineStr">
        <is>
          <t>Growth role</t>
        </is>
      </c>
      <c r="O16" s="8" t="inlineStr">
        <is>
          <t>P1</t>
        </is>
      </c>
      <c r="P16" s="5" t="inlineStr">
        <is>
          <t>Unchanged</t>
        </is>
      </c>
      <c r="Q16" s="21" t="inlineStr">
        <is>
          <t>Code symbol found</t>
        </is>
      </c>
      <c r="R16" s="5" t="inlineStr">
        <is>
          <t>Matched decideReferralReward in product code. This is not a functional test.</t>
        </is>
      </c>
      <c r="S16" s="8" t="inlineStr">
        <is>
          <t>GOS-REF</t>
        </is>
      </c>
      <c r="T16" s="5" t="inlineStr">
        <is>
          <t>Growth referrals</t>
        </is>
      </c>
      <c r="U16" s="8" t="inlineStr"/>
      <c r="V16" s="8" t="inlineStr">
        <is>
          <t>crm</t>
        </is>
      </c>
      <c r="W16" s="8" t="inlineStr">
        <is>
          <t>GROW</t>
        </is>
      </c>
      <c r="X16" s="5" t="inlineStr">
        <is>
          <t>Core</t>
        </is>
      </c>
      <c r="Y16" s="5" t="inlineStr">
        <is>
          <t>Named role</t>
        </is>
      </c>
      <c r="Z16" s="5" t="inlineStr">
        <is>
          <t>Medium</t>
        </is>
      </c>
      <c r="AA16" s="5" t="inlineStr">
        <is>
          <t>Medium</t>
        </is>
      </c>
      <c r="AB16" s="8" t="inlineStr">
        <is>
          <t>Low</t>
        </is>
      </c>
      <c r="AC16" s="8" t="inlineStr">
        <is>
          <t>Later</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P1</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GOS-0731</t>
        </is>
      </c>
      <c r="B17" s="8" t="inlineStr">
        <is>
          <t>G-OS</t>
        </is>
      </c>
      <c r="C17" s="5" t="inlineStr">
        <is>
          <t>Growth Lead / Head of Sales</t>
        </is>
      </c>
      <c r="D17" s="5" t="inlineStr">
        <is>
          <t>Growth OS - Referral &amp; Advocate Engine</t>
        </is>
      </c>
      <c r="E17" s="5" t="inlineStr">
        <is>
          <t>Customer Advocate Referral Performance Leaderboard</t>
        </is>
      </c>
      <c r="F17" s="5" t="inlineStr">
        <is>
          <t>Growth Lead / Head of Sales</t>
        </is>
      </c>
      <c r="G17" s="5" t="inlineStr">
        <is>
          <t>Business Owner</t>
        </is>
      </c>
      <c r="H17" s="5" t="inlineStr">
        <is>
          <t>Maintains an updated public/internal leaderboard ranking top customer referrers and sales partners by count of successful conversions and total approved reward payout value.</t>
        </is>
      </c>
      <c r="I17" s="5" t="inlineStr">
        <is>
          <t>Gamifies customer advocacy; identifies high-value brand champions suitable for VIP partner discounts and co-marketing case studies.</t>
        </is>
      </c>
      <c r="J17" s="22" t="inlineStr">
        <is>
          <t>P2</t>
        </is>
      </c>
      <c r="K17" s="22" t="inlineStr">
        <is>
          <t>Code Complete &amp; Verified</t>
        </is>
      </c>
      <c r="L17" s="5" t="inlineStr">
        <is>
          <t>Implements referralLeaderboard API endpoint from web/src/api/growth.ts.</t>
        </is>
      </c>
      <c r="M17" s="8" t="inlineStr">
        <is>
          <t>Growth OS</t>
        </is>
      </c>
      <c r="N17" s="8" t="inlineStr">
        <is>
          <t>Growth role</t>
        </is>
      </c>
      <c r="O17" s="8" t="inlineStr">
        <is>
          <t>P2</t>
        </is>
      </c>
      <c r="P17" s="5" t="inlineStr">
        <is>
          <t>Unchanged</t>
        </is>
      </c>
      <c r="Q17" s="21" t="inlineStr">
        <is>
          <t>Code symbol found</t>
        </is>
      </c>
      <c r="R17" s="5" t="inlineStr">
        <is>
          <t>Matched referralLeaderboard in product code. This is not a functional test.</t>
        </is>
      </c>
      <c r="S17" s="8" t="inlineStr">
        <is>
          <t>GOS-REF</t>
        </is>
      </c>
      <c r="T17" s="5" t="inlineStr">
        <is>
          <t>Growth referrals</t>
        </is>
      </c>
      <c r="U17" s="8" t="inlineStr"/>
      <c r="V17" s="8" t="inlineStr">
        <is>
          <t>crm</t>
        </is>
      </c>
      <c r="W17" s="8" t="inlineStr">
        <is>
          <t>GROW</t>
        </is>
      </c>
      <c r="X17" s="5" t="inlineStr">
        <is>
          <t>Core</t>
        </is>
      </c>
      <c r="Y17" s="5" t="inlineStr">
        <is>
          <t>Growth</t>
        </is>
      </c>
      <c r="Z17" s="5" t="inlineStr">
        <is>
          <t>Medium</t>
        </is>
      </c>
      <c r="AA17" s="5" t="inlineStr">
        <is>
          <t>Medium</t>
        </is>
      </c>
      <c r="AB17" s="8" t="inlineStr">
        <is>
          <t>Low</t>
        </is>
      </c>
      <c r="AC17" s="8" t="inlineStr">
        <is>
          <t>Later</t>
        </is>
      </c>
      <c r="AD17" s="5" t="inlineStr">
        <is>
          <t>Cited in code</t>
        </is>
      </c>
      <c r="AE17" s="5" t="inlineStr">
        <is>
          <t>Not verified</t>
        </is>
      </c>
      <c r="AF17" s="5" t="inlineStr">
        <is>
          <t>Not verified</t>
        </is>
      </c>
      <c r="AG17" s="5" t="inlineStr">
        <is>
          <t>Not verified</t>
        </is>
      </c>
      <c r="AH17" s="5" t="inlineStr">
        <is>
          <t>Not verified</t>
        </is>
      </c>
      <c r="AI17" s="8" t="inlineStr">
        <is>
          <t>No</t>
        </is>
      </c>
      <c r="AJ17" s="8" t="inlineStr">
        <is>
          <t>Built - unverified</t>
        </is>
      </c>
      <c r="AK17" s="8" t="inlineStr">
        <is>
          <t>P2</t>
        </is>
      </c>
      <c r="AL17" s="8" t="n">
        <v>6</v>
      </c>
      <c r="AM17" s="5" t="inlineStr"/>
      <c r="AN17" s="5" t="inlineStr"/>
      <c r="AO17" s="5" t="inlineStr"/>
      <c r="AP17" s="5" t="inlineStr"/>
      <c r="AQ17" s="5" t="inlineStr"/>
      <c r="AR17" s="5" t="inlineStr"/>
      <c r="AS17" s="5" t="inlineStr"/>
      <c r="AT17" s="5" t="inlineStr"/>
      <c r="AU17" s="8" t="inlineStr">
        <is>
          <t>Not run</t>
        </is>
      </c>
    </row>
    <row r="18" ht="32" customHeight="1">
      <c r="A18" s="16" t="inlineStr">
        <is>
          <t>GOS-0732</t>
        </is>
      </c>
      <c r="B18" s="8" t="inlineStr">
        <is>
          <t>G-OS</t>
        </is>
      </c>
      <c r="C18" s="5" t="inlineStr">
        <is>
          <t>Service Manager / Operations Lead</t>
        </is>
      </c>
      <c r="D18" s="5" t="inlineStr">
        <is>
          <t>Growth OS - Service Contracts &amp; AMC</t>
        </is>
      </c>
      <c r="E18" s="5" t="inlineStr">
        <is>
          <t>Annual Maintenance Contract (AMC) Master Registration</t>
        </is>
      </c>
      <c r="F18" s="5" t="inlineStr">
        <is>
          <t>Service Manager / Operations Lead</t>
        </is>
      </c>
      <c r="G18" s="5" t="inlineStr">
        <is>
          <t>Finance Manager</t>
        </is>
      </c>
      <c r="H18" s="5" t="inlineStr">
        <is>
          <t>Creates legally binding annual maintenance contracts, warranty agreements, and preventative service plans specifying covered equipment serial numbers, SLA response times, and billing schedules.</t>
        </is>
      </c>
      <c r="I18" s="5" t="inlineStr">
        <is>
          <t>Locks in predictable recurring revenue; links covered products with customer profiles and establishes automated service visit obligations.</t>
        </is>
      </c>
      <c r="J18" s="20" t="inlineStr">
        <is>
          <t>P1</t>
        </is>
      </c>
      <c r="K18" s="22" t="inlineStr">
        <is>
          <t>Code Complete &amp; Verified</t>
        </is>
      </c>
      <c r="L18" s="5" t="inlineStr">
        <is>
          <t>Implements ContractRow and createContract API from web/src/api/growth.ts.</t>
        </is>
      </c>
      <c r="M18" s="8" t="inlineStr">
        <is>
          <t>Growth OS</t>
        </is>
      </c>
      <c r="N18" s="8" t="inlineStr">
        <is>
          <t>Growth role</t>
        </is>
      </c>
      <c r="O18" s="8" t="inlineStr">
        <is>
          <t>P1</t>
        </is>
      </c>
      <c r="P18" s="5" t="inlineStr">
        <is>
          <t>Unchanged</t>
        </is>
      </c>
      <c r="Q18" s="21" t="inlineStr">
        <is>
          <t>Code symbol found</t>
        </is>
      </c>
      <c r="R18" s="5" t="inlineStr">
        <is>
          <t>Matched createContract in product code. This is not a functional test.</t>
        </is>
      </c>
      <c r="S18" s="8" t="inlineStr">
        <is>
          <t>GOS-AMC</t>
        </is>
      </c>
      <c r="T18" s="5" t="inlineStr">
        <is>
          <t>Service contracts</t>
        </is>
      </c>
      <c r="U18" s="8" t="inlineStr"/>
      <c r="V18" s="8" t="inlineStr">
        <is>
          <t>contracts</t>
        </is>
      </c>
      <c r="W18" s="8" t="inlineStr">
        <is>
          <t>GROW</t>
        </is>
      </c>
      <c r="X18" s="5" t="inlineStr">
        <is>
          <t>Core</t>
        </is>
      </c>
      <c r="Y18" s="5" t="inlineStr">
        <is>
          <t>Named role</t>
        </is>
      </c>
      <c r="Z18" s="5" t="inlineStr">
        <is>
          <t>Medium</t>
        </is>
      </c>
      <c r="AA18" s="5" t="inlineStr">
        <is>
          <t>Medium</t>
        </is>
      </c>
      <c r="AB18" s="8" t="inlineStr">
        <is>
          <t>Low</t>
        </is>
      </c>
      <c r="AC18" s="8" t="inlineStr">
        <is>
          <t>Later</t>
        </is>
      </c>
      <c r="AD18" s="5" t="inlineStr">
        <is>
          <t>Cited in code</t>
        </is>
      </c>
      <c r="AE18" s="5" t="inlineStr">
        <is>
          <t>Not verified</t>
        </is>
      </c>
      <c r="AF18" s="5" t="inlineStr">
        <is>
          <t>Not verified</t>
        </is>
      </c>
      <c r="AG18" s="5" t="inlineStr">
        <is>
          <t>Not verified</t>
        </is>
      </c>
      <c r="AH18" s="5" t="inlineStr">
        <is>
          <t>Not verified</t>
        </is>
      </c>
      <c r="AI18" s="8" t="inlineStr">
        <is>
          <t>No</t>
        </is>
      </c>
      <c r="AJ18" s="8" t="inlineStr">
        <is>
          <t>Built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GOS-0733</t>
        </is>
      </c>
      <c r="B19" s="8" t="inlineStr">
        <is>
          <t>G-OS</t>
        </is>
      </c>
      <c r="C19" s="5" t="inlineStr">
        <is>
          <t>Service Manager / Operations Lead</t>
        </is>
      </c>
      <c r="D19" s="5" t="inlineStr">
        <is>
          <t>Growth OS - Service Contracts &amp; AMC</t>
        </is>
      </c>
      <c r="E19" s="5" t="inlineStr">
        <is>
          <t>Automated Periodic Maintenance Service Visit Generation</t>
        </is>
      </c>
      <c r="F19" s="5" t="inlineStr">
        <is>
          <t>Service Manager / Operations Lead</t>
        </is>
      </c>
      <c r="G19" s="5" t="inlineStr">
        <is>
          <t>Field Service Technician</t>
        </is>
      </c>
      <c r="H19" s="5" t="inlineStr">
        <is>
          <t>Automatically calculates and schedules recurring preventative maintenance visits (e.g., quarterly AC filter cleaning, bi-monthly machinery servicing) across the contract active period (createContractSchedule).</t>
        </is>
      </c>
      <c r="I19" s="5" t="inlineStr">
        <is>
          <t>Populates field service technician dispatch calendars; eliminates missed contractual maintenance visits and customer SLA penalties.</t>
        </is>
      </c>
      <c r="J19" s="20" t="inlineStr">
        <is>
          <t>P1</t>
        </is>
      </c>
      <c r="K19" s="22" t="inlineStr">
        <is>
          <t>Code Complete &amp; Verified</t>
        </is>
      </c>
      <c r="L19" s="5" t="inlineStr">
        <is>
          <t>Implements createContractSchedule with idempotency header enforcement from web/src/api/growth.ts.</t>
        </is>
      </c>
      <c r="M19" s="8" t="inlineStr">
        <is>
          <t>Growth OS</t>
        </is>
      </c>
      <c r="N19" s="8" t="inlineStr">
        <is>
          <t>Growth role</t>
        </is>
      </c>
      <c r="O19" s="8" t="inlineStr">
        <is>
          <t>P1</t>
        </is>
      </c>
      <c r="P19" s="5" t="inlineStr">
        <is>
          <t>Unchanged</t>
        </is>
      </c>
      <c r="Q19" s="21" t="inlineStr">
        <is>
          <t>Code symbol found</t>
        </is>
      </c>
      <c r="R19" s="5" t="inlineStr">
        <is>
          <t>Matched createContractSchedule in product code. This is not a functional test.</t>
        </is>
      </c>
      <c r="S19" s="8" t="inlineStr">
        <is>
          <t>GOS-AMC</t>
        </is>
      </c>
      <c r="T19" s="5" t="inlineStr">
        <is>
          <t>Service contracts</t>
        </is>
      </c>
      <c r="U19" s="8" t="inlineStr"/>
      <c r="V19" s="8" t="inlineStr">
        <is>
          <t>contracts</t>
        </is>
      </c>
      <c r="W19" s="8" t="inlineStr">
        <is>
          <t>GROW</t>
        </is>
      </c>
      <c r="X19" s="5" t="inlineStr">
        <is>
          <t>Core</t>
        </is>
      </c>
      <c r="Y19" s="5" t="inlineStr">
        <is>
          <t>Named role</t>
        </is>
      </c>
      <c r="Z19" s="5" t="inlineStr">
        <is>
          <t>Medium</t>
        </is>
      </c>
      <c r="AA19" s="5" t="inlineStr">
        <is>
          <t>Medium</t>
        </is>
      </c>
      <c r="AB19" s="8" t="inlineStr">
        <is>
          <t>Low</t>
        </is>
      </c>
      <c r="AC19" s="8" t="inlineStr">
        <is>
          <t>Later</t>
        </is>
      </c>
      <c r="AD19" s="5" t="inlineStr">
        <is>
          <t>Cited in code</t>
        </is>
      </c>
      <c r="AE19" s="5" t="inlineStr">
        <is>
          <t>Not verified</t>
        </is>
      </c>
      <c r="AF19" s="5" t="inlineStr">
        <is>
          <t>Not verified</t>
        </is>
      </c>
      <c r="AG19" s="5" t="inlineStr">
        <is>
          <t>Not verified</t>
        </is>
      </c>
      <c r="AH19" s="5" t="inlineStr">
        <is>
          <t>Not verified</t>
        </is>
      </c>
      <c r="AI19" s="8" t="inlineStr">
        <is>
          <t>No</t>
        </is>
      </c>
      <c r="AJ19" s="8" t="inlineStr">
        <is>
          <t>Built - unverified</t>
        </is>
      </c>
      <c r="AK19" s="8" t="inlineStr">
        <is>
          <t>P1</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GOS-0734</t>
        </is>
      </c>
      <c r="B20" s="8" t="inlineStr">
        <is>
          <t>G-OS</t>
        </is>
      </c>
      <c r="C20" s="5" t="inlineStr">
        <is>
          <t>Field Service Technician</t>
        </is>
      </c>
      <c r="D20" s="5" t="inlineStr">
        <is>
          <t>Growth OS - Service Contracts &amp; AMC</t>
        </is>
      </c>
      <c r="E20" s="5" t="inlineStr">
        <is>
          <t>On-Site Service Event Logging &amp; Field Inspection Timeline</t>
        </is>
      </c>
      <c r="F20" s="5" t="inlineStr">
        <is>
          <t>Field Service Technician</t>
        </is>
      </c>
      <c r="G20" s="5" t="inlineStr">
        <is>
          <t>Service Manager</t>
        </is>
      </c>
      <c r="H20" s="5" t="inlineStr">
        <is>
          <t>Enables mobile field technicians to log completed preventative service visits, record meter readings, attach parts replacement details, and capture digital customer sign-offs.</t>
        </is>
      </c>
      <c r="I20" s="5" t="inlineStr">
        <is>
          <t>Builds an immutable contract timeline (contractTimeline); links service work directly to related customer support tickets for warranty compliance.</t>
        </is>
      </c>
      <c r="J20" s="20" t="inlineStr">
        <is>
          <t>P1</t>
        </is>
      </c>
      <c r="K20" s="22" t="inlineStr">
        <is>
          <t>Code Complete &amp; Verified</t>
        </is>
      </c>
      <c r="L20" s="5" t="inlineStr">
        <is>
          <t>Implements logServiceEvent, listServiceEvents, and contractTimeline APIs from web/src/api/growth.ts.</t>
        </is>
      </c>
      <c r="M20" s="8" t="inlineStr">
        <is>
          <t>Growth OS</t>
        </is>
      </c>
      <c r="N20" s="8" t="inlineStr">
        <is>
          <t>Growth role</t>
        </is>
      </c>
      <c r="O20" s="8" t="inlineStr">
        <is>
          <t>P1</t>
        </is>
      </c>
      <c r="P20" s="5" t="inlineStr">
        <is>
          <t>Unchanged</t>
        </is>
      </c>
      <c r="Q20" s="21" t="inlineStr">
        <is>
          <t>Code symbol found</t>
        </is>
      </c>
      <c r="R20" s="5" t="inlineStr">
        <is>
          <t>Matched listServiceEvents in product code. This is not a functional test.</t>
        </is>
      </c>
      <c r="S20" s="8" t="inlineStr">
        <is>
          <t>GOS-AMC</t>
        </is>
      </c>
      <c r="T20" s="5" t="inlineStr">
        <is>
          <t>Service contracts</t>
        </is>
      </c>
      <c r="U20" s="8" t="inlineStr"/>
      <c r="V20" s="8" t="inlineStr">
        <is>
          <t>contracts</t>
        </is>
      </c>
      <c r="W20" s="8" t="inlineStr">
        <is>
          <t>GROW</t>
        </is>
      </c>
      <c r="X20" s="5" t="inlineStr">
        <is>
          <t>Core</t>
        </is>
      </c>
      <c r="Y20" s="5" t="inlineStr">
        <is>
          <t>Named role</t>
        </is>
      </c>
      <c r="Z20" s="5" t="inlineStr">
        <is>
          <t>Medium</t>
        </is>
      </c>
      <c r="AA20" s="5" t="inlineStr">
        <is>
          <t>Medium</t>
        </is>
      </c>
      <c r="AB20" s="8" t="inlineStr">
        <is>
          <t>Low</t>
        </is>
      </c>
      <c r="AC20" s="8" t="inlineStr">
        <is>
          <t>Later</t>
        </is>
      </c>
      <c r="AD20" s="5" t="inlineStr">
        <is>
          <t>Cited in code</t>
        </is>
      </c>
      <c r="AE20" s="5" t="inlineStr">
        <is>
          <t>Not verified</t>
        </is>
      </c>
      <c r="AF20" s="5" t="inlineStr">
        <is>
          <t>Not verified</t>
        </is>
      </c>
      <c r="AG20" s="5" t="inlineStr">
        <is>
          <t>Not verified</t>
        </is>
      </c>
      <c r="AH20" s="5" t="inlineStr">
        <is>
          <t>Not verified</t>
        </is>
      </c>
      <c r="AI20" s="8" t="inlineStr">
        <is>
          <t>No</t>
        </is>
      </c>
      <c r="AJ20" s="8" t="inlineStr">
        <is>
          <t>Built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GOS-0735</t>
        </is>
      </c>
      <c r="B21" s="8" t="inlineStr">
        <is>
          <t>G-OS</t>
        </is>
      </c>
      <c r="C21" s="5" t="inlineStr">
        <is>
          <t>Service Manager / Inside Sales</t>
        </is>
      </c>
      <c r="D21" s="5" t="inlineStr">
        <is>
          <t>Growth OS - Service Contracts &amp; AMC</t>
        </is>
      </c>
      <c r="E21" s="5" t="inlineStr">
        <is>
          <t>Expiring Contract Automated Multi-Tier Renewal Alert Cadence</t>
        </is>
      </c>
      <c r="F21" s="5" t="inlineStr">
        <is>
          <t>Service Manager / Inside Sales</t>
        </is>
      </c>
      <c r="G21" s="5" t="inlineStr">
        <is>
          <t>Customer</t>
        </is>
      </c>
      <c r="H21" s="5" t="inlineStr">
        <is>
          <t>Dispatches automated renewal reminder notifications at 30, 15, and 7 days prior to contract expiration with pre-generated renewal quotation links via WhatsApp and email.</t>
        </is>
      </c>
      <c r="I21" s="5" t="inlineStr">
        <is>
          <t>Prevents service lapses, increases recurring contract renewal rates by &gt; 25%, and prevents customer churn to competing third-party service providers.</t>
        </is>
      </c>
      <c r="J21" s="20" t="inlineStr">
        <is>
          <t>P1</t>
        </is>
      </c>
      <c r="K21" s="22" t="inlineStr">
        <is>
          <t>Code Complete &amp; Verified</t>
        </is>
      </c>
      <c r="L21" s="5" t="inlineStr">
        <is>
          <t>Enforces renewalReminderDays field on ContractRow with automated cron digest triggers.</t>
        </is>
      </c>
      <c r="M21" s="8" t="inlineStr">
        <is>
          <t>Growth OS</t>
        </is>
      </c>
      <c r="N21" s="8" t="inlineStr">
        <is>
          <t>Growth role</t>
        </is>
      </c>
      <c r="O21" s="8" t="inlineStr">
        <is>
          <t>P1</t>
        </is>
      </c>
      <c r="P21" s="5" t="inlineStr">
        <is>
          <t>Unchanged</t>
        </is>
      </c>
      <c r="Q21" s="21" t="inlineStr">
        <is>
          <t>Code symbol found</t>
        </is>
      </c>
      <c r="R21" s="5" t="inlineStr">
        <is>
          <t>Matched renewalReminderDays in product code. This is not a functional test.</t>
        </is>
      </c>
      <c r="S21" s="8" t="inlineStr">
        <is>
          <t>GOS-AMC</t>
        </is>
      </c>
      <c r="T21" s="5" t="inlineStr">
        <is>
          <t>Service contracts</t>
        </is>
      </c>
      <c r="U21" s="8" t="inlineStr"/>
      <c r="V21" s="8" t="inlineStr">
        <is>
          <t>contracts</t>
        </is>
      </c>
      <c r="W21" s="8" t="inlineStr">
        <is>
          <t>GROW</t>
        </is>
      </c>
      <c r="X21" s="5" t="inlineStr">
        <is>
          <t>Core</t>
        </is>
      </c>
      <c r="Y21" s="5" t="inlineStr">
        <is>
          <t>Named role</t>
        </is>
      </c>
      <c r="Z21" s="5" t="inlineStr">
        <is>
          <t>Medium</t>
        </is>
      </c>
      <c r="AA21" s="5" t="inlineStr">
        <is>
          <t>Medium</t>
        </is>
      </c>
      <c r="AB21" s="8" t="inlineStr">
        <is>
          <t>Low</t>
        </is>
      </c>
      <c r="AC21" s="8" t="inlineStr">
        <is>
          <t>Later</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GOS-0736</t>
        </is>
      </c>
      <c r="B22" s="8" t="inlineStr">
        <is>
          <t>G-OS</t>
        </is>
      </c>
      <c r="C22" s="5" t="inlineStr">
        <is>
          <t>Customer Support Specialist</t>
        </is>
      </c>
      <c r="D22" s="5" t="inlineStr">
        <is>
          <t>Growth OS - Customer Care &amp; Dispute Loop</t>
        </is>
      </c>
      <c r="E22" s="5" t="inlineStr">
        <is>
          <t>Customer Defect Complaint Ingestion with Photographic Evidence</t>
        </is>
      </c>
      <c r="F22" s="5" t="inlineStr">
        <is>
          <t>Customer Support Specialist</t>
        </is>
      </c>
      <c r="G22" s="5" t="inlineStr">
        <is>
          <t>Quality Control Inspector</t>
        </is>
      </c>
      <c r="H22" s="5" t="inlineStr">
        <is>
          <t>Logs formal customer complaints (/complaints/) categorizing issues (damaged transit, wrong SKU, expired batch, billing error) linked to specific sales invoices with photo proof attachments.</t>
        </is>
      </c>
      <c r="I22" s="5" t="inlineStr">
        <is>
          <t>Establishes formal complaint investigation chain; quarantines disputed balances from aggressive dunning reminders pending quality inspection.</t>
        </is>
      </c>
      <c r="J22" s="20" t="inlineStr">
        <is>
          <t>P1</t>
        </is>
      </c>
      <c r="K22" s="22" t="inlineStr">
        <is>
          <t>Code Complete &amp; Verified</t>
        </is>
      </c>
      <c r="L22" s="5" t="inlineStr">
        <is>
          <t>Implements ComplaintRow CRUD and uploadComplaintAttachment from web/src/api/growth.ts.</t>
        </is>
      </c>
      <c r="M22" s="8" t="inlineStr">
        <is>
          <t>Growth OS</t>
        </is>
      </c>
      <c r="N22" s="8" t="inlineStr">
        <is>
          <t>Growth role</t>
        </is>
      </c>
      <c r="O22" s="8" t="inlineStr">
        <is>
          <t>P1</t>
        </is>
      </c>
      <c r="P22" s="5" t="inlineStr">
        <is>
          <t>Unchanged</t>
        </is>
      </c>
      <c r="Q22" s="21" t="inlineStr">
        <is>
          <t>Code symbol found</t>
        </is>
      </c>
      <c r="R22" s="5" t="inlineStr">
        <is>
          <t>Matched uploadComplaintAttachment in product code. This is not a functional test.</t>
        </is>
      </c>
      <c r="S22" s="8" t="inlineStr">
        <is>
          <t>GOS-CARE</t>
        </is>
      </c>
      <c r="T22" s="5" t="inlineStr">
        <is>
          <t>Customer care</t>
        </is>
      </c>
      <c r="U22" s="8" t="inlineStr"/>
      <c r="V22" s="8" t="inlineStr">
        <is>
          <t>complaints</t>
        </is>
      </c>
      <c r="W22" s="8" t="inlineStr">
        <is>
          <t>GROW</t>
        </is>
      </c>
      <c r="X22" s="5" t="inlineStr">
        <is>
          <t>Core</t>
        </is>
      </c>
      <c r="Y22" s="5" t="inlineStr">
        <is>
          <t>Named role</t>
        </is>
      </c>
      <c r="Z22" s="5" t="inlineStr">
        <is>
          <t>Medium</t>
        </is>
      </c>
      <c r="AA22" s="5" t="inlineStr">
        <is>
          <t>Medium</t>
        </is>
      </c>
      <c r="AB22" s="8" t="inlineStr">
        <is>
          <t>Low</t>
        </is>
      </c>
      <c r="AC22" s="8" t="inlineStr">
        <is>
          <t>Later</t>
        </is>
      </c>
      <c r="AD22" s="5" t="inlineStr">
        <is>
          <t>Cited in code</t>
        </is>
      </c>
      <c r="AE22" s="5" t="inlineStr">
        <is>
          <t>Not verified</t>
        </is>
      </c>
      <c r="AF22" s="5" t="inlineStr">
        <is>
          <t>Not verified</t>
        </is>
      </c>
      <c r="AG22" s="5" t="inlineStr">
        <is>
          <t>Not verified</t>
        </is>
      </c>
      <c r="AH22" s="5" t="inlineStr">
        <is>
          <t>Not verified</t>
        </is>
      </c>
      <c r="AI22" s="8" t="inlineStr">
        <is>
          <t>No</t>
        </is>
      </c>
      <c r="AJ22" s="8" t="inlineStr">
        <is>
          <t>Built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GOS-0737</t>
        </is>
      </c>
      <c r="B23" s="8" t="inlineStr">
        <is>
          <t>G-OS</t>
        </is>
      </c>
      <c r="C23" s="5" t="inlineStr">
        <is>
          <t>Customer Support / Accounts Lead</t>
        </is>
      </c>
      <c r="D23" s="5" t="inlineStr">
        <is>
          <t>Growth OS - Customer Care &amp; Dispute Loop</t>
        </is>
      </c>
      <c r="E23" s="5" t="inlineStr">
        <is>
          <t>One-Click Complaint-to-Credit Note / Return / Replacement</t>
        </is>
      </c>
      <c r="F23" s="5" t="inlineStr">
        <is>
          <t>Customer Support / Accounts Lead</t>
        </is>
      </c>
      <c r="G23" s="5" t="inlineStr">
        <is>
          <t>Store Cashier, Warehouse Lead</t>
        </is>
      </c>
      <c r="H23" s="5" t="inlineStr">
        <is>
          <t>Directly transitions an inspected, approved customer complaint into downstream operational documents in one click: GST Credit Note, Sales Return, or Zero-Value Replacement Order (complaintDocument).</t>
        </is>
      </c>
      <c r="I23" s="5" t="inlineStr">
        <is>
          <t>Eliminates duplicate manual data entry across support and billing desks; automatically updates inventory ledgers and customer khata balances simultaneously.</t>
        </is>
      </c>
      <c r="J23" s="19" t="inlineStr">
        <is>
          <t>P0</t>
        </is>
      </c>
      <c r="K23" s="22" t="inlineStr">
        <is>
          <t>Code Complete &amp; Verified</t>
        </is>
      </c>
      <c r="L23" s="5" t="inlineStr">
        <is>
          <t>Implements complaintDocument API endpoint supporting 'create-return', 'create-credit-note', and 'create-replacement-order'.</t>
        </is>
      </c>
      <c r="M23" s="8" t="inlineStr">
        <is>
          <t>Growth OS</t>
        </is>
      </c>
      <c r="N23" s="8" t="inlineStr">
        <is>
          <t>Growth role</t>
        </is>
      </c>
      <c r="O23" s="8" t="inlineStr">
        <is>
          <t>P0</t>
        </is>
      </c>
      <c r="P23" s="5" t="inlineStr">
        <is>
          <t>Unchanged</t>
        </is>
      </c>
      <c r="Q23" s="21" t="inlineStr">
        <is>
          <t>Code symbol found</t>
        </is>
      </c>
      <c r="R23" s="5" t="inlineStr">
        <is>
          <t>Matched complaintDocument in product code. This is not a functional test.</t>
        </is>
      </c>
      <c r="S23" s="8" t="inlineStr">
        <is>
          <t>GOS-CARE</t>
        </is>
      </c>
      <c r="T23" s="5" t="inlineStr">
        <is>
          <t>Customer care</t>
        </is>
      </c>
      <c r="U23" s="8" t="inlineStr"/>
      <c r="V23" s="8" t="inlineStr">
        <is>
          <t>complaints</t>
        </is>
      </c>
      <c r="W23" s="8" t="inlineStr">
        <is>
          <t>GROW</t>
        </is>
      </c>
      <c r="X23" s="5" t="inlineStr">
        <is>
          <t>Core</t>
        </is>
      </c>
      <c r="Y23" s="5" t="inlineStr">
        <is>
          <t>Named role</t>
        </is>
      </c>
      <c r="Z23" s="5" t="inlineStr">
        <is>
          <t>Medium</t>
        </is>
      </c>
      <c r="AA23" s="5" t="inlineStr">
        <is>
          <t>Medium</t>
        </is>
      </c>
      <c r="AB23" s="8" t="inlineStr">
        <is>
          <t>Low</t>
        </is>
      </c>
      <c r="AC23" s="8" t="inlineStr">
        <is>
          <t>MVP</t>
        </is>
      </c>
      <c r="AD23" s="5" t="inlineStr">
        <is>
          <t>Cited in code</t>
        </is>
      </c>
      <c r="AE23" s="5" t="inlineStr">
        <is>
          <t>Not verified</t>
        </is>
      </c>
      <c r="AF23" s="5" t="inlineStr">
        <is>
          <t>Not verified</t>
        </is>
      </c>
      <c r="AG23" s="5" t="inlineStr">
        <is>
          <t>Not verified</t>
        </is>
      </c>
      <c r="AH23" s="5" t="inlineStr">
        <is>
          <t>Not verified</t>
        </is>
      </c>
      <c r="AI23" s="8" t="inlineStr">
        <is>
          <t>No</t>
        </is>
      </c>
      <c r="AJ23" s="8" t="inlineStr">
        <is>
          <t>Built - unverified</t>
        </is>
      </c>
      <c r="AK23" s="8" t="inlineStr">
        <is>
          <t>P0</t>
        </is>
      </c>
      <c r="AL23" s="8" t="n">
        <v>6</v>
      </c>
      <c r="AM23" s="5" t="inlineStr"/>
      <c r="AN23" s="5" t="inlineStr"/>
      <c r="AO23" s="5" t="inlineStr"/>
      <c r="AP23" s="5" t="inlineStr"/>
      <c r="AQ23" s="5" t="inlineStr"/>
      <c r="AR23" s="5" t="inlineStr"/>
      <c r="AS23" s="5" t="inlineStr"/>
      <c r="AT23" s="5" t="inlineStr"/>
      <c r="AU23" s="8" t="inlineStr">
        <is>
          <t>Not run</t>
        </is>
      </c>
    </row>
    <row r="24" ht="32" customHeight="1">
      <c r="A24" s="16" t="inlineStr">
        <is>
          <t>GOS-0738</t>
        </is>
      </c>
      <c r="B24" s="8" t="inlineStr">
        <is>
          <t>G-OS</t>
        </is>
      </c>
      <c r="C24" s="5" t="inlineStr">
        <is>
          <t>Warehouse Lead / Receiving Clerk</t>
        </is>
      </c>
      <c r="D24" s="5" t="inlineStr">
        <is>
          <t>Growth OS - Customer Care &amp; Dispute Loop</t>
        </is>
      </c>
      <c r="E24" s="5" t="inlineStr">
        <is>
          <t>Supplier Quality Defect Ingestion &amp; Inward Quarantine Tagging</t>
        </is>
      </c>
      <c r="F24" s="5" t="inlineStr">
        <is>
          <t>Warehouse Lead / Receiving Clerk</t>
        </is>
      </c>
      <c r="G24" s="5" t="inlineStr">
        <is>
          <t>Purchase Manager</t>
        </is>
      </c>
      <c r="H24" s="5" t="inlineStr">
        <is>
          <t>Logs vendor defect complaints (/complaints/supplier/) upon discovering broken, short-supplied, or substandard merchandise during Goods Receipt Note (GRN) verification.</t>
        </is>
      </c>
      <c r="I24" s="5" t="inlineStr">
        <is>
          <t>Places rejected stock into physical and digital quarantine bins; prevents damaged supplier inventory from being inadvertently picked or sold to customers.</t>
        </is>
      </c>
      <c r="J24" s="20" t="inlineStr">
        <is>
          <t>P1</t>
        </is>
      </c>
      <c r="K24" s="22" t="inlineStr">
        <is>
          <t>Code Complete &amp; Verified</t>
        </is>
      </c>
      <c r="L24" s="5" t="inlineStr">
        <is>
          <t>Implements SupplierComplaintRow, transitionSupplierComplaint, and uploadSupplierComplaintAttachment from web/src/api/growth.ts.</t>
        </is>
      </c>
      <c r="M24" s="8" t="inlineStr">
        <is>
          <t>Growth OS</t>
        </is>
      </c>
      <c r="N24" s="8" t="inlineStr">
        <is>
          <t>Growth role</t>
        </is>
      </c>
      <c r="O24" s="8" t="inlineStr">
        <is>
          <t>P1</t>
        </is>
      </c>
      <c r="P24" s="5" t="inlineStr">
        <is>
          <t>Unchanged</t>
        </is>
      </c>
      <c r="Q24" s="21" t="inlineStr">
        <is>
          <t>Code symbol found</t>
        </is>
      </c>
      <c r="R24" s="5" t="inlineStr">
        <is>
          <t>Matched uploadSupplierComplaintAttachment in product code. This is not a functional test.</t>
        </is>
      </c>
      <c r="S24" s="8" t="inlineStr">
        <is>
          <t>GOS-CARE</t>
        </is>
      </c>
      <c r="T24" s="5" t="inlineStr">
        <is>
          <t>Customer care</t>
        </is>
      </c>
      <c r="U24" s="8" t="inlineStr"/>
      <c r="V24" s="8" t="inlineStr">
        <is>
          <t>complaints</t>
        </is>
      </c>
      <c r="W24" s="8" t="inlineStr">
        <is>
          <t>GROW</t>
        </is>
      </c>
      <c r="X24" s="5" t="inlineStr">
        <is>
          <t>Core</t>
        </is>
      </c>
      <c r="Y24" s="5" t="inlineStr">
        <is>
          <t>Stock</t>
        </is>
      </c>
      <c r="Z24" s="5" t="inlineStr">
        <is>
          <t>Medium</t>
        </is>
      </c>
      <c r="AA24" s="5" t="inlineStr">
        <is>
          <t>Medium</t>
        </is>
      </c>
      <c r="AB24" s="8" t="inlineStr">
        <is>
          <t>Low</t>
        </is>
      </c>
      <c r="AC24" s="8" t="inlineStr">
        <is>
          <t>Later</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6</v>
      </c>
      <c r="AM24" s="5" t="inlineStr"/>
      <c r="AN24" s="5" t="inlineStr"/>
      <c r="AO24" s="5" t="inlineStr"/>
      <c r="AP24" s="5" t="inlineStr"/>
      <c r="AQ24" s="5" t="inlineStr"/>
      <c r="AR24" s="5" t="inlineStr"/>
      <c r="AS24" s="5" t="inlineStr"/>
      <c r="AT24" s="5" t="inlineStr"/>
      <c r="AU24" s="8" t="inlineStr">
        <is>
          <t>Not run</t>
        </is>
      </c>
    </row>
    <row r="25" ht="32" customHeight="1">
      <c r="A25" s="16" t="inlineStr">
        <is>
          <t>GOS-0739</t>
        </is>
      </c>
      <c r="B25" s="8" t="inlineStr">
        <is>
          <t>G-OS</t>
        </is>
      </c>
      <c r="C25" s="5" t="inlineStr">
        <is>
          <t>Purchase Manager / Finance Lead</t>
        </is>
      </c>
      <c r="D25" s="5" t="inlineStr">
        <is>
          <t>Growth OS - Customer Care &amp; Dispute Loop</t>
        </is>
      </c>
      <c r="E25" s="5" t="inlineStr">
        <is>
          <t>One-Click Supplier Complaint-to-Purchase Debit Note Engine</t>
        </is>
      </c>
      <c r="F25" s="5" t="inlineStr">
        <is>
          <t>Purchase Manager / Finance Lead</t>
        </is>
      </c>
      <c r="G25" s="5" t="inlineStr">
        <is>
          <t>Accountant, Vendor</t>
        </is>
      </c>
      <c r="H25" s="5" t="inlineStr">
        <is>
          <t>Converts approved supplier quality rejections directly into official GST Purchase Debit Notes (createSupplierDebitNote) with itemized tax reversals.</t>
        </is>
      </c>
      <c r="I25" s="5" t="inlineStr">
        <is>
          <t>Instantly debits the vendor's ledger balance; guarantees recovery of funds or credit for defective inward materials before paying upcoming supplier invoices.</t>
        </is>
      </c>
      <c r="J25" s="19" t="inlineStr">
        <is>
          <t>P0</t>
        </is>
      </c>
      <c r="K25" s="22" t="inlineStr">
        <is>
          <t>Code Complete &amp; Verified</t>
        </is>
      </c>
      <c r="L25" s="5" t="inlineStr">
        <is>
          <t>Implements createSupplierDebitNote API from web/src/api/growth.ts with idempotency protection.</t>
        </is>
      </c>
      <c r="M25" s="8" t="inlineStr">
        <is>
          <t>Growth OS</t>
        </is>
      </c>
      <c r="N25" s="8" t="inlineStr">
        <is>
          <t>Growth role</t>
        </is>
      </c>
      <c r="O25" s="8" t="inlineStr">
        <is>
          <t>P0</t>
        </is>
      </c>
      <c r="P25" s="5" t="inlineStr">
        <is>
          <t>Unchanged</t>
        </is>
      </c>
      <c r="Q25" s="21" t="inlineStr">
        <is>
          <t>Code symbol found</t>
        </is>
      </c>
      <c r="R25" s="5" t="inlineStr">
        <is>
          <t>Matched createSupplierDebitNote in product code. This is not a functional test.</t>
        </is>
      </c>
      <c r="S25" s="8" t="inlineStr">
        <is>
          <t>GOS-CARE</t>
        </is>
      </c>
      <c r="T25" s="5" t="inlineStr">
        <is>
          <t>Customer care</t>
        </is>
      </c>
      <c r="U25" s="8" t="inlineStr"/>
      <c r="V25" s="8" t="inlineStr">
        <is>
          <t>complaints</t>
        </is>
      </c>
      <c r="W25" s="8" t="inlineStr">
        <is>
          <t>GROW</t>
        </is>
      </c>
      <c r="X25" s="5" t="inlineStr">
        <is>
          <t>Core</t>
        </is>
      </c>
      <c r="Y25" s="5" t="inlineStr">
        <is>
          <t>Buyer</t>
        </is>
      </c>
      <c r="Z25" s="5" t="inlineStr">
        <is>
          <t>Medium</t>
        </is>
      </c>
      <c r="AA25" s="5" t="inlineStr">
        <is>
          <t>Medium</t>
        </is>
      </c>
      <c r="AB25" s="8" t="inlineStr">
        <is>
          <t>Low</t>
        </is>
      </c>
      <c r="AC25" s="8" t="inlineStr">
        <is>
          <t>MVP</t>
        </is>
      </c>
      <c r="AD25" s="5" t="inlineStr">
        <is>
          <t>Cited in code</t>
        </is>
      </c>
      <c r="AE25" s="5" t="inlineStr">
        <is>
          <t>Not verified</t>
        </is>
      </c>
      <c r="AF25" s="5" t="inlineStr">
        <is>
          <t>Not verified</t>
        </is>
      </c>
      <c r="AG25" s="5" t="inlineStr">
        <is>
          <t>Not verified</t>
        </is>
      </c>
      <c r="AH25" s="5" t="inlineStr">
        <is>
          <t>Not verified</t>
        </is>
      </c>
      <c r="AI25" s="8" t="inlineStr">
        <is>
          <t>No</t>
        </is>
      </c>
      <c r="AJ25" s="8" t="inlineStr">
        <is>
          <t>Built - unverified</t>
        </is>
      </c>
      <c r="AK25" s="8" t="inlineStr">
        <is>
          <t>P0</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GOS-0740</t>
        </is>
      </c>
      <c r="B26" s="8" t="inlineStr">
        <is>
          <t>G-OS</t>
        </is>
      </c>
      <c r="C26" s="5" t="inlineStr">
        <is>
          <t>Business Owner / Managing Director</t>
        </is>
      </c>
      <c r="D26" s="5" t="inlineStr">
        <is>
          <t>Growth OS - Customer Intelligence</t>
        </is>
      </c>
      <c r="E26" s="5" t="inlineStr">
        <is>
          <t>Customer 360 Living Dossier &amp; Automated Growth Hints Aggregation</t>
        </is>
      </c>
      <c r="F26" s="5" t="inlineStr">
        <is>
          <t>Business Owner / Managing Director</t>
        </is>
      </c>
      <c r="G26" s="5" t="inlineStr">
        <is>
          <t>Sales Manager, Finance Manager</t>
        </is>
      </c>
      <c r="H26" s="5" t="inlineStr">
        <is>
          <t>Synthesizes a single-pane executive dossier (Customer360Page.tsx) aggregating lifetime purchase value, average collection lag, open receivables, active AMCs, and complaint history.</t>
        </is>
      </c>
      <c r="I26" s="5" t="inlineStr">
        <is>
          <t>Surfaces automated Growth Hints (customer revenue concentration &gt; 40%, SKU margin compression &lt; 5%, excessive manual discounts, dead-stock capital liberation) to protect margins and drive expansion.</t>
        </is>
      </c>
      <c r="J26" s="20" t="inlineStr">
        <is>
          <t>P1</t>
        </is>
      </c>
      <c r="K26" s="22" t="inlineStr">
        <is>
          <t>Code Complete &amp; Verified</t>
        </is>
      </c>
      <c r="L26" s="5" t="inlineStr">
        <is>
          <t>Integrates Customer360Page.tsx with build_growth_hints() service layer from backend/insights/services.py.</t>
        </is>
      </c>
      <c r="M26" s="8" t="inlineStr">
        <is>
          <t>Growth OS</t>
        </is>
      </c>
      <c r="N26" s="8" t="inlineStr">
        <is>
          <t>Growth role</t>
        </is>
      </c>
      <c r="O26" s="8" t="inlineStr">
        <is>
          <t>P1</t>
        </is>
      </c>
      <c r="P26" s="5" t="inlineStr">
        <is>
          <t>Unchanged</t>
        </is>
      </c>
      <c r="Q26" s="21" t="inlineStr">
        <is>
          <t>Code symbol found</t>
        </is>
      </c>
      <c r="R26" s="5" t="inlineStr">
        <is>
          <t>Matched build_growth_hints in product code. This is not a functional test.</t>
        </is>
      </c>
      <c r="S26" s="8" t="inlineStr">
        <is>
          <t>GOS-360</t>
        </is>
      </c>
      <c r="T26" s="5" t="inlineStr">
        <is>
          <t>Customer intelligence</t>
        </is>
      </c>
      <c r="U26" s="8" t="inlineStr"/>
      <c r="V26" s="8" t="inlineStr">
        <is>
          <t>insights</t>
        </is>
      </c>
      <c r="W26" s="8" t="inlineStr">
        <is>
          <t>GROW</t>
        </is>
      </c>
      <c r="X26" s="5" t="inlineStr">
        <is>
          <t>Core</t>
        </is>
      </c>
      <c r="Y26" s="5" t="inlineStr">
        <is>
          <t>Named role</t>
        </is>
      </c>
      <c r="Z26" s="5" t="inlineStr">
        <is>
          <t>Medium</t>
        </is>
      </c>
      <c r="AA26" s="5" t="inlineStr">
        <is>
          <t>Medium</t>
        </is>
      </c>
      <c r="AB26" s="8" t="inlineStr">
        <is>
          <t>Low</t>
        </is>
      </c>
      <c r="AC26" s="8" t="inlineStr">
        <is>
          <t>Later</t>
        </is>
      </c>
      <c r="AD26" s="5" t="inlineStr">
        <is>
          <t>Cited in code</t>
        </is>
      </c>
      <c r="AE26" s="5" t="inlineStr">
        <is>
          <t>Not verified</t>
        </is>
      </c>
      <c r="AF26" s="5" t="inlineStr">
        <is>
          <t>Not verified</t>
        </is>
      </c>
      <c r="AG26" s="5" t="inlineStr">
        <is>
          <t>Not verified</t>
        </is>
      </c>
      <c r="AH26" s="5" t="inlineStr">
        <is>
          <t>Not verified</t>
        </is>
      </c>
      <c r="AI26" s="8" t="inlineStr">
        <is>
          <t>No</t>
        </is>
      </c>
      <c r="AJ26" s="8" t="inlineStr">
        <is>
          <t>Built - unverified</t>
        </is>
      </c>
      <c r="AK26" s="8" t="inlineStr">
        <is>
          <t>P1</t>
        </is>
      </c>
      <c r="AL26" s="8" t="n">
        <v>6</v>
      </c>
      <c r="AM26" s="5" t="inlineStr"/>
      <c r="AN26" s="5" t="inlineStr"/>
      <c r="AO26" s="5" t="inlineStr"/>
      <c r="AP26" s="5" t="inlineStr"/>
      <c r="AQ26" s="5" t="inlineStr"/>
      <c r="AR26" s="5" t="inlineStr"/>
      <c r="AS26" s="5" t="inlineStr"/>
      <c r="AT26" s="5" t="inlineStr"/>
      <c r="AU26"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6.xml><?xml version="1.0" encoding="utf-8"?>
<worksheet xmlns="http://schemas.openxmlformats.org/spreadsheetml/2006/main">
  <sheetPr>
    <tabColor rgb="0000695C"/>
    <outlinePr summaryBelow="1" summaryRight="1"/>
    <pageSetUpPr fitToPage="1"/>
  </sheetPr>
  <dimension ref="A1:AU31"/>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8" t="inlineStr">
        <is>
          <t>Task ID</t>
        </is>
      </c>
      <c r="B1" s="28" t="inlineStr">
        <is>
          <t>Task Type</t>
        </is>
      </c>
      <c r="C1" s="28" t="inlineStr">
        <is>
          <t>Persona / Scope</t>
        </is>
      </c>
      <c r="D1" s="28" t="inlineStr">
        <is>
          <t>Category</t>
        </is>
      </c>
      <c r="E1" s="28" t="inlineStr">
        <is>
          <t>Task / Business Action</t>
        </is>
      </c>
      <c r="F1" s="28" t="inlineStr">
        <is>
          <t>Primary Actor</t>
        </is>
      </c>
      <c r="G1" s="28" t="inlineStr">
        <is>
          <t>Supporting Persona(s)</t>
        </is>
      </c>
      <c r="H1" s="28" t="inlineStr">
        <is>
          <t>Business Outcome</t>
        </is>
      </c>
      <c r="I1" s="28" t="inlineStr">
        <is>
          <t>Downstream Impact</t>
        </is>
      </c>
      <c r="J1" s="28" t="inlineStr">
        <is>
          <t>Priority</t>
        </is>
      </c>
      <c r="K1" s="28" t="inlineStr">
        <is>
          <t>Validation Status</t>
        </is>
      </c>
      <c r="L1" s="28" t="inlineStr">
        <is>
          <t>Notes</t>
        </is>
      </c>
      <c r="M1" s="28" t="inlineStr">
        <is>
          <t>Register slice</t>
        </is>
      </c>
      <c r="N1" s="28" t="inlineStr">
        <is>
          <t>Scope class</t>
        </is>
      </c>
      <c r="O1" s="28" t="inlineStr">
        <is>
          <t>Authored priority</t>
        </is>
      </c>
      <c r="P1" s="28" t="inlineStr">
        <is>
          <t>Priority decision</t>
        </is>
      </c>
      <c r="Q1" s="28" t="inlineStr">
        <is>
          <t>Review outcome</t>
        </is>
      </c>
      <c r="R1" s="28" t="inlineStr">
        <is>
          <t>Audit note</t>
        </is>
      </c>
      <c r="S1" s="28" t="inlineStr">
        <is>
          <t>Flow ID</t>
        </is>
      </c>
      <c r="T1" s="28" t="inlineStr">
        <is>
          <t>Flow name</t>
        </is>
      </c>
      <c r="U1" s="28" t="inlineStr">
        <is>
          <t>Flow step</t>
        </is>
      </c>
      <c r="V1" s="28" t="inlineStr">
        <is>
          <t>Module</t>
        </is>
      </c>
      <c r="W1" s="28" t="inlineStr">
        <is>
          <t>OS layer</t>
        </is>
      </c>
      <c r="X1" s="28" t="inlineStr">
        <is>
          <t>Capability class</t>
        </is>
      </c>
      <c r="Y1" s="28" t="inlineStr">
        <is>
          <t>Canonical role</t>
        </is>
      </c>
      <c r="Z1" s="28" t="inlineStr">
        <is>
          <t>Business criticality</t>
        </is>
      </c>
      <c r="AA1" s="28" t="inlineStr">
        <is>
          <t>Failure impact</t>
        </is>
      </c>
      <c r="AB1" s="28" t="inlineStr">
        <is>
          <t>Compliance impact</t>
        </is>
      </c>
      <c r="AC1" s="28" t="inlineStr">
        <is>
          <t>Release gate</t>
        </is>
      </c>
      <c r="AD1" s="28" t="inlineStr">
        <is>
          <t>Code evidence</t>
        </is>
      </c>
      <c r="AE1" s="28" t="inlineStr">
        <is>
          <t>Integrity evidence</t>
        </is>
      </c>
      <c r="AF1" s="28" t="inlineStr">
        <is>
          <t>Recovery evidence</t>
        </is>
      </c>
      <c r="AG1" s="28" t="inlineStr">
        <is>
          <t>Security evidence</t>
        </is>
      </c>
      <c r="AH1" s="28" t="inlineStr">
        <is>
          <t>Concurrency evidence</t>
        </is>
      </c>
      <c r="AI1" s="28" t="inlineStr">
        <is>
          <t>OS ready</t>
        </is>
      </c>
      <c r="AJ1" s="28" t="inlineStr">
        <is>
          <t>Work status</t>
        </is>
      </c>
      <c r="AK1" s="28" t="inlineStr">
        <is>
          <t>Proposed priority</t>
        </is>
      </c>
      <c r="AL1" s="28" t="inlineStr">
        <is>
          <t>Risk score</t>
        </is>
      </c>
      <c r="AM1" s="28" t="inlineStr">
        <is>
          <t>Owner</t>
        </is>
      </c>
      <c r="AN1" s="28" t="inlineStr">
        <is>
          <t>Target date</t>
        </is>
      </c>
      <c r="AO1" s="28" t="inlineStr">
        <is>
          <t>Estimate days</t>
        </is>
      </c>
      <c r="AP1" s="28" t="inlineStr">
        <is>
          <t>Depends on</t>
        </is>
      </c>
      <c r="AQ1" s="28" t="inlineStr">
        <is>
          <t>Blocked by</t>
        </is>
      </c>
      <c r="AR1" s="28" t="inlineStr">
        <is>
          <t>Test case ID</t>
        </is>
      </c>
      <c r="AS1" s="28" t="inlineStr">
        <is>
          <t>Last verified</t>
        </is>
      </c>
      <c r="AT1" s="28" t="inlineStr">
        <is>
          <t>Verified by</t>
        </is>
      </c>
      <c r="AU1" s="28" t="inlineStr">
        <is>
          <t>Verification result</t>
        </is>
      </c>
    </row>
    <row r="2" ht="32" customHeight="1">
      <c r="A2" s="16" t="inlineStr">
        <is>
          <t>F-0741</t>
        </is>
      </c>
      <c r="B2" s="8" t="inlineStr">
        <is>
          <t>F</t>
        </is>
      </c>
      <c r="C2" s="5" t="inlineStr">
        <is>
          <t>Accountant / GST Operator</t>
        </is>
      </c>
      <c r="D2" s="5" t="inlineStr">
        <is>
          <t>Payroll &amp; Statutory Dues</t>
        </is>
      </c>
      <c r="E2" s="5" t="inlineStr">
        <is>
          <t>Register an employee with a unique code and contracted salary</t>
        </is>
      </c>
      <c r="F2" s="5" t="inlineStr">
        <is>
          <t>Payroll clerk</t>
        </is>
      </c>
      <c r="G2" s="5" t="inlineStr">
        <is>
          <t>Business owner</t>
        </is>
      </c>
      <c r="H2" s="5" t="inlineStr">
        <is>
          <t>The month can be paid only for people who are on the employee list</t>
        </is>
      </c>
      <c r="I2" s="5" t="inlineStr">
        <is>
          <t>Employee is stored once per company code and starts ACTIVE</t>
        </is>
      </c>
      <c r="J2" s="20" t="inlineStr">
        <is>
          <t>P1</t>
        </is>
      </c>
      <c r="K2" s="21" t="inlineStr">
        <is>
          <t>In product</t>
        </is>
      </c>
      <c r="L2" s="5" t="inlineStr">
        <is>
          <t>uniq_employee_code_per_company on Employee. Payroll is a preview, not a full HRMS.</t>
        </is>
      </c>
      <c r="M2" s="8" t="inlineStr">
        <is>
          <t>Added flows</t>
        </is>
      </c>
      <c r="N2" s="8" t="inlineStr">
        <is>
          <t>Operational role</t>
        </is>
      </c>
      <c r="O2" s="8" t="inlineStr">
        <is>
          <t>P1</t>
        </is>
      </c>
      <c r="P2" s="5" t="inlineStr">
        <is>
          <t>Unchanged</t>
        </is>
      </c>
      <c r="Q2" s="21" t="inlineStr">
        <is>
          <t>Code symbol found</t>
        </is>
      </c>
      <c r="R2" s="5" t="inlineStr">
        <is>
          <t>Matched uniq_employee_code_per_company in product code. This is not a functional test.</t>
        </is>
      </c>
      <c r="S2" s="8" t="inlineStr">
        <is>
          <t>PAY</t>
        </is>
      </c>
      <c r="T2" s="5" t="inlineStr">
        <is>
          <t>Pay the month</t>
        </is>
      </c>
      <c r="U2" s="8" t="inlineStr">
        <is>
          <t>1</t>
        </is>
      </c>
      <c r="V2" s="8" t="inlineStr">
        <is>
          <t>payroll</t>
        </is>
      </c>
      <c r="W2" s="8" t="inlineStr">
        <is>
          <t>CONTROL</t>
        </is>
      </c>
      <c r="X2" s="5" t="inlineStr">
        <is>
          <t>Vertical extension</t>
        </is>
      </c>
      <c r="Y2" s="5" t="inlineStr">
        <is>
          <t>Accountant</t>
        </is>
      </c>
      <c r="Z2" s="5" t="inlineStr">
        <is>
          <t>Critical</t>
        </is>
      </c>
      <c r="AA2" s="5" t="inlineStr">
        <is>
          <t>High</t>
        </is>
      </c>
      <c r="AB2" s="8" t="inlineStr">
        <is>
          <t>High</t>
        </is>
      </c>
      <c r="AC2" s="8" t="inlineStr">
        <is>
          <t>Later</t>
        </is>
      </c>
      <c r="AD2" s="5" t="inlineStr">
        <is>
          <t>Cited in code</t>
        </is>
      </c>
      <c r="AE2" s="5" t="inlineStr">
        <is>
          <t>Not verified</t>
        </is>
      </c>
      <c r="AF2" s="5" t="inlineStr">
        <is>
          <t>Not verified</t>
        </is>
      </c>
      <c r="AG2" s="5" t="inlineStr">
        <is>
          <t>Not verified</t>
        </is>
      </c>
      <c r="AH2" s="5" t="inlineStr">
        <is>
          <t>Not verified</t>
        </is>
      </c>
      <c r="AI2" s="8" t="inlineStr">
        <is>
          <t>No</t>
        </is>
      </c>
      <c r="AJ2" s="8" t="inlineStr">
        <is>
          <t>Built - unverified</t>
        </is>
      </c>
      <c r="AK2" s="8" t="inlineStr">
        <is>
          <t>P1</t>
        </is>
      </c>
      <c r="AL2" s="8" t="n">
        <v>18</v>
      </c>
      <c r="AM2" s="5" t="inlineStr"/>
      <c r="AN2" s="5" t="inlineStr"/>
      <c r="AO2" s="5" t="inlineStr"/>
      <c r="AP2" s="5" t="inlineStr"/>
      <c r="AQ2" s="5" t="inlineStr"/>
      <c r="AR2" s="5" t="inlineStr"/>
      <c r="AS2" s="5" t="inlineStr"/>
      <c r="AT2" s="5" t="inlineStr"/>
      <c r="AU2" s="8" t="inlineStr">
        <is>
          <t>Not run</t>
        </is>
      </c>
    </row>
    <row r="3" ht="32" customHeight="1">
      <c r="A3" s="16" t="inlineStr">
        <is>
          <t>F-0742</t>
        </is>
      </c>
      <c r="B3" s="8" t="inlineStr">
        <is>
          <t>F</t>
        </is>
      </c>
      <c r="C3" s="5" t="inlineStr">
        <is>
          <t>Accountant / GST Operator</t>
        </is>
      </c>
      <c r="D3" s="5" t="inlineStr">
        <is>
          <t>Payroll &amp; Statutory Dues</t>
        </is>
      </c>
      <c r="E3" s="5" t="inlineStr">
        <is>
          <t>Set PF applicability, basic, DA, and the PF wage ceiling</t>
        </is>
      </c>
      <c r="F3" s="5" t="inlineStr">
        <is>
          <t>Payroll clerk</t>
        </is>
      </c>
      <c r="G3" s="5" t="inlineStr">
        <is>
          <t>External CA</t>
        </is>
      </c>
      <c r="H3" s="5" t="inlineStr">
        <is>
          <t>PF is calculated on basic plus DA when those amounts are set</t>
        </is>
      </c>
      <c r="I3" s="5" t="inlineStr">
        <is>
          <t>When basic and DA are both zero, PF falls back to the contracted gross</t>
        </is>
      </c>
      <c r="J3" s="20" t="inlineStr">
        <is>
          <t>P1</t>
        </is>
      </c>
      <c r="K3" s="21" t="inlineStr">
        <is>
          <t>In product</t>
        </is>
      </c>
      <c r="L3" s="5" t="inlineStr">
        <is>
          <t>compute_statutory uses Employee.basic, Employee.da, and pf_wage_ceiling.</t>
        </is>
      </c>
      <c r="M3" s="8" t="inlineStr">
        <is>
          <t>Added flows</t>
        </is>
      </c>
      <c r="N3" s="8" t="inlineStr">
        <is>
          <t>Operational role</t>
        </is>
      </c>
      <c r="O3" s="8" t="inlineStr">
        <is>
          <t>P1</t>
        </is>
      </c>
      <c r="P3" s="5" t="inlineStr">
        <is>
          <t>Unchanged</t>
        </is>
      </c>
      <c r="Q3" s="21" t="inlineStr">
        <is>
          <t>Code symbol found</t>
        </is>
      </c>
      <c r="R3" s="5" t="inlineStr">
        <is>
          <t>Matched compute_statutory in product code. This is not a functional test.</t>
        </is>
      </c>
      <c r="S3" s="8" t="inlineStr">
        <is>
          <t>PAY</t>
        </is>
      </c>
      <c r="T3" s="5" t="inlineStr">
        <is>
          <t>Pay the month</t>
        </is>
      </c>
      <c r="U3" s="8" t="inlineStr">
        <is>
          <t>2</t>
        </is>
      </c>
      <c r="V3" s="8" t="inlineStr">
        <is>
          <t>payroll</t>
        </is>
      </c>
      <c r="W3" s="8" t="inlineStr">
        <is>
          <t>CONTROL</t>
        </is>
      </c>
      <c r="X3" s="5" t="inlineStr">
        <is>
          <t>Vertical extension</t>
        </is>
      </c>
      <c r="Y3" s="5" t="inlineStr">
        <is>
          <t>Accountant</t>
        </is>
      </c>
      <c r="Z3" s="5" t="inlineStr">
        <is>
          <t>Critical</t>
        </is>
      </c>
      <c r="AA3" s="5" t="inlineStr">
        <is>
          <t>High</t>
        </is>
      </c>
      <c r="AB3" s="8" t="inlineStr">
        <is>
          <t>High</t>
        </is>
      </c>
      <c r="AC3" s="8" t="inlineStr">
        <is>
          <t>Later</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P1</t>
        </is>
      </c>
      <c r="AL3" s="8" t="n">
        <v>18</v>
      </c>
      <c r="AM3" s="5" t="inlineStr"/>
      <c r="AN3" s="5" t="inlineStr"/>
      <c r="AO3" s="5" t="inlineStr"/>
      <c r="AP3" s="5" t="inlineStr">
        <is>
          <t>F-0741</t>
        </is>
      </c>
      <c r="AQ3" s="5" t="inlineStr"/>
      <c r="AR3" s="5" t="inlineStr"/>
      <c r="AS3" s="5" t="inlineStr"/>
      <c r="AT3" s="5" t="inlineStr"/>
      <c r="AU3" s="8" t="inlineStr">
        <is>
          <t>Not run</t>
        </is>
      </c>
    </row>
    <row r="4" ht="32" customHeight="1">
      <c r="A4" s="16" t="inlineStr">
        <is>
          <t>F-0743</t>
        </is>
      </c>
      <c r="B4" s="8" t="inlineStr">
        <is>
          <t>F</t>
        </is>
      </c>
      <c r="C4" s="5" t="inlineStr">
        <is>
          <t>Accountant / GST Operator</t>
        </is>
      </c>
      <c r="D4" s="5" t="inlineStr">
        <is>
          <t>Payroll &amp; Statutory Dues</t>
        </is>
      </c>
      <c r="E4" s="5" t="inlineStr">
        <is>
          <t>Set ESI, professional-tax state, and the section 192 tax regime</t>
        </is>
      </c>
      <c r="F4" s="5" t="inlineStr">
        <is>
          <t>Payroll clerk</t>
        </is>
      </c>
      <c r="G4" s="5" t="inlineStr">
        <is>
          <t>External CA</t>
        </is>
      </c>
      <c r="H4" s="5" t="inlineStr">
        <is>
          <t>ESI, PT, and TDS on the slip follow the employee flags</t>
        </is>
      </c>
      <c r="I4" s="5" t="inlineStr">
        <is>
          <t>New regime can project TDS from contracted gross. Old regime without a flat rate does not apply Chapter VI-A</t>
        </is>
      </c>
      <c r="J4" s="20" t="inlineStr">
        <is>
          <t>P1</t>
        </is>
      </c>
      <c r="K4" s="21" t="inlineStr">
        <is>
          <t>In product</t>
        </is>
      </c>
      <c r="L4" s="5" t="inlineStr">
        <is>
          <t>Employee.tax_regime and compute_statutory. Chapter VI-A declarations are not collected.</t>
        </is>
      </c>
      <c r="M4" s="8" t="inlineStr">
        <is>
          <t>Added flows</t>
        </is>
      </c>
      <c r="N4" s="8" t="inlineStr">
        <is>
          <t>Operational role</t>
        </is>
      </c>
      <c r="O4" s="8" t="inlineStr">
        <is>
          <t>P1</t>
        </is>
      </c>
      <c r="P4" s="5" t="inlineStr">
        <is>
          <t>Unchanged</t>
        </is>
      </c>
      <c r="Q4" s="21" t="inlineStr">
        <is>
          <t>Code symbol found</t>
        </is>
      </c>
      <c r="R4" s="5" t="inlineStr">
        <is>
          <t>Matched compute_statutory in product code. This is not a functional test.</t>
        </is>
      </c>
      <c r="S4" s="8" t="inlineStr">
        <is>
          <t>PAY</t>
        </is>
      </c>
      <c r="T4" s="5" t="inlineStr">
        <is>
          <t>Pay the month</t>
        </is>
      </c>
      <c r="U4" s="8" t="inlineStr">
        <is>
          <t>3</t>
        </is>
      </c>
      <c r="V4" s="8" t="inlineStr">
        <is>
          <t>payroll</t>
        </is>
      </c>
      <c r="W4" s="8" t="inlineStr">
        <is>
          <t>CONTROL</t>
        </is>
      </c>
      <c r="X4" s="5" t="inlineStr">
        <is>
          <t>Vertical extension</t>
        </is>
      </c>
      <c r="Y4" s="5" t="inlineStr">
        <is>
          <t>Accountant</t>
        </is>
      </c>
      <c r="Z4" s="5" t="inlineStr">
        <is>
          <t>Critical</t>
        </is>
      </c>
      <c r="AA4" s="5" t="inlineStr">
        <is>
          <t>High</t>
        </is>
      </c>
      <c r="AB4" s="8" t="inlineStr">
        <is>
          <t>High</t>
        </is>
      </c>
      <c r="AC4" s="8" t="inlineStr">
        <is>
          <t>Later</t>
        </is>
      </c>
      <c r="AD4" s="5" t="inlineStr">
        <is>
          <t>Cited in code</t>
        </is>
      </c>
      <c r="AE4" s="5" t="inlineStr">
        <is>
          <t>Not verified</t>
        </is>
      </c>
      <c r="AF4" s="5" t="inlineStr">
        <is>
          <t>Not verified</t>
        </is>
      </c>
      <c r="AG4" s="5" t="inlineStr">
        <is>
          <t>Not verified</t>
        </is>
      </c>
      <c r="AH4" s="5" t="inlineStr">
        <is>
          <t>Not verified</t>
        </is>
      </c>
      <c r="AI4" s="8" t="inlineStr">
        <is>
          <t>No</t>
        </is>
      </c>
      <c r="AJ4" s="8" t="inlineStr">
        <is>
          <t>Built - unverified</t>
        </is>
      </c>
      <c r="AK4" s="8" t="inlineStr">
        <is>
          <t>P1</t>
        </is>
      </c>
      <c r="AL4" s="8" t="n">
        <v>18</v>
      </c>
      <c r="AM4" s="5" t="inlineStr"/>
      <c r="AN4" s="5" t="inlineStr"/>
      <c r="AO4" s="5" t="inlineStr"/>
      <c r="AP4" s="5" t="inlineStr">
        <is>
          <t>F-0742</t>
        </is>
      </c>
      <c r="AQ4" s="5" t="inlineStr"/>
      <c r="AR4" s="5" t="inlineStr"/>
      <c r="AS4" s="5" t="inlineStr"/>
      <c r="AT4" s="5" t="inlineStr"/>
      <c r="AU4" s="8" t="inlineStr">
        <is>
          <t>Not run</t>
        </is>
      </c>
    </row>
    <row r="5" ht="32" customHeight="1">
      <c r="A5" s="16" t="inlineStr">
        <is>
          <t>F-0744</t>
        </is>
      </c>
      <c r="B5" s="8" t="inlineStr">
        <is>
          <t>F</t>
        </is>
      </c>
      <c r="C5" s="5" t="inlineStr">
        <is>
          <t>Accountant / GST Operator</t>
        </is>
      </c>
      <c r="D5" s="5" t="inlineStr">
        <is>
          <t>Payroll &amp; Statutory Dues</t>
        </is>
      </c>
      <c r="E5" s="5" t="inlineStr">
        <is>
          <t>Open one draft pay run for a calendar month</t>
        </is>
      </c>
      <c r="F5" s="5" t="inlineStr">
        <is>
          <t>Payroll clerk</t>
        </is>
      </c>
      <c r="G5" s="5" t="inlineStr">
        <is>
          <t>Business owner</t>
        </is>
      </c>
      <c r="H5" s="5" t="inlineStr">
        <is>
          <t>A month has a single pay run to complete</t>
        </is>
      </c>
      <c r="I5" s="5" t="inlineStr">
        <is>
          <t>PayRun.period is YYYY-MM and is unique per company</t>
        </is>
      </c>
      <c r="J5" s="20" t="inlineStr">
        <is>
          <t>P1</t>
        </is>
      </c>
      <c r="K5" s="21" t="inlineStr">
        <is>
          <t>In product</t>
        </is>
      </c>
      <c r="L5" s="5" t="inlineStr">
        <is>
          <t>uniq_payrun_period_per_company. PayRun status starts DRAFT.</t>
        </is>
      </c>
      <c r="M5" s="8" t="inlineStr">
        <is>
          <t>Added flows</t>
        </is>
      </c>
      <c r="N5" s="8" t="inlineStr">
        <is>
          <t>Operational role</t>
        </is>
      </c>
      <c r="O5" s="8" t="inlineStr">
        <is>
          <t>P1</t>
        </is>
      </c>
      <c r="P5" s="5" t="inlineStr">
        <is>
          <t>Unchanged</t>
        </is>
      </c>
      <c r="Q5" s="21" t="inlineStr">
        <is>
          <t>Code symbol found</t>
        </is>
      </c>
      <c r="R5" s="5" t="inlineStr">
        <is>
          <t>Matched uniq_payrun_period_per_company in product code. This is not a functional test.</t>
        </is>
      </c>
      <c r="S5" s="8" t="inlineStr">
        <is>
          <t>PAY</t>
        </is>
      </c>
      <c r="T5" s="5" t="inlineStr">
        <is>
          <t>Pay the month</t>
        </is>
      </c>
      <c r="U5" s="8" t="inlineStr">
        <is>
          <t>4</t>
        </is>
      </c>
      <c r="V5" s="8" t="inlineStr">
        <is>
          <t>payroll</t>
        </is>
      </c>
      <c r="W5" s="8" t="inlineStr">
        <is>
          <t>CONTROL</t>
        </is>
      </c>
      <c r="X5" s="5" t="inlineStr">
        <is>
          <t>Vertical extension</t>
        </is>
      </c>
      <c r="Y5" s="5" t="inlineStr">
        <is>
          <t>Accountant</t>
        </is>
      </c>
      <c r="Z5" s="5" t="inlineStr">
        <is>
          <t>Critical</t>
        </is>
      </c>
      <c r="AA5" s="5" t="inlineStr">
        <is>
          <t>High</t>
        </is>
      </c>
      <c r="AB5" s="8" t="inlineStr">
        <is>
          <t>High</t>
        </is>
      </c>
      <c r="AC5" s="8" t="inlineStr">
        <is>
          <t>Later</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18</v>
      </c>
      <c r="AM5" s="5" t="inlineStr"/>
      <c r="AN5" s="5" t="inlineStr"/>
      <c r="AO5" s="5" t="inlineStr"/>
      <c r="AP5" s="5" t="inlineStr">
        <is>
          <t>F-0743</t>
        </is>
      </c>
      <c r="AQ5" s="5" t="inlineStr"/>
      <c r="AR5" s="5" t="inlineStr"/>
      <c r="AS5" s="5" t="inlineStr"/>
      <c r="AT5" s="5" t="inlineStr"/>
      <c r="AU5" s="8" t="inlineStr">
        <is>
          <t>Not run</t>
        </is>
      </c>
    </row>
    <row r="6" ht="32" customHeight="1">
      <c r="A6" s="16" t="inlineStr">
        <is>
          <t>F-0745</t>
        </is>
      </c>
      <c r="B6" s="8" t="inlineStr">
        <is>
          <t>F</t>
        </is>
      </c>
      <c r="C6" s="5" t="inlineStr">
        <is>
          <t>Accountant / GST Operator</t>
        </is>
      </c>
      <c r="D6" s="5" t="inlineStr">
        <is>
          <t>Payroll &amp; Statutory Dues</t>
        </is>
      </c>
      <c r="E6" s="5" t="inlineStr">
        <is>
          <t>Enter paid days so a partial month prorates gross and statutory dues</t>
        </is>
      </c>
      <c r="F6" s="5" t="inlineStr">
        <is>
          <t>Payroll clerk</t>
        </is>
      </c>
      <c r="G6" s="5" t="inlineStr">
        <is>
          <t>Attendance keeper</t>
        </is>
      </c>
      <c r="H6" s="5" t="inlineStr">
        <is>
          <t>Loss of pay reduces the slip instead of paying a full month</t>
        </is>
      </c>
      <c r="I6" s="5" t="inlineStr">
        <is>
          <t>paid_days below the calendar days in the month prorates gross, PF, ESI, and PT</t>
        </is>
      </c>
      <c r="J6" s="20" t="inlineStr">
        <is>
          <t>P1</t>
        </is>
      </c>
      <c r="K6" s="21" t="inlineStr">
        <is>
          <t>In product</t>
        </is>
      </c>
      <c r="L6" s="5" t="inlineStr">
        <is>
          <t>PaySlip.paid_days. complete_pay_run starts from contracted salary so proration is applied once.</t>
        </is>
      </c>
      <c r="M6" s="8" t="inlineStr">
        <is>
          <t>Added flows</t>
        </is>
      </c>
      <c r="N6" s="8" t="inlineStr">
        <is>
          <t>Operational role</t>
        </is>
      </c>
      <c r="O6" s="8" t="inlineStr">
        <is>
          <t>P1</t>
        </is>
      </c>
      <c r="P6" s="5" t="inlineStr">
        <is>
          <t>Unchanged</t>
        </is>
      </c>
      <c r="Q6" s="21" t="inlineStr">
        <is>
          <t>Code symbol found</t>
        </is>
      </c>
      <c r="R6" s="5" t="inlineStr">
        <is>
          <t>Matched complete_pay_run in product code. This is not a functional test.</t>
        </is>
      </c>
      <c r="S6" s="8" t="inlineStr">
        <is>
          <t>PAY</t>
        </is>
      </c>
      <c r="T6" s="5" t="inlineStr">
        <is>
          <t>Pay the month</t>
        </is>
      </c>
      <c r="U6" s="8" t="inlineStr">
        <is>
          <t>5</t>
        </is>
      </c>
      <c r="V6" s="8" t="inlineStr">
        <is>
          <t>payroll</t>
        </is>
      </c>
      <c r="W6" s="8" t="inlineStr">
        <is>
          <t>CONTROL</t>
        </is>
      </c>
      <c r="X6" s="5" t="inlineStr">
        <is>
          <t>Vertical extension</t>
        </is>
      </c>
      <c r="Y6" s="5" t="inlineStr">
        <is>
          <t>Accountant</t>
        </is>
      </c>
      <c r="Z6" s="5" t="inlineStr">
        <is>
          <t>Critical</t>
        </is>
      </c>
      <c r="AA6" s="5" t="inlineStr">
        <is>
          <t>High</t>
        </is>
      </c>
      <c r="AB6" s="8" t="inlineStr">
        <is>
          <t>High</t>
        </is>
      </c>
      <c r="AC6" s="8" t="inlineStr">
        <is>
          <t>Later</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18</v>
      </c>
      <c r="AM6" s="5" t="inlineStr"/>
      <c r="AN6" s="5" t="inlineStr"/>
      <c r="AO6" s="5" t="inlineStr"/>
      <c r="AP6" s="5" t="inlineStr">
        <is>
          <t>F-0744</t>
        </is>
      </c>
      <c r="AQ6" s="5" t="inlineStr"/>
      <c r="AR6" s="5" t="inlineStr"/>
      <c r="AS6" s="5" t="inlineStr"/>
      <c r="AT6" s="5" t="inlineStr"/>
      <c r="AU6" s="8" t="inlineStr">
        <is>
          <t>Not run</t>
        </is>
      </c>
    </row>
    <row r="7" ht="32" customHeight="1">
      <c r="A7" s="16" t="inlineStr">
        <is>
          <t>F-0746</t>
        </is>
      </c>
      <c r="B7" s="8" t="inlineStr">
        <is>
          <t>F</t>
        </is>
      </c>
      <c r="C7" s="5" t="inlineStr">
        <is>
          <t>Accountant / GST Operator</t>
        </is>
      </c>
      <c r="D7" s="5" t="inlineStr">
        <is>
          <t>Payroll &amp; Statutory Dues</t>
        </is>
      </c>
      <c r="E7" s="5" t="inlineStr">
        <is>
          <t>Complete the pay run and keep one payslip per active employee</t>
        </is>
      </c>
      <c r="F7" s="5" t="inlineStr">
        <is>
          <t>Payroll clerk</t>
        </is>
      </c>
      <c r="G7" s="5" t="inlineStr">
        <is>
          <t>Business owner</t>
        </is>
      </c>
      <c r="H7" s="5" t="inlineStr">
        <is>
          <t>The month is closed for pay and can be reopened only through the pay-run actions</t>
        </is>
      </c>
      <c r="I7" s="5" t="inlineStr">
        <is>
          <t>complete_pay_run writes PaySlip rows and can pay from cash. A completed run cannot be completed again</t>
        </is>
      </c>
      <c r="J7" s="19" t="inlineStr">
        <is>
          <t>P0</t>
        </is>
      </c>
      <c r="K7" s="21" t="inlineStr">
        <is>
          <t>In product</t>
        </is>
      </c>
      <c r="L7" s="5" t="inlineStr">
        <is>
          <t>complete_pay_run. There are no bonus, arrear, advance, or one-off deduction lines on a slip.</t>
        </is>
      </c>
      <c r="M7" s="8" t="inlineStr">
        <is>
          <t>Added flows</t>
        </is>
      </c>
      <c r="N7" s="8" t="inlineStr">
        <is>
          <t>Operational role</t>
        </is>
      </c>
      <c r="O7" s="8" t="inlineStr">
        <is>
          <t>P0</t>
        </is>
      </c>
      <c r="P7" s="5" t="inlineStr">
        <is>
          <t>Unchanged</t>
        </is>
      </c>
      <c r="Q7" s="21" t="inlineStr">
        <is>
          <t>Code symbol found</t>
        </is>
      </c>
      <c r="R7" s="5" t="inlineStr">
        <is>
          <t>Matched complete_pay_run in product code. This is not a functional test.</t>
        </is>
      </c>
      <c r="S7" s="8" t="inlineStr">
        <is>
          <t>PAY</t>
        </is>
      </c>
      <c r="T7" s="5" t="inlineStr">
        <is>
          <t>Pay the month</t>
        </is>
      </c>
      <c r="U7" s="8" t="inlineStr">
        <is>
          <t>6</t>
        </is>
      </c>
      <c r="V7" s="8" t="inlineStr">
        <is>
          <t>payroll</t>
        </is>
      </c>
      <c r="W7" s="8" t="inlineStr">
        <is>
          <t>CONTROL</t>
        </is>
      </c>
      <c r="X7" s="5" t="inlineStr">
        <is>
          <t>Vertical extension</t>
        </is>
      </c>
      <c r="Y7" s="5" t="inlineStr">
        <is>
          <t>Accountant</t>
        </is>
      </c>
      <c r="Z7" s="5" t="inlineStr">
        <is>
          <t>Critical</t>
        </is>
      </c>
      <c r="AA7" s="5" t="inlineStr">
        <is>
          <t>High</t>
        </is>
      </c>
      <c r="AB7" s="8" t="inlineStr">
        <is>
          <t>High</t>
        </is>
      </c>
      <c r="AC7" s="8" t="inlineStr">
        <is>
          <t>MVP</t>
        </is>
      </c>
      <c r="AD7" s="5" t="inlineStr">
        <is>
          <t>Cited in code</t>
        </is>
      </c>
      <c r="AE7" s="5" t="inlineStr">
        <is>
          <t>Not verified</t>
        </is>
      </c>
      <c r="AF7" s="5" t="inlineStr">
        <is>
          <t>Not verified</t>
        </is>
      </c>
      <c r="AG7" s="5" t="inlineStr">
        <is>
          <t>Not verified</t>
        </is>
      </c>
      <c r="AH7" s="5" t="inlineStr">
        <is>
          <t>Not verified</t>
        </is>
      </c>
      <c r="AI7" s="8" t="inlineStr">
        <is>
          <t>No</t>
        </is>
      </c>
      <c r="AJ7" s="8" t="inlineStr">
        <is>
          <t>Built - unverified</t>
        </is>
      </c>
      <c r="AK7" s="8" t="inlineStr">
        <is>
          <t>P0</t>
        </is>
      </c>
      <c r="AL7" s="8" t="n">
        <v>18</v>
      </c>
      <c r="AM7" s="5" t="inlineStr"/>
      <c r="AN7" s="5" t="inlineStr"/>
      <c r="AO7" s="5" t="inlineStr"/>
      <c r="AP7" s="5" t="inlineStr">
        <is>
          <t>F-0745</t>
        </is>
      </c>
      <c r="AQ7" s="5" t="inlineStr"/>
      <c r="AR7" s="5" t="inlineStr"/>
      <c r="AS7" s="5" t="inlineStr"/>
      <c r="AT7" s="5" t="inlineStr"/>
      <c r="AU7" s="8" t="inlineStr">
        <is>
          <t>Not run</t>
        </is>
      </c>
    </row>
    <row r="8" ht="32" customHeight="1">
      <c r="A8" s="16" t="inlineStr">
        <is>
          <t>F-0747</t>
        </is>
      </c>
      <c r="B8" s="8" t="inlineStr">
        <is>
          <t>F</t>
        </is>
      </c>
      <c r="C8" s="5" t="inlineStr">
        <is>
          <t>Accountant / GST Operator</t>
        </is>
      </c>
      <c r="D8" s="5" t="inlineStr">
        <is>
          <t>Payroll &amp; Statutory Dues</t>
        </is>
      </c>
      <c r="E8" s="5" t="inlineStr">
        <is>
          <t>Read the employer PF split and employer ESI on the payslip</t>
        </is>
      </c>
      <c r="F8" s="5" t="inlineStr">
        <is>
          <t>Payroll clerk</t>
        </is>
      </c>
      <c r="G8" s="5" t="inlineStr">
        <is>
          <t>External CA</t>
        </is>
      </c>
      <c r="H8" s="5" t="inlineStr">
        <is>
          <t>The employer can see EPS, EPF, admin, and EDLI besides the employee deduction</t>
        </is>
      </c>
      <c r="I8" s="5" t="inlineStr">
        <is>
          <t>PaySlip stores pf_employer_eps, pf_employer_epf, pf_admin_charges, edli_charges, and esi_employer</t>
        </is>
      </c>
      <c r="J8" s="20" t="inlineStr">
        <is>
          <t>P1</t>
        </is>
      </c>
      <c r="K8" s="21" t="inlineStr">
        <is>
          <t>In product</t>
        </is>
      </c>
      <c r="L8" s="5" t="inlineStr">
        <is>
          <t>pf_employer_eps, pf_employer_epf, pf_admin_charges, and edli_charges are on PaySlip. This is not an EPFO return file.</t>
        </is>
      </c>
      <c r="M8" s="8" t="inlineStr">
        <is>
          <t>Added flows</t>
        </is>
      </c>
      <c r="N8" s="8" t="inlineStr">
        <is>
          <t>Operational role</t>
        </is>
      </c>
      <c r="O8" s="8" t="inlineStr">
        <is>
          <t>P1</t>
        </is>
      </c>
      <c r="P8" s="5" t="inlineStr">
        <is>
          <t>Unchanged</t>
        </is>
      </c>
      <c r="Q8" s="21" t="inlineStr">
        <is>
          <t>Code symbol found</t>
        </is>
      </c>
      <c r="R8" s="5" t="inlineStr">
        <is>
          <t>Matched pf_admin_charges in product code. This is not a functional test.</t>
        </is>
      </c>
      <c r="S8" s="8" t="inlineStr">
        <is>
          <t>PAY</t>
        </is>
      </c>
      <c r="T8" s="5" t="inlineStr">
        <is>
          <t>Pay the month</t>
        </is>
      </c>
      <c r="U8" s="8" t="inlineStr">
        <is>
          <t>7</t>
        </is>
      </c>
      <c r="V8" s="8" t="inlineStr">
        <is>
          <t>payroll</t>
        </is>
      </c>
      <c r="W8" s="8" t="inlineStr">
        <is>
          <t>CONTROL</t>
        </is>
      </c>
      <c r="X8" s="5" t="inlineStr">
        <is>
          <t>Vertical extension</t>
        </is>
      </c>
      <c r="Y8" s="5" t="inlineStr">
        <is>
          <t>Accountant</t>
        </is>
      </c>
      <c r="Z8" s="5" t="inlineStr">
        <is>
          <t>Critical</t>
        </is>
      </c>
      <c r="AA8" s="5" t="inlineStr">
        <is>
          <t>High</t>
        </is>
      </c>
      <c r="AB8" s="8" t="inlineStr">
        <is>
          <t>High</t>
        </is>
      </c>
      <c r="AC8" s="8" t="inlineStr">
        <is>
          <t>Later</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18</v>
      </c>
      <c r="AM8" s="5" t="inlineStr"/>
      <c r="AN8" s="5" t="inlineStr"/>
      <c r="AO8" s="5" t="inlineStr"/>
      <c r="AP8" s="5" t="inlineStr">
        <is>
          <t>F-0746</t>
        </is>
      </c>
      <c r="AQ8" s="5" t="inlineStr"/>
      <c r="AR8" s="5" t="inlineStr"/>
      <c r="AS8" s="5" t="inlineStr"/>
      <c r="AT8" s="5" t="inlineStr"/>
      <c r="AU8" s="8" t="inlineStr">
        <is>
          <t>Not run</t>
        </is>
      </c>
    </row>
    <row r="9" ht="32" customHeight="1">
      <c r="A9" s="16" t="inlineStr">
        <is>
          <t>F-0748</t>
        </is>
      </c>
      <c r="B9" s="8" t="inlineStr">
        <is>
          <t>F</t>
        </is>
      </c>
      <c r="C9" s="5" t="inlineStr">
        <is>
          <t>Workshop Supervisor</t>
        </is>
      </c>
      <c r="D9" s="5" t="inlineStr">
        <is>
          <t>Workshop Job</t>
        </is>
      </c>
      <c r="E9" s="5" t="inlineStr">
        <is>
          <t>Open a job card for a customer complaint</t>
        </is>
      </c>
      <c r="F9" s="5" t="inlineStr">
        <is>
          <t>Service advisor</t>
        </is>
      </c>
      <c r="G9" s="5" t="inlineStr">
        <is>
          <t>Customer</t>
        </is>
      </c>
      <c r="H9" s="5" t="inlineStr">
        <is>
          <t>The workshop has a numbered job before any parts are issued</t>
        </is>
      </c>
      <c r="I9" s="5" t="inlineStr">
        <is>
          <t>JobCard starts DRAFT and stores the complaint text</t>
        </is>
      </c>
      <c r="J9" s="20" t="inlineStr">
        <is>
          <t>P1</t>
        </is>
      </c>
      <c r="K9" s="21" t="inlineStr">
        <is>
          <t>In product</t>
        </is>
      </c>
      <c r="L9" s="5" t="inlineStr">
        <is>
          <t>uniq_jobcard_number_per_company on JobCard.</t>
        </is>
      </c>
      <c r="M9" s="8" t="inlineStr">
        <is>
          <t>Added flows</t>
        </is>
      </c>
      <c r="N9" s="8" t="inlineStr">
        <is>
          <t>Named role</t>
        </is>
      </c>
      <c r="O9" s="8" t="inlineStr">
        <is>
          <t>P1</t>
        </is>
      </c>
      <c r="P9" s="5" t="inlineStr">
        <is>
          <t>Unchanged</t>
        </is>
      </c>
      <c r="Q9" s="21" t="inlineStr">
        <is>
          <t>Code symbol found</t>
        </is>
      </c>
      <c r="R9" s="5" t="inlineStr">
        <is>
          <t>Matched uniq_jobcard_number_per_company in product code. This is not a functional test.</t>
        </is>
      </c>
      <c r="S9" s="8" t="inlineStr">
        <is>
          <t>JOB</t>
        </is>
      </c>
      <c r="T9" s="5" t="inlineStr">
        <is>
          <t>Run a workshop job</t>
        </is>
      </c>
      <c r="U9" s="8" t="inlineStr">
        <is>
          <t>1</t>
        </is>
      </c>
      <c r="V9" s="8" t="inlineStr">
        <is>
          <t>workshop</t>
        </is>
      </c>
      <c r="W9" s="8" t="inlineStr">
        <is>
          <t>RUN</t>
        </is>
      </c>
      <c r="X9" s="5" t="inlineStr">
        <is>
          <t>Vertical extension</t>
        </is>
      </c>
      <c r="Y9" s="5" t="inlineStr">
        <is>
          <t>Service</t>
        </is>
      </c>
      <c r="Z9" s="5" t="inlineStr">
        <is>
          <t>Medium</t>
        </is>
      </c>
      <c r="AA9" s="5" t="inlineStr">
        <is>
          <t>Medium</t>
        </is>
      </c>
      <c r="AB9" s="8" t="inlineStr">
        <is>
          <t>Low</t>
        </is>
      </c>
      <c r="AC9" s="8" t="inlineStr">
        <is>
          <t>Later</t>
        </is>
      </c>
      <c r="AD9" s="5" t="inlineStr">
        <is>
          <t>Cited in code</t>
        </is>
      </c>
      <c r="AE9" s="5" t="inlineStr">
        <is>
          <t>Not verified</t>
        </is>
      </c>
      <c r="AF9" s="5" t="inlineStr">
        <is>
          <t>Not verified</t>
        </is>
      </c>
      <c r="AG9" s="5" t="inlineStr">
        <is>
          <t>Not verified</t>
        </is>
      </c>
      <c r="AH9" s="5" t="inlineStr">
        <is>
          <t>Not verified</t>
        </is>
      </c>
      <c r="AI9" s="8" t="inlineStr">
        <is>
          <t>No</t>
        </is>
      </c>
      <c r="AJ9" s="8" t="inlineStr">
        <is>
          <t>Built - unverified</t>
        </is>
      </c>
      <c r="AK9" s="8" t="inlineStr">
        <is>
          <t>P1</t>
        </is>
      </c>
      <c r="AL9" s="8" t="n">
        <v>4</v>
      </c>
      <c r="AM9" s="5" t="inlineStr"/>
      <c r="AN9" s="5" t="inlineStr"/>
      <c r="AO9" s="5" t="inlineStr"/>
      <c r="AP9" s="5" t="inlineStr"/>
      <c r="AQ9" s="5" t="inlineStr"/>
      <c r="AR9" s="5" t="inlineStr"/>
      <c r="AS9" s="5" t="inlineStr"/>
      <c r="AT9" s="5" t="inlineStr"/>
      <c r="AU9" s="8" t="inlineStr">
        <is>
          <t>Not run</t>
        </is>
      </c>
    </row>
    <row r="10" ht="32" customHeight="1">
      <c r="A10" s="16" t="inlineStr">
        <is>
          <t>F-0749</t>
        </is>
      </c>
      <c r="B10" s="8" t="inlineStr">
        <is>
          <t>F</t>
        </is>
      </c>
      <c r="C10" s="5" t="inlineStr">
        <is>
          <t>Workshop Supervisor</t>
        </is>
      </c>
      <c r="D10" s="5" t="inlineStr">
        <is>
          <t>Workshop Job</t>
        </is>
      </c>
      <c r="E10" s="5" t="inlineStr">
        <is>
          <t>Assign a technician and mark the job in progress</t>
        </is>
      </c>
      <c r="F10" s="5" t="inlineStr">
        <is>
          <t>Service advisor</t>
        </is>
      </c>
      <c r="G10" s="5" t="inlineStr">
        <is>
          <t>Technician</t>
        </is>
      </c>
      <c r="H10" s="5" t="inlineStr">
        <is>
          <t>Someone owns the job while it is open</t>
        </is>
      </c>
      <c r="I10" s="5" t="inlineStr">
        <is>
          <t>JobCard.technician points at a company user. Status can move to IN_PROGRESS</t>
        </is>
      </c>
      <c r="J10" s="20" t="inlineStr">
        <is>
          <t>P1</t>
        </is>
      </c>
      <c r="K10" s="21" t="inlineStr">
        <is>
          <t>In product</t>
        </is>
      </c>
      <c r="L10" s="5" t="inlineStr">
        <is>
          <t>JobCard.technician is a CompanyUser. Status can be IN_PROGRESS.</t>
        </is>
      </c>
      <c r="M10" s="8" t="inlineStr">
        <is>
          <t>Added flows</t>
        </is>
      </c>
      <c r="N10" s="8" t="inlineStr">
        <is>
          <t>Named role</t>
        </is>
      </c>
      <c r="O10" s="8" t="inlineStr">
        <is>
          <t>P1</t>
        </is>
      </c>
      <c r="P10" s="5" t="inlineStr">
        <is>
          <t>Unchanged</t>
        </is>
      </c>
      <c r="Q10" s="21" t="inlineStr">
        <is>
          <t>Code symbol found</t>
        </is>
      </c>
      <c r="R10" s="5" t="inlineStr">
        <is>
          <t>Matched CompanyUser in product code. This is not a functional test.</t>
        </is>
      </c>
      <c r="S10" s="8" t="inlineStr">
        <is>
          <t>JOB</t>
        </is>
      </c>
      <c r="T10" s="5" t="inlineStr">
        <is>
          <t>Run a workshop job</t>
        </is>
      </c>
      <c r="U10" s="8" t="inlineStr">
        <is>
          <t>2</t>
        </is>
      </c>
      <c r="V10" s="8" t="inlineStr">
        <is>
          <t>workshop</t>
        </is>
      </c>
      <c r="W10" s="8" t="inlineStr">
        <is>
          <t>RUN</t>
        </is>
      </c>
      <c r="X10" s="5" t="inlineStr">
        <is>
          <t>Vertical extension</t>
        </is>
      </c>
      <c r="Y10" s="5" t="inlineStr">
        <is>
          <t>Service</t>
        </is>
      </c>
      <c r="Z10" s="5" t="inlineStr">
        <is>
          <t>Medium</t>
        </is>
      </c>
      <c r="AA10" s="5" t="inlineStr">
        <is>
          <t>Medium</t>
        </is>
      </c>
      <c r="AB10" s="8" t="inlineStr">
        <is>
          <t>Low</t>
        </is>
      </c>
      <c r="AC10" s="8" t="inlineStr">
        <is>
          <t>Later</t>
        </is>
      </c>
      <c r="AD10" s="5" t="inlineStr">
        <is>
          <t>Cited in code</t>
        </is>
      </c>
      <c r="AE10" s="5" t="inlineStr">
        <is>
          <t>Not verified</t>
        </is>
      </c>
      <c r="AF10" s="5" t="inlineStr">
        <is>
          <t>Not verified</t>
        </is>
      </c>
      <c r="AG10" s="5" t="inlineStr">
        <is>
          <t>Not verified</t>
        </is>
      </c>
      <c r="AH10" s="5" t="inlineStr">
        <is>
          <t>Not verified</t>
        </is>
      </c>
      <c r="AI10" s="8" t="inlineStr">
        <is>
          <t>No</t>
        </is>
      </c>
      <c r="AJ10" s="8" t="inlineStr">
        <is>
          <t>Built - unverified</t>
        </is>
      </c>
      <c r="AK10" s="8" t="inlineStr">
        <is>
          <t>P1</t>
        </is>
      </c>
      <c r="AL10" s="8" t="n">
        <v>4</v>
      </c>
      <c r="AM10" s="5" t="inlineStr"/>
      <c r="AN10" s="5" t="inlineStr"/>
      <c r="AO10" s="5" t="inlineStr"/>
      <c r="AP10" s="5" t="inlineStr">
        <is>
          <t>F-0748</t>
        </is>
      </c>
      <c r="AQ10" s="5" t="inlineStr"/>
      <c r="AR10" s="5" t="inlineStr"/>
      <c r="AS10" s="5" t="inlineStr"/>
      <c r="AT10" s="5" t="inlineStr"/>
      <c r="AU10" s="8" t="inlineStr">
        <is>
          <t>Not run</t>
        </is>
      </c>
    </row>
    <row r="11" ht="32" customHeight="1">
      <c r="A11" s="16" t="inlineStr">
        <is>
          <t>F-0750</t>
        </is>
      </c>
      <c r="B11" s="8" t="inlineStr">
        <is>
          <t>F</t>
        </is>
      </c>
      <c r="C11" s="5" t="inlineStr">
        <is>
          <t>Workshop Supervisor</t>
        </is>
      </c>
      <c r="D11" s="5" t="inlineStr">
        <is>
          <t>Workshop Job</t>
        </is>
      </c>
      <c r="E11" s="5" t="inlineStr">
        <is>
          <t>Add part lines and labour lines, including a serial when the part is tracked</t>
        </is>
      </c>
      <c r="F11" s="5" t="inlineStr">
        <is>
          <t>Technician</t>
        </is>
      </c>
      <c r="G11" s="5" t="inlineStr">
        <is>
          <t>Stores</t>
        </is>
      </c>
      <c r="H11" s="5" t="inlineStr">
        <is>
          <t>The invoice can be built from the job instead of typed again</t>
        </is>
      </c>
      <c r="I11" s="5" t="inlineStr">
        <is>
          <t>JobCardLine kind is PART or LABOUR and can reference a serial</t>
        </is>
      </c>
      <c r="J11" s="20" t="inlineStr">
        <is>
          <t>P1</t>
        </is>
      </c>
      <c r="K11" s="21" t="inlineStr">
        <is>
          <t>In product</t>
        </is>
      </c>
      <c r="L11" s="5" t="inlineStr">
        <is>
          <t>JobCardLine. A job with no lines cannot be invoiced.</t>
        </is>
      </c>
      <c r="M11" s="8" t="inlineStr">
        <is>
          <t>Added flows</t>
        </is>
      </c>
      <c r="N11" s="8" t="inlineStr">
        <is>
          <t>Named role</t>
        </is>
      </c>
      <c r="O11" s="8" t="inlineStr">
        <is>
          <t>P1</t>
        </is>
      </c>
      <c r="P11" s="5" t="inlineStr">
        <is>
          <t>Unchanged</t>
        </is>
      </c>
      <c r="Q11" s="21" t="inlineStr">
        <is>
          <t>Code symbol found</t>
        </is>
      </c>
      <c r="R11" s="5" t="inlineStr">
        <is>
          <t>Matched JobCardLine in product code. This is not a functional test.</t>
        </is>
      </c>
      <c r="S11" s="8" t="inlineStr">
        <is>
          <t>JOB</t>
        </is>
      </c>
      <c r="T11" s="5" t="inlineStr">
        <is>
          <t>Run a workshop job</t>
        </is>
      </c>
      <c r="U11" s="8" t="inlineStr">
        <is>
          <t>3</t>
        </is>
      </c>
      <c r="V11" s="8" t="inlineStr">
        <is>
          <t>workshop</t>
        </is>
      </c>
      <c r="W11" s="8" t="inlineStr">
        <is>
          <t>RUN</t>
        </is>
      </c>
      <c r="X11" s="5" t="inlineStr">
        <is>
          <t>Vertical extension</t>
        </is>
      </c>
      <c r="Y11" s="5" t="inlineStr">
        <is>
          <t>Service</t>
        </is>
      </c>
      <c r="Z11" s="5" t="inlineStr">
        <is>
          <t>Medium</t>
        </is>
      </c>
      <c r="AA11" s="5" t="inlineStr">
        <is>
          <t>Medium</t>
        </is>
      </c>
      <c r="AB11" s="8" t="inlineStr">
        <is>
          <t>Low</t>
        </is>
      </c>
      <c r="AC11" s="8" t="inlineStr">
        <is>
          <t>Later</t>
        </is>
      </c>
      <c r="AD11" s="5" t="inlineStr">
        <is>
          <t>Cited in code</t>
        </is>
      </c>
      <c r="AE11" s="5" t="inlineStr">
        <is>
          <t>Not verified</t>
        </is>
      </c>
      <c r="AF11" s="5" t="inlineStr">
        <is>
          <t>Not verified</t>
        </is>
      </c>
      <c r="AG11" s="5" t="inlineStr">
        <is>
          <t>Not verified</t>
        </is>
      </c>
      <c r="AH11" s="5" t="inlineStr">
        <is>
          <t>Not verified</t>
        </is>
      </c>
      <c r="AI11" s="8" t="inlineStr">
        <is>
          <t>No</t>
        </is>
      </c>
      <c r="AJ11" s="8" t="inlineStr">
        <is>
          <t>Built - unverified</t>
        </is>
      </c>
      <c r="AK11" s="8" t="inlineStr">
        <is>
          <t>P1</t>
        </is>
      </c>
      <c r="AL11" s="8" t="n">
        <v>4</v>
      </c>
      <c r="AM11" s="5" t="inlineStr"/>
      <c r="AN11" s="5" t="inlineStr"/>
      <c r="AO11" s="5" t="inlineStr"/>
      <c r="AP11" s="5" t="inlineStr">
        <is>
          <t>F-0749</t>
        </is>
      </c>
      <c r="AQ11" s="5" t="inlineStr"/>
      <c r="AR11" s="5" t="inlineStr"/>
      <c r="AS11" s="5" t="inlineStr"/>
      <c r="AT11" s="5" t="inlineStr"/>
      <c r="AU11" s="8" t="inlineStr">
        <is>
          <t>Not run</t>
        </is>
      </c>
    </row>
    <row r="12" ht="32" customHeight="1">
      <c r="A12" s="16" t="inlineStr">
        <is>
          <t>F-0751</t>
        </is>
      </c>
      <c r="B12" s="8" t="inlineStr">
        <is>
          <t>F</t>
        </is>
      </c>
      <c r="C12" s="5" t="inlineStr">
        <is>
          <t>Workshop Supervisor</t>
        </is>
      </c>
      <c r="D12" s="5" t="inlineStr">
        <is>
          <t>Workshop Job</t>
        </is>
      </c>
      <c r="E12" s="5" t="inlineStr">
        <is>
          <t>Convert the job card into a sales invoice</t>
        </is>
      </c>
      <c r="F12" s="5" t="inlineStr">
        <is>
          <t>Service advisor</t>
        </is>
      </c>
      <c r="G12" s="5" t="inlineStr">
        <is>
          <t>Cashier</t>
        </is>
      </c>
      <c r="H12" s="5" t="inlineStr">
        <is>
          <t>Parts and labour become a GST invoice linked back to the job</t>
        </is>
      </c>
      <c r="I12" s="5" t="inlineStr">
        <is>
          <t>convert_to_invoice creates a draft SalesInvoice and sets the job to INVOICED</t>
        </is>
      </c>
      <c r="J12" s="20" t="inlineStr">
        <is>
          <t>P1</t>
        </is>
      </c>
      <c r="K12" s="21" t="inlineStr">
        <is>
          <t>In product</t>
        </is>
      </c>
      <c r="L12" s="5" t="inlineStr">
        <is>
          <t>convert_to_invoice in backend/workshop/services.py. A second call returns the same invoice.</t>
        </is>
      </c>
      <c r="M12" s="8" t="inlineStr">
        <is>
          <t>Added flows</t>
        </is>
      </c>
      <c r="N12" s="8" t="inlineStr">
        <is>
          <t>Named role</t>
        </is>
      </c>
      <c r="O12" s="8" t="inlineStr">
        <is>
          <t>P1</t>
        </is>
      </c>
      <c r="P12" s="5" t="inlineStr">
        <is>
          <t>Unchanged</t>
        </is>
      </c>
      <c r="Q12" s="21" t="inlineStr">
        <is>
          <t>Code symbol found</t>
        </is>
      </c>
      <c r="R12" s="5" t="inlineStr">
        <is>
          <t>Matched convert_to_invoice in product code. This is not a functional test.</t>
        </is>
      </c>
      <c r="S12" s="8" t="inlineStr">
        <is>
          <t>JOB</t>
        </is>
      </c>
      <c r="T12" s="5" t="inlineStr">
        <is>
          <t>Run a workshop job</t>
        </is>
      </c>
      <c r="U12" s="8" t="inlineStr">
        <is>
          <t>4</t>
        </is>
      </c>
      <c r="V12" s="8" t="inlineStr">
        <is>
          <t>workshop</t>
        </is>
      </c>
      <c r="W12" s="8" t="inlineStr">
        <is>
          <t>RUN</t>
        </is>
      </c>
      <c r="X12" s="5" t="inlineStr">
        <is>
          <t>Vertical extension</t>
        </is>
      </c>
      <c r="Y12" s="5" t="inlineStr">
        <is>
          <t>Service</t>
        </is>
      </c>
      <c r="Z12" s="5" t="inlineStr">
        <is>
          <t>Medium</t>
        </is>
      </c>
      <c r="AA12" s="5" t="inlineStr">
        <is>
          <t>Medium</t>
        </is>
      </c>
      <c r="AB12" s="8" t="inlineStr">
        <is>
          <t>Low</t>
        </is>
      </c>
      <c r="AC12" s="8" t="inlineStr">
        <is>
          <t>Later</t>
        </is>
      </c>
      <c r="AD12" s="5" t="inlineStr">
        <is>
          <t>Cited in code</t>
        </is>
      </c>
      <c r="AE12" s="5" t="inlineStr">
        <is>
          <t>Not verified</t>
        </is>
      </c>
      <c r="AF12" s="5" t="inlineStr">
        <is>
          <t>Not verified</t>
        </is>
      </c>
      <c r="AG12" s="5" t="inlineStr">
        <is>
          <t>Not verified</t>
        </is>
      </c>
      <c r="AH12" s="5" t="inlineStr">
        <is>
          <t>Not verified</t>
        </is>
      </c>
      <c r="AI12" s="8" t="inlineStr">
        <is>
          <t>No</t>
        </is>
      </c>
      <c r="AJ12" s="8" t="inlineStr">
        <is>
          <t>Built - unverified</t>
        </is>
      </c>
      <c r="AK12" s="8" t="inlineStr">
        <is>
          <t>P1</t>
        </is>
      </c>
      <c r="AL12" s="8" t="n">
        <v>4</v>
      </c>
      <c r="AM12" s="5" t="inlineStr"/>
      <c r="AN12" s="5" t="inlineStr"/>
      <c r="AO12" s="5" t="inlineStr"/>
      <c r="AP12" s="5" t="inlineStr">
        <is>
          <t>F-0750</t>
        </is>
      </c>
      <c r="AQ12" s="5" t="inlineStr"/>
      <c r="AR12" s="5" t="inlineStr"/>
      <c r="AS12" s="5" t="inlineStr"/>
      <c r="AT12" s="5" t="inlineStr"/>
      <c r="AU12" s="8" t="inlineStr">
        <is>
          <t>Not run</t>
        </is>
      </c>
    </row>
    <row r="13" ht="32" customHeight="1">
      <c r="A13" s="16" t="inlineStr">
        <is>
          <t>F-0752</t>
        </is>
      </c>
      <c r="B13" s="8" t="inlineStr">
        <is>
          <t>F</t>
        </is>
      </c>
      <c r="C13" s="5" t="inlineStr">
        <is>
          <t>Workshop Supervisor</t>
        </is>
      </c>
      <c r="D13" s="5" t="inlineStr">
        <is>
          <t>Workshop Job</t>
        </is>
      </c>
      <c r="E13" s="5" t="inlineStr">
        <is>
          <t>Cancel a job card that will not be billed</t>
        </is>
      </c>
      <c r="F13" s="5" t="inlineStr">
        <is>
          <t>Service advisor</t>
        </is>
      </c>
      <c r="G13" s="5" t="inlineStr">
        <is>
          <t>Customer</t>
        </is>
      </c>
      <c r="H13" s="5" t="inlineStr">
        <is>
          <t>Abandoned jobs stay out of the invoice list</t>
        </is>
      </c>
      <c r="I13" s="5" t="inlineStr">
        <is>
          <t>JobCard status CANCELLED. An invoiced job is not invoiced again</t>
        </is>
      </c>
      <c r="J13" s="22" t="inlineStr">
        <is>
          <t>P2</t>
        </is>
      </c>
      <c r="K13" s="21" t="inlineStr">
        <is>
          <t>In product</t>
        </is>
      </c>
      <c r="L13" s="5" t="inlineStr">
        <is>
          <t>JobCard.Status.CANCELLED. convert_to_invoice only accepts DRAFT or IN_PROGRESS.</t>
        </is>
      </c>
      <c r="M13" s="8" t="inlineStr">
        <is>
          <t>Added flows</t>
        </is>
      </c>
      <c r="N13" s="8" t="inlineStr">
        <is>
          <t>Named role</t>
        </is>
      </c>
      <c r="O13" s="8" t="inlineStr">
        <is>
          <t>P2</t>
        </is>
      </c>
      <c r="P13" s="5" t="inlineStr">
        <is>
          <t>Unchanged</t>
        </is>
      </c>
      <c r="Q13" s="21" t="inlineStr">
        <is>
          <t>Code symbol found</t>
        </is>
      </c>
      <c r="R13" s="5" t="inlineStr">
        <is>
          <t>Matched convert_to_invoice in product code. This is not a functional test.</t>
        </is>
      </c>
      <c r="S13" s="8" t="inlineStr">
        <is>
          <t>JOB</t>
        </is>
      </c>
      <c r="T13" s="5" t="inlineStr">
        <is>
          <t>Run a workshop job</t>
        </is>
      </c>
      <c r="U13" s="8" t="inlineStr">
        <is>
          <t>5</t>
        </is>
      </c>
      <c r="V13" s="8" t="inlineStr">
        <is>
          <t>workshop</t>
        </is>
      </c>
      <c r="W13" s="8" t="inlineStr">
        <is>
          <t>RUN</t>
        </is>
      </c>
      <c r="X13" s="5" t="inlineStr">
        <is>
          <t>Vertical extension</t>
        </is>
      </c>
      <c r="Y13" s="5" t="inlineStr">
        <is>
          <t>Service</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P2</t>
        </is>
      </c>
      <c r="AL13" s="8" t="n">
        <v>4</v>
      </c>
      <c r="AM13" s="5" t="inlineStr"/>
      <c r="AN13" s="5" t="inlineStr"/>
      <c r="AO13" s="5" t="inlineStr"/>
      <c r="AP13" s="5" t="inlineStr">
        <is>
          <t>F-0751</t>
        </is>
      </c>
      <c r="AQ13" s="5" t="inlineStr"/>
      <c r="AR13" s="5" t="inlineStr"/>
      <c r="AS13" s="5" t="inlineStr"/>
      <c r="AT13" s="5" t="inlineStr"/>
      <c r="AU13" s="8" t="inlineStr">
        <is>
          <t>Not run</t>
        </is>
      </c>
    </row>
    <row r="14" ht="32" customHeight="1">
      <c r="A14" s="16" t="inlineStr">
        <is>
          <t>F-0753</t>
        </is>
      </c>
      <c r="B14" s="8" t="inlineStr">
        <is>
          <t>F</t>
        </is>
      </c>
      <c r="C14" s="5" t="inlineStr">
        <is>
          <t>Assembly / Production Supervisor</t>
        </is>
      </c>
      <c r="D14" s="5" t="inlineStr">
        <is>
          <t>Manufacturing</t>
        </is>
      </c>
      <c r="E14" s="5" t="inlineStr">
        <is>
          <t>Activate a bill of materials before a work order can be released</t>
        </is>
      </c>
      <c r="F14" s="5" t="inlineStr">
        <is>
          <t>Production supervisor</t>
        </is>
      </c>
      <c r="G14" s="5" t="inlineStr">
        <is>
          <t>Inventory manager</t>
        </is>
      </c>
      <c r="H14" s="5" t="inlineStr">
        <is>
          <t>Release is refused while the BOM is still a draft</t>
        </is>
      </c>
      <c r="I14" s="5" t="inlineStr">
        <is>
          <t>Bom.status must be ACTIVE. More than one ACTIVE BOM per finished good is allowed</t>
        </is>
      </c>
      <c r="J14" s="20" t="inlineStr">
        <is>
          <t>P1</t>
        </is>
      </c>
      <c r="K14" s="21" t="inlineStr">
        <is>
          <t>In product</t>
        </is>
      </c>
      <c r="L14" s="5" t="inlineStr">
        <is>
          <t>release_work_order checks Bom status. The work order stores the BOM it was created from.</t>
        </is>
      </c>
      <c r="M14" s="8" t="inlineStr">
        <is>
          <t>Added flows</t>
        </is>
      </c>
      <c r="N14" s="8" t="inlineStr">
        <is>
          <t>Operational role</t>
        </is>
      </c>
      <c r="O14" s="8" t="inlineStr">
        <is>
          <t>P1</t>
        </is>
      </c>
      <c r="P14" s="5" t="inlineStr">
        <is>
          <t>Unchanged</t>
        </is>
      </c>
      <c r="Q14" s="21" t="inlineStr">
        <is>
          <t>Code symbol found</t>
        </is>
      </c>
      <c r="R14" s="5" t="inlineStr">
        <is>
          <t>Matched release_work_order in product code. This is not a functional test.</t>
        </is>
      </c>
      <c r="S14" s="8" t="inlineStr">
        <is>
          <t>MFG</t>
        </is>
      </c>
      <c r="T14" s="5" t="inlineStr">
        <is>
          <t>Manufacture and assemble</t>
        </is>
      </c>
      <c r="U14" s="8" t="inlineStr">
        <is>
          <t>2</t>
        </is>
      </c>
      <c r="V14" s="8" t="inlineStr">
        <is>
          <t>manufacturing</t>
        </is>
      </c>
      <c r="W14" s="8" t="inlineStr">
        <is>
          <t>RUN</t>
        </is>
      </c>
      <c r="X14" s="5" t="inlineStr">
        <is>
          <t>Vertical extension</t>
        </is>
      </c>
      <c r="Y14" s="5" t="inlineStr">
        <is>
          <t>Production</t>
        </is>
      </c>
      <c r="Z14" s="5" t="inlineStr">
        <is>
          <t>Medium</t>
        </is>
      </c>
      <c r="AA14" s="5" t="inlineStr">
        <is>
          <t>Medium</t>
        </is>
      </c>
      <c r="AB14" s="8" t="inlineStr">
        <is>
          <t>Low</t>
        </is>
      </c>
      <c r="AC14" s="8" t="inlineStr">
        <is>
          <t>Later</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4</v>
      </c>
      <c r="AM14" s="5" t="inlineStr"/>
      <c r="AN14" s="5" t="inlineStr"/>
      <c r="AO14" s="5" t="inlineStr"/>
      <c r="AP14" s="5" t="inlineStr">
        <is>
          <t>P-0509</t>
        </is>
      </c>
      <c r="AQ14" s="5" t="inlineStr"/>
      <c r="AR14" s="5" t="inlineStr"/>
      <c r="AS14" s="5" t="inlineStr"/>
      <c r="AT14" s="5" t="inlineStr"/>
      <c r="AU14" s="8" t="inlineStr">
        <is>
          <t>Not run</t>
        </is>
      </c>
    </row>
    <row r="15" ht="32" customHeight="1">
      <c r="A15" s="16" t="inlineStr">
        <is>
          <t>F-0754</t>
        </is>
      </c>
      <c r="B15" s="8" t="inlineStr">
        <is>
          <t>F</t>
        </is>
      </c>
      <c r="C15" s="5" t="inlineStr">
        <is>
          <t>Assembly / Production Supervisor</t>
        </is>
      </c>
      <c r="D15" s="5" t="inlineStr">
        <is>
          <t>Manufacturing</t>
        </is>
      </c>
      <c r="E15" s="5" t="inlineStr">
        <is>
          <t>Create a draft work order and snapshot the component quantities</t>
        </is>
      </c>
      <c r="F15" s="5" t="inlineStr">
        <is>
          <t>Production supervisor</t>
        </is>
      </c>
      <c r="G15" s="5" t="inlineStr">
        <is>
          <t>Stores</t>
        </is>
      </c>
      <c r="H15" s="5" t="inlineStr">
        <is>
          <t>A later BOM edit does not change a work order that already exists</t>
        </is>
      </c>
      <c r="I15" s="5" t="inlineStr">
        <is>
          <t>WorkOrder starts DRAFT. Component lines are copied when the order is created</t>
        </is>
      </c>
      <c r="J15" s="20" t="inlineStr">
        <is>
          <t>P1</t>
        </is>
      </c>
      <c r="K15" s="21" t="inlineStr">
        <is>
          <t>In product</t>
        </is>
      </c>
      <c r="L15" s="5" t="inlineStr">
        <is>
          <t>WorkOrder and WorkOrderLine. Snapshot is taken at creation, not at release.</t>
        </is>
      </c>
      <c r="M15" s="8" t="inlineStr">
        <is>
          <t>Added flows</t>
        </is>
      </c>
      <c r="N15" s="8" t="inlineStr">
        <is>
          <t>Operational role</t>
        </is>
      </c>
      <c r="O15" s="8" t="inlineStr">
        <is>
          <t>P1</t>
        </is>
      </c>
      <c r="P15" s="5" t="inlineStr">
        <is>
          <t>Unchanged</t>
        </is>
      </c>
      <c r="Q15" s="21" t="inlineStr">
        <is>
          <t>Code symbol found</t>
        </is>
      </c>
      <c r="R15" s="5" t="inlineStr">
        <is>
          <t>Matched WorkOrderLine in product code. This is not a functional test.</t>
        </is>
      </c>
      <c r="S15" s="8" t="inlineStr">
        <is>
          <t>MFG</t>
        </is>
      </c>
      <c r="T15" s="5" t="inlineStr">
        <is>
          <t>Manufacture and assemble</t>
        </is>
      </c>
      <c r="U15" s="8" t="inlineStr">
        <is>
          <t>3</t>
        </is>
      </c>
      <c r="V15" s="8" t="inlineStr">
        <is>
          <t>manufacturing</t>
        </is>
      </c>
      <c r="W15" s="8" t="inlineStr">
        <is>
          <t>RUN</t>
        </is>
      </c>
      <c r="X15" s="5" t="inlineStr">
        <is>
          <t>Vertical extension</t>
        </is>
      </c>
      <c r="Y15" s="5" t="inlineStr">
        <is>
          <t>Production</t>
        </is>
      </c>
      <c r="Z15" s="5" t="inlineStr">
        <is>
          <t>Medium</t>
        </is>
      </c>
      <c r="AA15" s="5" t="inlineStr">
        <is>
          <t>Medium</t>
        </is>
      </c>
      <c r="AB15" s="8" t="inlineStr">
        <is>
          <t>Low</t>
        </is>
      </c>
      <c r="AC15" s="8" t="inlineStr">
        <is>
          <t>Later</t>
        </is>
      </c>
      <c r="AD15" s="5" t="inlineStr">
        <is>
          <t>Cited in code</t>
        </is>
      </c>
      <c r="AE15" s="5" t="inlineStr">
        <is>
          <t>Not verified</t>
        </is>
      </c>
      <c r="AF15" s="5" t="inlineStr">
        <is>
          <t>Not verified</t>
        </is>
      </c>
      <c r="AG15" s="5" t="inlineStr">
        <is>
          <t>Not verified</t>
        </is>
      </c>
      <c r="AH15" s="5" t="inlineStr">
        <is>
          <t>Not verified</t>
        </is>
      </c>
      <c r="AI15" s="8" t="inlineStr">
        <is>
          <t>No</t>
        </is>
      </c>
      <c r="AJ15" s="8" t="inlineStr">
        <is>
          <t>Built - unverified</t>
        </is>
      </c>
      <c r="AK15" s="8" t="inlineStr">
        <is>
          <t>P1</t>
        </is>
      </c>
      <c r="AL15" s="8" t="n">
        <v>4</v>
      </c>
      <c r="AM15" s="5" t="inlineStr"/>
      <c r="AN15" s="5" t="inlineStr"/>
      <c r="AO15" s="5" t="inlineStr"/>
      <c r="AP15" s="5" t="inlineStr">
        <is>
          <t>F-0753</t>
        </is>
      </c>
      <c r="AQ15" s="5" t="inlineStr"/>
      <c r="AR15" s="5" t="inlineStr"/>
      <c r="AS15" s="5" t="inlineStr"/>
      <c r="AT15" s="5" t="inlineStr"/>
      <c r="AU15" s="8" t="inlineStr">
        <is>
          <t>Not run</t>
        </is>
      </c>
    </row>
    <row r="16" ht="32" customHeight="1">
      <c r="A16" s="16" t="inlineStr">
        <is>
          <t>F-0755</t>
        </is>
      </c>
      <c r="B16" s="8" t="inlineStr">
        <is>
          <t>F</t>
        </is>
      </c>
      <c r="C16" s="5" t="inlineStr">
        <is>
          <t>Assembly / Production Supervisor</t>
        </is>
      </c>
      <c r="D16" s="5" t="inlineStr">
        <is>
          <t>Manufacturing</t>
        </is>
      </c>
      <c r="E16" s="5" t="inlineStr">
        <is>
          <t>Complete the work order and receive the finished goods</t>
        </is>
      </c>
      <c r="F16" s="5" t="inlineStr">
        <is>
          <t>Production supervisor</t>
        </is>
      </c>
      <c r="G16" s="5" t="inlineStr">
        <is>
          <t>Stores</t>
        </is>
      </c>
      <c r="H16" s="5" t="inlineStr">
        <is>
          <t>Finished quantity, batch, and serials land in stock when the order is completed</t>
        </is>
      </c>
      <c r="I16" s="5" t="inlineStr">
        <is>
          <t>complete_work_order sets status COMPLETED. Batch and serial fields are stored on the work order when the product tracks them</t>
        </is>
      </c>
      <c r="J16" s="20" t="inlineStr">
        <is>
          <t>P1</t>
        </is>
      </c>
      <c r="K16" s="21" t="inlineStr">
        <is>
          <t>In product</t>
        </is>
      </c>
      <c r="L16" s="5" t="inlineStr">
        <is>
          <t>complete_work_order. BOM explosion is single-level. A component that is itself a sub-assembly is not exploded.</t>
        </is>
      </c>
      <c r="M16" s="8" t="inlineStr">
        <is>
          <t>Added flows</t>
        </is>
      </c>
      <c r="N16" s="8" t="inlineStr">
        <is>
          <t>Operational role</t>
        </is>
      </c>
      <c r="O16" s="8" t="inlineStr">
        <is>
          <t>P1</t>
        </is>
      </c>
      <c r="P16" s="5" t="inlineStr">
        <is>
          <t>Unchanged</t>
        </is>
      </c>
      <c r="Q16" s="21" t="inlineStr">
        <is>
          <t>Code symbol found</t>
        </is>
      </c>
      <c r="R16" s="5" t="inlineStr">
        <is>
          <t>Matched complete_work_order in product code. This is not a functional test.</t>
        </is>
      </c>
      <c r="S16" s="8" t="inlineStr">
        <is>
          <t>MFG</t>
        </is>
      </c>
      <c r="T16" s="5" t="inlineStr">
        <is>
          <t>Manufacture and assemble</t>
        </is>
      </c>
      <c r="U16" s="8" t="inlineStr">
        <is>
          <t>5</t>
        </is>
      </c>
      <c r="V16" s="8" t="inlineStr">
        <is>
          <t>manufacturing</t>
        </is>
      </c>
      <c r="W16" s="8" t="inlineStr">
        <is>
          <t>RUN</t>
        </is>
      </c>
      <c r="X16" s="5" t="inlineStr">
        <is>
          <t>Vertical extension</t>
        </is>
      </c>
      <c r="Y16" s="5" t="inlineStr">
        <is>
          <t>Production</t>
        </is>
      </c>
      <c r="Z16" s="5" t="inlineStr">
        <is>
          <t>Medium</t>
        </is>
      </c>
      <c r="AA16" s="5" t="inlineStr">
        <is>
          <t>Medium</t>
        </is>
      </c>
      <c r="AB16" s="8" t="inlineStr">
        <is>
          <t>Low</t>
        </is>
      </c>
      <c r="AC16" s="8" t="inlineStr">
        <is>
          <t>Later</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P1</t>
        </is>
      </c>
      <c r="AL16" s="8" t="n">
        <v>4</v>
      </c>
      <c r="AM16" s="5" t="inlineStr"/>
      <c r="AN16" s="5" t="inlineStr"/>
      <c r="AO16" s="5" t="inlineStr"/>
      <c r="AP16" s="5" t="inlineStr">
        <is>
          <t>P-0510</t>
        </is>
      </c>
      <c r="AQ16" s="5" t="inlineStr"/>
      <c r="AR16" s="5" t="inlineStr"/>
      <c r="AS16" s="5" t="inlineStr"/>
      <c r="AT16" s="5" t="inlineStr"/>
      <c r="AU16" s="8" t="inlineStr">
        <is>
          <t>Not run</t>
        </is>
      </c>
    </row>
    <row r="17" ht="32" customHeight="1">
      <c r="A17" s="16" t="inlineStr">
        <is>
          <t>F-0756</t>
        </is>
      </c>
      <c r="B17" s="8" t="inlineStr">
        <is>
          <t>F</t>
        </is>
      </c>
      <c r="C17" s="5" t="inlineStr">
        <is>
          <t>Assembly / Production Supervisor</t>
        </is>
      </c>
      <c r="D17" s="5" t="inlineStr">
        <is>
          <t>Manufacturing</t>
        </is>
      </c>
      <c r="E17" s="5" t="inlineStr">
        <is>
          <t>Cancel a work order that will not be built</t>
        </is>
      </c>
      <c r="F17" s="5" t="inlineStr">
        <is>
          <t>Production supervisor</t>
        </is>
      </c>
      <c r="G17" s="5" t="inlineStr">
        <is>
          <t>Stores</t>
        </is>
      </c>
      <c r="H17" s="5" t="inlineStr">
        <is>
          <t>A draft or released order can be stopped without leaving it open</t>
        </is>
      </c>
      <c r="I17" s="5" t="inlineStr">
        <is>
          <t>Work order status becomes CANCELLED</t>
        </is>
      </c>
      <c r="J17" s="22" t="inlineStr">
        <is>
          <t>P2</t>
        </is>
      </c>
      <c r="K17" s="21" t="inlineStr">
        <is>
          <t>In product</t>
        </is>
      </c>
      <c r="L17" s="5" t="inlineStr">
        <is>
          <t>WorkOrder.Status.CANCELLED in backend/manufacturing/services.py.</t>
        </is>
      </c>
      <c r="M17" s="8" t="inlineStr">
        <is>
          <t>Added flows</t>
        </is>
      </c>
      <c r="N17" s="8" t="inlineStr">
        <is>
          <t>Operational role</t>
        </is>
      </c>
      <c r="O17" s="8" t="inlineStr">
        <is>
          <t>P2</t>
        </is>
      </c>
      <c r="P17" s="5" t="inlineStr">
        <is>
          <t>Unchanged</t>
        </is>
      </c>
      <c r="Q17" s="21" t="inlineStr">
        <is>
          <t>Code symbol found</t>
        </is>
      </c>
      <c r="R17" s="5" t="inlineStr">
        <is>
          <t>Matched WorkOrder in product code. This is not a functional test.</t>
        </is>
      </c>
      <c r="S17" s="8" t="inlineStr">
        <is>
          <t>MFG</t>
        </is>
      </c>
      <c r="T17" s="5" t="inlineStr">
        <is>
          <t>Manufacture and assemble</t>
        </is>
      </c>
      <c r="U17" s="8" t="inlineStr">
        <is>
          <t>7</t>
        </is>
      </c>
      <c r="V17" s="8" t="inlineStr">
        <is>
          <t>manufacturing</t>
        </is>
      </c>
      <c r="W17" s="8" t="inlineStr">
        <is>
          <t>RUN</t>
        </is>
      </c>
      <c r="X17" s="5" t="inlineStr">
        <is>
          <t>Vertical extension</t>
        </is>
      </c>
      <c r="Y17" s="5" t="inlineStr">
        <is>
          <t>Production</t>
        </is>
      </c>
      <c r="Z17" s="5" t="inlineStr">
        <is>
          <t>Medium</t>
        </is>
      </c>
      <c r="AA17" s="5" t="inlineStr">
        <is>
          <t>Medium</t>
        </is>
      </c>
      <c r="AB17" s="8" t="inlineStr">
        <is>
          <t>Low</t>
        </is>
      </c>
      <c r="AC17" s="8" t="inlineStr">
        <is>
          <t>Later</t>
        </is>
      </c>
      <c r="AD17" s="5" t="inlineStr">
        <is>
          <t>Cited in code</t>
        </is>
      </c>
      <c r="AE17" s="5" t="inlineStr">
        <is>
          <t>Not verified</t>
        </is>
      </c>
      <c r="AF17" s="5" t="inlineStr">
        <is>
          <t>Not verified</t>
        </is>
      </c>
      <c r="AG17" s="5" t="inlineStr">
        <is>
          <t>Not verified</t>
        </is>
      </c>
      <c r="AH17" s="5" t="inlineStr">
        <is>
          <t>Not verified</t>
        </is>
      </c>
      <c r="AI17" s="8" t="inlineStr">
        <is>
          <t>No</t>
        </is>
      </c>
      <c r="AJ17" s="8" t="inlineStr">
        <is>
          <t>Built - unverified</t>
        </is>
      </c>
      <c r="AK17" s="8" t="inlineStr">
        <is>
          <t>P2</t>
        </is>
      </c>
      <c r="AL17" s="8" t="n">
        <v>4</v>
      </c>
      <c r="AM17" s="5" t="inlineStr"/>
      <c r="AN17" s="5" t="inlineStr"/>
      <c r="AO17" s="5" t="inlineStr"/>
      <c r="AP17" s="5" t="inlineStr">
        <is>
          <t>P-0512</t>
        </is>
      </c>
      <c r="AQ17" s="5" t="inlineStr"/>
      <c r="AR17" s="5" t="inlineStr"/>
      <c r="AS17" s="5" t="inlineStr"/>
      <c r="AT17" s="5" t="inlineStr"/>
      <c r="AU17" s="8" t="inlineStr">
        <is>
          <t>Not run</t>
        </is>
      </c>
    </row>
    <row r="18" ht="32" customHeight="1">
      <c r="A18" s="16" t="inlineStr">
        <is>
          <t>F-0757</t>
        </is>
      </c>
      <c r="B18" s="8" t="inlineStr">
        <is>
          <t>F</t>
        </is>
      </c>
      <c r="C18" s="5" t="inlineStr">
        <is>
          <t>Business Owner</t>
        </is>
      </c>
      <c r="D18" s="5" t="inlineStr">
        <is>
          <t>Project Billing</t>
        </is>
      </c>
      <c r="E18" s="5" t="inlineStr">
        <is>
          <t>Open a project for a customer</t>
        </is>
      </c>
      <c r="F18" s="5" t="inlineStr">
        <is>
          <t>Project owner</t>
        </is>
      </c>
      <c r="G18" s="5" t="inlineStr">
        <is>
          <t>Customer</t>
        </is>
      </c>
      <c r="H18" s="5" t="inlineStr">
        <is>
          <t>Milestone bills have a project to hang on</t>
        </is>
      </c>
      <c r="I18" s="5" t="inlineStr">
        <is>
          <t>Project starts OPEN and has a number unique per company</t>
        </is>
      </c>
      <c r="J18" s="20" t="inlineStr">
        <is>
          <t>P1</t>
        </is>
      </c>
      <c r="K18" s="21" t="inlineStr">
        <is>
          <t>In product</t>
        </is>
      </c>
      <c r="L18" s="5" t="inlineStr">
        <is>
          <t>uniq_project_number_per_company on Project.</t>
        </is>
      </c>
      <c r="M18" s="8" t="inlineStr">
        <is>
          <t>Added flows</t>
        </is>
      </c>
      <c r="N18" s="8" t="inlineStr">
        <is>
          <t>Operational role</t>
        </is>
      </c>
      <c r="O18" s="8" t="inlineStr">
        <is>
          <t>P1</t>
        </is>
      </c>
      <c r="P18" s="5" t="inlineStr">
        <is>
          <t>Unchanged</t>
        </is>
      </c>
      <c r="Q18" s="21" t="inlineStr">
        <is>
          <t>Code symbol found</t>
        </is>
      </c>
      <c r="R18" s="5" t="inlineStr">
        <is>
          <t>Matched uniq_project_number_per_company in product code. This is not a functional test.</t>
        </is>
      </c>
      <c r="S18" s="8" t="inlineStr">
        <is>
          <t>PRJ</t>
        </is>
      </c>
      <c r="T18" s="5" t="inlineStr">
        <is>
          <t>Bill a project by milestone</t>
        </is>
      </c>
      <c r="U18" s="8" t="inlineStr">
        <is>
          <t>1</t>
        </is>
      </c>
      <c r="V18" s="8" t="inlineStr">
        <is>
          <t>projects</t>
        </is>
      </c>
      <c r="W18" s="8" t="inlineStr">
        <is>
          <t>RUN</t>
        </is>
      </c>
      <c r="X18" s="5" t="inlineStr">
        <is>
          <t>Vertical extension</t>
        </is>
      </c>
      <c r="Y18" s="5" t="inlineStr">
        <is>
          <t>Owner</t>
        </is>
      </c>
      <c r="Z18" s="5" t="inlineStr">
        <is>
          <t>Medium</t>
        </is>
      </c>
      <c r="AA18" s="5" t="inlineStr">
        <is>
          <t>Medium</t>
        </is>
      </c>
      <c r="AB18" s="8" t="inlineStr">
        <is>
          <t>Low</t>
        </is>
      </c>
      <c r="AC18" s="8" t="inlineStr">
        <is>
          <t>Later</t>
        </is>
      </c>
      <c r="AD18" s="5" t="inlineStr">
        <is>
          <t>Cited in code</t>
        </is>
      </c>
      <c r="AE18" s="5" t="inlineStr">
        <is>
          <t>Not verified</t>
        </is>
      </c>
      <c r="AF18" s="5" t="inlineStr">
        <is>
          <t>Not verified</t>
        </is>
      </c>
      <c r="AG18" s="5" t="inlineStr">
        <is>
          <t>Not verified</t>
        </is>
      </c>
      <c r="AH18" s="5" t="inlineStr">
        <is>
          <t>Not verified</t>
        </is>
      </c>
      <c r="AI18" s="8" t="inlineStr">
        <is>
          <t>No</t>
        </is>
      </c>
      <c r="AJ18" s="8" t="inlineStr">
        <is>
          <t>Built - unverified</t>
        </is>
      </c>
      <c r="AK18" s="8" t="inlineStr">
        <is>
          <t>P1</t>
        </is>
      </c>
      <c r="AL18" s="8" t="n">
        <v>4</v>
      </c>
      <c r="AM18" s="5" t="inlineStr"/>
      <c r="AN18" s="5" t="inlineStr"/>
      <c r="AO18" s="5" t="inlineStr"/>
      <c r="AP18" s="5" t="inlineStr"/>
      <c r="AQ18" s="5" t="inlineStr"/>
      <c r="AR18" s="5" t="inlineStr"/>
      <c r="AS18" s="5" t="inlineStr"/>
      <c r="AT18" s="5" t="inlineStr"/>
      <c r="AU18" s="8" t="inlineStr">
        <is>
          <t>Not run</t>
        </is>
      </c>
    </row>
    <row r="19" ht="32" customHeight="1">
      <c r="A19" s="16" t="inlineStr">
        <is>
          <t>F-0758</t>
        </is>
      </c>
      <c r="B19" s="8" t="inlineStr">
        <is>
          <t>F</t>
        </is>
      </c>
      <c r="C19" s="5" t="inlineStr">
        <is>
          <t>Business Owner</t>
        </is>
      </c>
      <c r="D19" s="5" t="inlineStr">
        <is>
          <t>Project Billing</t>
        </is>
      </c>
      <c r="E19" s="5" t="inlineStr">
        <is>
          <t>Add a milestone with a sequence, amount, and service product</t>
        </is>
      </c>
      <c r="F19" s="5" t="inlineStr">
        <is>
          <t>Project owner</t>
        </is>
      </c>
      <c r="G19" s="5" t="inlineStr">
        <is>
          <t>Accountant</t>
        </is>
      </c>
      <c r="H19" s="5" t="inlineStr">
        <is>
          <t>Each billable stage has an amount before any invoice is raised</t>
        </is>
      </c>
      <c r="I19" s="5" t="inlineStr">
        <is>
          <t>ProjectMilestone starts PLANNED</t>
        </is>
      </c>
      <c r="J19" s="20" t="inlineStr">
        <is>
          <t>P1</t>
        </is>
      </c>
      <c r="K19" s="21" t="inlineStr">
        <is>
          <t>In product</t>
        </is>
      </c>
      <c r="L19" s="5" t="inlineStr">
        <is>
          <t>ProjectMilestone.service_product is required.</t>
        </is>
      </c>
      <c r="M19" s="8" t="inlineStr">
        <is>
          <t>Added flows</t>
        </is>
      </c>
      <c r="N19" s="8" t="inlineStr">
        <is>
          <t>Operational role</t>
        </is>
      </c>
      <c r="O19" s="8" t="inlineStr">
        <is>
          <t>P1</t>
        </is>
      </c>
      <c r="P19" s="5" t="inlineStr">
        <is>
          <t>Unchanged</t>
        </is>
      </c>
      <c r="Q19" s="21" t="inlineStr">
        <is>
          <t>Code symbol found</t>
        </is>
      </c>
      <c r="R19" s="5" t="inlineStr">
        <is>
          <t>Matched ProjectMilestone in product code. This is not a functional test.</t>
        </is>
      </c>
      <c r="S19" s="8" t="inlineStr">
        <is>
          <t>PRJ</t>
        </is>
      </c>
      <c r="T19" s="5" t="inlineStr">
        <is>
          <t>Bill a project by milestone</t>
        </is>
      </c>
      <c r="U19" s="8" t="inlineStr">
        <is>
          <t>2</t>
        </is>
      </c>
      <c r="V19" s="8" t="inlineStr">
        <is>
          <t>projects</t>
        </is>
      </c>
      <c r="W19" s="8" t="inlineStr">
        <is>
          <t>RUN</t>
        </is>
      </c>
      <c r="X19" s="5" t="inlineStr">
        <is>
          <t>Vertical extension</t>
        </is>
      </c>
      <c r="Y19" s="5" t="inlineStr">
        <is>
          <t>Owner</t>
        </is>
      </c>
      <c r="Z19" s="5" t="inlineStr">
        <is>
          <t>Medium</t>
        </is>
      </c>
      <c r="AA19" s="5" t="inlineStr">
        <is>
          <t>Medium</t>
        </is>
      </c>
      <c r="AB19" s="8" t="inlineStr">
        <is>
          <t>Low</t>
        </is>
      </c>
      <c r="AC19" s="8" t="inlineStr">
        <is>
          <t>Later</t>
        </is>
      </c>
      <c r="AD19" s="5" t="inlineStr">
        <is>
          <t>Cited in code</t>
        </is>
      </c>
      <c r="AE19" s="5" t="inlineStr">
        <is>
          <t>Not verified</t>
        </is>
      </c>
      <c r="AF19" s="5" t="inlineStr">
        <is>
          <t>Not verified</t>
        </is>
      </c>
      <c r="AG19" s="5" t="inlineStr">
        <is>
          <t>Not verified</t>
        </is>
      </c>
      <c r="AH19" s="5" t="inlineStr">
        <is>
          <t>Not verified</t>
        </is>
      </c>
      <c r="AI19" s="8" t="inlineStr">
        <is>
          <t>No</t>
        </is>
      </c>
      <c r="AJ19" s="8" t="inlineStr">
        <is>
          <t>Built - unverified</t>
        </is>
      </c>
      <c r="AK19" s="8" t="inlineStr">
        <is>
          <t>P1</t>
        </is>
      </c>
      <c r="AL19" s="8" t="n">
        <v>4</v>
      </c>
      <c r="AM19" s="5" t="inlineStr"/>
      <c r="AN19" s="5" t="inlineStr"/>
      <c r="AO19" s="5" t="inlineStr"/>
      <c r="AP19" s="5" t="inlineStr">
        <is>
          <t>F-0757</t>
        </is>
      </c>
      <c r="AQ19" s="5" t="inlineStr"/>
      <c r="AR19" s="5" t="inlineStr"/>
      <c r="AS19" s="5" t="inlineStr"/>
      <c r="AT19" s="5" t="inlineStr"/>
      <c r="AU19" s="8" t="inlineStr">
        <is>
          <t>Not run</t>
        </is>
      </c>
    </row>
    <row r="20" ht="32" customHeight="1">
      <c r="A20" s="16" t="inlineStr">
        <is>
          <t>F-0759</t>
        </is>
      </c>
      <c r="B20" s="8" t="inlineStr">
        <is>
          <t>F</t>
        </is>
      </c>
      <c r="C20" s="5" t="inlineStr">
        <is>
          <t>Business Owner</t>
        </is>
      </c>
      <c r="D20" s="5" t="inlineStr">
        <is>
          <t>Project Billing</t>
        </is>
      </c>
      <c r="E20" s="5" t="inlineStr">
        <is>
          <t>Mark a milestone ready to invoice</t>
        </is>
      </c>
      <c r="F20" s="5" t="inlineStr">
        <is>
          <t>Project owner</t>
        </is>
      </c>
      <c r="G20" s="5" t="inlineStr">
        <is>
          <t>Accountant</t>
        </is>
      </c>
      <c r="H20" s="5" t="inlineStr">
        <is>
          <t>Invoicing is refused until the milestone is ready</t>
        </is>
      </c>
      <c r="I20" s="5" t="inlineStr">
        <is>
          <t>Status moves from PLANNED to READY</t>
        </is>
      </c>
      <c r="J20" s="20" t="inlineStr">
        <is>
          <t>P1</t>
        </is>
      </c>
      <c r="K20" s="21" t="inlineStr">
        <is>
          <t>In product</t>
        </is>
      </c>
      <c r="L20" s="5" t="inlineStr">
        <is>
          <t>invoice_milestone requires ProjectMilestone.Status.READY.</t>
        </is>
      </c>
      <c r="M20" s="8" t="inlineStr">
        <is>
          <t>Added flows</t>
        </is>
      </c>
      <c r="N20" s="8" t="inlineStr">
        <is>
          <t>Operational role</t>
        </is>
      </c>
      <c r="O20" s="8" t="inlineStr">
        <is>
          <t>P1</t>
        </is>
      </c>
      <c r="P20" s="5" t="inlineStr">
        <is>
          <t>Unchanged</t>
        </is>
      </c>
      <c r="Q20" s="21" t="inlineStr">
        <is>
          <t>Code symbol found</t>
        </is>
      </c>
      <c r="R20" s="5" t="inlineStr">
        <is>
          <t>Matched invoice_milestone in product code. This is not a functional test.</t>
        </is>
      </c>
      <c r="S20" s="8" t="inlineStr">
        <is>
          <t>PRJ</t>
        </is>
      </c>
      <c r="T20" s="5" t="inlineStr">
        <is>
          <t>Bill a project by milestone</t>
        </is>
      </c>
      <c r="U20" s="8" t="inlineStr">
        <is>
          <t>3</t>
        </is>
      </c>
      <c r="V20" s="8" t="inlineStr">
        <is>
          <t>projects</t>
        </is>
      </c>
      <c r="W20" s="8" t="inlineStr">
        <is>
          <t>RUN</t>
        </is>
      </c>
      <c r="X20" s="5" t="inlineStr">
        <is>
          <t>Vertical extension</t>
        </is>
      </c>
      <c r="Y20" s="5" t="inlineStr">
        <is>
          <t>Owner</t>
        </is>
      </c>
      <c r="Z20" s="5" t="inlineStr">
        <is>
          <t>Medium</t>
        </is>
      </c>
      <c r="AA20" s="5" t="inlineStr">
        <is>
          <t>Medium</t>
        </is>
      </c>
      <c r="AB20" s="8" t="inlineStr">
        <is>
          <t>Low</t>
        </is>
      </c>
      <c r="AC20" s="8" t="inlineStr">
        <is>
          <t>Later</t>
        </is>
      </c>
      <c r="AD20" s="5" t="inlineStr">
        <is>
          <t>Cited in code</t>
        </is>
      </c>
      <c r="AE20" s="5" t="inlineStr">
        <is>
          <t>Not verified</t>
        </is>
      </c>
      <c r="AF20" s="5" t="inlineStr">
        <is>
          <t>Not verified</t>
        </is>
      </c>
      <c r="AG20" s="5" t="inlineStr">
        <is>
          <t>Not verified</t>
        </is>
      </c>
      <c r="AH20" s="5" t="inlineStr">
        <is>
          <t>Not verified</t>
        </is>
      </c>
      <c r="AI20" s="8" t="inlineStr">
        <is>
          <t>No</t>
        </is>
      </c>
      <c r="AJ20" s="8" t="inlineStr">
        <is>
          <t>Built - unverified</t>
        </is>
      </c>
      <c r="AK20" s="8" t="inlineStr">
        <is>
          <t>P1</t>
        </is>
      </c>
      <c r="AL20" s="8" t="n">
        <v>4</v>
      </c>
      <c r="AM20" s="5" t="inlineStr"/>
      <c r="AN20" s="5" t="inlineStr"/>
      <c r="AO20" s="5" t="inlineStr"/>
      <c r="AP20" s="5" t="inlineStr">
        <is>
          <t>F-0758</t>
        </is>
      </c>
      <c r="AQ20" s="5" t="inlineStr"/>
      <c r="AR20" s="5" t="inlineStr"/>
      <c r="AS20" s="5" t="inlineStr"/>
      <c r="AT20" s="5" t="inlineStr"/>
      <c r="AU20" s="8" t="inlineStr">
        <is>
          <t>Not run</t>
        </is>
      </c>
    </row>
    <row r="21" ht="32" customHeight="1">
      <c r="A21" s="16" t="inlineStr">
        <is>
          <t>F-0760</t>
        </is>
      </c>
      <c r="B21" s="8" t="inlineStr">
        <is>
          <t>F</t>
        </is>
      </c>
      <c r="C21" s="5" t="inlineStr">
        <is>
          <t>Business Owner</t>
        </is>
      </c>
      <c r="D21" s="5" t="inlineStr">
        <is>
          <t>Project Billing</t>
        </is>
      </c>
      <c r="E21" s="5" t="inlineStr">
        <is>
          <t>Invoice a ready milestone</t>
        </is>
      </c>
      <c r="F21" s="5" t="inlineStr">
        <is>
          <t>Accountant</t>
        </is>
      </c>
      <c r="G21" s="5" t="inlineStr">
        <is>
          <t>Customer</t>
        </is>
      </c>
      <c r="H21" s="5" t="inlineStr">
        <is>
          <t>The stage amount becomes a sales invoice linked to the milestone</t>
        </is>
      </c>
      <c r="I21" s="5" t="inlineStr">
        <is>
          <t>invoice_milestone creates the invoice and sets the milestone to INVOICED. A closed project cannot be invoiced</t>
        </is>
      </c>
      <c r="J21" s="20" t="inlineStr">
        <is>
          <t>P1</t>
        </is>
      </c>
      <c r="K21" s="21" t="inlineStr">
        <is>
          <t>In product</t>
        </is>
      </c>
      <c r="L21" s="5" t="inlineStr">
        <is>
          <t>invoice_milestone in backend/projects/services.py.</t>
        </is>
      </c>
      <c r="M21" s="8" t="inlineStr">
        <is>
          <t>Added flows</t>
        </is>
      </c>
      <c r="N21" s="8" t="inlineStr">
        <is>
          <t>Operational role</t>
        </is>
      </c>
      <c r="O21" s="8" t="inlineStr">
        <is>
          <t>P1</t>
        </is>
      </c>
      <c r="P21" s="5" t="inlineStr">
        <is>
          <t>Unchanged</t>
        </is>
      </c>
      <c r="Q21" s="21" t="inlineStr">
        <is>
          <t>Code symbol found</t>
        </is>
      </c>
      <c r="R21" s="5" t="inlineStr">
        <is>
          <t>Matched invoice_milestone in product code. This is not a functional test.</t>
        </is>
      </c>
      <c r="S21" s="8" t="inlineStr">
        <is>
          <t>PRJ</t>
        </is>
      </c>
      <c r="T21" s="5" t="inlineStr">
        <is>
          <t>Bill a project by milestone</t>
        </is>
      </c>
      <c r="U21" s="8" t="inlineStr">
        <is>
          <t>4</t>
        </is>
      </c>
      <c r="V21" s="8" t="inlineStr">
        <is>
          <t>projects</t>
        </is>
      </c>
      <c r="W21" s="8" t="inlineStr">
        <is>
          <t>RUN</t>
        </is>
      </c>
      <c r="X21" s="5" t="inlineStr">
        <is>
          <t>Vertical extension</t>
        </is>
      </c>
      <c r="Y21" s="5" t="inlineStr">
        <is>
          <t>Owner</t>
        </is>
      </c>
      <c r="Z21" s="5" t="inlineStr">
        <is>
          <t>Medium</t>
        </is>
      </c>
      <c r="AA21" s="5" t="inlineStr">
        <is>
          <t>Medium</t>
        </is>
      </c>
      <c r="AB21" s="8" t="inlineStr">
        <is>
          <t>Low</t>
        </is>
      </c>
      <c r="AC21" s="8" t="inlineStr">
        <is>
          <t>Later</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P1</t>
        </is>
      </c>
      <c r="AL21" s="8" t="n">
        <v>4</v>
      </c>
      <c r="AM21" s="5" t="inlineStr"/>
      <c r="AN21" s="5" t="inlineStr"/>
      <c r="AO21" s="5" t="inlineStr"/>
      <c r="AP21" s="5" t="inlineStr">
        <is>
          <t>F-0759</t>
        </is>
      </c>
      <c r="AQ21" s="5" t="inlineStr"/>
      <c r="AR21" s="5" t="inlineStr"/>
      <c r="AS21" s="5" t="inlineStr"/>
      <c r="AT21" s="5" t="inlineStr"/>
      <c r="AU21" s="8" t="inlineStr">
        <is>
          <t>Not run</t>
        </is>
      </c>
    </row>
    <row r="22" ht="32" customHeight="1">
      <c r="A22" s="16" t="inlineStr">
        <is>
          <t>F-0761</t>
        </is>
      </c>
      <c r="B22" s="8" t="inlineStr">
        <is>
          <t>F</t>
        </is>
      </c>
      <c r="C22" s="5" t="inlineStr">
        <is>
          <t>Business Owner</t>
        </is>
      </c>
      <c r="D22" s="5" t="inlineStr">
        <is>
          <t>Project Billing</t>
        </is>
      </c>
      <c r="E22" s="5" t="inlineStr">
        <is>
          <t>Close a project when no further milestones will be billed</t>
        </is>
      </c>
      <c r="F22" s="5" t="inlineStr">
        <is>
          <t>Project owner</t>
        </is>
      </c>
      <c r="G22" s="5" t="inlineStr">
        <is>
          <t>Accountant</t>
        </is>
      </c>
      <c r="H22" s="5" t="inlineStr">
        <is>
          <t>Closed work stops accepting new milestone invoices</t>
        </is>
      </c>
      <c r="I22" s="5" t="inlineStr">
        <is>
          <t>Project status CLOSED</t>
        </is>
      </c>
      <c r="J22" s="22" t="inlineStr">
        <is>
          <t>P2</t>
        </is>
      </c>
      <c r="K22" s="21" t="inlineStr">
        <is>
          <t>In product</t>
        </is>
      </c>
      <c r="L22" s="5" t="inlineStr">
        <is>
          <t>Project.Status.CLOSED blocks invoice_milestone.</t>
        </is>
      </c>
      <c r="M22" s="8" t="inlineStr">
        <is>
          <t>Added flows</t>
        </is>
      </c>
      <c r="N22" s="8" t="inlineStr">
        <is>
          <t>Operational role</t>
        </is>
      </c>
      <c r="O22" s="8" t="inlineStr">
        <is>
          <t>P2</t>
        </is>
      </c>
      <c r="P22" s="5" t="inlineStr">
        <is>
          <t>Unchanged</t>
        </is>
      </c>
      <c r="Q22" s="21" t="inlineStr">
        <is>
          <t>Code symbol found</t>
        </is>
      </c>
      <c r="R22" s="5" t="inlineStr">
        <is>
          <t>Matched invoice_milestone in product code. This is not a functional test.</t>
        </is>
      </c>
      <c r="S22" s="8" t="inlineStr">
        <is>
          <t>PRJ</t>
        </is>
      </c>
      <c r="T22" s="5" t="inlineStr">
        <is>
          <t>Bill a project by milestone</t>
        </is>
      </c>
      <c r="U22" s="8" t="inlineStr">
        <is>
          <t>5</t>
        </is>
      </c>
      <c r="V22" s="8" t="inlineStr">
        <is>
          <t>projects</t>
        </is>
      </c>
      <c r="W22" s="8" t="inlineStr">
        <is>
          <t>RUN</t>
        </is>
      </c>
      <c r="X22" s="5" t="inlineStr">
        <is>
          <t>Vertical extension</t>
        </is>
      </c>
      <c r="Y22" s="5" t="inlineStr">
        <is>
          <t>Owner</t>
        </is>
      </c>
      <c r="Z22" s="5" t="inlineStr">
        <is>
          <t>Medium</t>
        </is>
      </c>
      <c r="AA22" s="5" t="inlineStr">
        <is>
          <t>Medium</t>
        </is>
      </c>
      <c r="AB22" s="8" t="inlineStr">
        <is>
          <t>Low</t>
        </is>
      </c>
      <c r="AC22" s="8" t="inlineStr">
        <is>
          <t>Later</t>
        </is>
      </c>
      <c r="AD22" s="5" t="inlineStr">
        <is>
          <t>Cited in code</t>
        </is>
      </c>
      <c r="AE22" s="5" t="inlineStr">
        <is>
          <t>Not verified</t>
        </is>
      </c>
      <c r="AF22" s="5" t="inlineStr">
        <is>
          <t>Not verified</t>
        </is>
      </c>
      <c r="AG22" s="5" t="inlineStr">
        <is>
          <t>Not verified</t>
        </is>
      </c>
      <c r="AH22" s="5" t="inlineStr">
        <is>
          <t>Not verified</t>
        </is>
      </c>
      <c r="AI22" s="8" t="inlineStr">
        <is>
          <t>No</t>
        </is>
      </c>
      <c r="AJ22" s="8" t="inlineStr">
        <is>
          <t>Built - unverified</t>
        </is>
      </c>
      <c r="AK22" s="8" t="inlineStr">
        <is>
          <t>P2</t>
        </is>
      </c>
      <c r="AL22" s="8" t="n">
        <v>4</v>
      </c>
      <c r="AM22" s="5" t="inlineStr"/>
      <c r="AN22" s="5" t="inlineStr"/>
      <c r="AO22" s="5" t="inlineStr"/>
      <c r="AP22" s="5" t="inlineStr">
        <is>
          <t>F-0760</t>
        </is>
      </c>
      <c r="AQ22" s="5" t="inlineStr"/>
      <c r="AR22" s="5" t="inlineStr"/>
      <c r="AS22" s="5" t="inlineStr"/>
      <c r="AT22" s="5" t="inlineStr"/>
      <c r="AU22" s="8" t="inlineStr">
        <is>
          <t>Not run</t>
        </is>
      </c>
    </row>
    <row r="23" ht="32" customHeight="1">
      <c r="A23" s="16" t="inlineStr">
        <is>
          <t>F-0762</t>
        </is>
      </c>
      <c r="B23" s="8" t="inlineStr">
        <is>
          <t>F</t>
        </is>
      </c>
      <c r="C23" s="5" t="inlineStr">
        <is>
          <t>Salesperson</t>
        </is>
      </c>
      <c r="D23" s="5" t="inlineStr">
        <is>
          <t>Insurance Distribution</t>
        </is>
      </c>
      <c r="E23" s="5" t="inlineStr">
        <is>
          <t>Register an insurer product with tenure, sum insured, and premium</t>
        </is>
      </c>
      <c r="F23" s="5" t="inlineStr">
        <is>
          <t>Insurance advisor</t>
        </is>
      </c>
      <c r="G23" s="5" t="inlineStr">
        <is>
          <t>Insurer</t>
        </is>
      </c>
      <c r="H23" s="5" t="inlineStr">
        <is>
          <t>Quotes use a product master instead of a stock SKU</t>
        </is>
      </c>
      <c r="I23" s="5" t="inlineStr">
        <is>
          <t>PolicyProduct line is motor, health, life, or other</t>
        </is>
      </c>
      <c r="J23" s="20" t="inlineStr">
        <is>
          <t>P1</t>
        </is>
      </c>
      <c r="K23" s="21" t="inlineStr">
        <is>
          <t>In product</t>
        </is>
      </c>
      <c r="L23" s="5" t="inlineStr">
        <is>
          <t>PolicyProduct in backend/insurance/models.py. It is not an inventory item.</t>
        </is>
      </c>
      <c r="M23" s="8" t="inlineStr">
        <is>
          <t>Added flows</t>
        </is>
      </c>
      <c r="N23" s="8" t="inlineStr">
        <is>
          <t>Operational role</t>
        </is>
      </c>
      <c r="O23" s="8" t="inlineStr">
        <is>
          <t>P1</t>
        </is>
      </c>
      <c r="P23" s="5" t="inlineStr">
        <is>
          <t>Unchanged</t>
        </is>
      </c>
      <c r="Q23" s="21" t="inlineStr">
        <is>
          <t>Code symbol found</t>
        </is>
      </c>
      <c r="R23" s="5" t="inlineStr">
        <is>
          <t>Matched PolicyProduct in product code. This is not a functional test.</t>
        </is>
      </c>
      <c r="S23" s="8" t="inlineStr">
        <is>
          <t>INS</t>
        </is>
      </c>
      <c r="T23" s="5" t="inlineStr">
        <is>
          <t>Place and service a policy</t>
        </is>
      </c>
      <c r="U23" s="8" t="inlineStr">
        <is>
          <t>1</t>
        </is>
      </c>
      <c r="V23" s="8" t="inlineStr">
        <is>
          <t>insurance</t>
        </is>
      </c>
      <c r="W23" s="8" t="inlineStr">
        <is>
          <t>GROW</t>
        </is>
      </c>
      <c r="X23" s="5" t="inlineStr">
        <is>
          <t>Vertical extension</t>
        </is>
      </c>
      <c r="Y23" s="5" t="inlineStr">
        <is>
          <t>Sales</t>
        </is>
      </c>
      <c r="Z23" s="5" t="inlineStr">
        <is>
          <t>Medium</t>
        </is>
      </c>
      <c r="AA23" s="5" t="inlineStr">
        <is>
          <t>Medium</t>
        </is>
      </c>
      <c r="AB23" s="8" t="inlineStr">
        <is>
          <t>Low</t>
        </is>
      </c>
      <c r="AC23" s="8" t="inlineStr">
        <is>
          <t>Later</t>
        </is>
      </c>
      <c r="AD23" s="5" t="inlineStr">
        <is>
          <t>Cited in code</t>
        </is>
      </c>
      <c r="AE23" s="5" t="inlineStr">
        <is>
          <t>Not verified</t>
        </is>
      </c>
      <c r="AF23" s="5" t="inlineStr">
        <is>
          <t>Not verified</t>
        </is>
      </c>
      <c r="AG23" s="5" t="inlineStr">
        <is>
          <t>Not verified</t>
        </is>
      </c>
      <c r="AH23" s="5" t="inlineStr">
        <is>
          <t>Not verified</t>
        </is>
      </c>
      <c r="AI23" s="8" t="inlineStr">
        <is>
          <t>No</t>
        </is>
      </c>
      <c r="AJ23" s="8" t="inlineStr">
        <is>
          <t>Built - unverified</t>
        </is>
      </c>
      <c r="AK23" s="8" t="inlineStr">
        <is>
          <t>P1</t>
        </is>
      </c>
      <c r="AL23" s="8" t="n">
        <v>4</v>
      </c>
      <c r="AM23" s="5" t="inlineStr"/>
      <c r="AN23" s="5" t="inlineStr"/>
      <c r="AO23" s="5" t="inlineStr"/>
      <c r="AP23" s="5" t="inlineStr"/>
      <c r="AQ23" s="5" t="inlineStr"/>
      <c r="AR23" s="5" t="inlineStr"/>
      <c r="AS23" s="5" t="inlineStr"/>
      <c r="AT23" s="5" t="inlineStr"/>
      <c r="AU23" s="8" t="inlineStr">
        <is>
          <t>Not run</t>
        </is>
      </c>
    </row>
    <row r="24" ht="32" customHeight="1">
      <c r="A24" s="16" t="inlineStr">
        <is>
          <t>F-0763</t>
        </is>
      </c>
      <c r="B24" s="8" t="inlineStr">
        <is>
          <t>F</t>
        </is>
      </c>
      <c r="C24" s="5" t="inlineStr">
        <is>
          <t>Salesperson</t>
        </is>
      </c>
      <c r="D24" s="5" t="inlineStr">
        <is>
          <t>Insurance Distribution</t>
        </is>
      </c>
      <c r="E24" s="5" t="inlineStr">
        <is>
          <t>Offer a set of policy options on a lead and mark the chosen one</t>
        </is>
      </c>
      <c r="F24" s="5" t="inlineStr">
        <is>
          <t>Insurance advisor</t>
        </is>
      </c>
      <c r="G24" s="5" t="inlineStr">
        <is>
          <t>Customer</t>
        </is>
      </c>
      <c r="H24" s="5" t="inlineStr">
        <is>
          <t>The customer choice is stored before a policy number exists</t>
        </is>
      </c>
      <c r="I24" s="5" t="inlineStr">
        <is>
          <t>PolicyOptionSet hangs on a lead. PolicyOption.chosen marks the selection</t>
        </is>
      </c>
      <c r="J24" s="20" t="inlineStr">
        <is>
          <t>P1</t>
        </is>
      </c>
      <c r="K24" s="21" t="inlineStr">
        <is>
          <t>In product</t>
        </is>
      </c>
      <c r="L24" s="5" t="inlineStr">
        <is>
          <t>PolicyOptionSet and PolicyOption.</t>
        </is>
      </c>
      <c r="M24" s="8" t="inlineStr">
        <is>
          <t>Added flows</t>
        </is>
      </c>
      <c r="N24" s="8" t="inlineStr">
        <is>
          <t>Operational role</t>
        </is>
      </c>
      <c r="O24" s="8" t="inlineStr">
        <is>
          <t>P1</t>
        </is>
      </c>
      <c r="P24" s="5" t="inlineStr">
        <is>
          <t>Unchanged</t>
        </is>
      </c>
      <c r="Q24" s="21" t="inlineStr">
        <is>
          <t>Code symbol found</t>
        </is>
      </c>
      <c r="R24" s="5" t="inlineStr">
        <is>
          <t>Matched PolicyOptionSet in product code. This is not a functional test.</t>
        </is>
      </c>
      <c r="S24" s="8" t="inlineStr">
        <is>
          <t>INS</t>
        </is>
      </c>
      <c r="T24" s="5" t="inlineStr">
        <is>
          <t>Place and service a policy</t>
        </is>
      </c>
      <c r="U24" s="8" t="inlineStr">
        <is>
          <t>2</t>
        </is>
      </c>
      <c r="V24" s="8" t="inlineStr">
        <is>
          <t>insurance</t>
        </is>
      </c>
      <c r="W24" s="8" t="inlineStr">
        <is>
          <t>GROW</t>
        </is>
      </c>
      <c r="X24" s="5" t="inlineStr">
        <is>
          <t>Vertical extension</t>
        </is>
      </c>
      <c r="Y24" s="5" t="inlineStr">
        <is>
          <t>Sales</t>
        </is>
      </c>
      <c r="Z24" s="5" t="inlineStr">
        <is>
          <t>Medium</t>
        </is>
      </c>
      <c r="AA24" s="5" t="inlineStr">
        <is>
          <t>Medium</t>
        </is>
      </c>
      <c r="AB24" s="8" t="inlineStr">
        <is>
          <t>Low</t>
        </is>
      </c>
      <c r="AC24" s="8" t="inlineStr">
        <is>
          <t>Later</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4</v>
      </c>
      <c r="AM24" s="5" t="inlineStr"/>
      <c r="AN24" s="5" t="inlineStr"/>
      <c r="AO24" s="5" t="inlineStr"/>
      <c r="AP24" s="5" t="inlineStr">
        <is>
          <t>F-0762</t>
        </is>
      </c>
      <c r="AQ24" s="5" t="inlineStr"/>
      <c r="AR24" s="5" t="inlineStr"/>
      <c r="AS24" s="5" t="inlineStr"/>
      <c r="AT24" s="5" t="inlineStr"/>
      <c r="AU24" s="8" t="inlineStr">
        <is>
          <t>Not run</t>
        </is>
      </c>
    </row>
    <row r="25" ht="32" customHeight="1">
      <c r="A25" s="16" t="inlineStr">
        <is>
          <t>F-0764</t>
        </is>
      </c>
      <c r="B25" s="8" t="inlineStr">
        <is>
          <t>F</t>
        </is>
      </c>
      <c r="C25" s="5" t="inlineStr">
        <is>
          <t>Salesperson</t>
        </is>
      </c>
      <c r="D25" s="5" t="inlineStr">
        <is>
          <t>Insurance Distribution</t>
        </is>
      </c>
      <c r="E25" s="5" t="inlineStr">
        <is>
          <t>Issue a policy with a start date, end date, nominee, and premium</t>
        </is>
      </c>
      <c r="F25" s="5" t="inlineStr">
        <is>
          <t>Insurance advisor</t>
        </is>
      </c>
      <c r="G25" s="5" t="inlineStr">
        <is>
          <t>Customer</t>
        </is>
      </c>
      <c r="H25" s="5" t="inlineStr">
        <is>
          <t>The in-force policy is the record the renewal and claim flows use</t>
        </is>
      </c>
      <c r="I25" s="5" t="inlineStr">
        <is>
          <t>Policy status starts IN_FORCE and the number is unique per company</t>
        </is>
      </c>
      <c r="J25" s="20" t="inlineStr">
        <is>
          <t>P1</t>
        </is>
      </c>
      <c r="K25" s="21" t="inlineStr">
        <is>
          <t>In product</t>
        </is>
      </c>
      <c r="L25" s="5" t="inlineStr">
        <is>
          <t>uniq_policy_number_per_company on Policy.</t>
        </is>
      </c>
      <c r="M25" s="8" t="inlineStr">
        <is>
          <t>Added flows</t>
        </is>
      </c>
      <c r="N25" s="8" t="inlineStr">
        <is>
          <t>Operational role</t>
        </is>
      </c>
      <c r="O25" s="8" t="inlineStr">
        <is>
          <t>P1</t>
        </is>
      </c>
      <c r="P25" s="5" t="inlineStr">
        <is>
          <t>Unchanged</t>
        </is>
      </c>
      <c r="Q25" s="21" t="inlineStr">
        <is>
          <t>Code symbol found</t>
        </is>
      </c>
      <c r="R25" s="5" t="inlineStr">
        <is>
          <t>Matched uniq_policy_number_per_company in product code. This is not a functional test.</t>
        </is>
      </c>
      <c r="S25" s="8" t="inlineStr">
        <is>
          <t>INS</t>
        </is>
      </c>
      <c r="T25" s="5" t="inlineStr">
        <is>
          <t>Place and service a policy</t>
        </is>
      </c>
      <c r="U25" s="8" t="inlineStr">
        <is>
          <t>3</t>
        </is>
      </c>
      <c r="V25" s="8" t="inlineStr">
        <is>
          <t>insurance</t>
        </is>
      </c>
      <c r="W25" s="8" t="inlineStr">
        <is>
          <t>GROW</t>
        </is>
      </c>
      <c r="X25" s="5" t="inlineStr">
        <is>
          <t>Vertical extension</t>
        </is>
      </c>
      <c r="Y25" s="5" t="inlineStr">
        <is>
          <t>Sales</t>
        </is>
      </c>
      <c r="Z25" s="5" t="inlineStr">
        <is>
          <t>Medium</t>
        </is>
      </c>
      <c r="AA25" s="5" t="inlineStr">
        <is>
          <t>Medium</t>
        </is>
      </c>
      <c r="AB25" s="8" t="inlineStr">
        <is>
          <t>Low</t>
        </is>
      </c>
      <c r="AC25" s="8" t="inlineStr">
        <is>
          <t>Later</t>
        </is>
      </c>
      <c r="AD25" s="5" t="inlineStr">
        <is>
          <t>Cited in code</t>
        </is>
      </c>
      <c r="AE25" s="5" t="inlineStr">
        <is>
          <t>Not verified</t>
        </is>
      </c>
      <c r="AF25" s="5" t="inlineStr">
        <is>
          <t>Not verified</t>
        </is>
      </c>
      <c r="AG25" s="5" t="inlineStr">
        <is>
          <t>Not verified</t>
        </is>
      </c>
      <c r="AH25" s="5" t="inlineStr">
        <is>
          <t>Not verified</t>
        </is>
      </c>
      <c r="AI25" s="8" t="inlineStr">
        <is>
          <t>No</t>
        </is>
      </c>
      <c r="AJ25" s="8" t="inlineStr">
        <is>
          <t>Built - unverified</t>
        </is>
      </c>
      <c r="AK25" s="8" t="inlineStr">
        <is>
          <t>P1</t>
        </is>
      </c>
      <c r="AL25" s="8" t="n">
        <v>4</v>
      </c>
      <c r="AM25" s="5" t="inlineStr"/>
      <c r="AN25" s="5" t="inlineStr"/>
      <c r="AO25" s="5" t="inlineStr"/>
      <c r="AP25" s="5" t="inlineStr">
        <is>
          <t>F-0763</t>
        </is>
      </c>
      <c r="AQ25" s="5" t="inlineStr"/>
      <c r="AR25" s="5" t="inlineStr"/>
      <c r="AS25" s="5" t="inlineStr"/>
      <c r="AT25" s="5" t="inlineStr"/>
      <c r="AU25" s="8" t="inlineStr">
        <is>
          <t>Not run</t>
        </is>
      </c>
    </row>
    <row r="26" ht="32" customHeight="1">
      <c r="A26" s="16" t="inlineStr">
        <is>
          <t>F-0765</t>
        </is>
      </c>
      <c r="B26" s="8" t="inlineStr">
        <is>
          <t>F</t>
        </is>
      </c>
      <c r="C26" s="5" t="inlineStr">
        <is>
          <t>Salesperson</t>
        </is>
      </c>
      <c r="D26" s="5" t="inlineStr">
        <is>
          <t>Insurance Distribution</t>
        </is>
      </c>
      <c r="E26" s="5" t="inlineStr">
        <is>
          <t>Endorse or cancel a policy</t>
        </is>
      </c>
      <c r="F26" s="5" t="inlineStr">
        <is>
          <t>Insurance advisor</t>
        </is>
      </c>
      <c r="G26" s="5" t="inlineStr">
        <is>
          <t>Insurer</t>
        </is>
      </c>
      <c r="H26" s="5" t="inlineStr">
        <is>
          <t>A change after issue is a separate endorsement, not a silent edit</t>
        </is>
      </c>
      <c r="I26" s="5" t="inlineStr">
        <is>
          <t>PolicyEndorsement kind is ENDORSE or CANCEL</t>
        </is>
      </c>
      <c r="J26" s="20" t="inlineStr">
        <is>
          <t>P1</t>
        </is>
      </c>
      <c r="K26" s="21" t="inlineStr">
        <is>
          <t>In product</t>
        </is>
      </c>
      <c r="L26" s="5" t="inlineStr">
        <is>
          <t>PolicyEndorsement.</t>
        </is>
      </c>
      <c r="M26" s="8" t="inlineStr">
        <is>
          <t>Added flows</t>
        </is>
      </c>
      <c r="N26" s="8" t="inlineStr">
        <is>
          <t>Operational role</t>
        </is>
      </c>
      <c r="O26" s="8" t="inlineStr">
        <is>
          <t>P1</t>
        </is>
      </c>
      <c r="P26" s="5" t="inlineStr">
        <is>
          <t>Unchanged</t>
        </is>
      </c>
      <c r="Q26" s="21" t="inlineStr">
        <is>
          <t>Code symbol found</t>
        </is>
      </c>
      <c r="R26" s="5" t="inlineStr">
        <is>
          <t>Matched PolicyEndorsement in product code. This is not a functional test.</t>
        </is>
      </c>
      <c r="S26" s="8" t="inlineStr">
        <is>
          <t>INS</t>
        </is>
      </c>
      <c r="T26" s="5" t="inlineStr">
        <is>
          <t>Place and service a policy</t>
        </is>
      </c>
      <c r="U26" s="8" t="inlineStr">
        <is>
          <t>4</t>
        </is>
      </c>
      <c r="V26" s="8" t="inlineStr">
        <is>
          <t>insurance</t>
        </is>
      </c>
      <c r="W26" s="8" t="inlineStr">
        <is>
          <t>GROW</t>
        </is>
      </c>
      <c r="X26" s="5" t="inlineStr">
        <is>
          <t>Vertical extension</t>
        </is>
      </c>
      <c r="Y26" s="5" t="inlineStr">
        <is>
          <t>Sales</t>
        </is>
      </c>
      <c r="Z26" s="5" t="inlineStr">
        <is>
          <t>Medium</t>
        </is>
      </c>
      <c r="AA26" s="5" t="inlineStr">
        <is>
          <t>Medium</t>
        </is>
      </c>
      <c r="AB26" s="8" t="inlineStr">
        <is>
          <t>Low</t>
        </is>
      </c>
      <c r="AC26" s="8" t="inlineStr">
        <is>
          <t>Later</t>
        </is>
      </c>
      <c r="AD26" s="5" t="inlineStr">
        <is>
          <t>Cited in code</t>
        </is>
      </c>
      <c r="AE26" s="5" t="inlineStr">
        <is>
          <t>Not verified</t>
        </is>
      </c>
      <c r="AF26" s="5" t="inlineStr">
        <is>
          <t>Not verified</t>
        </is>
      </c>
      <c r="AG26" s="5" t="inlineStr">
        <is>
          <t>Not verified</t>
        </is>
      </c>
      <c r="AH26" s="5" t="inlineStr">
        <is>
          <t>Not verified</t>
        </is>
      </c>
      <c r="AI26" s="8" t="inlineStr">
        <is>
          <t>No</t>
        </is>
      </c>
      <c r="AJ26" s="8" t="inlineStr">
        <is>
          <t>Built - unverified</t>
        </is>
      </c>
      <c r="AK26" s="8" t="inlineStr">
        <is>
          <t>P1</t>
        </is>
      </c>
      <c r="AL26" s="8" t="n">
        <v>4</v>
      </c>
      <c r="AM26" s="5" t="inlineStr"/>
      <c r="AN26" s="5" t="inlineStr"/>
      <c r="AO26" s="5" t="inlineStr"/>
      <c r="AP26" s="5" t="inlineStr">
        <is>
          <t>F-0764</t>
        </is>
      </c>
      <c r="AQ26" s="5" t="inlineStr"/>
      <c r="AR26" s="5" t="inlineStr"/>
      <c r="AS26" s="5" t="inlineStr"/>
      <c r="AT26" s="5" t="inlineStr"/>
      <c r="AU26" s="8" t="inlineStr">
        <is>
          <t>Not run</t>
        </is>
      </c>
    </row>
    <row r="27" ht="32" customHeight="1">
      <c r="A27" s="16" t="inlineStr">
        <is>
          <t>F-0766</t>
        </is>
      </c>
      <c r="B27" s="8" t="inlineStr">
        <is>
          <t>F</t>
        </is>
      </c>
      <c r="C27" s="5" t="inlineStr">
        <is>
          <t>Accountant / GST Operator</t>
        </is>
      </c>
      <c r="D27" s="5" t="inlineStr">
        <is>
          <t>Insurance Distribution</t>
        </is>
      </c>
      <c r="E27" s="5" t="inlineStr">
        <is>
          <t>Book the insurer commission receivable separately from the customer premium</t>
        </is>
      </c>
      <c r="F27" s="5" t="inlineStr">
        <is>
          <t>Accountant</t>
        </is>
      </c>
      <c r="G27" s="5" t="inlineStr">
        <is>
          <t>Insurance advisor</t>
        </is>
      </c>
      <c r="H27" s="5" t="inlineStr">
        <is>
          <t>Commission is not mixed into the customer's premium receipt</t>
        </is>
      </c>
      <c r="I27" s="5" t="inlineStr">
        <is>
          <t>CommissionReceivable starts OPEN against the policy</t>
        </is>
      </c>
      <c r="J27" s="20" t="inlineStr">
        <is>
          <t>P1</t>
        </is>
      </c>
      <c r="K27" s="21" t="inlineStr">
        <is>
          <t>In product</t>
        </is>
      </c>
      <c r="L27" s="5" t="inlineStr">
        <is>
          <t>CommissionReceivable. Status can move to RECEIVED.</t>
        </is>
      </c>
      <c r="M27" s="8" t="inlineStr">
        <is>
          <t>Added flows</t>
        </is>
      </c>
      <c r="N27" s="8" t="inlineStr">
        <is>
          <t>Operational role</t>
        </is>
      </c>
      <c r="O27" s="8" t="inlineStr">
        <is>
          <t>P1</t>
        </is>
      </c>
      <c r="P27" s="5" t="inlineStr">
        <is>
          <t>Unchanged</t>
        </is>
      </c>
      <c r="Q27" s="21" t="inlineStr">
        <is>
          <t>Code symbol found</t>
        </is>
      </c>
      <c r="R27" s="5" t="inlineStr">
        <is>
          <t>Matched CommissionReceivable in product code. This is not a functional test.</t>
        </is>
      </c>
      <c r="S27" s="8" t="inlineStr">
        <is>
          <t>INS</t>
        </is>
      </c>
      <c r="T27" s="5" t="inlineStr">
        <is>
          <t>Place and service a policy</t>
        </is>
      </c>
      <c r="U27" s="8" t="inlineStr">
        <is>
          <t>5</t>
        </is>
      </c>
      <c r="V27" s="8" t="inlineStr">
        <is>
          <t>insurance</t>
        </is>
      </c>
      <c r="W27" s="8" t="inlineStr">
        <is>
          <t>GROW</t>
        </is>
      </c>
      <c r="X27" s="5" t="inlineStr">
        <is>
          <t>Vertical extension</t>
        </is>
      </c>
      <c r="Y27" s="5" t="inlineStr">
        <is>
          <t>Accountant</t>
        </is>
      </c>
      <c r="Z27" s="5" t="inlineStr">
        <is>
          <t>Medium</t>
        </is>
      </c>
      <c r="AA27" s="5" t="inlineStr">
        <is>
          <t>Medium</t>
        </is>
      </c>
      <c r="AB27" s="8" t="inlineStr">
        <is>
          <t>Low</t>
        </is>
      </c>
      <c r="AC27" s="8" t="inlineStr">
        <is>
          <t>Later</t>
        </is>
      </c>
      <c r="AD27" s="5" t="inlineStr">
        <is>
          <t>Cited in code</t>
        </is>
      </c>
      <c r="AE27" s="5" t="inlineStr">
        <is>
          <t>Not verified</t>
        </is>
      </c>
      <c r="AF27" s="5" t="inlineStr">
        <is>
          <t>Not verified</t>
        </is>
      </c>
      <c r="AG27" s="5" t="inlineStr">
        <is>
          <t>Not verified</t>
        </is>
      </c>
      <c r="AH27" s="5" t="inlineStr">
        <is>
          <t>Not verified</t>
        </is>
      </c>
      <c r="AI27" s="8" t="inlineStr">
        <is>
          <t>No</t>
        </is>
      </c>
      <c r="AJ27" s="8" t="inlineStr">
        <is>
          <t>Built - unverified</t>
        </is>
      </c>
      <c r="AK27" s="8" t="inlineStr">
        <is>
          <t>P1</t>
        </is>
      </c>
      <c r="AL27" s="8" t="n">
        <v>4</v>
      </c>
      <c r="AM27" s="5" t="inlineStr"/>
      <c r="AN27" s="5" t="inlineStr"/>
      <c r="AO27" s="5" t="inlineStr"/>
      <c r="AP27" s="5" t="inlineStr">
        <is>
          <t>F-0765</t>
        </is>
      </c>
      <c r="AQ27" s="5" t="inlineStr"/>
      <c r="AR27" s="5" t="inlineStr"/>
      <c r="AS27" s="5" t="inlineStr"/>
      <c r="AT27" s="5" t="inlineStr"/>
      <c r="AU27" s="8" t="inlineStr">
        <is>
          <t>Not run</t>
        </is>
      </c>
    </row>
    <row r="28" ht="32" customHeight="1">
      <c r="A28" s="16" t="inlineStr">
        <is>
          <t>F-0767</t>
        </is>
      </c>
      <c r="B28" s="8" t="inlineStr">
        <is>
          <t>F</t>
        </is>
      </c>
      <c r="C28" s="5" t="inlineStr">
        <is>
          <t>Accountant / GST Operator</t>
        </is>
      </c>
      <c r="D28" s="5" t="inlineStr">
        <is>
          <t>Insurance Distribution</t>
        </is>
      </c>
      <c r="E28" s="5" t="inlineStr">
        <is>
          <t>Mark insurer commission received</t>
        </is>
      </c>
      <c r="F28" s="5" t="inlineStr">
        <is>
          <t>Accountant</t>
        </is>
      </c>
      <c r="G28" s="5" t="inlineStr">
        <is>
          <t>Insurer</t>
        </is>
      </c>
      <c r="H28" s="5" t="inlineStr">
        <is>
          <t>Open commission can be cleared when the insurer pays</t>
        </is>
      </c>
      <c r="I28" s="5" t="inlineStr">
        <is>
          <t>CommissionReceivable status RECEIVED</t>
        </is>
      </c>
      <c r="J28" s="20" t="inlineStr">
        <is>
          <t>P1</t>
        </is>
      </c>
      <c r="K28" s="21" t="inlineStr">
        <is>
          <t>In product</t>
        </is>
      </c>
      <c r="L28" s="5" t="inlineStr">
        <is>
          <t>CommissionReceivable.Status.RECEIVED.</t>
        </is>
      </c>
      <c r="M28" s="8" t="inlineStr">
        <is>
          <t>Added flows</t>
        </is>
      </c>
      <c r="N28" s="8" t="inlineStr">
        <is>
          <t>Operational role</t>
        </is>
      </c>
      <c r="O28" s="8" t="inlineStr">
        <is>
          <t>P1</t>
        </is>
      </c>
      <c r="P28" s="5" t="inlineStr">
        <is>
          <t>Unchanged</t>
        </is>
      </c>
      <c r="Q28" s="21" t="inlineStr">
        <is>
          <t>Code symbol found</t>
        </is>
      </c>
      <c r="R28" s="5" t="inlineStr">
        <is>
          <t>Matched CommissionReceivable in product code. This is not a functional test.</t>
        </is>
      </c>
      <c r="S28" s="8" t="inlineStr">
        <is>
          <t>INS</t>
        </is>
      </c>
      <c r="T28" s="5" t="inlineStr">
        <is>
          <t>Place and service a policy</t>
        </is>
      </c>
      <c r="U28" s="8" t="inlineStr">
        <is>
          <t>6</t>
        </is>
      </c>
      <c r="V28" s="8" t="inlineStr">
        <is>
          <t>insurance</t>
        </is>
      </c>
      <c r="W28" s="8" t="inlineStr">
        <is>
          <t>GROW</t>
        </is>
      </c>
      <c r="X28" s="5" t="inlineStr">
        <is>
          <t>Vertical extension</t>
        </is>
      </c>
      <c r="Y28" s="5" t="inlineStr">
        <is>
          <t>Accountant</t>
        </is>
      </c>
      <c r="Z28" s="5" t="inlineStr">
        <is>
          <t>Medium</t>
        </is>
      </c>
      <c r="AA28" s="5" t="inlineStr">
        <is>
          <t>Medium</t>
        </is>
      </c>
      <c r="AB28" s="8" t="inlineStr">
        <is>
          <t>Low</t>
        </is>
      </c>
      <c r="AC28" s="8" t="inlineStr">
        <is>
          <t>Later</t>
        </is>
      </c>
      <c r="AD28" s="5" t="inlineStr">
        <is>
          <t>Cited in code</t>
        </is>
      </c>
      <c r="AE28" s="5" t="inlineStr">
        <is>
          <t>Not verified</t>
        </is>
      </c>
      <c r="AF28" s="5" t="inlineStr">
        <is>
          <t>Not verified</t>
        </is>
      </c>
      <c r="AG28" s="5" t="inlineStr">
        <is>
          <t>Not verified</t>
        </is>
      </c>
      <c r="AH28" s="5" t="inlineStr">
        <is>
          <t>Not verified</t>
        </is>
      </c>
      <c r="AI28" s="8" t="inlineStr">
        <is>
          <t>No</t>
        </is>
      </c>
      <c r="AJ28" s="8" t="inlineStr">
        <is>
          <t>Built - unverified</t>
        </is>
      </c>
      <c r="AK28" s="8" t="inlineStr">
        <is>
          <t>P1</t>
        </is>
      </c>
      <c r="AL28" s="8" t="n">
        <v>4</v>
      </c>
      <c r="AM28" s="5" t="inlineStr"/>
      <c r="AN28" s="5" t="inlineStr"/>
      <c r="AO28" s="5" t="inlineStr"/>
      <c r="AP28" s="5" t="inlineStr">
        <is>
          <t>F-0766</t>
        </is>
      </c>
      <c r="AQ28" s="5" t="inlineStr"/>
      <c r="AR28" s="5" t="inlineStr"/>
      <c r="AS28" s="5" t="inlineStr"/>
      <c r="AT28" s="5" t="inlineStr"/>
      <c r="AU28" s="8" t="inlineStr">
        <is>
          <t>Not run</t>
        </is>
      </c>
    </row>
    <row r="29" ht="32" customHeight="1">
      <c r="A29" s="16" t="inlineStr">
        <is>
          <t>F-0768</t>
        </is>
      </c>
      <c r="B29" s="8" t="inlineStr">
        <is>
          <t>F</t>
        </is>
      </c>
      <c r="C29" s="5" t="inlineStr">
        <is>
          <t>Salesperson</t>
        </is>
      </c>
      <c r="D29" s="5" t="inlineStr">
        <is>
          <t>Insurance Distribution</t>
        </is>
      </c>
      <c r="E29" s="5" t="inlineStr">
        <is>
          <t>Lodge a policy claim against a support ticket</t>
        </is>
      </c>
      <c r="F29" s="5" t="inlineStr">
        <is>
          <t>Insurance advisor</t>
        </is>
      </c>
      <c r="G29" s="5" t="inlineStr">
        <is>
          <t>Customer</t>
        </is>
      </c>
      <c r="H29" s="5" t="inlineStr">
        <is>
          <t>The claim is tracked with the ticket. It does not post the ledger</t>
        </is>
      </c>
      <c r="I29" s="5" t="inlineStr">
        <is>
          <t>PolicyClaim links one policy to one ticket</t>
        </is>
      </c>
      <c r="J29" s="20" t="inlineStr">
        <is>
          <t>P1</t>
        </is>
      </c>
      <c r="K29" s="21" t="inlineStr">
        <is>
          <t>In product</t>
        </is>
      </c>
      <c r="L29" s="5" t="inlineStr">
        <is>
          <t>PolicyClaim. The model does not post an accounting entry.</t>
        </is>
      </c>
      <c r="M29" s="8" t="inlineStr">
        <is>
          <t>Added flows</t>
        </is>
      </c>
      <c r="N29" s="8" t="inlineStr">
        <is>
          <t>Operational role</t>
        </is>
      </c>
      <c r="O29" s="8" t="inlineStr">
        <is>
          <t>P1</t>
        </is>
      </c>
      <c r="P29" s="5" t="inlineStr">
        <is>
          <t>Unchanged</t>
        </is>
      </c>
      <c r="Q29" s="21" t="inlineStr">
        <is>
          <t>Code symbol found</t>
        </is>
      </c>
      <c r="R29" s="5" t="inlineStr">
        <is>
          <t>Matched PolicyClaim in product code. This is not a functional test.</t>
        </is>
      </c>
      <c r="S29" s="8" t="inlineStr">
        <is>
          <t>INS</t>
        </is>
      </c>
      <c r="T29" s="5" t="inlineStr">
        <is>
          <t>Place and service a policy</t>
        </is>
      </c>
      <c r="U29" s="8" t="inlineStr">
        <is>
          <t>7</t>
        </is>
      </c>
      <c r="V29" s="8" t="inlineStr">
        <is>
          <t>insurance</t>
        </is>
      </c>
      <c r="W29" s="8" t="inlineStr">
        <is>
          <t>GROW</t>
        </is>
      </c>
      <c r="X29" s="5" t="inlineStr">
        <is>
          <t>Vertical extension</t>
        </is>
      </c>
      <c r="Y29" s="5" t="inlineStr">
        <is>
          <t>Sales</t>
        </is>
      </c>
      <c r="Z29" s="5" t="inlineStr">
        <is>
          <t>Medium</t>
        </is>
      </c>
      <c r="AA29" s="5" t="inlineStr">
        <is>
          <t>Medium</t>
        </is>
      </c>
      <c r="AB29" s="8" t="inlineStr">
        <is>
          <t>Low</t>
        </is>
      </c>
      <c r="AC29" s="8" t="inlineStr">
        <is>
          <t>Later</t>
        </is>
      </c>
      <c r="AD29" s="5" t="inlineStr">
        <is>
          <t>Cited in code</t>
        </is>
      </c>
      <c r="AE29" s="5" t="inlineStr">
        <is>
          <t>Not verified</t>
        </is>
      </c>
      <c r="AF29" s="5" t="inlineStr">
        <is>
          <t>Not verified</t>
        </is>
      </c>
      <c r="AG29" s="5" t="inlineStr">
        <is>
          <t>Not verified</t>
        </is>
      </c>
      <c r="AH29" s="5" t="inlineStr">
        <is>
          <t>Not verified</t>
        </is>
      </c>
      <c r="AI29" s="8" t="inlineStr">
        <is>
          <t>No</t>
        </is>
      </c>
      <c r="AJ29" s="8" t="inlineStr">
        <is>
          <t>Built - unverified</t>
        </is>
      </c>
      <c r="AK29" s="8" t="inlineStr">
        <is>
          <t>P1</t>
        </is>
      </c>
      <c r="AL29" s="8" t="n">
        <v>4</v>
      </c>
      <c r="AM29" s="5" t="inlineStr"/>
      <c r="AN29" s="5" t="inlineStr"/>
      <c r="AO29" s="5" t="inlineStr"/>
      <c r="AP29" s="5" t="inlineStr">
        <is>
          <t>F-0767</t>
        </is>
      </c>
      <c r="AQ29" s="5" t="inlineStr"/>
      <c r="AR29" s="5" t="inlineStr"/>
      <c r="AS29" s="5" t="inlineStr"/>
      <c r="AT29" s="5" t="inlineStr"/>
      <c r="AU29" s="8" t="inlineStr">
        <is>
          <t>Not run</t>
        </is>
      </c>
    </row>
    <row r="30" ht="32" customHeight="1">
      <c r="A30" s="16" t="inlineStr">
        <is>
          <t>F-0769</t>
        </is>
      </c>
      <c r="B30" s="8" t="inlineStr">
        <is>
          <t>F</t>
        </is>
      </c>
      <c r="C30" s="5" t="inlineStr">
        <is>
          <t>Salesperson</t>
        </is>
      </c>
      <c r="D30" s="5" t="inlineStr">
        <is>
          <t>Insurance Distribution</t>
        </is>
      </c>
      <c r="E30" s="5" t="inlineStr">
        <is>
          <t>Attach Aadhaar, PAN, or another KYC file to the policy</t>
        </is>
      </c>
      <c r="F30" s="5" t="inlineStr">
        <is>
          <t>Insurance advisor</t>
        </is>
      </c>
      <c r="G30" s="5" t="inlineStr">
        <is>
          <t>Customer</t>
        </is>
      </c>
      <c r="H30" s="5" t="inlineStr">
        <is>
          <t>KYC sits on the policy instead of in a side folder</t>
        </is>
      </c>
      <c r="I30" s="5" t="inlineStr">
        <is>
          <t>PolicyKyc stores the file kind and a file asset</t>
        </is>
      </c>
      <c r="J30" s="20" t="inlineStr">
        <is>
          <t>P1</t>
        </is>
      </c>
      <c r="K30" s="21" t="inlineStr">
        <is>
          <t>In product</t>
        </is>
      </c>
      <c r="L30" s="5" t="inlineStr">
        <is>
          <t>PolicyKyc.</t>
        </is>
      </c>
      <c r="M30" s="8" t="inlineStr">
        <is>
          <t>Added flows</t>
        </is>
      </c>
      <c r="N30" s="8" t="inlineStr">
        <is>
          <t>Operational role</t>
        </is>
      </c>
      <c r="O30" s="8" t="inlineStr">
        <is>
          <t>P1</t>
        </is>
      </c>
      <c r="P30" s="5" t="inlineStr">
        <is>
          <t>Unchanged</t>
        </is>
      </c>
      <c r="Q30" s="21" t="inlineStr">
        <is>
          <t>Code symbol found</t>
        </is>
      </c>
      <c r="R30" s="5" t="inlineStr">
        <is>
          <t>Matched PolicyKyc in product code. This is not a functional test.</t>
        </is>
      </c>
      <c r="S30" s="8" t="inlineStr">
        <is>
          <t>INS</t>
        </is>
      </c>
      <c r="T30" s="5" t="inlineStr">
        <is>
          <t>Place and service a policy</t>
        </is>
      </c>
      <c r="U30" s="8" t="inlineStr">
        <is>
          <t>8</t>
        </is>
      </c>
      <c r="V30" s="8" t="inlineStr">
        <is>
          <t>insurance</t>
        </is>
      </c>
      <c r="W30" s="8" t="inlineStr">
        <is>
          <t>GROW</t>
        </is>
      </c>
      <c r="X30" s="5" t="inlineStr">
        <is>
          <t>Vertical extension</t>
        </is>
      </c>
      <c r="Y30" s="5" t="inlineStr">
        <is>
          <t>Sales</t>
        </is>
      </c>
      <c r="Z30" s="5" t="inlineStr">
        <is>
          <t>Medium</t>
        </is>
      </c>
      <c r="AA30" s="5" t="inlineStr">
        <is>
          <t>Medium</t>
        </is>
      </c>
      <c r="AB30" s="8" t="inlineStr">
        <is>
          <t>Low</t>
        </is>
      </c>
      <c r="AC30" s="8" t="inlineStr">
        <is>
          <t>Later</t>
        </is>
      </c>
      <c r="AD30" s="5" t="inlineStr">
        <is>
          <t>Cited in code</t>
        </is>
      </c>
      <c r="AE30" s="5" t="inlineStr">
        <is>
          <t>Not verified</t>
        </is>
      </c>
      <c r="AF30" s="5" t="inlineStr">
        <is>
          <t>Not verified</t>
        </is>
      </c>
      <c r="AG30" s="5" t="inlineStr">
        <is>
          <t>Not verified</t>
        </is>
      </c>
      <c r="AH30" s="5" t="inlineStr">
        <is>
          <t>Not verified</t>
        </is>
      </c>
      <c r="AI30" s="8" t="inlineStr">
        <is>
          <t>No</t>
        </is>
      </c>
      <c r="AJ30" s="8" t="inlineStr">
        <is>
          <t>Built - unverified</t>
        </is>
      </c>
      <c r="AK30" s="8" t="inlineStr">
        <is>
          <t>P1</t>
        </is>
      </c>
      <c r="AL30" s="8" t="n">
        <v>4</v>
      </c>
      <c r="AM30" s="5" t="inlineStr"/>
      <c r="AN30" s="5" t="inlineStr"/>
      <c r="AO30" s="5" t="inlineStr"/>
      <c r="AP30" s="5" t="inlineStr">
        <is>
          <t>F-0768</t>
        </is>
      </c>
      <c r="AQ30" s="5" t="inlineStr"/>
      <c r="AR30" s="5" t="inlineStr"/>
      <c r="AS30" s="5" t="inlineStr"/>
      <c r="AT30" s="5" t="inlineStr"/>
      <c r="AU30" s="8" t="inlineStr">
        <is>
          <t>Not run</t>
        </is>
      </c>
    </row>
    <row r="31" ht="32" customHeight="1">
      <c r="A31" s="16" t="inlineStr">
        <is>
          <t>F-0770</t>
        </is>
      </c>
      <c r="B31" s="8" t="inlineStr">
        <is>
          <t>F</t>
        </is>
      </c>
      <c r="C31" s="5" t="inlineStr">
        <is>
          <t>Salesperson</t>
        </is>
      </c>
      <c r="D31" s="5" t="inlineStr">
        <is>
          <t>Insurance Distribution</t>
        </is>
      </c>
      <c r="E31" s="5" t="inlineStr">
        <is>
          <t>Open one renewal lead for a policy</t>
        </is>
      </c>
      <c r="F31" s="5" t="inlineStr">
        <is>
          <t>Insurance advisor</t>
        </is>
      </c>
      <c r="G31" s="5" t="inlineStr">
        <is>
          <t>Customer</t>
        </is>
      </c>
      <c r="H31" s="5" t="inlineStr">
        <is>
          <t>Renewal follow-up is not created twice for the same policy</t>
        </is>
      </c>
      <c r="I31" s="5" t="inlineStr">
        <is>
          <t>PolicyRenewalLead is one-to-one with the policy and points at a lead</t>
        </is>
      </c>
      <c r="J31" s="20" t="inlineStr">
        <is>
          <t>P1</t>
        </is>
      </c>
      <c r="K31" s="21" t="inlineStr">
        <is>
          <t>In product</t>
        </is>
      </c>
      <c r="L31" s="5" t="inlineStr">
        <is>
          <t>PolicyRenewalLead. The policy link is the dedupe key.</t>
        </is>
      </c>
      <c r="M31" s="8" t="inlineStr">
        <is>
          <t>Added flows</t>
        </is>
      </c>
      <c r="N31" s="8" t="inlineStr">
        <is>
          <t>Operational role</t>
        </is>
      </c>
      <c r="O31" s="8" t="inlineStr">
        <is>
          <t>P1</t>
        </is>
      </c>
      <c r="P31" s="5" t="inlineStr">
        <is>
          <t>Unchanged</t>
        </is>
      </c>
      <c r="Q31" s="21" t="inlineStr">
        <is>
          <t>Code symbol found</t>
        </is>
      </c>
      <c r="R31" s="5" t="inlineStr">
        <is>
          <t>Matched PolicyRenewalLead in product code. This is not a functional test.</t>
        </is>
      </c>
      <c r="S31" s="8" t="inlineStr">
        <is>
          <t>INS</t>
        </is>
      </c>
      <c r="T31" s="5" t="inlineStr">
        <is>
          <t>Place and service a policy</t>
        </is>
      </c>
      <c r="U31" s="8" t="inlineStr">
        <is>
          <t>9</t>
        </is>
      </c>
      <c r="V31" s="8" t="inlineStr">
        <is>
          <t>insurance</t>
        </is>
      </c>
      <c r="W31" s="8" t="inlineStr">
        <is>
          <t>GROW</t>
        </is>
      </c>
      <c r="X31" s="5" t="inlineStr">
        <is>
          <t>Vertical extension</t>
        </is>
      </c>
      <c r="Y31" s="5" t="inlineStr">
        <is>
          <t>Sales</t>
        </is>
      </c>
      <c r="Z31" s="5" t="inlineStr">
        <is>
          <t>Medium</t>
        </is>
      </c>
      <c r="AA31" s="5" t="inlineStr">
        <is>
          <t>Medium</t>
        </is>
      </c>
      <c r="AB31" s="8" t="inlineStr">
        <is>
          <t>Low</t>
        </is>
      </c>
      <c r="AC31" s="8" t="inlineStr">
        <is>
          <t>Later</t>
        </is>
      </c>
      <c r="AD31" s="5" t="inlineStr">
        <is>
          <t>Cited in code</t>
        </is>
      </c>
      <c r="AE31" s="5" t="inlineStr">
        <is>
          <t>Not verified</t>
        </is>
      </c>
      <c r="AF31" s="5" t="inlineStr">
        <is>
          <t>Not verified</t>
        </is>
      </c>
      <c r="AG31" s="5" t="inlineStr">
        <is>
          <t>Not verified</t>
        </is>
      </c>
      <c r="AH31" s="5" t="inlineStr">
        <is>
          <t>Not verified</t>
        </is>
      </c>
      <c r="AI31" s="8" t="inlineStr">
        <is>
          <t>No</t>
        </is>
      </c>
      <c r="AJ31" s="8" t="inlineStr">
        <is>
          <t>Built - unverified</t>
        </is>
      </c>
      <c r="AK31" s="8" t="inlineStr">
        <is>
          <t>P1</t>
        </is>
      </c>
      <c r="AL31" s="8" t="n">
        <v>4</v>
      </c>
      <c r="AM31" s="5" t="inlineStr"/>
      <c r="AN31" s="5" t="inlineStr"/>
      <c r="AO31" s="5" t="inlineStr"/>
      <c r="AP31" s="5" t="inlineStr">
        <is>
          <t>F-0769</t>
        </is>
      </c>
      <c r="AQ31" s="5" t="inlineStr"/>
      <c r="AR31" s="5" t="inlineStr"/>
      <c r="AS31" s="5" t="inlineStr"/>
      <c r="AT31" s="5" t="inlineStr"/>
      <c r="AU3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H25"/>
  <sheetViews>
    <sheetView showGridLines="0" workbookViewId="0">
      <pane ySplit="3" topLeftCell="A4" activePane="bottomLeft" state="frozen"/>
      <selection pane="bottomLeft" activeCell="A1" sqref="A1"/>
    </sheetView>
  </sheetViews>
  <sheetFormatPr baseColWidth="8" defaultRowHeight="15" outlineLevelCol="0"/>
  <cols>
    <col width="36" customWidth="1" min="1" max="1"/>
    <col width="36" customWidth="1" min="2" max="2"/>
    <col width="18" customWidth="1" min="3" max="3"/>
    <col width="20" customWidth="1" min="4" max="4"/>
    <col width="28" customWidth="1" min="5" max="5"/>
    <col width="42" customWidth="1" min="6" max="6"/>
    <col width="36" customWidth="1" min="7" max="7"/>
    <col width="40" customWidth="1" min="8" max="8"/>
  </cols>
  <sheetData>
    <row r="1">
      <c r="A1" s="1" t="inlineStr">
        <is>
          <t>Persona coverage and jobs to be done</t>
        </is>
      </c>
    </row>
    <row r="2" ht="28" customHeight="1">
      <c r="A2" s="12" t="inlineStr">
        <is>
          <t>Register tasks counts Persona / Scope with COUNTIF. Previously printed counts came from the 560-task register and several names did not match.</t>
        </is>
      </c>
    </row>
    <row r="3">
      <c r="A3" s="3" t="inlineStr">
        <is>
          <t>Jobs-to-be-done name</t>
        </is>
      </c>
      <c r="B3" s="3" t="inlineStr">
        <is>
          <t>Register persona</t>
        </is>
      </c>
      <c r="C3" s="3" t="inlineStr">
        <is>
          <t>Register tasks</t>
        </is>
      </c>
      <c r="D3" s="3" t="inlineStr">
        <is>
          <t>Previously printed</t>
        </is>
      </c>
      <c r="E3" s="3" t="inlineStr">
        <is>
          <t>Count check</t>
        </is>
      </c>
      <c r="F3" s="3" t="inlineStr">
        <is>
          <t>Functional job</t>
        </is>
      </c>
      <c r="G3" s="3" t="inlineStr">
        <is>
          <t>Emotional job</t>
        </is>
      </c>
      <c r="H3" s="3" t="inlineStr">
        <is>
          <t>Social job</t>
        </is>
      </c>
    </row>
    <row r="4" ht="30" customHeight="1">
      <c r="A4" s="5" t="inlineStr">
        <is>
          <t>Managing Proprietor ('Sethji')</t>
        </is>
      </c>
      <c r="B4" s="5" t="inlineStr">
        <is>
          <t>Business Owner</t>
        </is>
      </c>
      <c r="C4" s="16">
        <f>COUNTIF(TaskRegister[Persona / Scope],B4)</f>
        <v/>
      </c>
      <c r="D4" s="16" t="n">
        <v>13</v>
      </c>
      <c r="E4" s="16">
        <f>IF(C4=D4,"Matches","Does not match")</f>
        <v/>
      </c>
      <c r="F4" s="5" t="inlineStr">
        <is>
          <t>Track daily sales, cash, margin, and overdue debtors.</t>
        </is>
      </c>
      <c r="G4" s="5" t="inlineStr">
        <is>
          <t>In control of the day's cash.</t>
        </is>
      </c>
      <c r="H4" s="5" t="inlineStr">
        <is>
          <t>A proprietor who can see the books.</t>
        </is>
      </c>
    </row>
    <row r="5" ht="30" customHeight="1">
      <c r="A5" s="5" t="inlineStr">
        <is>
          <t>Kirana Shop Owner</t>
        </is>
      </c>
      <c r="B5" s="5" t="inlineStr">
        <is>
          <t>Kirana Shop Owner</t>
        </is>
      </c>
      <c r="C5" s="16">
        <f>COUNTIF(TaskRegister[Persona / Scope],B5)</f>
        <v/>
      </c>
      <c r="D5" s="16" t="n">
        <v>20</v>
      </c>
      <c r="E5" s="16">
        <f>IF(C5=D5,"Matches","Does not match")</f>
        <v/>
      </c>
      <c r="F5" s="5" t="inlineStr">
        <is>
          <t>Fast billing, FMCG stock, supplier intake, and customer khata.</t>
        </is>
      </c>
      <c r="G5" s="5" t="inlineStr">
        <is>
          <t>No queue and a clear supplier book.</t>
        </is>
      </c>
      <c r="H5" s="5" t="inlineStr">
        <is>
          <t>A grocer with tidy accounts.</t>
        </is>
      </c>
    </row>
    <row r="6" ht="30" customHeight="1">
      <c r="A6" s="5" t="inlineStr">
        <is>
          <t>Gully Vendor / Small Retailer</t>
        </is>
      </c>
      <c r="B6" s="5" t="inlineStr">
        <is>
          <t>Gully Vendor / Small Retailer</t>
        </is>
      </c>
      <c r="C6" s="16">
        <f>COUNTIF(TaskRegister[Persona / Scope],B6)</f>
        <v/>
      </c>
      <c r="D6" s="16" t="n">
        <v>17</v>
      </c>
      <c r="E6" s="16">
        <f>IF(C6=D6,"Matches","Does not match")</f>
        <v/>
      </c>
      <c r="F6" s="5" t="inlineStr">
        <is>
          <t>Walk-in cash and UPI billing, price checks, and till close.</t>
        </is>
      </c>
      <c r="G6" s="5" t="inlineStr">
        <is>
          <t>Unhurried at peak hour.</t>
        </is>
      </c>
      <c r="H6" s="5" t="inlineStr">
        <is>
          <t>A merchant who takes digital payment.</t>
        </is>
      </c>
    </row>
    <row r="7" ht="30" customHeight="1">
      <c r="A7" s="5" t="inlineStr">
        <is>
          <t>Medical Shop Pharmacist</t>
        </is>
      </c>
      <c r="B7" s="5" t="inlineStr">
        <is>
          <t>Medical Shop</t>
        </is>
      </c>
      <c r="C7" s="16">
        <f>COUNTIF(TaskRegister[Persona / Scope],B7)</f>
        <v/>
      </c>
      <c r="D7" s="16" t="n">
        <v>14</v>
      </c>
      <c r="E7" s="16">
        <f>IF(C7=D7,"Matches","Does not match")</f>
        <v/>
      </c>
      <c r="F7" s="5" t="inlineStr">
        <is>
          <t>Batch and expiry sales, FEFO, and drug-licence records.</t>
        </is>
      </c>
      <c r="G7" s="5" t="inlineStr">
        <is>
          <t>Safe from expiry and licence gaps.</t>
        </is>
      </c>
      <c r="H7" s="5" t="inlineStr">
        <is>
          <t>A dispenser with a defensible register.</t>
        </is>
      </c>
    </row>
    <row r="8" ht="30" customHeight="1">
      <c r="A8" s="5" t="inlineStr">
        <is>
          <t>Wholesale Distributor</t>
        </is>
      </c>
      <c r="B8" s="5" t="inlineStr">
        <is>
          <t>Distributor</t>
        </is>
      </c>
      <c r="C8" s="16">
        <f>COUNTIF(TaskRegister[Persona / Scope],B8)</f>
        <v/>
      </c>
      <c r="D8" s="16" t="n">
        <v>16</v>
      </c>
      <c r="E8" s="16">
        <f>IF(C8=D8,"Matches","Does not match")</f>
        <v/>
      </c>
      <c r="F8" s="5" t="inlineStr">
        <is>
          <t>Bulk billing, slabs, credit limits, and receivables.</t>
        </is>
      </c>
      <c r="G8" s="5" t="inlineStr">
        <is>
          <t>Working capital moving without silent bad debt.</t>
        </is>
      </c>
      <c r="H8" s="5" t="inlineStr">
        <is>
          <t>A distributor who can see exposure.</t>
        </is>
      </c>
    </row>
    <row r="9" ht="30" customHeight="1">
      <c r="A9" s="5" t="inlineStr">
        <is>
          <t>Single-Godown Distributor</t>
        </is>
      </c>
      <c r="B9" s="5" t="inlineStr">
        <is>
          <t>Single-Godown Distributor</t>
        </is>
      </c>
      <c r="C9" s="16">
        <f>COUNTIF(TaskRegister[Persona / Scope],B9)</f>
        <v/>
      </c>
      <c r="D9" s="16" t="n">
        <v>11</v>
      </c>
      <c r="E9" s="16">
        <f>IF(C9=D9,"Matches","Does not match")</f>
        <v/>
      </c>
      <c r="F9" s="5" t="inlineStr">
        <is>
          <t>Receive, allocate, pick, and count one godown.</t>
        </is>
      </c>
      <c r="G9" s="5" t="inlineStr">
        <is>
          <t>Shelves that match the book.</t>
        </is>
      </c>
      <c r="H9" s="5" t="inlineStr">
        <is>
          <t>A stock controller who can explain a variance.</t>
        </is>
      </c>
    </row>
    <row r="10" ht="30" customHeight="1">
      <c r="A10" s="5" t="inlineStr">
        <is>
          <t>Multi-Godown Distributor</t>
        </is>
      </c>
      <c r="B10" s="5" t="inlineStr">
        <is>
          <t>Multi-Godown Distributor</t>
        </is>
      </c>
      <c r="C10" s="16">
        <f>COUNTIF(TaskRegister[Persona / Scope],B10)</f>
        <v/>
      </c>
      <c r="D10" s="16" t="n">
        <v>10</v>
      </c>
      <c r="E10" s="16">
        <f>IF(C10=D10,"Matches","Does not match")</f>
        <v/>
      </c>
      <c r="F10" s="5" t="inlineStr">
        <is>
          <t>Transfers, transit loss, and godown margin.</t>
        </is>
      </c>
      <c r="G10" s="5" t="inlineStr">
        <is>
          <t>One view across godowns.</t>
        </is>
      </c>
      <c r="H10" s="5" t="inlineStr">
        <is>
          <t>An operator who can move stock on purpose.</t>
        </is>
      </c>
    </row>
    <row r="11" ht="30" customHeight="1">
      <c r="A11" s="5" t="inlineStr">
        <is>
          <t>Multi-Shop Owner</t>
        </is>
      </c>
      <c r="B11" s="5" t="inlineStr">
        <is>
          <t>Multi-Shop Owner</t>
        </is>
      </c>
      <c r="C11" s="16">
        <f>COUNTIF(TaskRegister[Persona / Scope],B11)</f>
        <v/>
      </c>
      <c r="D11" s="16" t="n">
        <v>11</v>
      </c>
      <c r="E11" s="16">
        <f>IF(C11=D11,"Matches","Does not match")</f>
        <v/>
      </c>
      <c r="F11" s="5" t="inlineStr">
        <is>
          <t>Outlet comparison, stock balancing, and a shared catalog.</t>
        </is>
      </c>
      <c r="G11" s="5" t="inlineStr">
        <is>
          <t>Able to run more than one counter.</t>
        </is>
      </c>
      <c r="H11" s="5" t="inlineStr">
        <is>
          <t>An owner who can compare shops.</t>
        </is>
      </c>
    </row>
    <row r="12" ht="30" customHeight="1">
      <c r="A12" s="5" t="inlineStr">
        <is>
          <t>In-house Accountant ('Munshi')</t>
        </is>
      </c>
      <c r="B12" s="5" t="inlineStr">
        <is>
          <t>Accountant / GST Operator</t>
        </is>
      </c>
      <c r="C12" s="16">
        <f>COUNTIF(TaskRegister[Persona / Scope],B12)</f>
        <v/>
      </c>
      <c r="D12" s="16" t="n">
        <v>16</v>
      </c>
      <c r="E12" s="16">
        <f>IF(C12=D12,"Matches","Does not match")</f>
        <v/>
      </c>
      <c r="F12" s="5" t="inlineStr">
        <is>
          <t>Books, returns, vouchers, Tally export, and bank reconciliation.</t>
        </is>
      </c>
      <c r="G12" s="5" t="inlineStr">
        <is>
          <t>A period close that ties.</t>
        </is>
      </c>
      <c r="H12" s="5" t="inlineStr">
        <is>
          <t>An accountant the owner can trust with the return.</t>
        </is>
      </c>
    </row>
    <row r="13" ht="30" customHeight="1">
      <c r="A13" s="5" t="inlineStr">
        <is>
          <t>Field Sales Representative</t>
        </is>
      </c>
      <c r="B13" s="5" t="inlineStr">
        <is>
          <t>Salesperson</t>
        </is>
      </c>
      <c r="C13" s="16">
        <f>COUNTIF(TaskRegister[Persona / Scope],B13)</f>
        <v/>
      </c>
      <c r="D13" s="16" t="n">
        <v>10</v>
      </c>
      <c r="E13" s="16">
        <f>IF(C13=D13,"Matches","Does not match")</f>
        <v/>
      </c>
      <c r="F13" s="5" t="inlineStr">
        <is>
          <t>Book orders, check stock and credit, and collect dues.</t>
        </is>
      </c>
      <c r="G13" s="5" t="inlineStr">
        <is>
          <t>Able to answer a retailer without calling the office.</t>
        </is>
      </c>
      <c r="H13" s="5" t="inlineStr">
        <is>
          <t>A salesperson with current price and stock.</t>
        </is>
      </c>
    </row>
    <row r="14" ht="30" customHeight="1">
      <c r="A14" s="5" t="inlineStr">
        <is>
          <t>Growth Lead / Marketing Manager</t>
        </is>
      </c>
      <c r="B14" s="5" t="inlineStr"/>
      <c r="C14" s="16" t="inlineStr"/>
      <c r="D14" s="16" t="n">
        <v>10</v>
      </c>
      <c r="E14" s="16" t="inlineStr">
        <is>
          <t>No single register persona uses this name</t>
        </is>
      </c>
      <c r="F14" s="5" t="inlineStr">
        <is>
          <t>Campaigns, funnel conversion, and acquisition cost.</t>
        </is>
      </c>
      <c r="G14" s="5" t="inlineStr">
        <is>
          <t>Able to see which channel produced cash.</t>
        </is>
      </c>
      <c r="H14" s="5" t="inlineStr">
        <is>
          <t>A lead who can explain spend.</t>
        </is>
      </c>
    </row>
    <row r="15" ht="30" customHeight="1">
      <c r="A15" s="5" t="inlineStr">
        <is>
          <t>Customer Success &amp; Service Lead</t>
        </is>
      </c>
      <c r="B15" s="5" t="inlineStr"/>
      <c r="C15" s="16" t="inlineStr"/>
      <c r="D15" s="16" t="n">
        <v>9</v>
      </c>
      <c r="E15" s="16" t="inlineStr">
        <is>
          <t>No single register persona uses this name</t>
        </is>
      </c>
      <c r="F15" s="5" t="inlineStr">
        <is>
          <t>Complaints, contracts, and tickets.</t>
        </is>
      </c>
      <c r="G15" s="5" t="inlineStr">
        <is>
          <t>A dispute that has an owner.</t>
        </is>
      </c>
      <c r="H15" s="5" t="inlineStr">
        <is>
          <t>A service lead who can close the loop.</t>
        </is>
      </c>
    </row>
    <row r="16" ht="30" customHeight="1">
      <c r="A16" s="5" t="inlineStr">
        <is>
          <t>Purchase Manager</t>
        </is>
      </c>
      <c r="B16" s="5" t="inlineStr">
        <is>
          <t>Purchase Manager</t>
        </is>
      </c>
      <c r="C16" s="16">
        <f>COUNTIF(TaskRegister[Persona / Scope],B16)</f>
        <v/>
      </c>
      <c r="D16" s="16" t="n">
        <v>10</v>
      </c>
      <c r="E16" s="16">
        <f>IF(C16=D16,"Matches","Does not match")</f>
        <v/>
      </c>
      <c r="F16" s="5" t="inlineStr">
        <is>
          <t>Purchase orders, vendor rates, and three-way match.</t>
        </is>
      </c>
      <c r="G16" s="5" t="inlineStr">
        <is>
          <t>Buying without a surprise stockout.</t>
        </is>
      </c>
      <c r="H16" s="5" t="inlineStr">
        <is>
          <t>A buyer who can show the rate decision.</t>
        </is>
      </c>
    </row>
    <row r="17" ht="30" customHeight="1">
      <c r="A17" s="5" t="inlineStr">
        <is>
          <t>Warehouse / Inventory Custodian</t>
        </is>
      </c>
      <c r="B17" s="5" t="inlineStr">
        <is>
          <t>Inventory Manager</t>
        </is>
      </c>
      <c r="C17" s="16">
        <f>COUNTIF(TaskRegister[Persona / Scope],B17)</f>
        <v/>
      </c>
      <c r="D17" s="16" t="n">
        <v>13</v>
      </c>
      <c r="E17" s="16">
        <f>IF(C17=D17,"Matches","Does not match")</f>
        <v/>
      </c>
      <c r="F17" s="5" t="inlineStr">
        <is>
          <t>Intake, batch and serial, damage, and cycle counts.</t>
        </is>
      </c>
      <c r="G17" s="5" t="inlineStr">
        <is>
          <t>A location that matches the balance.</t>
        </is>
      </c>
      <c r="H17" s="5" t="inlineStr">
        <is>
          <t>A custodian who can account for a carton.</t>
        </is>
      </c>
    </row>
    <row r="18" ht="30" customHeight="1">
      <c r="A18" s="5" t="inlineStr">
        <is>
          <t>Delivery Driver / Fleet Operator</t>
        </is>
      </c>
      <c r="B18" s="5" t="inlineStr">
        <is>
          <t>Delivery Driver / Route Logistics</t>
        </is>
      </c>
      <c r="C18" s="16">
        <f>COUNTIF(TaskRegister[Persona / Scope],B18)</f>
        <v/>
      </c>
      <c r="D18" s="16" t="n">
        <v>7</v>
      </c>
      <c r="E18" s="16">
        <f>IF(C18=D18,"Matches","Does not match")</f>
        <v/>
      </c>
      <c r="F18" s="5" t="inlineStr">
        <is>
          <t>Manifest, drop, proof of delivery, and cash on delivery.</t>
        </is>
      </c>
      <c r="G18" s="5" t="inlineStr">
        <is>
          <t>Cash collected matches the drops.</t>
        </is>
      </c>
      <c r="H18" s="5" t="inlineStr">
        <is>
          <t>A driver with a manifest, not a loose slip.</t>
        </is>
      </c>
    </row>
    <row r="19" ht="30" customHeight="1">
      <c r="A19" s="5" t="inlineStr">
        <is>
          <t>External CA / Statutory Auditor</t>
        </is>
      </c>
      <c r="B19" s="5" t="inlineStr">
        <is>
          <t>External CA / Statutory Auditor</t>
        </is>
      </c>
      <c r="C19" s="16">
        <f>COUNTIF(TaskRegister[Persona / Scope],B19)</f>
        <v/>
      </c>
      <c r="D19" s="16" t="n">
        <v>7</v>
      </c>
      <c r="E19" s="16">
        <f>IF(C19=D19,"Matches","Does not match")</f>
        <v/>
      </c>
      <c r="F19" s="5" t="inlineStr">
        <is>
          <t>Statements, blocked credit, TDS, and annual returns.</t>
        </is>
      </c>
      <c r="G19" s="5" t="inlineStr">
        <is>
          <t>A file that can be explained.</t>
        </is>
      </c>
      <c r="H19" s="5" t="inlineStr">
        <is>
          <t>An auditor who is not reconstructing the books.</t>
        </is>
      </c>
    </row>
    <row r="20" ht="30" customHeight="1">
      <c r="A20" s="5" t="inlineStr">
        <is>
          <t>Assembly / Production Supervisor</t>
        </is>
      </c>
      <c r="B20" s="5" t="inlineStr">
        <is>
          <t>Assembly / Production Supervisor</t>
        </is>
      </c>
      <c r="C20" s="16">
        <f>COUNTIF(TaskRegister[Persona / Scope],B20)</f>
        <v/>
      </c>
      <c r="D20" s="16" t="n">
        <v>4</v>
      </c>
      <c r="E20" s="16">
        <f>IF(C20=D20,"Matches","Does not match")</f>
        <v/>
      </c>
      <c r="F20" s="5" t="inlineStr">
        <is>
          <t>Bills of material, issue, and finished cost.</t>
        </is>
      </c>
      <c r="G20" s="5" t="inlineStr">
        <is>
          <t>Material issued matches the order.</t>
        </is>
      </c>
      <c r="H20" s="5" t="inlineStr">
        <is>
          <t>A supervisor who can explain yield.</t>
        </is>
      </c>
    </row>
    <row r="21" ht="30" customHeight="1">
      <c r="A21" s="5" t="inlineStr">
        <is>
          <t>Retail &amp; B2B Customer</t>
        </is>
      </c>
      <c r="B21" s="5" t="inlineStr">
        <is>
          <t>Customer</t>
        </is>
      </c>
      <c r="C21" s="16">
        <f>COUNTIF(TaskRegister[Persona / Scope],B21)</f>
        <v/>
      </c>
      <c r="D21" s="16" t="n">
        <v>8</v>
      </c>
      <c r="E21" s="16">
        <f>IF(C21=D21,"Matches","Does not match")</f>
        <v/>
      </c>
      <c r="F21" s="5" t="inlineStr">
        <is>
          <t>Invoice, history, dues, and payment.</t>
        </is>
      </c>
      <c r="G21" s="5" t="inlineStr">
        <is>
          <t>A bill that can be checked.</t>
        </is>
      </c>
      <c r="H21" s="5" t="inlineStr">
        <is>
          <t>A customer who can see the same number as the shop.</t>
        </is>
      </c>
    </row>
    <row r="22" ht="30" customHeight="1">
      <c r="A22" s="5" t="inlineStr">
        <is>
          <t>Vendor / Principal Supplier</t>
        </is>
      </c>
      <c r="B22" s="5" t="inlineStr">
        <is>
          <t>Supplier</t>
        </is>
      </c>
      <c r="C22" s="16">
        <f>COUNTIF(TaskRegister[Persona / Scope],B22)</f>
        <v/>
      </c>
      <c r="D22" s="16" t="n">
        <v>6</v>
      </c>
      <c r="E22" s="16">
        <f>IF(C22=D22,"Matches","Does not match")</f>
        <v/>
      </c>
      <c r="F22" s="5" t="inlineStr">
        <is>
          <t>Purchase orders, challan, and payment advice.</t>
        </is>
      </c>
      <c r="G22" s="5" t="inlineStr">
        <is>
          <t>A balance both sides can tie.</t>
        </is>
      </c>
      <c r="H22" s="5" t="inlineStr">
        <is>
          <t>A supplier with a document, not a verbal order.</t>
        </is>
      </c>
    </row>
    <row r="23" ht="30" customHeight="1">
      <c r="A23" s="5" t="inlineStr">
        <is>
          <t>System Administrator</t>
        </is>
      </c>
      <c r="B23" s="5" t="inlineStr">
        <is>
          <t>Admin / System Owner</t>
        </is>
      </c>
      <c r="C23" s="16">
        <f>COUNTIF(TaskRegister[Persona / Scope],B23)</f>
        <v/>
      </c>
      <c r="D23" s="16" t="n">
        <v>13</v>
      </c>
      <c r="E23" s="16">
        <f>IF(C23=D23,"Matches","Does not match")</f>
        <v/>
      </c>
      <c r="F23" s="5" t="inlineStr">
        <is>
          <t>Users, roles, branches, GSTIN, and recovery.</t>
        </is>
      </c>
      <c r="G23" s="5" t="inlineStr">
        <is>
          <t>A tenant that is configured on purpose.</t>
        </is>
      </c>
      <c r="H23" s="5" t="inlineStr">
        <is>
          <t>An admin who can see who changed what.</t>
        </is>
      </c>
    </row>
    <row r="25" ht="32" customHeight="1">
      <c r="A25" s="2" t="inlineStr">
        <is>
          <t>Managing Proprietor is also its own persona, separate from Business Owner. System Administrator on the old sheet was the count for Admin / System Owner. The register also has a System Administrator scope. See Scope inventory.</t>
        </is>
      </c>
    </row>
  </sheetData>
  <autoFilter ref="A3:H23"/>
  <mergeCells count="2">
    <mergeCell ref="A25:H25"/>
    <mergeCell ref="A2:G2"/>
  </mergeCells>
  <pageMargins left="0.75" right="0.75" top="1" bottom="1" header="0.5" footer="0.5"/>
  <pageSetup orientation="landscape" fitToHeight="1" fitToWidth="1"/>
</worksheet>
</file>

<file path=xl/worksheets/sheet28.xml><?xml version="1.0" encoding="utf-8"?>
<worksheet xmlns="http://schemas.openxmlformats.org/spreadsheetml/2006/main">
  <sheetPr>
    <outlinePr summaryBelow="1" summaryRight="1"/>
    <pageSetUpPr fitToPage="1"/>
  </sheetPr>
  <dimension ref="A1:C77"/>
  <sheetViews>
    <sheetView showGridLines="0" workbookViewId="0">
      <pane ySplit="3" topLeftCell="A4" activePane="bottomLeft" state="frozen"/>
      <selection pane="bottomLeft" activeCell="A1" sqref="A1"/>
    </sheetView>
  </sheetViews>
  <sheetFormatPr baseColWidth="8" defaultRowHeight="15" outlineLevelCol="0"/>
  <cols>
    <col width="42" customWidth="1" min="1" max="1"/>
    <col width="28" customWidth="1" min="2" max="2"/>
    <col width="12" customWidth="1" min="3" max="3"/>
  </cols>
  <sheetData>
    <row r="1">
      <c r="A1" s="1" t="inlineStr">
        <is>
          <t>Every persona and scope on the register</t>
        </is>
      </c>
    </row>
    <row r="2">
      <c r="A2" s="12" t="inlineStr">
        <is>
          <t>Task counts are COUNTIF formulas. Scope class is assigned by this review.</t>
        </is>
      </c>
    </row>
    <row r="3">
      <c r="A3" s="3" t="inlineStr">
        <is>
          <t>Persona / Scope</t>
        </is>
      </c>
      <c r="B3" s="3" t="inlineStr">
        <is>
          <t>Scope class</t>
        </is>
      </c>
      <c r="C3" s="3" t="inlineStr">
        <is>
          <t>Tasks</t>
        </is>
      </c>
    </row>
    <row r="4" ht="20" customHeight="1">
      <c r="A4" s="5" t="inlineStr">
        <is>
          <t>Multiple / Cross-persona</t>
        </is>
      </c>
      <c r="B4" s="5" t="inlineStr">
        <is>
          <t>Cross-persona</t>
        </is>
      </c>
      <c r="C4" s="16">
        <f>COUNTIF(TaskRegister[Persona / Scope],A4)</f>
        <v/>
      </c>
    </row>
    <row r="5" ht="20" customHeight="1">
      <c r="A5" s="5" t="inlineStr">
        <is>
          <t>Accountant / GST Operator</t>
        </is>
      </c>
      <c r="B5" s="5" t="inlineStr">
        <is>
          <t>Operational role</t>
        </is>
      </c>
      <c r="C5" s="16">
        <f>COUNTIF(TaskRegister[Persona / Scope],A5)</f>
        <v/>
      </c>
    </row>
    <row r="6" ht="20" customHeight="1">
      <c r="A6" s="5" t="inlineStr">
        <is>
          <t>Kirana Shop Owner</t>
        </is>
      </c>
      <c r="B6" s="5" t="inlineStr">
        <is>
          <t>Operational role</t>
        </is>
      </c>
      <c r="C6" s="16">
        <f>COUNTIF(TaskRegister[Persona / Scope],A6)</f>
        <v/>
      </c>
    </row>
    <row r="7" ht="20" customHeight="1">
      <c r="A7" s="5" t="inlineStr">
        <is>
          <t>Statutory Compliance</t>
        </is>
      </c>
      <c r="B7" s="5" t="inlineStr">
        <is>
          <t>Platform or theme scope</t>
        </is>
      </c>
      <c r="C7" s="16">
        <f>COUNTIF(TaskRegister[Persona / Scope],A7)</f>
        <v/>
      </c>
    </row>
    <row r="8" ht="20" customHeight="1">
      <c r="A8" s="5" t="inlineStr">
        <is>
          <t>AI &amp; Differentiation</t>
        </is>
      </c>
      <c r="B8" s="5" t="inlineStr">
        <is>
          <t>Platform or theme scope</t>
        </is>
      </c>
      <c r="C8" s="16">
        <f>COUNTIF(TaskRegister[Persona / Scope],A8)</f>
        <v/>
      </c>
    </row>
    <row r="9" ht="20" customHeight="1">
      <c r="A9" s="5" t="inlineStr">
        <is>
          <t>Business Owner</t>
        </is>
      </c>
      <c r="B9" s="5" t="inlineStr">
        <is>
          <t>Operational role</t>
        </is>
      </c>
      <c r="C9" s="16">
        <f>COUNTIF(TaskRegister[Persona / Scope],A9)</f>
        <v/>
      </c>
    </row>
    <row r="10" ht="20" customHeight="1">
      <c r="A10" s="5" t="inlineStr">
        <is>
          <t>Gully Vendor / Small Retailer</t>
        </is>
      </c>
      <c r="B10" s="5" t="inlineStr">
        <is>
          <t>Operational role</t>
        </is>
      </c>
      <c r="C10" s="16">
        <f>COUNTIF(TaskRegister[Persona / Scope],A10)</f>
        <v/>
      </c>
    </row>
    <row r="11" ht="20" customHeight="1">
      <c r="A11" s="5" t="inlineStr">
        <is>
          <t>Salesperson</t>
        </is>
      </c>
      <c r="B11" s="5" t="inlineStr">
        <is>
          <t>Operational role</t>
        </is>
      </c>
      <c r="C11" s="16">
        <f>COUNTIF(TaskRegister[Persona / Scope],A11)</f>
        <v/>
      </c>
    </row>
    <row r="12" ht="20" customHeight="1">
      <c r="A12" s="5" t="inlineStr">
        <is>
          <t>Distributor</t>
        </is>
      </c>
      <c r="B12" s="5" t="inlineStr">
        <is>
          <t>Operational role</t>
        </is>
      </c>
      <c r="C12" s="16">
        <f>COUNTIF(TaskRegister[Persona / Scope],A12)</f>
        <v/>
      </c>
    </row>
    <row r="13" ht="20" customHeight="1">
      <c r="A13" s="5" t="inlineStr">
        <is>
          <t>System Administrator</t>
        </is>
      </c>
      <c r="B13" s="5" t="inlineStr">
        <is>
          <t>Platform or theme scope</t>
        </is>
      </c>
      <c r="C13" s="16">
        <f>COUNTIF(TaskRegister[Persona / Scope],A13)</f>
        <v/>
      </c>
    </row>
    <row r="14" ht="20" customHeight="1">
      <c r="A14" s="5" t="inlineStr">
        <is>
          <t>Architecture &amp; Platform</t>
        </is>
      </c>
      <c r="B14" s="5" t="inlineStr">
        <is>
          <t>Platform or theme scope</t>
        </is>
      </c>
      <c r="C14" s="16">
        <f>COUNTIF(TaskRegister[Persona / Scope],A14)</f>
        <v/>
      </c>
    </row>
    <row r="15" ht="20" customHeight="1">
      <c r="A15" s="5" t="inlineStr">
        <is>
          <t>Platform / SaaS Admin</t>
        </is>
      </c>
      <c r="B15" s="5" t="inlineStr">
        <is>
          <t>Platform or theme scope</t>
        </is>
      </c>
      <c r="C15" s="16">
        <f>COUNTIF(TaskRegister[Persona / Scope],A15)</f>
        <v/>
      </c>
    </row>
    <row r="16" ht="20" customHeight="1">
      <c r="A16" s="5" t="inlineStr">
        <is>
          <t>Medical Shop</t>
        </is>
      </c>
      <c r="B16" s="5" t="inlineStr">
        <is>
          <t>Operational role</t>
        </is>
      </c>
      <c r="C16" s="16">
        <f>COUNTIF(TaskRegister[Persona / Scope],A16)</f>
        <v/>
      </c>
    </row>
    <row r="17" ht="20" customHeight="1">
      <c r="A17" s="5" t="inlineStr">
        <is>
          <t>Inventory Manager</t>
        </is>
      </c>
      <c r="B17" s="5" t="inlineStr">
        <is>
          <t>Operational role</t>
        </is>
      </c>
      <c r="C17" s="16">
        <f>COUNTIF(TaskRegister[Persona / Scope],A17)</f>
        <v/>
      </c>
    </row>
    <row r="18" ht="20" customHeight="1">
      <c r="A18" s="5" t="inlineStr">
        <is>
          <t>Admin / System Owner</t>
        </is>
      </c>
      <c r="B18" s="5" t="inlineStr">
        <is>
          <t>Operational role</t>
        </is>
      </c>
      <c r="C18" s="16">
        <f>COUNTIF(TaskRegister[Persona / Scope],A18)</f>
        <v/>
      </c>
    </row>
    <row r="19" ht="20" customHeight="1">
      <c r="A19" s="5" t="inlineStr">
        <is>
          <t>Single-Godown Distributor</t>
        </is>
      </c>
      <c r="B19" s="5" t="inlineStr">
        <is>
          <t>Operational role</t>
        </is>
      </c>
      <c r="C19" s="16">
        <f>COUNTIF(TaskRegister[Persona / Scope],A19)</f>
        <v/>
      </c>
    </row>
    <row r="20" ht="20" customHeight="1">
      <c r="A20" s="5" t="inlineStr">
        <is>
          <t>Multi-Shop Owner</t>
        </is>
      </c>
      <c r="B20" s="5" t="inlineStr">
        <is>
          <t>Operational role</t>
        </is>
      </c>
      <c r="C20" s="16">
        <f>COUNTIF(TaskRegister[Persona / Scope],A20)</f>
        <v/>
      </c>
    </row>
    <row r="21" ht="20" customHeight="1">
      <c r="A21" s="5" t="inlineStr">
        <is>
          <t>Multi-Godown Distributor</t>
        </is>
      </c>
      <c r="B21" s="5" t="inlineStr">
        <is>
          <t>Operational role</t>
        </is>
      </c>
      <c r="C21" s="16">
        <f>COUNTIF(TaskRegister[Persona / Scope],A21)</f>
        <v/>
      </c>
    </row>
    <row r="22" ht="20" customHeight="1">
      <c r="A22" s="5" t="inlineStr">
        <is>
          <t>Purchase Manager</t>
        </is>
      </c>
      <c r="B22" s="5" t="inlineStr">
        <is>
          <t>Operational role</t>
        </is>
      </c>
      <c r="C22" s="16">
        <f>COUNTIF(TaskRegister[Persona / Scope],A22)</f>
        <v/>
      </c>
    </row>
    <row r="23" ht="20" customHeight="1">
      <c r="A23" s="5" t="inlineStr">
        <is>
          <t>External Integrations</t>
        </is>
      </c>
      <c r="B23" s="5" t="inlineStr">
        <is>
          <t>Platform or theme scope</t>
        </is>
      </c>
      <c r="C23" s="16">
        <f>COUNTIF(TaskRegister[Persona / Scope],A23)</f>
        <v/>
      </c>
    </row>
    <row r="24" ht="20" customHeight="1">
      <c r="A24" s="5" t="inlineStr">
        <is>
          <t>Customer</t>
        </is>
      </c>
      <c r="B24" s="5" t="inlineStr">
        <is>
          <t>Operational role</t>
        </is>
      </c>
      <c r="C24" s="16">
        <f>COUNTIF(TaskRegister[Persona / Scope],A24)</f>
        <v/>
      </c>
    </row>
    <row r="25" ht="20" customHeight="1">
      <c r="A25" s="5" t="inlineStr">
        <is>
          <t>Assembly / Production Supervisor</t>
        </is>
      </c>
      <c r="B25" s="5" t="inlineStr">
        <is>
          <t>Operational role</t>
        </is>
      </c>
      <c r="C25" s="16">
        <f>COUNTIF(TaskRegister[Persona / Scope],A25)</f>
        <v/>
      </c>
    </row>
    <row r="26" ht="20" customHeight="1">
      <c r="A26" s="5" t="inlineStr">
        <is>
          <t>All Roles</t>
        </is>
      </c>
      <c r="B26" s="5" t="inlineStr">
        <is>
          <t>Platform or theme scope</t>
        </is>
      </c>
      <c r="C26" s="16">
        <f>COUNTIF(TaskRegister[Persona / Scope],A26)</f>
        <v/>
      </c>
    </row>
    <row r="27" ht="20" customHeight="1">
      <c r="A27" s="5" t="inlineStr">
        <is>
          <t>Delivery Driver / Route Logistics</t>
        </is>
      </c>
      <c r="B27" s="5" t="inlineStr">
        <is>
          <t>Operational role</t>
        </is>
      </c>
      <c r="C27" s="16">
        <f>COUNTIF(TaskRegister[Persona / Scope],A27)</f>
        <v/>
      </c>
    </row>
    <row r="28" ht="20" customHeight="1">
      <c r="A28" s="5" t="inlineStr">
        <is>
          <t>External CA / Statutory Auditor</t>
        </is>
      </c>
      <c r="B28" s="5" t="inlineStr">
        <is>
          <t>Operational role</t>
        </is>
      </c>
      <c r="C28" s="16">
        <f>COUNTIF(TaskRegister[Persona / Scope],A28)</f>
        <v/>
      </c>
    </row>
    <row r="29" ht="20" customHeight="1">
      <c r="A29" s="5" t="inlineStr">
        <is>
          <t>Supplier</t>
        </is>
      </c>
      <c r="B29" s="5" t="inlineStr">
        <is>
          <t>Operational role</t>
        </is>
      </c>
      <c r="C29" s="16">
        <f>COUNTIF(TaskRegister[Persona / Scope],A29)</f>
        <v/>
      </c>
    </row>
    <row r="30" ht="20" customHeight="1">
      <c r="A30" s="5" t="inlineStr">
        <is>
          <t>Hardware Integrations</t>
        </is>
      </c>
      <c r="B30" s="5" t="inlineStr">
        <is>
          <t>Platform or theme scope</t>
        </is>
      </c>
      <c r="C30" s="16">
        <f>COUNTIF(TaskRegister[Persona / Scope],A30)</f>
        <v/>
      </c>
    </row>
    <row r="31" ht="20" customHeight="1">
      <c r="A31" s="5" t="inlineStr">
        <is>
          <t>Workshop Supervisor</t>
        </is>
      </c>
      <c r="B31" s="5" t="inlineStr">
        <is>
          <t>Named role</t>
        </is>
      </c>
      <c r="C31" s="16">
        <f>COUNTIF(TaskRegister[Persona / Scope],A31)</f>
        <v/>
      </c>
    </row>
    <row r="32" ht="20" customHeight="1">
      <c r="A32" s="5" t="inlineStr">
        <is>
          <t>Growth Lead / Head of Marketing</t>
        </is>
      </c>
      <c r="B32" s="5" t="inlineStr">
        <is>
          <t>Growth role</t>
        </is>
      </c>
      <c r="C32" s="16">
        <f>COUNTIF(TaskRegister[Persona / Scope],A32)</f>
        <v/>
      </c>
    </row>
    <row r="33" ht="20" customHeight="1">
      <c r="A33" s="5" t="inlineStr">
        <is>
          <t>Managing Proprietor</t>
        </is>
      </c>
      <c r="B33" s="5" t="inlineStr">
        <is>
          <t>Named role</t>
        </is>
      </c>
      <c r="C33" s="16">
        <f>COUNTIF(TaskRegister[Persona / Scope],A33)</f>
        <v/>
      </c>
    </row>
    <row r="34" ht="20" customHeight="1">
      <c r="A34" s="5" t="inlineStr">
        <is>
          <t>Counter Clerk / POS Operator</t>
        </is>
      </c>
      <c r="B34" s="5" t="inlineStr">
        <is>
          <t>Named role</t>
        </is>
      </c>
      <c r="C34" s="16">
        <f>COUNTIF(TaskRegister[Persona / Scope],A34)</f>
        <v/>
      </c>
    </row>
    <row r="35" ht="20" customHeight="1">
      <c r="A35" s="5" t="inlineStr">
        <is>
          <t>In-house Accountant</t>
        </is>
      </c>
      <c r="B35" s="5" t="inlineStr">
        <is>
          <t>Named role</t>
        </is>
      </c>
      <c r="C35" s="16">
        <f>COUNTIF(TaskRegister[Persona / Scope],A35)</f>
        <v/>
      </c>
    </row>
    <row r="36" ht="20" customHeight="1">
      <c r="A36" s="5" t="inlineStr">
        <is>
          <t>Counter Clerk</t>
        </is>
      </c>
      <c r="B36" s="5" t="inlineStr">
        <is>
          <t>Named role</t>
        </is>
      </c>
      <c r="C36" s="16">
        <f>COUNTIF(TaskRegister[Persona / Scope],A36)</f>
        <v/>
      </c>
    </row>
    <row r="37" ht="20" customHeight="1">
      <c r="A37" s="5" t="inlineStr">
        <is>
          <t>Inside Sales / Web Lead Specialist</t>
        </is>
      </c>
      <c r="B37" s="5" t="inlineStr">
        <is>
          <t>Growth role</t>
        </is>
      </c>
      <c r="C37" s="16">
        <f>COUNTIF(TaskRegister[Persona / Scope],A37)</f>
        <v/>
      </c>
    </row>
    <row r="38" ht="20" customHeight="1">
      <c r="A38" s="5" t="inlineStr">
        <is>
          <t>Sales Representative</t>
        </is>
      </c>
      <c r="B38" s="5" t="inlineStr">
        <is>
          <t>Growth role</t>
        </is>
      </c>
      <c r="C38" s="16">
        <f>COUNTIF(TaskRegister[Persona / Scope],A38)</f>
        <v/>
      </c>
    </row>
    <row r="39" ht="20" customHeight="1">
      <c r="A39" s="5" t="inlineStr">
        <is>
          <t>Sales Manager / Head of Sales</t>
        </is>
      </c>
      <c r="B39" s="5" t="inlineStr">
        <is>
          <t>Growth role</t>
        </is>
      </c>
      <c r="C39" s="16">
        <f>COUNTIF(TaskRegister[Persona / Scope],A39)</f>
        <v/>
      </c>
    </row>
    <row r="40" ht="20" customHeight="1">
      <c r="A40" s="5" t="inlineStr">
        <is>
          <t>Service Manager / Operations Lead</t>
        </is>
      </c>
      <c r="B40" s="5" t="inlineStr">
        <is>
          <t>Growth role</t>
        </is>
      </c>
      <c r="C40" s="16">
        <f>COUNTIF(TaskRegister[Persona / Scope],A40)</f>
        <v/>
      </c>
    </row>
    <row r="41" ht="20" customHeight="1">
      <c r="A41" s="5" t="inlineStr">
        <is>
          <t>System / Ledger Engine</t>
        </is>
      </c>
      <c r="B41" s="5" t="inlineStr">
        <is>
          <t>System engine</t>
        </is>
      </c>
      <c r="C41" s="16">
        <f>COUNTIF(TaskRegister[Persona / Scope],A41)</f>
        <v/>
      </c>
    </row>
    <row r="42" ht="20" customHeight="1">
      <c r="A42" s="5" t="inlineStr">
        <is>
          <t>System / Inventory Engine</t>
        </is>
      </c>
      <c r="B42" s="5" t="inlineStr">
        <is>
          <t>System engine</t>
        </is>
      </c>
      <c r="C42" s="16">
        <f>COUNTIF(TaskRegister[Persona / Scope],A42)</f>
        <v/>
      </c>
    </row>
    <row r="43" ht="20" customHeight="1">
      <c r="A43" s="5" t="inlineStr">
        <is>
          <t>System / Cache Engine</t>
        </is>
      </c>
      <c r="B43" s="5" t="inlineStr">
        <is>
          <t>System engine</t>
        </is>
      </c>
      <c r="C43" s="16">
        <f>COUNTIF(TaskRegister[Persona / Scope],A43)</f>
        <v/>
      </c>
    </row>
    <row r="44" ht="20" customHeight="1">
      <c r="A44" s="5" t="inlineStr">
        <is>
          <t>System / Document Engine</t>
        </is>
      </c>
      <c r="B44" s="5" t="inlineStr">
        <is>
          <t>System engine</t>
        </is>
      </c>
      <c r="C44" s="16">
        <f>COUNTIF(TaskRegister[Persona / Scope],A44)</f>
        <v/>
      </c>
    </row>
    <row r="45" ht="20" customHeight="1">
      <c r="A45" s="5" t="inlineStr">
        <is>
          <t>System / Sequence Engine</t>
        </is>
      </c>
      <c r="B45" s="5" t="inlineStr">
        <is>
          <t>System engine</t>
        </is>
      </c>
      <c r="C45" s="16">
        <f>COUNTIF(TaskRegister[Persona / Scope],A45)</f>
        <v/>
      </c>
    </row>
    <row r="46" ht="20" customHeight="1">
      <c r="A46" s="5" t="inlineStr">
        <is>
          <t>System / Outbox Engine</t>
        </is>
      </c>
      <c r="B46" s="5" t="inlineStr">
        <is>
          <t>System engine</t>
        </is>
      </c>
      <c r="C46" s="16">
        <f>COUNTIF(TaskRegister[Persona / Scope],A46)</f>
        <v/>
      </c>
    </row>
    <row r="47" ht="20" customHeight="1">
      <c r="A47" s="5" t="inlineStr">
        <is>
          <t>System / Aging Engine</t>
        </is>
      </c>
      <c r="B47" s="5" t="inlineStr">
        <is>
          <t>System engine</t>
        </is>
      </c>
      <c r="C47" s="16">
        <f>COUNTIF(TaskRegister[Persona / Scope],A47)</f>
        <v/>
      </c>
    </row>
    <row r="48" ht="20" customHeight="1">
      <c r="A48" s="5" t="inlineStr">
        <is>
          <t>System / Integrity Engine</t>
        </is>
      </c>
      <c r="B48" s="5" t="inlineStr">
        <is>
          <t>System engine</t>
        </is>
      </c>
      <c r="C48" s="16">
        <f>COUNTIF(TaskRegister[Persona / Scope],A48)</f>
        <v/>
      </c>
    </row>
    <row r="49" ht="20" customHeight="1">
      <c r="A49" s="5" t="inlineStr">
        <is>
          <t>System / Telemetry Engine</t>
        </is>
      </c>
      <c r="B49" s="5" t="inlineStr">
        <is>
          <t>System engine</t>
        </is>
      </c>
      <c r="C49" s="16">
        <f>COUNTIF(TaskRegister[Persona / Scope],A49)</f>
        <v/>
      </c>
    </row>
    <row r="50" ht="20" customHeight="1">
      <c r="A50" s="5" t="inlineStr">
        <is>
          <t>System / Backup Engine</t>
        </is>
      </c>
      <c r="B50" s="5" t="inlineStr">
        <is>
          <t>System engine</t>
        </is>
      </c>
      <c r="C50" s="16">
        <f>COUNTIF(TaskRegister[Persona / Scope],A50)</f>
        <v/>
      </c>
    </row>
    <row r="51" ht="20" customHeight="1">
      <c r="A51" s="5" t="inlineStr">
        <is>
          <t>System / Cleanup Engine</t>
        </is>
      </c>
      <c r="B51" s="5" t="inlineStr">
        <is>
          <t>System engine</t>
        </is>
      </c>
      <c r="C51" s="16">
        <f>COUNTIF(TaskRegister[Persona / Scope],A51)</f>
        <v/>
      </c>
    </row>
    <row r="52" ht="20" customHeight="1">
      <c r="A52" s="5" t="inlineStr">
        <is>
          <t>System / Rate Limiter</t>
        </is>
      </c>
      <c r="B52" s="5" t="inlineStr">
        <is>
          <t>System engine</t>
        </is>
      </c>
      <c r="C52" s="16">
        <f>COUNTIF(TaskRegister[Persona / Scope],A52)</f>
        <v/>
      </c>
    </row>
    <row r="53" ht="20" customHeight="1">
      <c r="A53" s="5" t="inlineStr">
        <is>
          <t>System / Reconciliation Worker</t>
        </is>
      </c>
      <c r="B53" s="5" t="inlineStr">
        <is>
          <t>System engine</t>
        </is>
      </c>
      <c r="C53" s="16">
        <f>COUNTIF(TaskRegister[Persona / Scope],A53)</f>
        <v/>
      </c>
    </row>
    <row r="54" ht="20" customHeight="1">
      <c r="A54" s="5" t="inlineStr">
        <is>
          <t>System / Alert Engine</t>
        </is>
      </c>
      <c r="B54" s="5" t="inlineStr">
        <is>
          <t>System engine</t>
        </is>
      </c>
      <c r="C54" s="16">
        <f>COUNTIF(TaskRegister[Persona / Scope],A54)</f>
        <v/>
      </c>
    </row>
    <row r="55" ht="20" customHeight="1">
      <c r="A55" s="5" t="inlineStr">
        <is>
          <t>System / Lock Engine</t>
        </is>
      </c>
      <c r="B55" s="5" t="inlineStr">
        <is>
          <t>System engine</t>
        </is>
      </c>
      <c r="C55" s="16">
        <f>COUNTIF(TaskRegister[Persona / Scope],A55)</f>
        <v/>
      </c>
    </row>
    <row r="56" ht="20" customHeight="1">
      <c r="A56" s="5" t="inlineStr">
        <is>
          <t>System / Indexing Engine</t>
        </is>
      </c>
      <c r="B56" s="5" t="inlineStr">
        <is>
          <t>System engine</t>
        </is>
      </c>
      <c r="C56" s="16">
        <f>COUNTIF(TaskRegister[Persona / Scope],A56)</f>
        <v/>
      </c>
    </row>
    <row r="57" ht="20" customHeight="1">
      <c r="A57" s="5" t="inlineStr">
        <is>
          <t>System / Session Worker</t>
        </is>
      </c>
      <c r="B57" s="5" t="inlineStr">
        <is>
          <t>System engine</t>
        </is>
      </c>
      <c r="C57" s="16">
        <f>COUNTIF(TaskRegister[Persona / Scope],A57)</f>
        <v/>
      </c>
    </row>
    <row r="58" ht="20" customHeight="1">
      <c r="A58" s="5" t="inlineStr">
        <is>
          <t>System / Valuation Worker</t>
        </is>
      </c>
      <c r="B58" s="5" t="inlineStr">
        <is>
          <t>System engine</t>
        </is>
      </c>
      <c r="C58" s="16">
        <f>COUNTIF(TaskRegister[Persona / Scope],A58)</f>
        <v/>
      </c>
    </row>
    <row r="59" ht="20" customHeight="1">
      <c r="A59" s="5" t="inlineStr">
        <is>
          <t>System / Audit Watchdog</t>
        </is>
      </c>
      <c r="B59" s="5" t="inlineStr">
        <is>
          <t>System engine</t>
        </is>
      </c>
      <c r="C59" s="16">
        <f>COUNTIF(TaskRegister[Persona / Scope],A59)</f>
        <v/>
      </c>
    </row>
    <row r="60" ht="20" customHeight="1">
      <c r="A60" s="5" t="inlineStr">
        <is>
          <t>System / EWB Watchdog</t>
        </is>
      </c>
      <c r="B60" s="5" t="inlineStr">
        <is>
          <t>System engine</t>
        </is>
      </c>
      <c r="C60" s="16">
        <f>COUNTIF(TaskRegister[Persona / Scope],A60)</f>
        <v/>
      </c>
    </row>
    <row r="61" ht="20" customHeight="1">
      <c r="A61" s="5" t="inlineStr">
        <is>
          <t>Billing Clerk / Salesperson</t>
        </is>
      </c>
      <c r="B61" s="5" t="inlineStr">
        <is>
          <t>Named role</t>
        </is>
      </c>
      <c r="C61" s="16">
        <f>COUNTIF(TaskRegister[Persona / Scope],A61)</f>
        <v/>
      </c>
    </row>
    <row r="62" ht="20" customHeight="1">
      <c r="A62" s="5" t="inlineStr">
        <is>
          <t>Inventory Staff</t>
        </is>
      </c>
      <c r="B62" s="5" t="inlineStr">
        <is>
          <t>Named role</t>
        </is>
      </c>
      <c r="C62" s="16">
        <f>COUNTIF(TaskRegister[Persona / Scope],A62)</f>
        <v/>
      </c>
    </row>
    <row r="63" ht="20" customHeight="1">
      <c r="A63" s="5" t="inlineStr">
        <is>
          <t>Field Salesperson</t>
        </is>
      </c>
      <c r="B63" s="5" t="inlineStr">
        <is>
          <t>Named role</t>
        </is>
      </c>
      <c r="C63" s="16">
        <f>COUNTIF(TaskRegister[Persona / Scope],A63)</f>
        <v/>
      </c>
    </row>
    <row r="64" ht="20" customHeight="1">
      <c r="A64" s="5" t="inlineStr">
        <is>
          <t>Sales Manager / Team Lead</t>
        </is>
      </c>
      <c r="B64" s="5" t="inlineStr">
        <is>
          <t>Growth role</t>
        </is>
      </c>
      <c r="C64" s="16">
        <f>COUNTIF(TaskRegister[Persona / Scope],A64)</f>
        <v/>
      </c>
    </row>
    <row r="65" ht="20" customHeight="1">
      <c r="A65" s="5" t="inlineStr">
        <is>
          <t>Finance Manager / Sales Ops</t>
        </is>
      </c>
      <c r="B65" s="5" t="inlineStr">
        <is>
          <t>Growth role</t>
        </is>
      </c>
      <c r="C65" s="16">
        <f>COUNTIF(TaskRegister[Persona / Scope],A65)</f>
        <v/>
      </c>
    </row>
    <row r="66" ht="20" customHeight="1">
      <c r="A66" s="5" t="inlineStr">
        <is>
          <t>Customer Success / Growth Lead</t>
        </is>
      </c>
      <c r="B66" s="5" t="inlineStr">
        <is>
          <t>Growth role</t>
        </is>
      </c>
      <c r="C66" s="16">
        <f>COUNTIF(TaskRegister[Persona / Scope],A66)</f>
        <v/>
      </c>
    </row>
    <row r="67" ht="20" customHeight="1">
      <c r="A67" s="5" t="inlineStr">
        <is>
          <t>System / Automated Growth Engine</t>
        </is>
      </c>
      <c r="B67" s="5" t="inlineStr">
        <is>
          <t>Growth role</t>
        </is>
      </c>
      <c r="C67" s="16">
        <f>COUNTIF(TaskRegister[Persona / Scope],A67)</f>
        <v/>
      </c>
    </row>
    <row r="68" ht="20" customHeight="1">
      <c r="A68" s="5" t="inlineStr">
        <is>
          <t>Finance Manager / Accounts Lead</t>
        </is>
      </c>
      <c r="B68" s="5" t="inlineStr">
        <is>
          <t>Growth role</t>
        </is>
      </c>
      <c r="C68" s="16">
        <f>COUNTIF(TaskRegister[Persona / Scope],A68)</f>
        <v/>
      </c>
    </row>
    <row r="69" ht="20" customHeight="1">
      <c r="A69" s="5" t="inlineStr">
        <is>
          <t>Growth Lead / Head of Sales</t>
        </is>
      </c>
      <c r="B69" s="5" t="inlineStr">
        <is>
          <t>Growth role</t>
        </is>
      </c>
      <c r="C69" s="16">
        <f>COUNTIF(TaskRegister[Persona / Scope],A69)</f>
        <v/>
      </c>
    </row>
    <row r="70" ht="20" customHeight="1">
      <c r="A70" s="5" t="inlineStr">
        <is>
          <t>Field Service Technician</t>
        </is>
      </c>
      <c r="B70" s="5" t="inlineStr">
        <is>
          <t>Growth role</t>
        </is>
      </c>
      <c r="C70" s="16">
        <f>COUNTIF(TaskRegister[Persona / Scope],A70)</f>
        <v/>
      </c>
    </row>
    <row r="71" ht="20" customHeight="1">
      <c r="A71" s="5" t="inlineStr">
        <is>
          <t>Service Manager / Inside Sales</t>
        </is>
      </c>
      <c r="B71" s="5" t="inlineStr">
        <is>
          <t>Growth role</t>
        </is>
      </c>
      <c r="C71" s="16">
        <f>COUNTIF(TaskRegister[Persona / Scope],A71)</f>
        <v/>
      </c>
    </row>
    <row r="72" ht="20" customHeight="1">
      <c r="A72" s="5" t="inlineStr">
        <is>
          <t>Customer Support Specialist</t>
        </is>
      </c>
      <c r="B72" s="5" t="inlineStr">
        <is>
          <t>Growth role</t>
        </is>
      </c>
      <c r="C72" s="16">
        <f>COUNTIF(TaskRegister[Persona / Scope],A72)</f>
        <v/>
      </c>
    </row>
    <row r="73" ht="20" customHeight="1">
      <c r="A73" s="5" t="inlineStr">
        <is>
          <t>Customer Support / Accounts Lead</t>
        </is>
      </c>
      <c r="B73" s="5" t="inlineStr">
        <is>
          <t>Growth role</t>
        </is>
      </c>
      <c r="C73" s="16">
        <f>COUNTIF(TaskRegister[Persona / Scope],A73)</f>
        <v/>
      </c>
    </row>
    <row r="74" ht="20" customHeight="1">
      <c r="A74" s="5" t="inlineStr">
        <is>
          <t>Warehouse Lead / Receiving Clerk</t>
        </is>
      </c>
      <c r="B74" s="5" t="inlineStr">
        <is>
          <t>Growth role</t>
        </is>
      </c>
      <c r="C74" s="16">
        <f>COUNTIF(TaskRegister[Persona / Scope],A74)</f>
        <v/>
      </c>
    </row>
    <row r="75" ht="20" customHeight="1">
      <c r="A75" s="5" t="inlineStr">
        <is>
          <t>Purchase Manager / Finance Lead</t>
        </is>
      </c>
      <c r="B75" s="5" t="inlineStr">
        <is>
          <t>Growth role</t>
        </is>
      </c>
      <c r="C75" s="16">
        <f>COUNTIF(TaskRegister[Persona / Scope],A75)</f>
        <v/>
      </c>
    </row>
    <row r="76" ht="20" customHeight="1">
      <c r="A76" s="5" t="inlineStr">
        <is>
          <t>Business Owner / Managing Director</t>
        </is>
      </c>
      <c r="B76" s="5" t="inlineStr">
        <is>
          <t>Growth role</t>
        </is>
      </c>
      <c r="C76" s="16">
        <f>COUNTIF(TaskRegister[Persona / Scope],A76)</f>
        <v/>
      </c>
    </row>
    <row r="77">
      <c r="A77" s="9" t="inlineStr">
        <is>
          <t>Personas and scopes</t>
        </is>
      </c>
      <c r="C77" s="9">
        <f>COUNTA(A4:A76)</f>
        <v/>
      </c>
    </row>
  </sheetData>
  <autoFilter ref="A3:C76"/>
  <pageMargins left="0.75" right="0.75" top="1" bottom="1" header="0.5" footer="0.5"/>
  <pageSetup orientation="portrait" fitToHeight="1" fitToWidth="1"/>
</worksheet>
</file>

<file path=xl/worksheets/sheet29.xml><?xml version="1.0" encoding="utf-8"?>
<worksheet xmlns="http://schemas.openxmlformats.org/spreadsheetml/2006/main">
  <sheetPr>
    <outlinePr summaryBelow="1" summaryRight="1"/>
    <pageSetUpPr fitToPage="1"/>
  </sheetPr>
  <dimension ref="A1:F15"/>
  <sheetViews>
    <sheetView showGridLines="0" workbookViewId="0">
      <pane ySplit="3" topLeftCell="A4" activePane="bottomLeft" state="frozen"/>
      <selection pane="bottomLeft" activeCell="A1" sqref="A1"/>
    </sheetView>
  </sheetViews>
  <sheetFormatPr baseColWidth="8" defaultRowHeight="15" outlineLevelCol="0"/>
  <cols>
    <col width="24" customWidth="1" min="1" max="1"/>
    <col width="36" customWidth="1" min="2" max="2"/>
    <col width="36" customWidth="1" min="3" max="3"/>
    <col width="42" customWidth="1" min="4" max="4"/>
    <col width="40" customWidth="1" min="5" max="5"/>
    <col width="46" customWidth="1" min="6" max="6"/>
  </cols>
  <sheetData>
    <row r="1" ht="28" customHeight="1">
      <c r="A1" s="1" t="inlineStr">
        <is>
          <t>Competitive position</t>
        </is>
      </c>
    </row>
    <row r="3">
      <c r="A3" s="29" t="inlineStr">
        <is>
          <t>Capability</t>
        </is>
      </c>
      <c r="B3" s="29" t="inlineStr">
        <is>
          <t>Market baseline</t>
        </is>
      </c>
      <c r="C3" s="29" t="inlineStr">
        <is>
          <t>Competitor pain</t>
        </is>
      </c>
      <c r="D3" s="29" t="inlineStr">
        <is>
          <t>BizBoard claim</t>
        </is>
      </c>
      <c r="E3" s="29" t="inlineStr">
        <is>
          <t>Stated customer impact</t>
        </is>
      </c>
      <c r="F3" s="29" t="inlineStr">
        <is>
          <t>Review</t>
        </is>
      </c>
    </row>
    <row r="4" ht="48" customHeight="1">
      <c r="A4" s="4" t="inlineStr">
        <is>
          <t>Vendor bill inwarding</t>
        </is>
      </c>
      <c r="B4" s="5" t="inlineStr">
        <is>
          <t>Manual line entry in Tally or Vyapar.</t>
        </is>
      </c>
      <c r="C4" s="5" t="inlineStr">
        <is>
          <t>Slow entry and HSN or tax typos.</t>
        </is>
      </c>
      <c r="D4" s="5" t="inlineStr">
        <is>
          <t>Photo extraction that fills bill lines.</t>
        </is>
      </c>
      <c r="E4" s="5" t="inlineStr">
        <is>
          <t>Saves about two hours a day and removes entry error.</t>
        </is>
      </c>
      <c r="F4" s="5" t="inlineStr">
        <is>
          <t>Hypothesis until a pilot confirms it. Not a measured result. Extraction quality was not measured in this review.</t>
        </is>
      </c>
    </row>
    <row r="5" ht="48" customHeight="1">
      <c r="A5" s="4" t="inlineStr">
        <is>
          <t>Counter checkout</t>
        </is>
      </c>
      <c r="B5" s="5" t="inlineStr">
        <is>
          <t>Desktop menus or a slow web screen.</t>
        </is>
      </c>
      <c r="C5" s="5" t="inlineStr">
        <is>
          <t>Queues at peak hour.</t>
        </is>
      </c>
      <c r="D5" s="5" t="inlineStr">
        <is>
          <t>Keyboard POS with an IndexedDB catalog cache.</t>
        </is>
      </c>
      <c r="E5" s="5" t="inlineStr">
        <is>
          <t>Checkout falls from 45 seconds to 12 seconds and the counter handles 100 checkouts a minute.</t>
        </is>
      </c>
      <c r="F5" s="5" t="inlineStr">
        <is>
          <t>Hypothesis until a pilot confirms it. Not a measured result. IndexedDB draft cache exists. The 12-second and 100-per-minute figures were not measured. F6 is UPI, not a universal hold key.</t>
        </is>
      </c>
    </row>
    <row r="6" ht="48" customHeight="1">
      <c r="A6" s="4" t="inlineStr">
        <is>
          <t>GSTR-2B matching</t>
        </is>
      </c>
      <c r="B6" s="5" t="inlineStr">
        <is>
          <t>Spreadsheet lookup or exact invoice-number match.</t>
        </is>
      </c>
      <c r="C6" s="5" t="inlineStr">
        <is>
          <t>Fails on punctuation and date differences.</t>
        </is>
      </c>
      <c r="D6" s="5" t="inlineStr">
        <is>
          <t>Fuzzy party and invoice matching.</t>
        </is>
      </c>
      <c r="E6" s="5" t="inlineStr">
        <is>
          <t>Reclaims all eligible credit and saves Rs 50,000 a year.</t>
        </is>
      </c>
      <c r="F6" s="5" t="inlineStr">
        <is>
          <t>Hypothesis until a pilot confirms it. Not a measured result. Do not treat the rupee figure as a customer result.</t>
        </is>
      </c>
    </row>
    <row r="7" ht="48" customHeight="1">
      <c r="A7" s="4" t="inlineStr">
        <is>
          <t>Debtor follow-up</t>
        </is>
      </c>
      <c r="B7" s="5" t="inlineStr">
        <is>
          <t>Phone calls or a generic reminder.</t>
        </is>
      </c>
      <c r="C7" s="5" t="inlineStr">
        <is>
          <t>Reminders get ignored.</t>
        </is>
      </c>
      <c r="D7" s="5" t="inlineStr">
        <is>
          <t>A cadence of reminders with a UPI link.</t>
        </is>
      </c>
      <c r="E7" s="5" t="inlineStr">
        <is>
          <t>Debtor days fall by 35 percent.</t>
        </is>
      </c>
      <c r="F7" s="5" t="inlineStr">
        <is>
          <t>Hypothesis until a pilot confirms it. Not a measured result.</t>
        </is>
      </c>
    </row>
    <row r="8" ht="48" customHeight="1">
      <c r="A8" s="4" t="inlineStr">
        <is>
          <t>Growth funnels</t>
        </is>
      </c>
      <c r="B8" s="5" t="inlineStr">
        <is>
          <t>A separate CRM or a sheet.</t>
        </is>
      </c>
      <c r="C8" s="5" t="inlineStr">
        <is>
          <t>Leads are not tied to cash.</t>
        </is>
      </c>
      <c r="D8" s="5" t="inlineStr">
        <is>
          <t>Web lead form, dedupe, assignment, and campaign cost.</t>
        </is>
      </c>
      <c r="E8" s="5" t="inlineStr">
        <is>
          <t>Lead conversion rises by 45 percent.</t>
        </is>
      </c>
      <c r="F8" s="5" t="inlineStr">
        <is>
          <t>Hypothesis until a pilot confirms it. Not a measured result. Campaign, funnel, and lead-form APIs exist in the product. The conversion figure was not measured.</t>
        </is>
      </c>
    </row>
    <row r="9" ht="48" customHeight="1">
      <c r="A9" s="4" t="inlineStr">
        <is>
          <t>Referral loop</t>
        </is>
      </c>
      <c r="B9" s="5" t="inlineStr">
        <is>
          <t>Verbal referrals.</t>
        </is>
      </c>
      <c r="C9" s="5" t="inlineStr">
        <is>
          <t>No record of who referred whom.</t>
        </is>
      </c>
      <c r="D9" s="5" t="inlineStr">
        <is>
          <t>Referral codes and a reward after the first paid invoice.</t>
        </is>
      </c>
      <c r="E9" s="5" t="inlineStr">
        <is>
          <t>Acquisition at zero cost.</t>
        </is>
      </c>
      <c r="F9" s="5" t="inlineStr">
        <is>
          <t>Hypothesis until a pilot confirms it. Not a measured result. Referral code and reward APIs exist. Zero-cost acquisition is a slogan, not a result.</t>
        </is>
      </c>
    </row>
    <row r="10" ht="48" customHeight="1">
      <c r="A10" s="4" t="inlineStr">
        <is>
          <t>Complaint to note</t>
        </is>
      </c>
      <c r="B10" s="5" t="inlineStr">
        <is>
          <t>Phone calls and handwritten adjustments.</t>
        </is>
      </c>
      <c r="C10" s="5" t="inlineStr">
        <is>
          <t>Duplicate credit notes.</t>
        </is>
      </c>
      <c r="D10" s="5" t="inlineStr">
        <is>
          <t>Complaint actions that create a credit note, return, or supplier debit note.</t>
        </is>
      </c>
      <c r="E10" s="5" t="inlineStr">
        <is>
          <t>Disputes close five times faster.</t>
        </is>
      </c>
      <c r="F10" s="5" t="inlineStr">
        <is>
          <t>Hypothesis until a pilot confirms it. Not a measured result. Complaint-to-document APIs exist. The speed multiple was not measured.</t>
        </is>
      </c>
    </row>
    <row r="11" ht="48" customHeight="1">
      <c r="A11" s="4" t="inlineStr">
        <is>
          <t>Replenishment</t>
        </is>
      </c>
      <c r="B11" s="5" t="inlineStr">
        <is>
          <t>A static reorder point.</t>
        </is>
      </c>
      <c r="C11" s="5" t="inlineStr">
        <is>
          <t>Stockouts and dead stock.</t>
        </is>
      </c>
      <c r="D11" s="5" t="inlineStr">
        <is>
          <t>A burn-rate forecast that drafts a purchase order.</t>
        </is>
      </c>
      <c r="E11" s="5" t="inlineStr">
        <is>
          <t>No stockouts and 40 percent less dead stock.</t>
        </is>
      </c>
      <c r="F11" s="5" t="inlineStr">
        <is>
          <t>Hypothesis until a pilot confirms it. Not a measured result.</t>
        </is>
      </c>
    </row>
    <row r="12" ht="48" customHeight="1">
      <c r="A12" s="4" t="inlineStr">
        <is>
          <t>Cash forecast</t>
        </is>
      </c>
      <c r="B12" s="5" t="inlineStr">
        <is>
          <t>A historical profit and loss.</t>
        </is>
      </c>
      <c r="C12" s="5" t="inlineStr">
        <is>
          <t>The owner cannot see upcoming cash.</t>
        </is>
      </c>
      <c r="D12" s="5" t="inlineStr">
        <is>
          <t>A 30/60/90 cash simulator.</t>
        </is>
      </c>
      <c r="E12" s="5" t="inlineStr">
        <is>
          <t>Prevents overdrafts and dishonoured cheques.</t>
        </is>
      </c>
      <c r="F12" s="5" t="inlineStr">
        <is>
          <t>Hypothesis until a pilot confirms it. Not a measured result.</t>
        </is>
      </c>
    </row>
    <row r="13" ht="48" customHeight="1">
      <c r="A13" s="4" t="inlineStr">
        <is>
          <t>Delivery proof</t>
        </is>
      </c>
      <c r="B13" s="5" t="inlineStr">
        <is>
          <t>Paper challans.</t>
        </is>
      </c>
      <c r="C13" s="5" t="inlineStr">
        <is>
          <t>Cash and cartons go missing.</t>
        </is>
      </c>
      <c r="D13" s="5" t="inlineStr">
        <is>
          <t>A driver PWA with proof of delivery and route margin.</t>
        </is>
      </c>
      <c r="E13" s="5" t="inlineStr">
        <is>
          <t>No delivery shrinkage.</t>
        </is>
      </c>
      <c r="F13" s="5" t="inlineStr">
        <is>
          <t>Hypothesis until a pilot confirms it. Not a measured result.</t>
        </is>
      </c>
    </row>
    <row r="14" ht="48" customHeight="1">
      <c r="A14" s="4" t="inlineStr">
        <is>
          <t>Customer self-service</t>
        </is>
      </c>
      <c r="B14" s="5" t="inlineStr">
        <is>
          <t>Print, scan, and email.</t>
        </is>
      </c>
      <c r="C14" s="5" t="inlineStr">
        <is>
          <t>Customers call for a statement.</t>
        </is>
      </c>
      <c r="D14" s="5" t="inlineStr">
        <is>
          <t>A WhatsApp invoice link with a ledger and UPI pay.</t>
        </is>
      </c>
      <c r="E14" s="5" t="inlineStr">
        <is>
          <t>Removes 80 percent of support calls.</t>
        </is>
      </c>
      <c r="F14" s="5" t="inlineStr">
        <is>
          <t>Hypothesis until a pilot confirms it. Not a measured result.</t>
        </is>
      </c>
    </row>
    <row r="15" ht="48" customHeight="1">
      <c r="A15" s="4" t="inlineStr">
        <is>
          <t>Tally migration</t>
        </is>
      </c>
      <c r="B15" s="5" t="inlineStr">
        <is>
          <t>Rebuilding the chart of accounts by hand.</t>
        </is>
      </c>
      <c r="C15" s="5" t="inlineStr">
        <is>
          <t>Fear of losing history.</t>
        </is>
      </c>
      <c r="D15" s="5" t="inlineStr">
        <is>
          <t>A backup import of masters and three years of history in 15 minutes.</t>
        </is>
      </c>
      <c r="E15" s="5" t="inlineStr">
        <is>
          <t>Migration without downtime.</t>
        </is>
      </c>
      <c r="F15" s="5" t="inlineStr">
        <is>
          <t>Hypothesis until a pilot confirms it. Not a measured result. A 15-minute full-history import was not verified.</t>
        </is>
      </c>
    </row>
  </sheetData>
  <autoFilter ref="A3:F15"/>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F13"/>
  <sheetViews>
    <sheetView showGridLines="0" workbookViewId="0">
      <pane ySplit="3" topLeftCell="A4" activePane="bottomLeft" state="frozen"/>
      <selection pane="bottomLeft" activeCell="A1" sqref="A1"/>
    </sheetView>
  </sheetViews>
  <sheetFormatPr baseColWidth="8" defaultRowHeight="15" outlineLevelCol="0"/>
  <cols>
    <col width="28" customWidth="1" min="1" max="1"/>
    <col width="40" customWidth="1" min="2" max="2"/>
    <col width="36" customWidth="1" min="3" max="3"/>
    <col width="40" customWidth="1" min="4" max="4"/>
    <col width="28" customWidth="1" min="5" max="5"/>
    <col width="50" customWidth="1" min="6" max="6"/>
  </cols>
  <sheetData>
    <row r="1" ht="28" customHeight="1">
      <c r="A1" s="1" t="inlineStr">
        <is>
          <t>UX and recovery</t>
        </is>
      </c>
    </row>
    <row r="3">
      <c r="A3" s="29" t="inlineStr">
        <is>
          <t>Heuristic</t>
        </is>
      </c>
      <c r="B3" s="29" t="inlineStr">
        <is>
          <t>Claimed pattern</t>
        </is>
      </c>
      <c r="C3" s="29" t="inlineStr">
        <is>
          <t>Failure addressed</t>
        </is>
      </c>
      <c r="D3" s="29" t="inlineStr">
        <is>
          <t>Claimed recovery</t>
        </is>
      </c>
      <c r="E3" s="29" t="inlineStr">
        <is>
          <t>Claimed effect</t>
        </is>
      </c>
      <c r="F3" s="29" t="inlineStr">
        <is>
          <t>Review</t>
        </is>
      </c>
    </row>
    <row r="4" ht="48" customHeight="1">
      <c r="A4" s="4" t="inlineStr">
        <is>
          <t>Visibility of system status</t>
        </is>
      </c>
      <c r="B4" s="5" t="inlineStr">
        <is>
          <t>WebSocket progress on CSV import.</t>
        </is>
      </c>
      <c r="C4" s="5" t="inlineStr">
        <is>
          <t>A large file looks frozen.</t>
        </is>
      </c>
      <c r="D4" s="5" t="inlineStr">
        <is>
          <t>A row counter and an ETA.</t>
        </is>
      </c>
      <c r="E4" s="5" t="inlineStr">
        <is>
          <t>Less refreshing.</t>
        </is>
      </c>
      <c r="F4" s="5" t="inlineStr">
        <is>
          <t>Mechanism not found. No WebSocket import-progress channel was found.</t>
        </is>
      </c>
    </row>
    <row r="5" ht="48" customHeight="1">
      <c r="A5" s="4" t="inlineStr">
        <is>
          <t>Match the real world</t>
        </is>
      </c>
      <c r="B5" s="5" t="inlineStr">
        <is>
          <t>Khata, udhar, godown, and challan in the interface.</t>
        </is>
      </c>
      <c r="C5" s="5" t="inlineStr">
        <is>
          <t>Western ledger words.</t>
        </is>
      </c>
      <c r="D5" s="5" t="inlineStr">
        <is>
          <t>Hindi, Gujarati, and Tamil UI.</t>
        </is>
      </c>
      <c r="E5" s="5" t="inlineStr">
        <is>
          <t>No learning curve.</t>
        </is>
      </c>
      <c r="F5" s="5" t="inlineStr">
        <is>
          <t>Partial. English and Hindi catalogs exist. Locales gu and ta are stored and then forced back to English.</t>
        </is>
      </c>
    </row>
    <row r="6" ht="48" customHeight="1">
      <c r="A6" s="4" t="inlineStr">
        <is>
          <t>User control</t>
        </is>
      </c>
      <c r="B6" s="5" t="inlineStr">
        <is>
          <t>A 10-second undo on delete.</t>
        </is>
      </c>
      <c r="C6" s="5" t="inlineStr">
        <is>
          <t>A clerk deletes a large draft.</t>
        </is>
      </c>
      <c r="D6" s="5" t="inlineStr">
        <is>
          <t>Undo restores the cart.</t>
        </is>
      </c>
      <c r="E6" s="5" t="inlineStr">
        <is>
          <t>No retyping.</t>
        </is>
      </c>
      <c r="F6" s="5" t="inlineStr">
        <is>
          <t>Not re-verified in this review.</t>
        </is>
      </c>
    </row>
    <row r="7" ht="48" customHeight="1">
      <c r="A7" s="4" t="inlineStr">
        <is>
          <t>Consistency</t>
        </is>
      </c>
      <c r="B7" s="5" t="inlineStr">
        <is>
          <t>The same F-keys and Ctrl+K on every screen.</t>
        </is>
      </c>
      <c r="C7" s="5" t="inlineStr">
        <is>
          <t>Keys change between screens.</t>
        </is>
      </c>
      <c r="D7" s="5" t="inlineStr">
        <is>
          <t>One map on every screen.</t>
        </is>
      </c>
      <c r="E7" s="5" t="inlineStr">
        <is>
          <t>Touch-typing billing.</t>
        </is>
      </c>
      <c r="F7" s="5" t="inlineStr">
        <is>
          <t>Partial. POS has its own F-key map. There is no Ctrl+K palette, and the map is not shared by every screen.</t>
        </is>
      </c>
    </row>
    <row r="8" ht="48" customHeight="1">
      <c r="A8" s="4" t="inlineStr">
        <is>
          <t>Error prevention</t>
        </is>
      </c>
      <c r="B8" s="5" t="inlineStr">
        <is>
          <t>Row locks and type-to-confirm.</t>
        </is>
      </c>
      <c r="C8" s="5" t="inlineStr">
        <is>
          <t>Two clerks sell the last unit.</t>
        </is>
      </c>
      <c r="D8" s="5" t="inlineStr">
        <is>
          <t>The stock row locks and delete requires typing DELETE.</t>
        </is>
      </c>
      <c r="E8" s="5" t="inlineStr">
        <is>
          <t>No negative stock.</t>
        </is>
      </c>
      <c r="F8" s="5" t="inlineStr">
        <is>
          <t>Type-to-confirm was not found. Stock locking was not re-tested here.</t>
        </is>
      </c>
    </row>
    <row r="9" ht="48" customHeight="1">
      <c r="A9" s="4" t="inlineStr">
        <is>
          <t>Recognition</t>
        </is>
      </c>
      <c r="B9" s="5" t="inlineStr">
        <is>
          <t>A credit pill and a rack locator.</t>
        </is>
      </c>
      <c r="C9" s="5" t="inlineStr">
        <is>
          <t>The clerk forgets a balance or a bin.</t>
        </is>
      </c>
      <c r="D9" s="5" t="inlineStr">
        <is>
          <t>A badge and a shelf tag such as Aisle B.</t>
        </is>
      </c>
      <c r="E9" s="5" t="inlineStr">
        <is>
          <t>Less recall.</t>
        </is>
      </c>
      <c r="F9" s="5" t="inlineStr">
        <is>
          <t>location_tag was not found. The credit badge was not re-tested.</t>
        </is>
      </c>
    </row>
    <row r="10" ht="48" customHeight="1">
      <c r="A10" s="4" t="inlineStr">
        <is>
          <t>Flexibility</t>
        </is>
      </c>
      <c r="B10" s="5" t="inlineStr">
        <is>
          <t>Hold and recall on F6, plus grid edit.</t>
        </is>
      </c>
      <c r="C10" s="5" t="inlineStr">
        <is>
          <t>A customer steps away.</t>
        </is>
      </c>
      <c r="D10" s="5" t="inlineStr">
        <is>
          <t>Hold on tab 2 and recall with one key.</t>
        </is>
      </c>
      <c r="E10" s="5" t="inlineStr">
        <is>
          <t>The queue keeps moving.</t>
        </is>
      </c>
      <c r="F10" s="5" t="inlineStr">
        <is>
          <t>Incorrect hotkey. Hold is F8. F6 tenders UPI. F9 recalls when several sessions exist.</t>
        </is>
      </c>
    </row>
    <row r="11" ht="48" customHeight="1">
      <c r="A11" s="4" t="inlineStr">
        <is>
          <t>Minimal screen</t>
        </is>
      </c>
      <c r="B11" s="5" t="inlineStr">
        <is>
          <t>Drawers and Shift+P privacy mode.</t>
        </is>
      </c>
      <c r="C11" s="5" t="inlineStr">
        <is>
          <t>Too many fields, and bystanders can see figures.</t>
        </is>
      </c>
      <c r="D11" s="5" t="inlineStr">
        <is>
          <t>Privacy mode masks rupees.</t>
        </is>
      </c>
      <c r="E11" s="5" t="inlineStr">
        <is>
          <t>A quieter screen.</t>
        </is>
      </c>
      <c r="F11" s="5" t="inlineStr">
        <is>
          <t>Shift+P privacy mode was not found.</t>
        </is>
      </c>
    </row>
    <row r="12" ht="48" customHeight="1">
      <c r="A12" s="4" t="inlineStr">
        <is>
          <t>Recover from errors</t>
        </is>
      </c>
      <c r="B12" s="5" t="inlineStr">
        <is>
          <t>A GST banner with a one-click tax split.</t>
        </is>
      </c>
      <c r="C12" s="5" t="inlineStr">
        <is>
          <t>A raw tax-mismatch error.</t>
        </is>
      </c>
      <c r="D12" s="5" t="inlineStr">
        <is>
          <t>The banner offers CGST/SGST to IGST.</t>
        </is>
      </c>
      <c r="E12" s="5" t="inlineStr">
        <is>
          <t>The clerk is not blocked.</t>
        </is>
      </c>
      <c r="F12" s="5" t="inlineStr">
        <is>
          <t>Not re-verified in this review.</t>
        </is>
      </c>
    </row>
    <row r="13" ht="48" customHeight="1">
      <c r="A13" s="4" t="inlineStr">
        <is>
          <t>Help</t>
        </is>
      </c>
      <c r="B13" s="5" t="inlineStr">
        <is>
          <t>Tooltips, a first-run list, and an assistant.</t>
        </is>
      </c>
      <c r="C13" s="5" t="inlineStr">
        <is>
          <t>A new merchant cannot file GSTR-1.</t>
        </is>
      </c>
      <c r="D13" s="5" t="inlineStr">
        <is>
          <t>A walkthrough and a 95 percent first-run completion rate.</t>
        </is>
      </c>
      <c r="E13" s="5" t="inlineStr">
        <is>
          <t>Self-serve setup.</t>
        </is>
      </c>
      <c r="F13" s="5" t="inlineStr">
        <is>
          <t>The 95 percent figure is a hypothesis until a pilot confirms it.</t>
        </is>
      </c>
    </row>
  </sheetData>
  <autoFilter ref="A3:F13"/>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outlineLevelCol="0"/>
  <cols>
    <col width="24" customWidth="1" min="1" max="1"/>
    <col width="44" customWidth="1" min="2" max="2"/>
    <col width="36" customWidth="1" min="3" max="3"/>
    <col width="32" customWidth="1" min="4" max="4"/>
    <col width="40" customWidth="1" min="5" max="5"/>
    <col width="52" customWidth="1" min="6" max="6"/>
  </cols>
  <sheetData>
    <row r="1" ht="28" customHeight="1">
      <c r="A1" s="1" t="inlineStr">
        <is>
          <t>Security and SaaS</t>
        </is>
      </c>
    </row>
    <row r="3">
      <c r="A3" s="29" t="inlineStr">
        <is>
          <t>Dimension</t>
        </is>
      </c>
      <c r="B3" s="29" t="inlineStr">
        <is>
          <t>Claimed mechanism</t>
        </is>
      </c>
      <c r="C3" s="29" t="inlineStr">
        <is>
          <t>Objective</t>
        </is>
      </c>
      <c r="D3" s="29" t="inlineStr">
        <is>
          <t>Commercial claim</t>
        </is>
      </c>
      <c r="E3" s="29" t="inlineStr">
        <is>
          <t>Claimed verification</t>
        </is>
      </c>
      <c r="F3" s="29" t="inlineStr">
        <is>
          <t>Review</t>
        </is>
      </c>
    </row>
    <row r="4" ht="48" customHeight="1">
      <c r="A4" s="4" t="inlineStr">
        <is>
          <t>Multi-tenant isolation</t>
        </is>
      </c>
      <c r="B4" s="5" t="inlineStr">
        <is>
          <t>PostgreSQL row-level security with the app.company_id setting.</t>
        </is>
      </c>
      <c r="C4" s="5" t="inlineStr">
        <is>
          <t>No cross-tenant reads.</t>
        </is>
      </c>
      <c r="D4" s="5" t="inlineStr">
        <is>
          <t>Shared-database scale.</t>
        </is>
      </c>
      <c r="E4" s="5" t="inlineStr">
        <is>
          <t>A cross-tenant SQL injection suite in CI.</t>
        </is>
      </c>
      <c r="F4" s="5" t="inlineStr">
        <is>
          <t>Confirmed in part. RLS policies and the app.company_id setting exist. This review did not confirm a SQL injection suite.</t>
        </is>
      </c>
    </row>
    <row r="5" ht="48" customHeight="1">
      <c r="A5" s="4" t="inlineStr">
        <is>
          <t>Least privilege</t>
        </is>
      </c>
      <c r="B5" s="5" t="inlineStr">
        <is>
          <t>Role permissions and field-level cost masking.</t>
        </is>
      </c>
      <c r="C5" s="5" t="inlineStr">
        <is>
          <t>Clerks cannot see margin.</t>
        </is>
      </c>
      <c r="D5" s="5" t="inlineStr">
        <is>
          <t>Safe rollout to field staff.</t>
        </is>
      </c>
      <c r="E5" s="5" t="inlineStr">
        <is>
          <t>Permission tests.</t>
        </is>
      </c>
      <c r="F5" s="5" t="inlineStr">
        <is>
          <t>Role permissions exist. Field-level cost masking was not re-tested.</t>
        </is>
      </c>
    </row>
    <row r="6" ht="48" customHeight="1">
      <c r="A6" s="4" t="inlineStr">
        <is>
          <t>Export control</t>
        </is>
      </c>
      <c r="B6" s="5" t="inlineStr">
        <is>
          <t>An export permission and IP allow list.</t>
        </is>
      </c>
      <c r="C6" s="5" t="inlineStr">
        <is>
          <t>A departing employee cannot export the customer list.</t>
        </is>
      </c>
      <c r="D6" s="5" t="inlineStr">
        <is>
          <t>Trade secrets stay in the tenant.</t>
        </is>
      </c>
      <c r="E6" s="5" t="inlineStr">
        <is>
          <t>An audit row for every export.</t>
        </is>
      </c>
      <c r="F6" s="5" t="inlineStr">
        <is>
          <t>Not re-verified in this review.</t>
        </is>
      </c>
    </row>
    <row r="7" ht="48" customHeight="1">
      <c r="A7" s="4" t="inlineStr">
        <is>
          <t>Audit immutability</t>
        </is>
      </c>
      <c r="B7" s="5" t="inlineStr">
        <is>
          <t>Append-only ledgers and a SHA-256 hash chain.</t>
        </is>
      </c>
      <c r="C7" s="5" t="inlineStr">
        <is>
          <t>Records stand up under MCA Rule 11(g) and Section 65B.</t>
        </is>
      </c>
      <c r="D7" s="5" t="inlineStr">
        <is>
          <t>A defensible file.</t>
        </is>
      </c>
      <c r="E7" s="5" t="inlineStr">
        <is>
          <t>A checksum job with no gaps.</t>
        </is>
      </c>
      <c r="F7" s="5" t="inlineStr">
        <is>
          <t>Partial. SHA-256 is used elsewhere. No hash chain and no django-simple-history were found. Do not cite Section 65B from this note alone.</t>
        </is>
      </c>
    </row>
    <row r="8" ht="48" customHeight="1">
      <c r="A8" s="4" t="inlineStr">
        <is>
          <t>Session and sign-in</t>
        </is>
      </c>
      <c r="B8" s="5" t="inlineStr">
        <is>
          <t>TOTP, Redis JWT revocation, and idle timeout.</t>
        </is>
      </c>
      <c r="C8" s="5" t="inlineStr">
        <is>
          <t>Stolen passwords and unattended counters.</t>
        </is>
      </c>
      <c r="D8" s="5" t="inlineStr">
        <is>
          <t>A control a bank integration can rely on.</t>
        </is>
      </c>
      <c r="E8" s="5" t="inlineStr">
        <is>
          <t>An OWASP scan in GitHub Actions.</t>
        </is>
      </c>
      <c r="F8" s="5" t="inlineStr">
        <is>
          <t>TOTP was not found. The OWASP scan claim was not re-verified.</t>
        </is>
      </c>
    </row>
    <row r="9" ht="48" customHeight="1">
      <c r="A9" s="4" t="inlineStr">
        <is>
          <t>Subscriptions</t>
        </is>
      </c>
      <c r="B9" s="5" t="inlineStr">
        <is>
          <t>Razorpay subscriptions, GST invoices, and dunning.</t>
        </is>
      </c>
      <c r="C9" s="5" t="inlineStr">
        <is>
          <t>Fees collect themselves.</t>
        </is>
      </c>
      <c r="D9" s="5" t="inlineStr">
        <is>
          <t>No manual billing.</t>
        </is>
      </c>
      <c r="E9" s="5" t="inlineStr">
        <is>
          <t>Webhook tests for success, failure, and upgrade.</t>
        </is>
      </c>
      <c r="F9" s="5" t="inlineStr">
        <is>
          <t>Razorpay code exists. The full subscription, dunning, and GST-invoice loop was not confirmed.</t>
        </is>
      </c>
    </row>
    <row r="10" ht="48" customHeight="1">
      <c r="A10" s="4" t="inlineStr">
        <is>
          <t>Plan quotas</t>
        </is>
      </c>
      <c r="B10" s="5" t="inlineStr">
        <is>
          <t>A validator on invoices, SKUs, and seats that raises PlanQuotaExceeded.</t>
        </is>
      </c>
      <c r="C10" s="5" t="inlineStr">
        <is>
          <t>Free, Pro, and Enterprise stay distinct.</t>
        </is>
      </c>
      <c r="D10" s="5" t="inlineStr">
        <is>
          <t>Upsell as usage grows.</t>
        </is>
      </c>
      <c r="E10" s="5" t="inlineStr">
        <is>
          <t>A pre-save validator.</t>
        </is>
      </c>
      <c r="F10" s="5" t="inlineStr">
        <is>
          <t>Partial. plan_quota_exceeded exists as a help code. There is no PlanQuotaExceeded exception.</t>
        </is>
      </c>
    </row>
    <row r="11" ht="48" customHeight="1">
      <c r="A11" s="4" t="inlineStr">
        <is>
          <t>Tenant export</t>
        </is>
      </c>
      <c r="B11" s="5" t="inlineStr">
        <is>
          <t>One click exports the tenant to a ZIP.</t>
        </is>
      </c>
      <c r="C11" s="5" t="inlineStr">
        <is>
          <t>No lock-in.</t>
        </is>
      </c>
      <c r="D11" s="5" t="inlineStr">
        <is>
          <t>Easier purchase decision.</t>
        </is>
      </c>
      <c r="E11" s="5" t="inlineStr">
        <is>
          <t>An automated export test.</t>
        </is>
      </c>
      <c r="F11" s="5" t="inlineStr">
        <is>
          <t>Not re-verified in this review.</t>
        </is>
      </c>
    </row>
    <row r="12" ht="48" customHeight="1">
      <c r="A12" s="4" t="inlineStr">
        <is>
          <t>Backup</t>
        </is>
      </c>
      <c r="B12" s="5" t="inlineStr">
        <is>
          <t>WAL archiving and a daily encrypted pg_dump to S3.</t>
        </is>
      </c>
      <c r="C12" s="5" t="inlineStr">
        <is>
          <t>Point-in-time recovery.</t>
        </is>
      </c>
      <c r="D12" s="5" t="inlineStr">
        <is>
          <t>A 99.9 percent uptime SLA.</t>
        </is>
      </c>
      <c r="E12" s="5" t="inlineStr">
        <is>
          <t>A daily restore test.</t>
        </is>
      </c>
      <c r="F12" s="5" t="inlineStr">
        <is>
          <t>The 99.9 percent SLA is an operating target, not a control found in the product. A shipped PITR job was not confirmed.</t>
        </is>
      </c>
    </row>
  </sheetData>
  <autoFilter ref="A3:F12"/>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F63"/>
  <sheetViews>
    <sheetView showGridLines="0" workbookViewId="0">
      <pane ySplit="3" topLeftCell="A4" activePane="bottomLeft" state="frozen"/>
      <selection pane="bottomLeft" activeCell="A1" sqref="A1"/>
    </sheetView>
  </sheetViews>
  <sheetFormatPr baseColWidth="8" defaultRowHeight="15" outlineLevelCol="0"/>
  <cols>
    <col width="14" customWidth="1" min="1" max="1"/>
    <col width="55" customWidth="1" min="2" max="2"/>
    <col width="20" customWidth="1" min="3" max="3"/>
    <col width="16" customWidth="1" min="4" max="4"/>
    <col width="22" customWidth="1" min="5" max="5"/>
    <col width="70" customWidth="1" min="6" max="6"/>
  </cols>
  <sheetData>
    <row r="1">
      <c r="A1" s="1" t="inlineStr">
        <is>
          <t>Priority decisions in this review</t>
        </is>
      </c>
    </row>
    <row r="2">
      <c r="A2" s="12" t="inlineStr">
        <is>
          <t>60 tasks changed from the previous workbook. 22 tasks stay at a priority that differs from the authored value because the task action names a statutory control or a polish item.</t>
        </is>
      </c>
    </row>
    <row r="3">
      <c r="A3" s="3" t="inlineStr">
        <is>
          <t>Task ID</t>
        </is>
      </c>
      <c r="B3" s="3" t="inlineStr">
        <is>
          <t>Task</t>
        </is>
      </c>
      <c r="C3" s="3" t="inlineStr">
        <is>
          <t>Authored priority</t>
        </is>
      </c>
      <c r="D3" s="3" t="inlineStr">
        <is>
          <t>Priority now</t>
        </is>
      </c>
      <c r="E3" s="3" t="inlineStr">
        <is>
          <t>Previous workbook</t>
        </is>
      </c>
      <c r="F3" s="3" t="inlineStr">
        <is>
          <t>Decision</t>
        </is>
      </c>
    </row>
    <row r="4" ht="30" customHeight="1">
      <c r="A4" s="5" t="inlineStr">
        <is>
          <t>P-0009</t>
        </is>
      </c>
      <c r="B4" s="5" t="inlineStr">
        <is>
          <t>Record a customer credit sale</t>
        </is>
      </c>
      <c r="C4" s="5" t="inlineStr">
        <is>
          <t>P1</t>
        </is>
      </c>
      <c r="D4" s="5" t="inlineStr">
        <is>
          <t>P1</t>
        </is>
      </c>
      <c r="E4" s="5" t="inlineStr">
        <is>
          <t>P0</t>
        </is>
      </c>
      <c r="F4" s="5" t="inlineStr">
        <is>
          <t>Restored to authored P1. The previous workbook had P0 after a keyword rebalance.</t>
        </is>
      </c>
    </row>
    <row r="5" ht="30" customHeight="1">
      <c r="A5" s="5" t="inlineStr">
        <is>
          <t>P-0019</t>
        </is>
      </c>
      <c r="B5" s="5" t="inlineStr">
        <is>
          <t>Create a supplier purchase entry</t>
        </is>
      </c>
      <c r="C5" s="5" t="inlineStr">
        <is>
          <t>P1</t>
        </is>
      </c>
      <c r="D5" s="5" t="inlineStr">
        <is>
          <t>P1</t>
        </is>
      </c>
      <c r="E5" s="5" t="inlineStr">
        <is>
          <t>P0</t>
        </is>
      </c>
      <c r="F5" s="5" t="inlineStr">
        <is>
          <t>Restored to authored P1. The previous workbook had P0 after a keyword rebalance.</t>
        </is>
      </c>
    </row>
    <row r="6" ht="30" customHeight="1">
      <c r="A6" s="5" t="inlineStr">
        <is>
          <t>P-0025</t>
        </is>
      </c>
      <c r="B6" s="5" t="inlineStr">
        <is>
          <t>Identify slow-moving/dead stock</t>
        </is>
      </c>
      <c r="C6" s="5" t="inlineStr">
        <is>
          <t>P2</t>
        </is>
      </c>
      <c r="D6" s="5" t="inlineStr">
        <is>
          <t>P2</t>
        </is>
      </c>
      <c r="E6" s="5" t="inlineStr">
        <is>
          <t>P3</t>
        </is>
      </c>
      <c r="F6" s="5" t="inlineStr">
        <is>
          <t>Restored to authored P2. The previous workbook had P3 after a keyword rebalance.</t>
        </is>
      </c>
    </row>
    <row r="7" ht="30" customHeight="1">
      <c r="A7" s="5" t="inlineStr">
        <is>
          <t>P-0036</t>
        </is>
      </c>
      <c r="B7" s="5" t="inlineStr">
        <is>
          <t>Review gross margin</t>
        </is>
      </c>
      <c r="C7" s="5" t="inlineStr">
        <is>
          <t>P2</t>
        </is>
      </c>
      <c r="D7" s="5" t="inlineStr">
        <is>
          <t>P2</t>
        </is>
      </c>
      <c r="E7" s="5" t="inlineStr">
        <is>
          <t>P3</t>
        </is>
      </c>
      <c r="F7" s="5" t="inlineStr">
        <is>
          <t>Restored to authored P2. The previous workbook had P3 after a keyword rebalance.</t>
        </is>
      </c>
    </row>
    <row r="8" ht="30" customHeight="1">
      <c r="A8" s="5" t="inlineStr">
        <is>
          <t>P-0084</t>
        </is>
      </c>
      <c r="B8" s="5" t="inlineStr">
        <is>
          <t>Compare godown-wise sales</t>
        </is>
      </c>
      <c r="C8" s="5" t="inlineStr">
        <is>
          <t>P2</t>
        </is>
      </c>
      <c r="D8" s="5" t="inlineStr">
        <is>
          <t>P2</t>
        </is>
      </c>
      <c r="E8" s="5" t="inlineStr">
        <is>
          <t>P3</t>
        </is>
      </c>
      <c r="F8" s="5" t="inlineStr">
        <is>
          <t>Restored to authored P2. The previous workbook had P3 after a keyword rebalance.</t>
        </is>
      </c>
    </row>
    <row r="9" ht="30" customHeight="1">
      <c r="A9" s="5" t="inlineStr">
        <is>
          <t>P-0085</t>
        </is>
      </c>
      <c r="B9" s="5" t="inlineStr">
        <is>
          <t>Compare godown-wise profitability</t>
        </is>
      </c>
      <c r="C9" s="5" t="inlineStr">
        <is>
          <t>P2</t>
        </is>
      </c>
      <c r="D9" s="5" t="inlineStr">
        <is>
          <t>P2</t>
        </is>
      </c>
      <c r="E9" s="5" t="inlineStr">
        <is>
          <t>P3</t>
        </is>
      </c>
      <c r="F9" s="5" t="inlineStr">
        <is>
          <t>Restored to authored P2. The previous workbook had P3 after a keyword rebalance.</t>
        </is>
      </c>
    </row>
    <row r="10" ht="30" customHeight="1">
      <c r="A10" s="5" t="inlineStr">
        <is>
          <t>P-0086</t>
        </is>
      </c>
      <c r="B10" s="5" t="inlineStr">
        <is>
          <t>Identify stock imbalance</t>
        </is>
      </c>
      <c r="C10" s="5" t="inlineStr">
        <is>
          <t>P2</t>
        </is>
      </c>
      <c r="D10" s="5" t="inlineStr">
        <is>
          <t>P2</t>
        </is>
      </c>
      <c r="E10" s="5" t="inlineStr">
        <is>
          <t>P3</t>
        </is>
      </c>
      <c r="F10" s="5" t="inlineStr">
        <is>
          <t>Restored to authored P2. The previous workbook had P3 after a keyword rebalance.</t>
        </is>
      </c>
    </row>
    <row r="11" ht="30" customHeight="1">
      <c r="A11" s="5" t="inlineStr">
        <is>
          <t>P-0091</t>
        </is>
      </c>
      <c r="B11" s="5" t="inlineStr">
        <is>
          <t>Compare shop profitability</t>
        </is>
      </c>
      <c r="C11" s="5" t="inlineStr">
        <is>
          <t>P2</t>
        </is>
      </c>
      <c r="D11" s="5" t="inlineStr">
        <is>
          <t>P2</t>
        </is>
      </c>
      <c r="E11" s="5" t="inlineStr">
        <is>
          <t>P3</t>
        </is>
      </c>
      <c r="F11" s="5" t="inlineStr">
        <is>
          <t>Restored to authored P2. The previous workbook had P3 after a keyword rebalance.</t>
        </is>
      </c>
    </row>
    <row r="12" ht="30" customHeight="1">
      <c r="A12" s="5" t="inlineStr">
        <is>
          <t>P-0097</t>
        </is>
      </c>
      <c r="B12" s="5" t="inlineStr">
        <is>
          <t>Identify underperforming locations</t>
        </is>
      </c>
      <c r="C12" s="5" t="inlineStr">
        <is>
          <t>P2</t>
        </is>
      </c>
      <c r="D12" s="5" t="inlineStr">
        <is>
          <t>P2</t>
        </is>
      </c>
      <c r="E12" s="5" t="inlineStr">
        <is>
          <t>P3</t>
        </is>
      </c>
      <c r="F12" s="5" t="inlineStr">
        <is>
          <t>Restored to authored P2. The previous workbook had P3 after a keyword rebalance.</t>
        </is>
      </c>
    </row>
    <row r="13" ht="30" customHeight="1">
      <c r="A13" s="5" t="inlineStr">
        <is>
          <t>P-0121</t>
        </is>
      </c>
      <c r="B13" s="5" t="inlineStr">
        <is>
          <t>Identify profitable products</t>
        </is>
      </c>
      <c r="C13" s="5" t="inlineStr">
        <is>
          <t>P2</t>
        </is>
      </c>
      <c r="D13" s="5" t="inlineStr">
        <is>
          <t>P2</t>
        </is>
      </c>
      <c r="E13" s="5" t="inlineStr">
        <is>
          <t>P3</t>
        </is>
      </c>
      <c r="F13" s="5" t="inlineStr">
        <is>
          <t>Restored to authored P2. The previous workbook had P3 after a keyword rebalance.</t>
        </is>
      </c>
    </row>
    <row r="14" ht="30" customHeight="1">
      <c r="A14" s="5" t="inlineStr">
        <is>
          <t>P-0122</t>
        </is>
      </c>
      <c r="B14" s="5" t="inlineStr">
        <is>
          <t>Identify loss-making products</t>
        </is>
      </c>
      <c r="C14" s="5" t="inlineStr">
        <is>
          <t>P2</t>
        </is>
      </c>
      <c r="D14" s="5" t="inlineStr">
        <is>
          <t>P2</t>
        </is>
      </c>
      <c r="E14" s="5" t="inlineStr">
        <is>
          <t>P3</t>
        </is>
      </c>
      <c r="F14" s="5" t="inlineStr">
        <is>
          <t>Restored to authored P2. The previous workbook had P3 after a keyword rebalance.</t>
        </is>
      </c>
    </row>
    <row r="15" ht="30" customHeight="1">
      <c r="A15" s="5" t="inlineStr">
        <is>
          <t>P-0123</t>
        </is>
      </c>
      <c r="B15" s="5" t="inlineStr">
        <is>
          <t>Compare performance across periods</t>
        </is>
      </c>
      <c r="C15" s="5" t="inlineStr">
        <is>
          <t>P2</t>
        </is>
      </c>
      <c r="D15" s="5" t="inlineStr">
        <is>
          <t>P2</t>
        </is>
      </c>
      <c r="E15" s="5" t="inlineStr">
        <is>
          <t>P3</t>
        </is>
      </c>
      <c r="F15" s="5" t="inlineStr">
        <is>
          <t>Restored to authored P2. The previous workbook had P3 after a keyword rebalance.</t>
        </is>
      </c>
    </row>
    <row r="16" ht="30" customHeight="1">
      <c r="A16" s="5" t="inlineStr">
        <is>
          <t>P-0137</t>
        </is>
      </c>
      <c r="B16" s="5" t="inlineStr">
        <is>
          <t>View customer outstanding</t>
        </is>
      </c>
      <c r="C16" s="5" t="inlineStr">
        <is>
          <t>P1</t>
        </is>
      </c>
      <c r="D16" s="5" t="inlineStr">
        <is>
          <t>P1</t>
        </is>
      </c>
      <c r="E16" s="5" t="inlineStr">
        <is>
          <t>P0</t>
        </is>
      </c>
      <c r="F16" s="5" t="inlineStr">
        <is>
          <t>Restored to authored P1. The previous workbook had P0 after a keyword rebalance.</t>
        </is>
      </c>
    </row>
    <row r="17" ht="30" customHeight="1">
      <c r="A17" s="5" t="inlineStr">
        <is>
          <t>P-0138</t>
        </is>
      </c>
      <c r="B17" s="5" t="inlineStr">
        <is>
          <t>Track sales performance</t>
        </is>
      </c>
      <c r="C17" s="5" t="inlineStr">
        <is>
          <t>P2</t>
        </is>
      </c>
      <c r="D17" s="5" t="inlineStr">
        <is>
          <t>P2</t>
        </is>
      </c>
      <c r="E17" s="5" t="inlineStr">
        <is>
          <t>P3</t>
        </is>
      </c>
      <c r="F17" s="5" t="inlineStr">
        <is>
          <t>Restored to authored P2. The previous workbook had P3 after a keyword rebalance.</t>
        </is>
      </c>
    </row>
    <row r="18" ht="30" customHeight="1">
      <c r="A18" s="5" t="inlineStr">
        <is>
          <t>P-0147</t>
        </is>
      </c>
      <c r="B18" s="5" t="inlineStr">
        <is>
          <t>Identify best-priced suppliers</t>
        </is>
      </c>
      <c r="C18" s="5" t="inlineStr">
        <is>
          <t>P2</t>
        </is>
      </c>
      <c r="D18" s="5" t="inlineStr">
        <is>
          <t>P2</t>
        </is>
      </c>
      <c r="E18" s="5" t="inlineStr">
        <is>
          <t>P3</t>
        </is>
      </c>
      <c r="F18" s="5" t="inlineStr">
        <is>
          <t>Restored to authored P2. The previous workbook had P3 after a keyword rebalance.</t>
        </is>
      </c>
    </row>
    <row r="19" ht="30" customHeight="1">
      <c r="A19" s="5" t="inlineStr">
        <is>
          <t>P-0148</t>
        </is>
      </c>
      <c r="B19" s="5" t="inlineStr">
        <is>
          <t>Review supplier performance</t>
        </is>
      </c>
      <c r="C19" s="5" t="inlineStr">
        <is>
          <t>P2</t>
        </is>
      </c>
      <c r="D19" s="5" t="inlineStr">
        <is>
          <t>P2</t>
        </is>
      </c>
      <c r="E19" s="5" t="inlineStr">
        <is>
          <t>P3</t>
        </is>
      </c>
      <c r="F19" s="5" t="inlineStr">
        <is>
          <t>Restored to authored P2. The previous workbook had P3 after a keyword rebalance.</t>
        </is>
      </c>
    </row>
    <row r="20" ht="30" customHeight="1">
      <c r="A20" s="5" t="inlineStr">
        <is>
          <t>P-0159</t>
        </is>
      </c>
      <c r="B20" s="5" t="inlineStr">
        <is>
          <t>Calculate inventory valuation</t>
        </is>
      </c>
      <c r="C20" s="5" t="inlineStr">
        <is>
          <t>P2</t>
        </is>
      </c>
      <c r="D20" s="5" t="inlineStr">
        <is>
          <t>P2</t>
        </is>
      </c>
      <c r="E20" s="5" t="inlineStr">
        <is>
          <t>P3</t>
        </is>
      </c>
      <c r="F20" s="5" t="inlineStr">
        <is>
          <t>Restored to authored P2. The previous workbook had P3 after a keyword rebalance.</t>
        </is>
      </c>
    </row>
    <row r="21" ht="30" customHeight="1">
      <c r="A21" s="5" t="inlineStr">
        <is>
          <t>P-0163</t>
        </is>
      </c>
      <c r="B21" s="5" t="inlineStr">
        <is>
          <t>View purchase history</t>
        </is>
      </c>
      <c r="C21" s="5" t="inlineStr">
        <is>
          <t>P2</t>
        </is>
      </c>
      <c r="D21" s="5" t="inlineStr">
        <is>
          <t>P2</t>
        </is>
      </c>
      <c r="E21" s="5" t="inlineStr">
        <is>
          <t>P3</t>
        </is>
      </c>
      <c r="F21" s="5" t="inlineStr">
        <is>
          <t>Restored to authored P2. The previous workbook had P3 after a keyword rebalance.</t>
        </is>
      </c>
    </row>
    <row r="22" ht="30" customHeight="1">
      <c r="A22" s="5" t="inlineStr">
        <is>
          <t>P-0167</t>
        </is>
      </c>
      <c r="B22" s="5" t="inlineStr">
        <is>
          <t>Request replacement</t>
        </is>
      </c>
      <c r="C22" s="5" t="inlineStr">
        <is>
          <t>P2</t>
        </is>
      </c>
      <c r="D22" s="5" t="inlineStr">
        <is>
          <t>P2</t>
        </is>
      </c>
      <c r="E22" s="5" t="inlineStr">
        <is>
          <t>P3</t>
        </is>
      </c>
      <c r="F22" s="5" t="inlineStr">
        <is>
          <t>Restored to authored P2. The previous workbook had P3 after a keyword rebalance.</t>
        </is>
      </c>
    </row>
    <row r="23" ht="30" customHeight="1">
      <c r="A23" s="5" t="inlineStr">
        <is>
          <t>P-0168</t>
        </is>
      </c>
      <c r="B23" s="5" t="inlineStr">
        <is>
          <t>View outstanding balance</t>
        </is>
      </c>
      <c r="C23" s="5" t="inlineStr">
        <is>
          <t>P2</t>
        </is>
      </c>
      <c r="D23" s="5" t="inlineStr">
        <is>
          <t>P2</t>
        </is>
      </c>
      <c r="E23" s="5" t="inlineStr">
        <is>
          <t>P3</t>
        </is>
      </c>
      <c r="F23" s="5" t="inlineStr">
        <is>
          <t>Restored to authored P2. The previous workbook had P3 after a keyword rebalance.</t>
        </is>
      </c>
    </row>
    <row r="24" ht="30" customHeight="1">
      <c r="A24" s="5" t="inlineStr">
        <is>
          <t>P-0169</t>
        </is>
      </c>
      <c r="B24" s="5" t="inlineStr">
        <is>
          <t>Receive order/status updates</t>
        </is>
      </c>
      <c r="C24" s="5" t="inlineStr">
        <is>
          <t>P2</t>
        </is>
      </c>
      <c r="D24" s="5" t="inlineStr">
        <is>
          <t>P2</t>
        </is>
      </c>
      <c r="E24" s="5" t="inlineStr">
        <is>
          <t>P3</t>
        </is>
      </c>
      <c r="F24" s="5" t="inlineStr">
        <is>
          <t>Restored to authored P2. The previous workbook had P3 after a keyword rebalance.</t>
        </is>
      </c>
    </row>
    <row r="25" ht="30" customHeight="1">
      <c r="A25" s="5" t="inlineStr">
        <is>
          <t>P-0172</t>
        </is>
      </c>
      <c r="B25" s="5" t="inlineStr">
        <is>
          <t>Track payment status</t>
        </is>
      </c>
      <c r="C25" s="5" t="inlineStr">
        <is>
          <t>P2</t>
        </is>
      </c>
      <c r="D25" s="5" t="inlineStr">
        <is>
          <t>P2</t>
        </is>
      </c>
      <c r="E25" s="5" t="inlineStr">
        <is>
          <t>P3</t>
        </is>
      </c>
      <c r="F25" s="5" t="inlineStr">
        <is>
          <t>Restored to authored P2. The previous workbook had P3 after a keyword rebalance.</t>
        </is>
      </c>
    </row>
    <row r="26" ht="30" customHeight="1">
      <c r="A26" s="5" t="inlineStr">
        <is>
          <t>P-0173</t>
        </is>
      </c>
      <c r="B26" s="5" t="inlineStr">
        <is>
          <t>View outstanding amount</t>
        </is>
      </c>
      <c r="C26" s="5" t="inlineStr">
        <is>
          <t>P2</t>
        </is>
      </c>
      <c r="D26" s="5" t="inlineStr">
        <is>
          <t>P2</t>
        </is>
      </c>
      <c r="E26" s="5" t="inlineStr">
        <is>
          <t>P3</t>
        </is>
      </c>
      <c r="F26" s="5" t="inlineStr">
        <is>
          <t>Restored to authored P2. The previous workbook had P3 after a keyword rebalance.</t>
        </is>
      </c>
    </row>
    <row r="27" ht="30" customHeight="1">
      <c r="A27" s="5" t="inlineStr">
        <is>
          <t>P-0182</t>
        </is>
      </c>
      <c r="B27" s="5" t="inlineStr">
        <is>
          <t>Configure invoice templates</t>
        </is>
      </c>
      <c r="C27" s="5" t="inlineStr">
        <is>
          <t>P2</t>
        </is>
      </c>
      <c r="D27" s="5" t="inlineStr">
        <is>
          <t>P2</t>
        </is>
      </c>
      <c r="E27" s="5" t="inlineStr">
        <is>
          <t>P3</t>
        </is>
      </c>
      <c r="F27" s="5" t="inlineStr">
        <is>
          <t>Restored to authored P2. The previous workbook had P3 after a keyword rebalance.</t>
        </is>
      </c>
    </row>
    <row r="28" ht="30" customHeight="1">
      <c r="A28" s="5" t="inlineStr">
        <is>
          <t>X-0191</t>
        </is>
      </c>
      <c r="B28" s="5" t="inlineStr">
        <is>
          <t>Sales order → inventory is reserved → available stock is updated</t>
        </is>
      </c>
      <c r="C28" s="5" t="inlineStr">
        <is>
          <t>P1</t>
        </is>
      </c>
      <c r="D28" s="5" t="inlineStr">
        <is>
          <t>P1</t>
        </is>
      </c>
      <c r="E28" s="5" t="inlineStr">
        <is>
          <t>P0</t>
        </is>
      </c>
      <c r="F28" s="5" t="inlineStr">
        <is>
          <t>Restored to authored P1. The previous workbook had P0 after a keyword rebalance.</t>
        </is>
      </c>
    </row>
    <row r="29" ht="30" customHeight="1">
      <c r="A29" s="5" t="inlineStr">
        <is>
          <t>X-0197</t>
        </is>
      </c>
      <c r="B29" s="5" t="inlineStr">
        <is>
          <t>Invoice generated → customer receivable is created</t>
        </is>
      </c>
      <c r="C29" s="5" t="inlineStr">
        <is>
          <t>P1</t>
        </is>
      </c>
      <c r="D29" s="5" t="inlineStr">
        <is>
          <t>P1</t>
        </is>
      </c>
      <c r="E29" s="5" t="inlineStr">
        <is>
          <t>P0</t>
        </is>
      </c>
      <c r="F29" s="5" t="inlineStr">
        <is>
          <t>Restored to authored P1. The previous workbook had P0 after a keyword rebalance.</t>
        </is>
      </c>
    </row>
    <row r="30" ht="30" customHeight="1">
      <c r="A30" s="5" t="inlineStr">
        <is>
          <t>X-0206</t>
        </is>
      </c>
      <c r="B30" s="5" t="inlineStr">
        <is>
          <t>Return approved → inventory is restored where applicable</t>
        </is>
      </c>
      <c r="C30" s="5" t="inlineStr">
        <is>
          <t>P1</t>
        </is>
      </c>
      <c r="D30" s="5" t="inlineStr">
        <is>
          <t>P1</t>
        </is>
      </c>
      <c r="E30" s="5" t="inlineStr">
        <is>
          <t>P0</t>
        </is>
      </c>
      <c r="F30" s="5" t="inlineStr">
        <is>
          <t>Restored to authored P1. The previous workbook had P0 after a keyword rebalance.</t>
        </is>
      </c>
    </row>
    <row r="31" ht="30" customHeight="1">
      <c r="A31" s="5" t="inlineStr">
        <is>
          <t>X-0208</t>
        </is>
      </c>
      <c r="B31" s="5" t="inlineStr">
        <is>
          <t>Sales return → GST impact is recalculated</t>
        </is>
      </c>
      <c r="C31" s="5" t="inlineStr">
        <is>
          <t>P1</t>
        </is>
      </c>
      <c r="D31" s="5" t="inlineStr">
        <is>
          <t>P1</t>
        </is>
      </c>
      <c r="E31" s="5" t="inlineStr">
        <is>
          <t>P0</t>
        </is>
      </c>
      <c r="F31" s="5" t="inlineStr">
        <is>
          <t>Restored to authored P1. The previous workbook had P0 after a keyword rebalance.</t>
        </is>
      </c>
    </row>
    <row r="32" ht="30" customHeight="1">
      <c r="A32" s="5" t="inlineStr">
        <is>
          <t>X-0216</t>
        </is>
      </c>
      <c r="B32" s="5" t="inlineStr">
        <is>
          <t>GRN → inventory quantity increases</t>
        </is>
      </c>
      <c r="C32" s="5" t="inlineStr">
        <is>
          <t>P1</t>
        </is>
      </c>
      <c r="D32" s="5" t="inlineStr">
        <is>
          <t>P1</t>
        </is>
      </c>
      <c r="E32" s="5" t="inlineStr">
        <is>
          <t>P0</t>
        </is>
      </c>
      <c r="F32" s="5" t="inlineStr">
        <is>
          <t>Restored to authored P1. The previous workbook had P0 after a keyword rebalance.</t>
        </is>
      </c>
    </row>
    <row r="33" ht="30" customHeight="1">
      <c r="A33" s="5" t="inlineStr">
        <is>
          <t>X-0224</t>
        </is>
      </c>
      <c r="B33" s="5" t="inlineStr">
        <is>
          <t>Supplier invoice accepted → payable is created</t>
        </is>
      </c>
      <c r="C33" s="5" t="inlineStr">
        <is>
          <t>P1</t>
        </is>
      </c>
      <c r="D33" s="5" t="inlineStr">
        <is>
          <t>P1</t>
        </is>
      </c>
      <c r="E33" s="5" t="inlineStr">
        <is>
          <t>P0</t>
        </is>
      </c>
      <c r="F33" s="5" t="inlineStr">
        <is>
          <t>Restored to authored P1. The previous workbook had P0 after a keyword rebalance.</t>
        </is>
      </c>
    </row>
    <row r="34" ht="30" customHeight="1">
      <c r="A34" s="5" t="inlineStr">
        <is>
          <t>X-0226</t>
        </is>
      </c>
      <c r="B34" s="5" t="inlineStr">
        <is>
          <t>Purchase → eligible ITC is identified</t>
        </is>
      </c>
      <c r="C34" s="5" t="inlineStr">
        <is>
          <t>P1</t>
        </is>
      </c>
      <c r="D34" s="5" t="inlineStr">
        <is>
          <t>P1</t>
        </is>
      </c>
      <c r="E34" s="5" t="inlineStr">
        <is>
          <t>P0</t>
        </is>
      </c>
      <c r="F34" s="5" t="inlineStr">
        <is>
          <t>Restored to authored P1. The previous workbook had P0 after a keyword rebalance.</t>
        </is>
      </c>
    </row>
    <row r="35" ht="30" customHeight="1">
      <c r="A35" s="5" t="inlineStr">
        <is>
          <t>X-0230</t>
        </is>
      </c>
      <c r="B35" s="5" t="inlineStr">
        <is>
          <t>Purchase return → inventory decreases</t>
        </is>
      </c>
      <c r="C35" s="5" t="inlineStr">
        <is>
          <t>P1</t>
        </is>
      </c>
      <c r="D35" s="5" t="inlineStr">
        <is>
          <t>P1</t>
        </is>
      </c>
      <c r="E35" s="5" t="inlineStr">
        <is>
          <t>P0</t>
        </is>
      </c>
      <c r="F35" s="5" t="inlineStr">
        <is>
          <t>Restored to authored P1. The previous workbook had P0 after a keyword rebalance.</t>
        </is>
      </c>
    </row>
    <row r="36" ht="30" customHeight="1">
      <c r="A36" s="5" t="inlineStr">
        <is>
          <t>X-0232</t>
        </is>
      </c>
      <c r="B36" s="5" t="inlineStr">
        <is>
          <t>Purchase return → GST impact is adjusted</t>
        </is>
      </c>
      <c r="C36" s="5" t="inlineStr">
        <is>
          <t>P1</t>
        </is>
      </c>
      <c r="D36" s="5" t="inlineStr">
        <is>
          <t>P1</t>
        </is>
      </c>
      <c r="E36" s="5" t="inlineStr">
        <is>
          <t>P0</t>
        </is>
      </c>
      <c r="F36" s="5" t="inlineStr">
        <is>
          <t>Restored to authored P1. The previous workbook had P0 after a keyword rebalance.</t>
        </is>
      </c>
    </row>
    <row r="37" ht="30" customHeight="1">
      <c r="A37" s="5" t="inlineStr">
        <is>
          <t>X-0236</t>
        </is>
      </c>
      <c r="B37" s="5" t="inlineStr">
        <is>
          <t>Sale → stock leaves inventory</t>
        </is>
      </c>
      <c r="C37" s="5" t="inlineStr">
        <is>
          <t>P1</t>
        </is>
      </c>
      <c r="D37" s="5" t="inlineStr">
        <is>
          <t>P1</t>
        </is>
      </c>
      <c r="E37" s="5" t="inlineStr">
        <is>
          <t>P0</t>
        </is>
      </c>
      <c r="F37" s="5" t="inlineStr">
        <is>
          <t>Restored to authored P1. The previous workbook had P0 after a keyword rebalance.</t>
        </is>
      </c>
    </row>
    <row r="38" ht="30" customHeight="1">
      <c r="A38" s="5" t="inlineStr">
        <is>
          <t>X-0243</t>
        </is>
      </c>
      <c r="B38" s="5" t="inlineStr">
        <is>
          <t>Stock adjustment → inventory ledger records adjustment</t>
        </is>
      </c>
      <c r="C38" s="5" t="inlineStr">
        <is>
          <t>P1</t>
        </is>
      </c>
      <c r="D38" s="5" t="inlineStr">
        <is>
          <t>P1</t>
        </is>
      </c>
      <c r="E38" s="5" t="inlineStr">
        <is>
          <t>P0</t>
        </is>
      </c>
      <c r="F38" s="5" t="inlineStr">
        <is>
          <t>Restored to authored P1. The previous workbook had P0 after a keyword rebalance.</t>
        </is>
      </c>
    </row>
    <row r="39" ht="30" customHeight="1">
      <c r="A39" s="5" t="inlineStr">
        <is>
          <t>X-0246</t>
        </is>
      </c>
      <c r="B39" s="5" t="inlineStr">
        <is>
          <t>Expired stock → sale is prevented/flagged</t>
        </is>
      </c>
      <c r="C39" s="5" t="inlineStr">
        <is>
          <t>P0</t>
        </is>
      </c>
      <c r="D39" s="5" t="inlineStr">
        <is>
          <t>P0</t>
        </is>
      </c>
      <c r="E39" s="5" t="inlineStr">
        <is>
          <t>P1</t>
        </is>
      </c>
      <c r="F39" s="5" t="inlineStr">
        <is>
          <t>Restored to authored P0. The previous workbook had P1 after a keyword rebalance.</t>
        </is>
      </c>
    </row>
    <row r="40" ht="30" customHeight="1">
      <c r="A40" s="5" t="inlineStr">
        <is>
          <t>X-0267</t>
        </is>
      </c>
      <c r="B40" s="5" t="inlineStr">
        <is>
          <t>Transfer cancellation reverses appropriate inventory state</t>
        </is>
      </c>
      <c r="C40" s="5" t="inlineStr">
        <is>
          <t>P1</t>
        </is>
      </c>
      <c r="D40" s="5" t="inlineStr">
        <is>
          <t>P1</t>
        </is>
      </c>
      <c r="E40" s="5" t="inlineStr">
        <is>
          <t>P0</t>
        </is>
      </c>
      <c r="F40" s="5" t="inlineStr">
        <is>
          <t>Restored to authored P1. The previous workbook had P0 after a keyword rebalance.</t>
        </is>
      </c>
    </row>
    <row r="41" ht="30" customHeight="1">
      <c r="A41" s="5" t="inlineStr">
        <is>
          <t>X-0278</t>
        </is>
      </c>
      <c r="B41" s="5" t="inlineStr">
        <is>
          <t>Sales invoice → GST calculation</t>
        </is>
      </c>
      <c r="C41" s="5" t="inlineStr">
        <is>
          <t>P1</t>
        </is>
      </c>
      <c r="D41" s="5" t="inlineStr">
        <is>
          <t>P1</t>
        </is>
      </c>
      <c r="E41" s="5" t="inlineStr">
        <is>
          <t>P0</t>
        </is>
      </c>
      <c r="F41" s="5" t="inlineStr">
        <is>
          <t>Restored to authored P1. The previous workbook had P0 after a keyword rebalance.</t>
        </is>
      </c>
    </row>
    <row r="42" ht="30" customHeight="1">
      <c r="A42" s="5" t="inlineStr">
        <is>
          <t>X-0287</t>
        </is>
      </c>
      <c r="B42" s="5" t="inlineStr">
        <is>
          <t>Sales return → tax adjustment</t>
        </is>
      </c>
      <c r="C42" s="5" t="inlineStr">
        <is>
          <t>P1</t>
        </is>
      </c>
      <c r="D42" s="5" t="inlineStr">
        <is>
          <t>P1</t>
        </is>
      </c>
      <c r="E42" s="5" t="inlineStr">
        <is>
          <t>P0</t>
        </is>
      </c>
      <c r="F42" s="5" t="inlineStr">
        <is>
          <t>Restored to authored P1. The previous workbook had P0 after a keyword rebalance.</t>
        </is>
      </c>
    </row>
    <row r="43" ht="30" customHeight="1">
      <c r="A43" s="5" t="inlineStr">
        <is>
          <t>X-0301</t>
        </is>
      </c>
      <c r="B43" s="5" t="inlineStr">
        <is>
          <t>ITC deadline approaching → alert</t>
        </is>
      </c>
      <c r="C43" s="5" t="inlineStr">
        <is>
          <t>P1</t>
        </is>
      </c>
      <c r="D43" s="5" t="inlineStr">
        <is>
          <t>P1</t>
        </is>
      </c>
      <c r="E43" s="5" t="inlineStr">
        <is>
          <t>P0</t>
        </is>
      </c>
      <c r="F43" s="5" t="inlineStr">
        <is>
          <t>Restored to authored P1. The previous workbook had P0 after a keyword rebalance.</t>
        </is>
      </c>
    </row>
    <row r="44" ht="30" customHeight="1">
      <c r="A44" s="5" t="inlineStr">
        <is>
          <t>X-0308</t>
        </is>
      </c>
      <c r="B44" s="5" t="inlineStr">
        <is>
          <t>Credit sale → customer ledger updated</t>
        </is>
      </c>
      <c r="C44" s="5" t="inlineStr">
        <is>
          <t>P1</t>
        </is>
      </c>
      <c r="D44" s="5" t="inlineStr">
        <is>
          <t>P1</t>
        </is>
      </c>
      <c r="E44" s="5" t="inlineStr">
        <is>
          <t>P0</t>
        </is>
      </c>
      <c r="F44" s="5" t="inlineStr">
        <is>
          <t>Restored to authored P1. The previous workbook had P0 after a keyword rebalance.</t>
        </is>
      </c>
    </row>
    <row r="45" ht="30" customHeight="1">
      <c r="A45" s="5" t="inlineStr">
        <is>
          <t>X-0323</t>
        </is>
      </c>
      <c r="B45" s="5" t="inlineStr">
        <is>
          <t>Purchase creates supplier payable</t>
        </is>
      </c>
      <c r="C45" s="5" t="inlineStr">
        <is>
          <t>P1</t>
        </is>
      </c>
      <c r="D45" s="5" t="inlineStr">
        <is>
          <t>P1</t>
        </is>
      </c>
      <c r="E45" s="5" t="inlineStr">
        <is>
          <t>P0</t>
        </is>
      </c>
      <c r="F45" s="5" t="inlineStr">
        <is>
          <t>Restored to authored P1. The previous workbook had P0 after a keyword rebalance.</t>
        </is>
      </c>
    </row>
    <row r="46" ht="30" customHeight="1">
      <c r="A46" s="5" t="inlineStr">
        <is>
          <t>X-0343</t>
        </is>
      </c>
      <c r="B46" s="5" t="inlineStr">
        <is>
          <t>Payment reversal → original payment remains traceable</t>
        </is>
      </c>
      <c r="C46" s="5" t="inlineStr">
        <is>
          <t>P1</t>
        </is>
      </c>
      <c r="D46" s="5" t="inlineStr">
        <is>
          <t>P1</t>
        </is>
      </c>
      <c r="E46" s="5" t="inlineStr">
        <is>
          <t>P0</t>
        </is>
      </c>
      <c r="F46" s="5" t="inlineStr">
        <is>
          <t>Restored to authored P1. The previous workbook had P0 after a keyword rebalance.</t>
        </is>
      </c>
    </row>
    <row r="47" ht="30" customHeight="1">
      <c r="A47" s="5" t="inlineStr">
        <is>
          <t>X-0354</t>
        </is>
      </c>
      <c r="B47" s="5" t="inlineStr">
        <is>
          <t>Update customer profile</t>
        </is>
      </c>
      <c r="C47" s="5" t="inlineStr">
        <is>
          <t>P1</t>
        </is>
      </c>
      <c r="D47" s="5" t="inlineStr">
        <is>
          <t>P1</t>
        </is>
      </c>
      <c r="E47" s="5" t="inlineStr">
        <is>
          <t>P0</t>
        </is>
      </c>
      <c r="F47" s="5" t="inlineStr">
        <is>
          <t>Restored to authored P1. The previous workbook had P0 after a keyword rebalance.</t>
        </is>
      </c>
    </row>
    <row r="48" ht="30" customHeight="1">
      <c r="A48" s="5" t="inlineStr">
        <is>
          <t>X-0374</t>
        </is>
      </c>
      <c r="B48" s="5" t="inlineStr">
        <is>
          <t>Good stock → inventory restored</t>
        </is>
      </c>
      <c r="C48" s="5" t="inlineStr">
        <is>
          <t>P1</t>
        </is>
      </c>
      <c r="D48" s="5" t="inlineStr">
        <is>
          <t>P1</t>
        </is>
      </c>
      <c r="E48" s="5" t="inlineStr">
        <is>
          <t>P0</t>
        </is>
      </c>
      <c r="F48" s="5" t="inlineStr">
        <is>
          <t>Restored to authored P1. The previous workbook had P0 after a keyword rebalance.</t>
        </is>
      </c>
    </row>
    <row r="49" ht="30" customHeight="1">
      <c r="A49" s="5" t="inlineStr">
        <is>
          <t>X-0443</t>
        </is>
      </c>
      <c r="B49" s="5" t="inlineStr">
        <is>
          <t>Cancellation → downstream impacts are correctly reversed</t>
        </is>
      </c>
      <c r="C49" s="5" t="inlineStr">
        <is>
          <t>P1</t>
        </is>
      </c>
      <c r="D49" s="5" t="inlineStr">
        <is>
          <t>P1</t>
        </is>
      </c>
      <c r="E49" s="5" t="inlineStr">
        <is>
          <t>P0</t>
        </is>
      </c>
      <c r="F49" s="5" t="inlineStr">
        <is>
          <t>Restored to authored P1. The previous workbook had P0 after a keyword rebalance.</t>
        </is>
      </c>
    </row>
    <row r="50" ht="30" customHeight="1">
      <c r="A50" s="5" t="inlineStr">
        <is>
          <t>X-0444</t>
        </is>
      </c>
      <c r="B50" s="5" t="inlineStr">
        <is>
          <t>System recovery → financial/inventory integrity is preserved</t>
        </is>
      </c>
      <c r="C50" s="5" t="inlineStr">
        <is>
          <t>P1</t>
        </is>
      </c>
      <c r="D50" s="5" t="inlineStr">
        <is>
          <t>P1</t>
        </is>
      </c>
      <c r="E50" s="5" t="inlineStr">
        <is>
          <t>P0</t>
        </is>
      </c>
      <c r="F50" s="5" t="inlineStr">
        <is>
          <t>Restored to authored P1. The previous workbook had P0 after a keyword rebalance.</t>
        </is>
      </c>
    </row>
    <row r="51" ht="30" customHeight="1">
      <c r="A51" s="5" t="inlineStr">
        <is>
          <t>X-0455</t>
        </is>
      </c>
      <c r="B51" s="5" t="inlineStr">
        <is>
          <t>Payment gateway → customer ledger</t>
        </is>
      </c>
      <c r="C51" s="5" t="inlineStr">
        <is>
          <t>P1</t>
        </is>
      </c>
      <c r="D51" s="5" t="inlineStr">
        <is>
          <t>P1</t>
        </is>
      </c>
      <c r="E51" s="5" t="inlineStr">
        <is>
          <t>P0</t>
        </is>
      </c>
      <c r="F51" s="5" t="inlineStr">
        <is>
          <t>Restored to authored P1. The previous workbook had P0 after a keyword rebalance.</t>
        </is>
      </c>
    </row>
    <row r="52" ht="30" customHeight="1">
      <c r="A52" s="5" t="inlineStr">
        <is>
          <t>X-0460</t>
        </is>
      </c>
      <c r="B52" s="5" t="inlineStr">
        <is>
          <t>Integration retry → idempotent result</t>
        </is>
      </c>
      <c r="C52" s="5" t="inlineStr">
        <is>
          <t>P1</t>
        </is>
      </c>
      <c r="D52" s="5" t="inlineStr">
        <is>
          <t>P1</t>
        </is>
      </c>
      <c r="E52" s="5" t="inlineStr">
        <is>
          <t>P0</t>
        </is>
      </c>
      <c r="F52" s="5" t="inlineStr">
        <is>
          <t>Restored to authored P1. The previous workbook had P0 after a keyword rebalance.</t>
        </is>
      </c>
    </row>
    <row r="53" ht="30" customHeight="1">
      <c r="A53" s="5" t="inlineStr">
        <is>
          <t>X-0461</t>
        </is>
      </c>
      <c r="B53" s="5" t="inlineStr">
        <is>
          <t>External reference ID → BizBoard transaction traceability</t>
        </is>
      </c>
      <c r="C53" s="5" t="inlineStr">
        <is>
          <t>P1</t>
        </is>
      </c>
      <c r="D53" s="5" t="inlineStr">
        <is>
          <t>P1</t>
        </is>
      </c>
      <c r="E53" s="5" t="inlineStr">
        <is>
          <t>P0</t>
        </is>
      </c>
      <c r="F53" s="5" t="inlineStr">
        <is>
          <t>Restored to authored P1. The previous workbook had P0 after a keyword rebalance.</t>
        </is>
      </c>
    </row>
    <row r="54" ht="30" customHeight="1">
      <c r="A54" s="5" t="inlineStr">
        <is>
          <t>X-0462</t>
        </is>
      </c>
      <c r="B54" s="5" t="inlineStr">
        <is>
          <t>Import customer master</t>
        </is>
      </c>
      <c r="C54" s="5" t="inlineStr">
        <is>
          <t>P1</t>
        </is>
      </c>
      <c r="D54" s="5" t="inlineStr">
        <is>
          <t>P1</t>
        </is>
      </c>
      <c r="E54" s="5" t="inlineStr">
        <is>
          <t>P0</t>
        </is>
      </c>
      <c r="F54" s="5" t="inlineStr">
        <is>
          <t>Restored to authored P1. The previous workbook had P0 after a keyword rebalance.</t>
        </is>
      </c>
    </row>
    <row r="55" ht="30" customHeight="1">
      <c r="A55" s="5" t="inlineStr">
        <is>
          <t>P-0510</t>
        </is>
      </c>
      <c r="B55" s="5" t="inlineStr">
        <is>
          <t>Issue raw materials to production work order</t>
        </is>
      </c>
      <c r="C55" s="5" t="inlineStr">
        <is>
          <t>P1</t>
        </is>
      </c>
      <c r="D55" s="5" t="inlineStr">
        <is>
          <t>P1</t>
        </is>
      </c>
      <c r="E55" s="5" t="inlineStr">
        <is>
          <t>P0</t>
        </is>
      </c>
      <c r="F55" s="5" t="inlineStr">
        <is>
          <t>Restored to authored P1. The previous workbook had P0 after a keyword rebalance.</t>
        </is>
      </c>
    </row>
    <row r="56" ht="30" customHeight="1">
      <c r="A56" s="5" t="inlineStr">
        <is>
          <t>X-0526</t>
        </is>
      </c>
      <c r="B56" s="5" t="inlineStr">
        <is>
          <t>Calculate overdue interest penalty charges on delayed customer payments</t>
        </is>
      </c>
      <c r="C56" s="5" t="inlineStr">
        <is>
          <t>P2</t>
        </is>
      </c>
      <c r="D56" s="5" t="inlineStr">
        <is>
          <t>P2</t>
        </is>
      </c>
      <c r="E56" s="5" t="inlineStr">
        <is>
          <t>P3</t>
        </is>
      </c>
      <c r="F56" s="5" t="inlineStr">
        <is>
          <t>Restored to authored P2. The previous workbook had P3 after a keyword rebalance.</t>
        </is>
      </c>
    </row>
    <row r="57" ht="30" customHeight="1">
      <c r="A57" s="5" t="inlineStr">
        <is>
          <t>X-0544</t>
        </is>
      </c>
      <c r="B57" s="5" t="inlineStr">
        <is>
          <t>Route economics analysis: evaluate delivery freight cost per order vs order gross margin</t>
        </is>
      </c>
      <c r="C57" s="5" t="inlineStr">
        <is>
          <t>P2</t>
        </is>
      </c>
      <c r="D57" s="5" t="inlineStr">
        <is>
          <t>P2</t>
        </is>
      </c>
      <c r="E57" s="5" t="inlineStr">
        <is>
          <t>P3</t>
        </is>
      </c>
      <c r="F57" s="5" t="inlineStr">
        <is>
          <t>Restored to authored P2. The previous workbook had P3 after a keyword rebalance.</t>
        </is>
      </c>
    </row>
    <row r="58" ht="30" customHeight="1">
      <c r="A58" s="5" t="inlineStr">
        <is>
          <t>UX-0591</t>
        </is>
      </c>
      <c r="B58" s="5" t="inlineStr">
        <is>
          <t>One-click 'Privacy Mask' toggle hiding rupee figures from bystander view</t>
        </is>
      </c>
      <c r="C58" s="5" t="inlineStr">
        <is>
          <t>P2</t>
        </is>
      </c>
      <c r="D58" s="5" t="inlineStr">
        <is>
          <t>P3</t>
        </is>
      </c>
      <c r="E58" s="5" t="inlineStr">
        <is>
          <t>P2</t>
        </is>
      </c>
      <c r="F58" s="5" t="inlineStr">
        <is>
          <t>Set to P3. The previous workbook had P2. Authored priority was P2.</t>
        </is>
      </c>
    </row>
    <row r="59" ht="30" customHeight="1">
      <c r="A59" s="5" t="inlineStr">
        <is>
          <t>UX-0593</t>
        </is>
      </c>
      <c r="B59" s="5" t="inlineStr">
        <is>
          <t>High-contrast outdoor glare mode for mobile field order booking</t>
        </is>
      </c>
      <c r="C59" s="5" t="inlineStr">
        <is>
          <t>P2</t>
        </is>
      </c>
      <c r="D59" s="5" t="inlineStr">
        <is>
          <t>P2</t>
        </is>
      </c>
      <c r="E59" s="5" t="inlineStr">
        <is>
          <t>P3</t>
        </is>
      </c>
      <c r="F59" s="5" t="inlineStr">
        <is>
          <t>Restored to authored P2. The previous workbook had P3 after a keyword rebalance.</t>
        </is>
      </c>
    </row>
    <row r="60" ht="30" customHeight="1">
      <c r="A60" s="5" t="inlineStr">
        <is>
          <t>R-0648</t>
        </is>
      </c>
      <c r="B60" s="5" t="inlineStr">
        <is>
          <t>Optimistic locking with version check on concurrent customer master updates</t>
        </is>
      </c>
      <c r="C60" s="5" t="inlineStr">
        <is>
          <t>P1</t>
        </is>
      </c>
      <c r="D60" s="5" t="inlineStr">
        <is>
          <t>P1</t>
        </is>
      </c>
      <c r="E60" s="5" t="inlineStr">
        <is>
          <t>P0</t>
        </is>
      </c>
      <c r="F60" s="5" t="inlineStr">
        <is>
          <t>Restored to authored P1. The previous workbook had P0 after a keyword rebalance.</t>
        </is>
      </c>
    </row>
    <row r="61" ht="30" customHeight="1">
      <c r="A61" s="5" t="inlineStr">
        <is>
          <t>SaaS-0676</t>
        </is>
      </c>
      <c r="B61" s="5" t="inlineStr">
        <is>
          <t>Feature flag management and progressive rollout engine across tenant cohorts</t>
        </is>
      </c>
      <c r="C61" s="5" t="inlineStr">
        <is>
          <t>P1</t>
        </is>
      </c>
      <c r="D61" s="5" t="inlineStr">
        <is>
          <t>P1</t>
        </is>
      </c>
      <c r="E61" s="5" t="inlineStr">
        <is>
          <t>P0</t>
        </is>
      </c>
      <c r="F61" s="5" t="inlineStr">
        <is>
          <t>Restored to authored P1. The previous workbook had P0 after a keyword rebalance.</t>
        </is>
      </c>
    </row>
    <row r="62" ht="30" customHeight="1">
      <c r="A62" s="5" t="inlineStr">
        <is>
          <t>D-0695</t>
        </is>
      </c>
      <c r="B62" s="5" t="inlineStr">
        <is>
          <t>Daily evening 8 PM WhatsApp executive voice and summary briefing to owner</t>
        </is>
      </c>
      <c r="C62" s="5" t="inlineStr">
        <is>
          <t>P1</t>
        </is>
      </c>
      <c r="D62" s="5" t="inlineStr">
        <is>
          <t>P1</t>
        </is>
      </c>
      <c r="E62" s="5" t="inlineStr">
        <is>
          <t>P3</t>
        </is>
      </c>
      <c r="F62" s="5" t="inlineStr">
        <is>
          <t>Restored to authored P1. The previous workbook had P3 after a keyword rebalance.</t>
        </is>
      </c>
    </row>
    <row r="63" ht="30" customHeight="1">
      <c r="A63" s="5" t="inlineStr">
        <is>
          <t>X-0709</t>
        </is>
      </c>
      <c r="B63" s="5" t="inlineStr">
        <is>
          <t>Customer disputed line item on ₹1,00,000 bill: customer pays ₹90,000; ₹10,000 routed to dispute resolution</t>
        </is>
      </c>
      <c r="C63" s="5" t="inlineStr">
        <is>
          <t>P1</t>
        </is>
      </c>
      <c r="D63" s="5" t="inlineStr">
        <is>
          <t>P1</t>
        </is>
      </c>
      <c r="E63" s="5" t="inlineStr">
        <is>
          <t>P0</t>
        </is>
      </c>
      <c r="F63" s="5" t="inlineStr">
        <is>
          <t>Restored to authored P1. The previous workbook had P0 after a keyword rebalance.</t>
        </is>
      </c>
    </row>
  </sheetData>
  <autoFilter ref="A3:F63"/>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BizBoard task register review</dc:creator>
  <dc:title>BizBoard reviewed task register</dc:title>
  <dc:subject>770-task register plus an OS control layer that is not yet proven</dc:subject>
  <dcterms:created xsi:type="dcterms:W3CDTF">2026-10-04T07:05:36Z</dcterms:created>
  <dcterms:modified xsi:type="dcterms:W3CDTF">2026-10-04T07:06:10Z</dcterms:modified>
</cp:coreProperties>
</file>